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316" r:id="rId4"/>
    <sheet name="2103050" sheetId="317" r:id="rId5"/>
    <sheet name="2101499" sheetId="318" r:id="rId6"/>
  </sheets>
  <functionGroups builtInGroupCount="18"/>
  <definedNames>
    <definedName name="_xlnm._FilterDatabase" localSheetId="0" hidden="1">LISTADO!$A$4:$Q$8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1" l="1"/>
  <c r="P5" i="11" s="1"/>
  <c r="E3" i="11"/>
  <c r="O6" i="11"/>
  <c r="O7" i="11"/>
  <c r="P7" i="11" s="1"/>
  <c r="O8" i="11"/>
  <c r="N6" i="11"/>
  <c r="N7" i="11"/>
  <c r="N8" i="11"/>
  <c r="N5" i="11"/>
  <c r="P8" i="11" l="1"/>
  <c r="P6" i="11"/>
  <c r="E14" i="316"/>
  <c r="D14" i="316"/>
  <c r="C14" i="316"/>
  <c r="E7" i="318"/>
  <c r="D7" i="318"/>
  <c r="C7" i="318"/>
  <c r="E6" i="316"/>
  <c r="D6" i="316"/>
  <c r="C6" i="316"/>
  <c r="E7" i="317"/>
  <c r="D7" i="317"/>
  <c r="C7" i="317"/>
  <c r="H3" i="11"/>
  <c r="B12" i="11" l="1"/>
  <c r="B11" i="11"/>
  <c r="B10" i="11"/>
  <c r="B4617" i="92" l="1"/>
  <c r="K3" i="11" l="1"/>
</calcChain>
</file>

<file path=xl/sharedStrings.xml><?xml version="1.0" encoding="utf-8"?>
<sst xmlns="http://schemas.openxmlformats.org/spreadsheetml/2006/main" count="11960" uniqueCount="9151">
  <si>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</si>
  <si>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</si>
  <si>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</si>
  <si>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</si>
  <si>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</si>
  <si>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</si>
  <si>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</si>
  <si>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</si>
  <si>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</si>
  <si>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</si>
  <si>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</si>
  <si>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</si>
  <si>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</si>
  <si>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</si>
  <si>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</si>
  <si>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</si>
  <si>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</si>
  <si>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</si>
  <si>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</si>
  <si>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</si>
  <si>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</si>
  <si>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</si>
  <si>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</si>
  <si>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</si>
  <si>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</si>
  <si>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</si>
  <si>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</si>
  <si>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</si>
  <si>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</si>
  <si>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</si>
  <si>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</si>
  <si>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</si>
  <si>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</si>
  <si>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</si>
  <si>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</si>
  <si>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</si>
  <si>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</si>
  <si>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</si>
  <si>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</si>
  <si>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</si>
  <si>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</si>
  <si>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</si>
  <si>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</si>
  <si>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</si>
  <si>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</si>
  <si>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</si>
  <si>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</si>
  <si>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</si>
  <si>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</si>
  <si>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</si>
  <si>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</si>
  <si>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</si>
  <si>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</si>
  <si>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</si>
  <si>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</si>
  <si>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</si>
  <si>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</si>
  <si>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</si>
  <si>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</si>
  <si>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</si>
  <si>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</si>
  <si>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</si>
  <si>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</si>
  <si>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</si>
  <si>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</si>
  <si>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</si>
  <si>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</si>
  <si>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</si>
  <si>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</si>
  <si>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</si>
  <si>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</si>
  <si>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</si>
  <si>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</si>
  <si>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</si>
  <si>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</si>
  <si>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</si>
  <si>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</si>
  <si>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</si>
  <si>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</si>
  <si>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</si>
  <si>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</si>
  <si>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</si>
  <si>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</si>
  <si>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</si>
  <si>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</si>
  <si>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</si>
  <si>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</si>
  <si>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</si>
  <si>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</si>
  <si>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</si>
  <si>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</si>
  <si>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</si>
  <si>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</si>
  <si>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</si>
  <si>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</si>
  <si>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</si>
  <si>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</si>
  <si>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</si>
  <si>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</si>
  <si>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</si>
  <si>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</si>
  <si>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</si>
  <si>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</si>
  <si>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</si>
  <si>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</si>
  <si>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</si>
  <si>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</si>
  <si>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</si>
  <si>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</si>
  <si>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</si>
  <si>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</si>
  <si>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</si>
  <si>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</si>
  <si>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</si>
  <si>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</si>
  <si>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</si>
  <si>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</si>
  <si>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</si>
  <si>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</si>
  <si>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</si>
  <si>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</si>
  <si>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</si>
  <si>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</si>
  <si>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</si>
  <si>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</si>
  <si>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</si>
  <si>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</si>
  <si>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</si>
  <si>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</si>
  <si>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</si>
  <si>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</si>
  <si>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</si>
  <si>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</si>
  <si>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</si>
  <si>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</si>
  <si>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</si>
  <si>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</si>
  <si>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</si>
  <si>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</si>
  <si>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</si>
  <si>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</si>
  <si>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</si>
  <si>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</si>
  <si>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</si>
  <si>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</si>
  <si>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</si>
  <si>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</si>
  <si>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</si>
  <si>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</si>
  <si>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</si>
  <si>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</si>
  <si>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</si>
  <si>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</si>
  <si>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</si>
  <si>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</si>
  <si>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</si>
  <si>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</si>
  <si>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</si>
  <si>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</si>
  <si>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</si>
  <si>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</si>
  <si>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</si>
  <si>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</si>
  <si>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</si>
  <si>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</si>
  <si>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</si>
  <si>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</si>
  <si>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</si>
  <si>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</si>
  <si>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</si>
  <si>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</si>
  <si>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</si>
  <si>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</si>
  <si>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</si>
  <si>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</si>
  <si>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</si>
  <si>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</si>
  <si>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</si>
  <si>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</si>
  <si>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</si>
  <si>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</si>
  <si>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</si>
  <si>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</si>
  <si>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</si>
  <si>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</si>
  <si>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</si>
  <si>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</si>
  <si>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</si>
  <si>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</si>
  <si>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</si>
  <si>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</si>
  <si>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</si>
  <si>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</si>
  <si>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</si>
  <si>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</si>
  <si>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</si>
  <si>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</si>
  <si>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</si>
  <si>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</si>
  <si>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</si>
  <si>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</si>
  <si>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</si>
  <si>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</si>
  <si>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</si>
  <si>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</si>
  <si>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</si>
  <si>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</si>
  <si>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</si>
  <si>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</si>
  <si>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</si>
  <si>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</si>
  <si>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</si>
  <si>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</si>
  <si>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</si>
  <si>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</si>
  <si>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</si>
  <si>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</si>
  <si>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</si>
  <si>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</si>
  <si>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</si>
  <si>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</si>
  <si>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</si>
  <si>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</si>
  <si>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</si>
  <si>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</si>
  <si>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</si>
  <si>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</si>
  <si>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</si>
  <si>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</si>
  <si>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</si>
  <si>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</si>
  <si>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</si>
  <si>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</si>
  <si>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</si>
  <si>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</si>
  <si>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</si>
  <si>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</si>
  <si>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</si>
  <si>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</si>
  <si>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</si>
  <si>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</si>
  <si>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</si>
  <si>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</si>
  <si>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</si>
  <si>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</si>
  <si>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</si>
  <si>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</si>
  <si>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</si>
  <si>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</si>
  <si>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</si>
  <si>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</si>
  <si>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</si>
  <si>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</si>
  <si>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</si>
  <si>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</si>
  <si>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</si>
  <si>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</si>
  <si>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</si>
  <si>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</si>
  <si>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</si>
  <si>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</si>
  <si>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</si>
  <si>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</si>
  <si>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</si>
  <si>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</si>
  <si>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</si>
  <si>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</si>
  <si>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</si>
  <si>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</si>
  <si>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</si>
  <si>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</si>
  <si>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</si>
  <si>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</si>
  <si>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</si>
  <si>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</si>
  <si>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</si>
  <si>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</si>
  <si>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</si>
  <si>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</si>
  <si>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</si>
  <si>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</si>
  <si>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</si>
  <si>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</si>
  <si>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</si>
  <si>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</si>
  <si>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</si>
  <si>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</si>
  <si>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</si>
  <si>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</si>
  <si>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</si>
  <si>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</si>
  <si>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</si>
  <si>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</si>
  <si>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</si>
  <si>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</si>
  <si>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</si>
  <si>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</si>
  <si>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</si>
  <si>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</si>
  <si>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</si>
  <si>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</si>
  <si>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</si>
  <si>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</si>
  <si>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</si>
  <si>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</si>
  <si>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</si>
  <si>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</si>
  <si>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</si>
  <si>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</si>
  <si>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</si>
  <si>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</si>
  <si>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</si>
  <si>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</si>
  <si>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</si>
  <si>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</si>
  <si>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</si>
  <si>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</si>
  <si>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</si>
  <si>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</si>
  <si>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</si>
  <si>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</si>
  <si>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</si>
  <si>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</si>
  <si>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</si>
  <si>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</si>
  <si>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</si>
  <si>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</si>
  <si>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</si>
  <si>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</si>
  <si>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</si>
  <si>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</si>
  <si>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</si>
  <si>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</si>
  <si>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</si>
  <si>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</si>
  <si>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</si>
  <si>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</si>
  <si>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</si>
  <si>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</si>
  <si>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</si>
  <si>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</si>
  <si>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</si>
  <si>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</si>
  <si>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</si>
  <si>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</si>
  <si>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</si>
  <si>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</si>
  <si>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</si>
  <si>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</si>
  <si>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</si>
  <si>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</si>
  <si>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</si>
  <si>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</si>
  <si>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</si>
  <si>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</si>
  <si>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</si>
  <si>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</si>
  <si>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</si>
  <si>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</si>
  <si>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</si>
  <si>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</si>
  <si>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</si>
  <si>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</si>
  <si>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</si>
  <si>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</si>
  <si>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</si>
  <si>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</si>
  <si>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</si>
  <si>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</si>
  <si>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</si>
  <si>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</si>
  <si>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</si>
  <si>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</si>
  <si>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</si>
  <si>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</si>
  <si>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</si>
  <si>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</si>
  <si>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</si>
  <si>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</si>
  <si>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</si>
  <si>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</si>
  <si>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</si>
  <si>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</si>
  <si>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</si>
  <si>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</si>
  <si>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</si>
  <si>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</si>
  <si>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</si>
  <si>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</si>
  <si>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</si>
  <si>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</si>
  <si>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</si>
  <si>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</si>
  <si>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</si>
  <si>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</si>
  <si>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</si>
  <si>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</si>
  <si>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</si>
  <si>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</si>
  <si>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</si>
  <si>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</si>
  <si>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</si>
  <si>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</si>
  <si>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</si>
  <si>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</si>
  <si>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</si>
  <si>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</si>
  <si>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</si>
  <si>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</si>
  <si>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</si>
  <si>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</si>
  <si>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</si>
  <si>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</si>
  <si>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</si>
  <si>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</si>
  <si>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</si>
  <si>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</si>
  <si>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</si>
  <si>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</si>
  <si>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</si>
  <si>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</si>
  <si>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</si>
  <si>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</si>
  <si>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</si>
  <si>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</si>
  <si>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</si>
  <si>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</si>
  <si>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</si>
  <si>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</si>
  <si>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</si>
  <si>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</si>
  <si>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</si>
  <si>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</si>
  <si>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</si>
  <si>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</si>
  <si>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</si>
  <si>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</si>
  <si>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</si>
  <si>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</si>
  <si>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</si>
  <si>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</si>
  <si>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</si>
  <si>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</si>
  <si>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</si>
  <si>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</si>
  <si>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</si>
  <si>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</si>
  <si>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</si>
  <si>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</si>
  <si>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</si>
  <si>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</si>
  <si>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</si>
  <si>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</si>
  <si>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</si>
  <si>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</si>
  <si>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</si>
  <si>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</si>
  <si>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</si>
  <si>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</si>
  <si>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</si>
  <si>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</si>
  <si>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</si>
  <si>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</si>
  <si>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</si>
  <si>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</si>
  <si>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</si>
  <si>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</si>
  <si>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</si>
  <si>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</si>
  <si>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</si>
  <si>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</si>
  <si>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</si>
  <si>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</si>
  <si>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</si>
  <si>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</si>
  <si>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</si>
  <si>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</si>
  <si>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</si>
  <si>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</si>
  <si>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</si>
  <si>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</si>
  <si>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</si>
  <si>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</si>
  <si>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</si>
  <si>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</si>
  <si>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</si>
  <si>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</si>
  <si>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</si>
  <si>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</si>
  <si>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</si>
  <si>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</si>
  <si>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</si>
  <si>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</si>
  <si>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</si>
  <si>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</si>
  <si>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</si>
  <si>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</si>
  <si>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</si>
  <si>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</si>
  <si>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</si>
  <si>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</si>
  <si>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</si>
  <si>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</si>
  <si>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</si>
  <si>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</si>
  <si>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</si>
  <si>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</si>
  <si>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</si>
  <si>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</si>
  <si>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</si>
  <si>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</si>
  <si>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</si>
  <si>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</si>
  <si>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</si>
  <si>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</si>
  <si>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</si>
  <si>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</si>
  <si>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</si>
  <si>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</si>
  <si>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</si>
  <si>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</si>
  <si>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</si>
  <si>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</si>
  <si>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</si>
  <si>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</si>
  <si>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</si>
  <si>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</si>
  <si>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</si>
  <si>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</si>
  <si>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</si>
  <si>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</si>
  <si>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</si>
  <si>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</si>
  <si>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</si>
  <si>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</si>
  <si>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</si>
  <si>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</si>
  <si>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</si>
  <si>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</si>
  <si>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</si>
  <si>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</si>
  <si>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</si>
  <si>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</si>
  <si>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</si>
  <si>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</si>
  <si>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</si>
  <si>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</si>
  <si>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</si>
  <si>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</si>
  <si>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</si>
  <si>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</si>
  <si>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</si>
  <si>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</si>
  <si>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</si>
  <si>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</si>
  <si>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</si>
  <si>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</si>
  <si>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</si>
  <si>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</si>
  <si>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</si>
  <si>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</si>
  <si>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</si>
  <si>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</si>
  <si>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</si>
  <si>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</si>
  <si>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</si>
  <si>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</si>
  <si>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</si>
  <si>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</si>
  <si>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</si>
  <si>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</si>
  <si>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</si>
  <si>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</si>
  <si>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</si>
  <si>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</si>
  <si>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</si>
  <si>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</si>
  <si>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</si>
  <si>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</si>
  <si>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</si>
  <si>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</si>
  <si>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</si>
  <si>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</si>
  <si>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</si>
  <si>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</si>
  <si>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</si>
  <si>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</si>
  <si>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</si>
  <si>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</si>
  <si>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</si>
  <si>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</si>
  <si>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</si>
  <si>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</si>
  <si>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</si>
  <si>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</si>
  <si>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</si>
  <si>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</si>
  <si>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</si>
  <si>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</si>
  <si>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</si>
  <si>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</si>
  <si>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</si>
  <si>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</si>
  <si>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</si>
  <si>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</si>
  <si>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</si>
  <si>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</si>
  <si>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</si>
  <si>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</si>
  <si>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</si>
  <si>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</si>
  <si>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</si>
  <si>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</si>
  <si>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</si>
  <si>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</si>
  <si>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</si>
  <si>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</si>
  <si>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</si>
  <si>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</si>
  <si>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</si>
  <si>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</si>
  <si>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</si>
  <si>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</si>
  <si>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</si>
  <si>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</si>
  <si>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</si>
  <si>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</si>
  <si>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</si>
  <si>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</si>
  <si>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</si>
  <si>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</si>
  <si>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</si>
  <si>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</si>
  <si>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</si>
  <si>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</si>
  <si>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</si>
  <si>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</si>
  <si>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</si>
  <si>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</si>
  <si>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</si>
  <si>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</si>
  <si>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</si>
  <si>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</si>
  <si>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</si>
  <si>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</si>
  <si>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</si>
  <si>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</si>
  <si>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</si>
  <si>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</si>
  <si>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</si>
  <si>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</si>
  <si>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</si>
  <si>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</si>
  <si>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</si>
  <si>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</si>
  <si>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</si>
  <si>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</si>
  <si>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</si>
  <si>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</si>
  <si>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</si>
  <si>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</si>
  <si>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</si>
  <si>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</si>
  <si>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</si>
  <si>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</si>
  <si>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</si>
  <si>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</si>
  <si>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</si>
  <si>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</si>
  <si>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</si>
  <si>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</si>
  <si>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</si>
  <si>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</si>
  <si>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</si>
  <si>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</si>
  <si>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</si>
  <si>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</si>
  <si>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</si>
  <si>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</si>
  <si>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</si>
  <si>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</si>
  <si>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</si>
  <si>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</si>
  <si>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</si>
  <si>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</si>
  <si>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</si>
  <si>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</si>
  <si>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</si>
  <si>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</si>
  <si>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</si>
  <si>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</si>
  <si>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</si>
  <si>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</si>
  <si>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</si>
  <si>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</si>
  <si>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</si>
  <si>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</si>
  <si>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</si>
  <si>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</si>
  <si>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</si>
  <si>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</si>
  <si>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</si>
  <si>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</si>
  <si>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</si>
  <si>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</si>
  <si>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</si>
  <si>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</si>
  <si>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</si>
  <si>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</si>
  <si>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</si>
  <si>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</si>
  <si>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</si>
  <si>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</si>
  <si>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</si>
  <si>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</si>
  <si>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</si>
  <si>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</si>
  <si>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</si>
  <si>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</si>
  <si>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</si>
  <si>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</si>
  <si>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</si>
  <si>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</si>
  <si>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</si>
  <si>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</si>
  <si>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</si>
  <si>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</si>
  <si>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</si>
  <si>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</si>
  <si>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</si>
  <si>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</si>
  <si>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</si>
  <si>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</si>
  <si>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</si>
  <si>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</si>
  <si>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</si>
  <si>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</si>
  <si>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</si>
  <si>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</si>
  <si>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</si>
  <si>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</si>
  <si>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</si>
  <si>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</si>
  <si>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</si>
  <si>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</si>
  <si>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</si>
  <si>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</si>
  <si>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</si>
  <si>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</si>
  <si>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</si>
  <si>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</si>
  <si>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</si>
  <si>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</si>
  <si>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</si>
  <si>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</si>
  <si>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</si>
  <si>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</si>
  <si>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</si>
  <si>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</si>
  <si>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</si>
  <si>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</si>
  <si>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</si>
  <si>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</si>
  <si>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</si>
  <si>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</si>
  <si>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</si>
  <si>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</si>
  <si>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</si>
  <si>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</si>
  <si>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</si>
  <si>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</si>
  <si>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</si>
  <si>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</si>
  <si>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</si>
  <si>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</si>
  <si>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</si>
  <si>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</si>
  <si>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</si>
  <si>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</si>
  <si>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</si>
  <si>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</si>
  <si>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</si>
  <si>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</si>
  <si>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</si>
  <si>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</si>
  <si>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</si>
  <si>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</si>
  <si>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</si>
  <si>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</si>
  <si>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</si>
  <si>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</si>
  <si>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</si>
  <si>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</si>
  <si>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</si>
  <si>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</si>
  <si>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</si>
  <si>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</si>
  <si>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</si>
  <si>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</si>
  <si>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</si>
  <si>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</si>
  <si>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</si>
  <si>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</si>
  <si>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</si>
  <si>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</si>
  <si>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</si>
  <si>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</si>
  <si>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</si>
  <si>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</si>
  <si>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</si>
  <si>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</si>
  <si>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</si>
  <si>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</si>
  <si>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</si>
  <si>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</si>
  <si>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</si>
  <si>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</si>
  <si>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</si>
  <si>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</si>
  <si>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</si>
  <si>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</si>
  <si>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</si>
  <si>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</si>
  <si>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</si>
  <si>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</si>
  <si>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</si>
  <si>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</si>
  <si>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</si>
  <si>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</si>
  <si>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</si>
  <si>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</si>
  <si>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</si>
  <si>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</si>
  <si>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</si>
  <si>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</si>
  <si>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</si>
  <si>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</si>
  <si>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</si>
  <si>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</si>
  <si>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</si>
  <si>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</si>
  <si>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</si>
  <si>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</si>
  <si>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</si>
  <si>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</si>
  <si>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</si>
  <si>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</si>
  <si>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</si>
  <si>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</si>
  <si>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</si>
  <si>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</si>
  <si>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</si>
  <si>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</si>
  <si>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</si>
  <si>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</si>
  <si>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</si>
  <si>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</si>
  <si>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</si>
  <si>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</si>
  <si>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</si>
  <si>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</si>
  <si>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</si>
  <si>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</si>
  <si>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</si>
  <si>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</si>
  <si>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</si>
  <si>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</si>
  <si>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</si>
  <si>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</si>
  <si>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</si>
  <si>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</si>
  <si>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</si>
  <si>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</si>
  <si>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</si>
  <si>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</si>
  <si>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</si>
  <si>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</si>
  <si>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</si>
  <si>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</si>
  <si>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</si>
  <si>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</si>
  <si>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</si>
  <si>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</si>
  <si>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</si>
  <si>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</si>
  <si>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</si>
  <si>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</si>
  <si>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</si>
  <si>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</si>
  <si>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</si>
  <si>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</si>
  <si>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</si>
  <si>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</si>
  <si>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</si>
  <si>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</si>
  <si>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</si>
  <si>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</si>
  <si>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</si>
  <si>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</si>
  <si>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</si>
  <si>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</si>
  <si>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</si>
  <si>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</si>
  <si>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</si>
  <si>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</si>
  <si>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</si>
  <si>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</si>
  <si>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</si>
  <si>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</si>
  <si>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</si>
  <si>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</si>
  <si>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</si>
  <si>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</si>
  <si>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</si>
  <si>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</si>
  <si>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</si>
  <si>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</si>
  <si>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</si>
  <si>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</si>
  <si>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</si>
  <si>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</si>
  <si>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</si>
  <si>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</si>
  <si>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</si>
  <si>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</si>
  <si>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</si>
  <si>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</si>
  <si>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</si>
  <si>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</si>
  <si>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</si>
  <si>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</si>
  <si>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</si>
  <si>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</si>
  <si>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</si>
  <si>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</si>
  <si>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</si>
  <si>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</si>
  <si>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</si>
  <si>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</si>
  <si>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</si>
  <si>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</si>
  <si>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</si>
  <si>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</si>
  <si>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</si>
  <si>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</si>
  <si>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</si>
  <si>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</si>
  <si>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</si>
  <si>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</si>
  <si>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</si>
  <si>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</si>
  <si>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</si>
  <si>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</si>
  <si>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</si>
  <si>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</si>
  <si>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</si>
  <si>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</si>
  <si>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</si>
  <si>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</si>
  <si>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</si>
  <si>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</si>
  <si>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</si>
  <si>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</si>
  <si>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</si>
  <si>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</si>
  <si>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</si>
  <si>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</si>
  <si>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</si>
  <si>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</si>
  <si>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</si>
  <si>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</si>
  <si>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</si>
  <si>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</si>
  <si>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</si>
  <si>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</si>
  <si>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</si>
  <si>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</si>
  <si>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</si>
  <si>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</si>
  <si>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</si>
  <si>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</si>
  <si>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</si>
  <si>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</si>
  <si>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</si>
  <si>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</si>
  <si>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</si>
  <si>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</si>
  <si>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</si>
  <si>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</si>
  <si>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</si>
  <si>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</si>
  <si>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</si>
  <si>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</si>
  <si>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</si>
  <si>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</si>
  <si>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</si>
  <si>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</si>
  <si>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</si>
  <si>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</si>
  <si>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</si>
  <si>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</si>
  <si>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</si>
  <si>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</si>
  <si>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</si>
  <si>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</si>
  <si>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</si>
  <si>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</si>
  <si>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</si>
  <si>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</si>
  <si>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</si>
  <si>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</si>
  <si>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</si>
  <si>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</si>
  <si>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</si>
  <si>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</si>
  <si>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</si>
  <si>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</si>
  <si>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</si>
  <si>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</si>
  <si>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</si>
  <si>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</si>
  <si>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</si>
  <si>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</si>
  <si>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</si>
  <si>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</si>
  <si>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</si>
  <si>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</si>
  <si>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</si>
  <si>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</si>
  <si>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</si>
  <si>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</si>
  <si>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</si>
  <si>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</si>
  <si>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</si>
  <si>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</si>
  <si>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</si>
  <si>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</si>
  <si>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</si>
  <si>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</si>
  <si>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</si>
  <si>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</si>
  <si>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</si>
  <si>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</si>
  <si>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</si>
  <si>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</si>
  <si>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</si>
  <si>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</si>
  <si>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</si>
  <si>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</si>
  <si>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</si>
  <si>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</si>
  <si>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</si>
  <si>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</si>
  <si>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</si>
  <si>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</si>
  <si>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</si>
  <si>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</si>
  <si>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</si>
  <si>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</si>
  <si>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</si>
  <si>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</si>
  <si>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</si>
  <si>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</si>
  <si>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</si>
  <si>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</si>
  <si>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</si>
  <si>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</si>
  <si>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</si>
  <si>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</si>
  <si>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</si>
  <si>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</si>
  <si>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</si>
  <si>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</si>
  <si>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</si>
  <si>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</si>
  <si>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</si>
  <si>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</si>
  <si>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</si>
  <si>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</si>
  <si>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</si>
  <si>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</si>
  <si>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</si>
  <si>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</si>
  <si>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</si>
  <si>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</si>
  <si>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</si>
  <si>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</si>
  <si>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</si>
  <si>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</si>
  <si>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</si>
  <si>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</si>
  <si>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</si>
  <si>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</si>
  <si>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</si>
  <si>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</si>
  <si>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</si>
  <si>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</si>
  <si>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</si>
  <si>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</si>
  <si>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</si>
  <si>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</si>
  <si>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</si>
  <si>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</si>
  <si>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</si>
  <si>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</si>
  <si>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</si>
  <si>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</si>
  <si>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</si>
  <si>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</si>
  <si>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</si>
  <si>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</si>
  <si>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</si>
  <si>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</si>
  <si>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</si>
  <si>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</si>
  <si>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</si>
  <si>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</si>
  <si>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</si>
  <si>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</si>
  <si>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</si>
  <si>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</si>
  <si>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</si>
  <si>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</si>
  <si>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</si>
  <si>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</si>
  <si>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</si>
  <si>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</si>
  <si>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</si>
  <si>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</si>
  <si>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</si>
  <si>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</si>
  <si>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</si>
  <si>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</si>
  <si>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</si>
  <si>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</si>
  <si>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</si>
  <si>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</si>
  <si>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</si>
  <si>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</si>
  <si>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</si>
  <si>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</si>
  <si>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</si>
  <si>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</si>
  <si>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</si>
  <si>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</si>
  <si>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</si>
  <si>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</si>
  <si>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</si>
  <si>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</si>
  <si>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</si>
  <si>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</si>
  <si>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</si>
  <si>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</si>
  <si>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</si>
  <si>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</si>
  <si>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</si>
  <si>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</si>
  <si>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</si>
  <si>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</si>
  <si>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</si>
  <si>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</si>
  <si>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</si>
  <si>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</si>
  <si>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</si>
  <si>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</si>
  <si>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</si>
  <si>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</si>
  <si>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</si>
  <si>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</si>
  <si>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</si>
  <si>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</si>
  <si>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</si>
  <si>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</si>
  <si>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</si>
  <si>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</si>
  <si>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</si>
  <si>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</si>
  <si>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</si>
  <si>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</si>
  <si>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</si>
  <si>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</si>
  <si>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</si>
  <si>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</si>
  <si>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</si>
  <si>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</si>
  <si>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</si>
  <si>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</si>
  <si>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</si>
  <si>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</si>
  <si>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</si>
  <si>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</si>
  <si>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</si>
  <si>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</si>
  <si>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</si>
  <si>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</si>
  <si>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</si>
  <si>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</si>
  <si>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</si>
  <si>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</si>
  <si>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</si>
  <si>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</si>
  <si>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</si>
  <si>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</si>
  <si>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</si>
  <si>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</si>
  <si>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</si>
  <si>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</si>
  <si>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</si>
  <si>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</si>
  <si>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</si>
  <si>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</si>
  <si>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</si>
  <si>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</si>
  <si>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</si>
  <si>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</si>
  <si>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</si>
  <si>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</si>
  <si>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</si>
  <si>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</si>
  <si>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</si>
  <si>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</si>
  <si>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</si>
  <si>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</si>
  <si>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</si>
  <si>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</si>
  <si>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</si>
  <si>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</si>
  <si>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</si>
  <si>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</si>
  <si>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</si>
  <si>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</si>
  <si>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</si>
  <si>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</si>
  <si>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</si>
  <si>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</si>
  <si>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</si>
  <si>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</si>
  <si>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</si>
  <si>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</si>
  <si>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</si>
  <si>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</si>
  <si>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</si>
  <si>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</si>
  <si>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</si>
  <si>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</si>
  <si>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</si>
  <si>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</si>
  <si>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</si>
  <si>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</si>
  <si>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</si>
  <si>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</si>
  <si>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</si>
  <si>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</si>
  <si>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</si>
  <si>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</si>
  <si>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</si>
  <si>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</si>
  <si>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</si>
  <si>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</si>
  <si>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</si>
  <si>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</si>
  <si>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</si>
  <si>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</si>
  <si>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</si>
  <si>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</si>
  <si>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</si>
  <si>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</si>
  <si>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</si>
  <si>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</si>
  <si>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</si>
  <si>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</si>
  <si>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</si>
  <si>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</si>
  <si>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</si>
  <si>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</si>
  <si>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</si>
  <si>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</si>
  <si>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</si>
  <si>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</si>
  <si>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</si>
  <si>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</si>
  <si>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</si>
  <si>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</si>
  <si>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</si>
  <si>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</si>
  <si>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</si>
  <si>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</si>
  <si>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</si>
  <si>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</si>
  <si>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</si>
  <si>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</si>
  <si>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</si>
  <si>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</si>
  <si>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</si>
  <si>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</si>
  <si>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</si>
  <si>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</si>
  <si>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</si>
  <si>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</si>
  <si>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</si>
  <si>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</si>
  <si>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</si>
  <si>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</si>
  <si>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</si>
  <si>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</si>
  <si>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</si>
  <si>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</si>
  <si>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</si>
  <si>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</si>
  <si>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</si>
  <si>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</si>
  <si>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</si>
  <si>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</si>
  <si>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</si>
  <si>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</si>
  <si>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</si>
  <si>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</si>
  <si>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</si>
  <si>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</si>
  <si>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</si>
  <si>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</si>
  <si>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</si>
  <si>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</si>
  <si>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</si>
  <si>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</si>
  <si>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</si>
  <si>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</si>
  <si>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</si>
  <si>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</si>
  <si>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</si>
  <si>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</si>
  <si>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</si>
  <si>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</si>
  <si>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</si>
  <si>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</si>
  <si>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</si>
  <si>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</si>
  <si>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</si>
  <si>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</si>
  <si>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</si>
  <si>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</si>
  <si>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</si>
  <si>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</si>
  <si>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</si>
  <si>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</si>
  <si>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</si>
  <si>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</si>
  <si>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</si>
  <si>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</si>
  <si>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</si>
  <si>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</si>
  <si>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</si>
  <si>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</si>
  <si>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</si>
  <si>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</si>
  <si>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</si>
  <si>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</si>
  <si>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</si>
  <si>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</si>
  <si>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</si>
  <si>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</si>
  <si>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</si>
  <si>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</si>
  <si>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</si>
  <si>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</si>
  <si>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</si>
  <si>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</si>
  <si>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</si>
  <si>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</si>
  <si>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</si>
  <si>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</si>
  <si>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</si>
  <si>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</si>
  <si>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</si>
  <si>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</si>
  <si>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</si>
  <si>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</si>
  <si>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</si>
  <si>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</si>
  <si>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</si>
  <si>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</si>
  <si>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</si>
  <si>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</si>
  <si>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</si>
  <si>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</si>
  <si>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</si>
  <si>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</si>
  <si>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</si>
  <si>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</si>
  <si>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</si>
  <si>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</si>
  <si>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</si>
  <si>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</si>
  <si>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</si>
  <si>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</si>
  <si>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</si>
  <si>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</si>
  <si>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</si>
  <si>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</si>
  <si>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</si>
  <si>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</si>
  <si>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</si>
  <si>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</si>
  <si>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</si>
  <si>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</si>
  <si>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</si>
  <si>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</si>
  <si>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</si>
  <si>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</si>
  <si>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</si>
  <si>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</si>
  <si>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</si>
  <si>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</si>
  <si>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</si>
  <si>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</si>
  <si>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</si>
  <si>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</si>
  <si>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</si>
  <si>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</si>
  <si>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</si>
  <si>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</si>
  <si>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</si>
  <si>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</si>
  <si>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</si>
  <si>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</si>
  <si>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</si>
  <si>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</si>
  <si>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</si>
  <si>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</si>
  <si>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</si>
  <si>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</si>
  <si>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</si>
  <si>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</si>
  <si>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</si>
  <si>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</si>
  <si>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</si>
  <si>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</si>
  <si>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</si>
  <si>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</si>
  <si>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</si>
  <si>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</si>
  <si>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</si>
  <si>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</si>
  <si>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</si>
  <si>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</si>
  <si>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</si>
  <si>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</si>
  <si>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</si>
  <si>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</si>
  <si>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</si>
  <si>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</si>
  <si>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</si>
  <si>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</si>
  <si>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</si>
  <si>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</si>
  <si>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</si>
  <si>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</si>
  <si>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</si>
  <si>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</si>
  <si>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</si>
  <si>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</si>
  <si>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</si>
  <si>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</si>
  <si>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</si>
  <si>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</si>
  <si>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</si>
  <si>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</si>
  <si>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</si>
  <si>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</si>
  <si>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</si>
  <si>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</si>
  <si>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</si>
  <si>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</si>
  <si>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</si>
  <si>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</si>
  <si>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</si>
  <si>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</si>
  <si>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</si>
  <si>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</si>
  <si>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</si>
  <si>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</si>
  <si>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</si>
  <si>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</si>
  <si>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</si>
  <si>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</si>
  <si>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</si>
  <si>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</si>
  <si>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</si>
  <si>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</si>
  <si>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</si>
  <si>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</si>
  <si>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</si>
  <si>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</si>
  <si>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</si>
  <si>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</si>
  <si>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</si>
  <si>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</si>
  <si>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</si>
  <si>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</si>
  <si>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</si>
  <si>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</si>
  <si>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</si>
  <si>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</si>
  <si>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</si>
  <si>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</si>
  <si>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</si>
  <si>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</si>
  <si>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</si>
  <si>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</si>
  <si>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</si>
  <si>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</si>
  <si>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</si>
  <si>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</si>
  <si>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</si>
  <si>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</si>
  <si>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</si>
  <si>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</si>
  <si>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</si>
  <si>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</si>
  <si>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</si>
  <si>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</si>
  <si>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</si>
  <si>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</si>
  <si>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</si>
  <si>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</si>
  <si>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</si>
  <si>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</si>
  <si>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</si>
  <si>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</si>
  <si>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</si>
  <si>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</si>
  <si>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</si>
  <si>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</si>
  <si>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</si>
  <si>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</si>
  <si>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</si>
  <si>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</si>
  <si>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</si>
  <si>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</si>
  <si>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</si>
  <si>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</si>
  <si>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</si>
  <si>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</si>
  <si>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</si>
  <si>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</si>
  <si>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</si>
  <si>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</si>
  <si>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</si>
  <si>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</si>
  <si>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</si>
  <si>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</si>
  <si>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</si>
  <si>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</si>
  <si>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</si>
  <si>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</si>
  <si>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</si>
  <si>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</si>
  <si>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</si>
  <si>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</si>
  <si>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</si>
  <si>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</si>
  <si>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</si>
  <si>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</si>
  <si>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</si>
  <si>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</si>
  <si>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</si>
  <si>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</si>
  <si>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</si>
  <si>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</si>
  <si>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</si>
  <si>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</si>
  <si>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</si>
  <si>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</si>
  <si>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</si>
  <si>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</si>
  <si>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</si>
  <si>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</si>
  <si>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</si>
  <si>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</si>
  <si>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</si>
  <si>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</si>
  <si>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</si>
  <si>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</si>
  <si>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</si>
  <si>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</si>
  <si>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</si>
  <si>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</si>
  <si>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</si>
  <si>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</si>
  <si>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</si>
  <si>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</si>
  <si>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</si>
  <si>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</si>
  <si>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</si>
  <si>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</si>
  <si>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</si>
  <si>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</si>
  <si>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</si>
  <si>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</si>
  <si>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</si>
  <si>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</si>
  <si>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</si>
  <si>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</si>
  <si>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</si>
  <si>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</si>
  <si>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</si>
  <si>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</si>
  <si>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</si>
  <si>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</si>
  <si>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</si>
  <si>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</si>
  <si>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</si>
  <si>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</si>
  <si>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</si>
  <si>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</si>
  <si>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</si>
  <si>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</si>
  <si>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</si>
  <si>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</si>
  <si>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</si>
  <si>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</si>
  <si>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</si>
  <si>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</si>
  <si>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</si>
  <si>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</si>
  <si>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</si>
  <si>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</si>
  <si>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</si>
  <si>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</si>
  <si>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</si>
  <si>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</si>
  <si>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</si>
  <si>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</si>
  <si>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</si>
  <si>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</si>
  <si>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</si>
  <si>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</si>
  <si>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</si>
  <si>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</si>
  <si>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</si>
  <si>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</si>
  <si>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</si>
  <si>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</si>
  <si>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</si>
  <si>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</si>
  <si>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</si>
  <si>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</si>
  <si>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</si>
  <si>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</si>
  <si>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</si>
  <si>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</si>
  <si>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</si>
  <si>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</si>
  <si>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</si>
  <si>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</si>
  <si>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</si>
  <si>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</si>
  <si>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</si>
  <si>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</si>
  <si>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</si>
  <si>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</si>
  <si>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</si>
  <si>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</si>
  <si>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</si>
  <si>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</si>
  <si>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</si>
  <si>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</si>
  <si>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</si>
  <si>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</si>
  <si>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</si>
  <si>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</si>
  <si>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</si>
  <si>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</si>
  <si>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</si>
  <si>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</si>
  <si>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</si>
  <si>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</si>
  <si>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</si>
  <si>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</si>
  <si>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</si>
  <si>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</si>
  <si>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</si>
  <si>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</si>
  <si>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</si>
  <si>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</si>
  <si>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</si>
  <si>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</si>
  <si>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</si>
  <si>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</si>
  <si>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</si>
  <si>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</si>
  <si>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</si>
  <si>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</si>
  <si>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</si>
  <si>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</si>
  <si>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</si>
  <si>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</si>
  <si>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</si>
  <si>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</si>
  <si>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</si>
  <si>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</si>
  <si>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</si>
  <si>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</si>
  <si>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</si>
  <si>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</si>
  <si>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</si>
  <si>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</si>
  <si>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</si>
  <si>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</si>
  <si>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</si>
  <si>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</si>
  <si>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</si>
  <si>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</si>
  <si>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</si>
  <si>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</si>
  <si>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</si>
  <si>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</si>
  <si>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</si>
  <si>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</si>
  <si>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</si>
  <si>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</si>
  <si>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</si>
  <si>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</si>
  <si>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</si>
  <si>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</si>
  <si>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</si>
  <si>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</si>
  <si>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</si>
  <si>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</si>
  <si>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</si>
  <si>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</si>
  <si>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</si>
  <si>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</si>
  <si>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</si>
  <si>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</si>
  <si>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</si>
  <si>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</si>
  <si>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</si>
  <si>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</si>
  <si>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</si>
  <si>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</si>
  <si>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</si>
  <si>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</si>
  <si>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</si>
  <si>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</si>
  <si>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</si>
  <si>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</si>
  <si>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</si>
  <si>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</si>
  <si>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</si>
  <si>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</si>
  <si>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</si>
  <si>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</si>
  <si>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</si>
  <si>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</si>
  <si>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</si>
  <si>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</si>
  <si>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</si>
  <si>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</si>
  <si>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</si>
  <si>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</si>
  <si>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</si>
  <si>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</si>
  <si>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</si>
  <si>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</si>
  <si>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</si>
  <si>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</si>
  <si>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</si>
  <si>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</si>
  <si>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</si>
  <si>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</si>
  <si>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</si>
  <si>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</si>
  <si>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</si>
  <si>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</si>
  <si>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</si>
  <si>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</si>
  <si>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</si>
  <si>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</si>
  <si>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</si>
  <si>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</si>
  <si>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</si>
  <si>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</si>
  <si>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</si>
  <si>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</si>
  <si>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</si>
  <si>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</si>
  <si>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</si>
  <si>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</si>
  <si>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</si>
  <si>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</si>
  <si>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</si>
  <si>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</si>
  <si>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</si>
  <si>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</si>
  <si>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</si>
  <si>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</si>
  <si>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</si>
  <si>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</si>
  <si>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</si>
  <si>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</si>
  <si>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</si>
  <si>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</si>
  <si>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</si>
  <si>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</si>
  <si>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</si>
  <si>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</si>
  <si>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</si>
  <si>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</si>
  <si>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</si>
  <si>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</si>
  <si>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</si>
  <si>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</si>
  <si>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</si>
  <si>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</si>
  <si>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</si>
  <si>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</si>
  <si>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</si>
  <si>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</si>
  <si>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</si>
  <si>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</si>
  <si>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</si>
  <si>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</si>
  <si>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</si>
  <si>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</si>
  <si>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</si>
  <si>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</si>
  <si>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</si>
  <si>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</si>
  <si>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</si>
  <si>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</si>
  <si>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</si>
  <si>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</si>
  <si>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</si>
  <si>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</si>
  <si>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</si>
  <si>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</si>
  <si>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</si>
  <si>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</si>
  <si>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</si>
  <si>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</si>
  <si>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</si>
  <si>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</si>
  <si>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</si>
  <si>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</si>
  <si>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</si>
  <si>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</si>
  <si>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</si>
  <si>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</si>
  <si>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</si>
  <si>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</si>
  <si>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</si>
  <si>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</si>
  <si>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</si>
  <si>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</si>
  <si>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</si>
  <si>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</si>
  <si>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</si>
  <si>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</si>
  <si>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</si>
  <si>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</si>
  <si>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</si>
  <si>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</si>
  <si>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</si>
  <si>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</si>
  <si>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</si>
  <si>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</si>
  <si>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</si>
  <si>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</si>
  <si>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</si>
  <si>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</si>
  <si>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</si>
  <si>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</si>
  <si>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</si>
  <si>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</si>
  <si>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</si>
  <si>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</si>
  <si>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</si>
  <si>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</si>
  <si>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</si>
  <si>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</si>
  <si>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</si>
  <si>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</si>
  <si>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</si>
  <si>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</si>
  <si>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</si>
  <si>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</si>
  <si>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</si>
  <si>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</si>
  <si>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</si>
  <si>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</si>
  <si>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</si>
  <si>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</si>
  <si>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</si>
  <si>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</si>
  <si>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</si>
  <si>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</si>
  <si>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</si>
  <si>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</si>
  <si>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</si>
  <si>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</si>
  <si>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</si>
  <si>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</si>
  <si>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</si>
  <si>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</si>
  <si>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</si>
  <si>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</si>
  <si>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</si>
  <si>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</si>
  <si>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</si>
  <si>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</si>
  <si>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</si>
  <si>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</si>
  <si>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</si>
  <si>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</si>
  <si>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</si>
  <si>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</si>
  <si>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</si>
  <si>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</si>
  <si>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</si>
  <si>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</si>
  <si>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</si>
  <si>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</si>
  <si>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</si>
  <si>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</si>
  <si>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</si>
  <si>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</si>
  <si>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</si>
  <si>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</si>
  <si>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</si>
  <si>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</si>
  <si>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</si>
  <si>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</si>
  <si>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</si>
  <si>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</si>
  <si>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</si>
  <si>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</si>
  <si>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</si>
  <si>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</si>
  <si>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</si>
  <si>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</si>
  <si>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</si>
  <si>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</si>
  <si>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</si>
  <si>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</si>
  <si>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</si>
  <si>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</si>
  <si>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</si>
  <si>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</si>
  <si>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</si>
  <si>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</si>
  <si>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</si>
  <si>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</si>
  <si>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</si>
  <si>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</si>
  <si>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</si>
  <si>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</si>
  <si>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</si>
  <si>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</si>
  <si>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</si>
  <si>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</si>
  <si>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</si>
  <si>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</si>
  <si>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</si>
  <si>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</si>
  <si>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</si>
  <si>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</si>
  <si>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</si>
  <si>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</si>
  <si>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</si>
  <si>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</si>
  <si>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</si>
  <si>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</si>
  <si>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</si>
  <si>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</si>
  <si>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</si>
  <si>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</si>
  <si>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</si>
  <si>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</si>
  <si>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</si>
  <si>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</si>
  <si>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</si>
  <si>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</si>
  <si>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</si>
  <si>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</si>
  <si>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</si>
  <si>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</si>
  <si>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</si>
  <si>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</si>
  <si>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</si>
  <si>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</si>
  <si>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</si>
  <si>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</si>
  <si>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</si>
  <si>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</si>
  <si>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</si>
  <si>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</si>
  <si>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</si>
  <si>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</si>
  <si>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</si>
  <si>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</si>
  <si>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</si>
  <si>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</si>
  <si>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</si>
  <si>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</si>
  <si>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</si>
  <si>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</si>
  <si>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</si>
  <si>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</si>
  <si>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</si>
  <si>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</si>
  <si>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</si>
  <si>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</si>
  <si>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</si>
  <si>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</si>
  <si>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</si>
  <si>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</si>
  <si>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</si>
  <si>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</si>
  <si>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</si>
  <si>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</si>
  <si>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</si>
  <si>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</si>
  <si>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</si>
  <si>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</si>
  <si>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</si>
  <si>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</si>
  <si>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</si>
  <si>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</si>
  <si>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</si>
  <si>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</si>
  <si>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</si>
  <si>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</si>
  <si>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</si>
  <si>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</si>
  <si>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</si>
  <si>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</si>
  <si>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</si>
  <si>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</si>
  <si>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</si>
  <si>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</si>
  <si>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</si>
  <si>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</si>
  <si>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</si>
  <si>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</si>
  <si>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</si>
  <si>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</si>
  <si>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</si>
  <si>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</si>
  <si>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</si>
  <si>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</si>
  <si>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</si>
  <si>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</si>
  <si>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</si>
  <si>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</si>
  <si>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</si>
  <si>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</si>
  <si>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</si>
  <si>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</si>
  <si>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</si>
  <si>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</si>
  <si>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</si>
  <si>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</si>
  <si>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</si>
  <si>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</si>
  <si>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</si>
  <si>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</si>
  <si>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</si>
  <si>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</si>
  <si>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</si>
  <si>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</si>
  <si>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</si>
  <si>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</si>
  <si>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</si>
  <si>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</si>
  <si>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</si>
  <si>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</si>
  <si>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</si>
  <si>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</si>
  <si>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</si>
  <si>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</si>
  <si>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</si>
  <si>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</si>
  <si>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</si>
  <si>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</si>
  <si>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</si>
  <si>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</si>
  <si>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</si>
  <si>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</si>
  <si>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</si>
  <si>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</si>
  <si>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</si>
  <si>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</si>
  <si>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</si>
  <si>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</si>
  <si>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</si>
  <si>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</si>
  <si>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</si>
  <si>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</si>
  <si>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</si>
  <si>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</si>
  <si>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</si>
  <si>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</si>
  <si>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</si>
  <si>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</si>
  <si>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</si>
  <si>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</si>
  <si>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</si>
  <si>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</si>
  <si>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</si>
  <si>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</si>
  <si>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</si>
  <si>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</si>
  <si>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</si>
  <si>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</si>
  <si>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</si>
  <si>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</si>
  <si>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</si>
  <si>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</si>
  <si>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</si>
  <si>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</si>
  <si>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</si>
  <si>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</si>
  <si>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</si>
  <si>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</si>
  <si>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</si>
  <si>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</si>
  <si>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</si>
  <si>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</si>
  <si>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</si>
  <si>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</si>
  <si>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</si>
  <si>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</si>
  <si>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</si>
  <si>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</si>
  <si>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</si>
  <si>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</si>
  <si>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</si>
  <si>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</si>
  <si>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</si>
  <si>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</si>
  <si>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</si>
  <si>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</si>
  <si>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</si>
  <si>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</si>
  <si>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</si>
  <si>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</si>
  <si>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</si>
  <si>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</si>
  <si>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</si>
  <si>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</si>
  <si>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</si>
  <si>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</si>
  <si>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</si>
  <si>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</si>
  <si>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</si>
  <si>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</si>
  <si>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</si>
  <si>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</si>
  <si>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</si>
  <si>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</si>
  <si>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</si>
  <si>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</si>
  <si>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</si>
  <si>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</si>
  <si>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</si>
  <si>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</si>
  <si>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</si>
  <si>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</si>
  <si>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</si>
  <si>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</si>
  <si>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</si>
  <si>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</si>
  <si>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</si>
  <si>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</si>
  <si>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</si>
  <si>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</si>
  <si>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</si>
  <si>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</si>
  <si>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</si>
  <si>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</si>
  <si>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</si>
  <si>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</si>
  <si>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</si>
  <si>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</si>
  <si>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</si>
  <si>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</si>
  <si>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</si>
  <si>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</si>
  <si>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</si>
  <si>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</si>
  <si>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</si>
  <si>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</si>
  <si>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</si>
  <si>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</si>
  <si>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</si>
  <si>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</si>
  <si>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</si>
  <si>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</si>
  <si>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</si>
  <si>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</si>
  <si>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</si>
  <si>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</si>
  <si>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</si>
  <si>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</si>
  <si>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</si>
  <si>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</si>
  <si>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</si>
  <si>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</si>
  <si>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</si>
  <si>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</si>
  <si>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</si>
  <si>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</si>
  <si>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</si>
  <si>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</si>
  <si>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</si>
  <si>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</si>
  <si>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</si>
  <si>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</si>
  <si>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</si>
  <si>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</si>
  <si>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</si>
  <si>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</si>
  <si>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</si>
  <si>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</si>
  <si>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</si>
  <si>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</si>
  <si>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</si>
  <si>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</si>
  <si>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</si>
  <si>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</si>
  <si>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</si>
  <si>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</si>
  <si>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</si>
  <si>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</si>
  <si>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</si>
  <si>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</si>
  <si>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</si>
  <si>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</si>
  <si>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</si>
  <si>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</si>
  <si>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</si>
  <si>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</si>
  <si>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</si>
  <si>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</si>
  <si>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</si>
  <si>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</si>
  <si>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</si>
  <si>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</si>
  <si>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</si>
  <si>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</si>
  <si>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</si>
  <si>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</si>
  <si>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</si>
  <si>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</si>
  <si>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</si>
  <si>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</si>
  <si>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</si>
  <si>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</si>
  <si>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</si>
  <si>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</si>
  <si>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</si>
  <si>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</si>
  <si>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</si>
  <si>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</si>
  <si>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</si>
  <si>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</si>
  <si>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</si>
  <si>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</si>
  <si>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</si>
  <si>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</si>
  <si>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</si>
  <si>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</si>
  <si>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</si>
  <si>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</si>
  <si>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</si>
  <si>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</si>
  <si>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</si>
  <si>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</si>
  <si>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</si>
  <si>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</si>
  <si>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</si>
  <si>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</si>
  <si>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</si>
  <si>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</si>
  <si>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</si>
  <si>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</si>
  <si>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</si>
  <si>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</si>
  <si>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</si>
  <si>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</si>
  <si>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</si>
  <si>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</si>
  <si>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</si>
  <si>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</si>
  <si>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</si>
  <si>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</si>
  <si>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</si>
  <si>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</si>
  <si>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</si>
  <si>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</si>
  <si>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</si>
  <si>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</si>
  <si>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</si>
  <si>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</si>
  <si>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</si>
  <si>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</si>
  <si>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</si>
  <si>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</si>
  <si>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</si>
  <si>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</si>
  <si>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</si>
  <si>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</si>
  <si>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</si>
  <si>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</si>
  <si>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</si>
  <si>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</si>
  <si>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</si>
  <si>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</si>
  <si>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</si>
  <si>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</si>
  <si>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</si>
  <si>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</si>
  <si>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</si>
  <si>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</si>
  <si>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</si>
  <si>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</si>
  <si>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</si>
  <si>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</si>
  <si>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</si>
  <si>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</si>
  <si>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</si>
  <si>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</si>
  <si>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</si>
  <si>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</si>
  <si>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</si>
  <si>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</si>
  <si>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</si>
  <si>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</si>
  <si>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</si>
  <si>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</si>
  <si>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</si>
  <si>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</si>
  <si>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</si>
  <si>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</si>
  <si>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</si>
  <si>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</si>
  <si>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</si>
  <si>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</si>
  <si>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</si>
  <si>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</si>
  <si>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</si>
  <si>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</si>
  <si>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</si>
  <si>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</si>
  <si>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</si>
  <si>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</si>
  <si>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</si>
  <si>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</si>
  <si>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</si>
  <si>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</si>
  <si>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</si>
  <si>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</si>
  <si>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</si>
  <si>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</si>
  <si>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</si>
  <si>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</si>
  <si>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</si>
  <si>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</si>
  <si>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</si>
  <si>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</si>
  <si>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</si>
  <si>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</si>
  <si>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</si>
  <si>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</si>
  <si>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</si>
  <si>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</si>
  <si>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</si>
  <si>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</si>
  <si>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</si>
  <si>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</si>
  <si>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</si>
  <si>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</si>
  <si>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</si>
  <si>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</si>
  <si>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</si>
  <si>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</si>
  <si>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</si>
  <si>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</si>
  <si>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</si>
  <si>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</si>
  <si>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</si>
  <si>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</si>
  <si>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</si>
  <si>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</si>
  <si>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</si>
  <si>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</si>
  <si>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</si>
  <si>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</si>
  <si>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</si>
  <si>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</si>
  <si>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</si>
  <si>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</si>
  <si>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</si>
  <si>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</si>
  <si>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</si>
  <si>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</si>
  <si>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</si>
  <si>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</si>
  <si>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</si>
  <si>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</si>
  <si>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</si>
  <si>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</si>
  <si>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</si>
  <si>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</si>
  <si>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</si>
  <si>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</si>
  <si>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</si>
  <si>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</si>
  <si>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</si>
  <si>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</si>
  <si>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</si>
  <si>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</si>
  <si>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</si>
  <si>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</si>
  <si>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</si>
  <si>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</si>
  <si>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</si>
  <si>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</si>
  <si>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</si>
  <si>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</si>
  <si>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</si>
  <si>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</si>
  <si>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</si>
  <si>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</si>
  <si>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</si>
  <si>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</si>
  <si>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</si>
  <si>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</si>
  <si>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</si>
  <si>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</si>
  <si>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</si>
  <si>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</si>
  <si>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</si>
  <si>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</si>
  <si>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</si>
  <si>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</si>
  <si>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</si>
  <si>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</si>
  <si>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</si>
  <si>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</si>
  <si>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</si>
  <si>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</si>
  <si>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</si>
  <si>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</si>
  <si>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</si>
  <si>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</si>
  <si>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</si>
  <si>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</si>
  <si>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</si>
  <si>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</si>
  <si>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</si>
  <si>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</si>
  <si>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</si>
  <si>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</si>
  <si>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</si>
  <si>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</si>
  <si>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</si>
  <si>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</si>
  <si>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</si>
  <si>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</si>
  <si>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</si>
  <si>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</si>
  <si>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</si>
  <si>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</si>
  <si>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</si>
  <si>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</si>
  <si>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</si>
  <si>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</si>
  <si>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</si>
  <si>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</si>
  <si>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</si>
  <si>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</si>
  <si>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</si>
  <si>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</si>
  <si>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</si>
  <si>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</si>
  <si>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</si>
  <si>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</si>
  <si>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</si>
  <si>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</si>
  <si>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</si>
  <si>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</si>
  <si>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</si>
  <si>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</si>
  <si>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</si>
  <si>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</si>
  <si>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</si>
  <si>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</si>
  <si>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</si>
  <si>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</si>
  <si>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</si>
  <si>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</si>
  <si>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</si>
  <si>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</si>
  <si>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</si>
  <si>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</si>
  <si>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</si>
  <si>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</si>
  <si>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</si>
  <si>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</si>
  <si>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</si>
  <si>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</si>
  <si>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</si>
  <si>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</si>
  <si>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</si>
  <si>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</si>
  <si>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</si>
  <si>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</si>
  <si>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</si>
  <si>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</si>
  <si>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</si>
  <si>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</si>
  <si>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</si>
  <si>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</si>
  <si>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</si>
  <si>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</si>
  <si>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</si>
  <si>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</si>
  <si>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</si>
  <si>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</si>
  <si>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</si>
  <si>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</si>
  <si>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</si>
  <si>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</si>
  <si>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</si>
  <si>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</si>
  <si>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</si>
  <si>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</si>
  <si>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</si>
  <si>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</si>
  <si>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</si>
  <si>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</si>
  <si>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</si>
  <si>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</si>
  <si>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</si>
  <si>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</si>
  <si>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</si>
  <si>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</si>
  <si>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</si>
  <si>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</si>
  <si>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</si>
  <si>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</si>
  <si>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</si>
  <si>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</si>
  <si>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</si>
  <si>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</si>
  <si>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</si>
  <si>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</si>
  <si>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</si>
  <si>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</si>
  <si>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</si>
  <si>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</si>
  <si>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</si>
  <si>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</si>
  <si>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</si>
  <si>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</si>
  <si>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</si>
  <si>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</si>
  <si>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</si>
  <si>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</si>
  <si>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</si>
  <si>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</si>
  <si>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</si>
  <si>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</si>
  <si>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</si>
  <si>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</si>
  <si>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</si>
  <si>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</si>
  <si>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</si>
  <si>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</si>
  <si>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</si>
  <si>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</si>
  <si>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</si>
  <si>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</si>
  <si>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</si>
  <si>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</si>
  <si>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</si>
  <si>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</si>
  <si>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</si>
  <si>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</si>
  <si>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</si>
  <si>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</si>
  <si>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</si>
  <si>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</si>
  <si>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</si>
  <si>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</si>
  <si>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</si>
  <si>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</si>
  <si>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</si>
  <si>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</si>
  <si>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</si>
  <si>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</si>
  <si>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</si>
  <si>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</si>
  <si>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</si>
  <si>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</si>
  <si>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</si>
  <si>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</si>
  <si>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</si>
  <si>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</si>
  <si>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</si>
  <si>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</si>
  <si>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</si>
  <si>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</si>
  <si>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</si>
  <si>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</si>
  <si>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</si>
  <si>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</si>
  <si>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</si>
  <si>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</si>
  <si>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</si>
  <si>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</si>
  <si>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</si>
  <si>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</si>
  <si>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</si>
  <si>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</si>
  <si>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</si>
  <si>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</si>
  <si>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</si>
  <si>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</si>
  <si>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</si>
  <si>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</si>
  <si>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</si>
  <si>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</si>
  <si>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</si>
  <si>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</si>
  <si>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</si>
  <si>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</si>
  <si>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</si>
  <si>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</si>
  <si>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</si>
  <si>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</si>
  <si>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</si>
  <si>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</si>
  <si>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</si>
  <si>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</si>
  <si>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</si>
  <si>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</si>
  <si>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</si>
  <si>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</si>
  <si>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</si>
  <si>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</si>
  <si>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</si>
  <si>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</si>
  <si>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</si>
  <si>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</si>
  <si>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</si>
  <si>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</si>
  <si>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</si>
  <si>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</si>
  <si>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</si>
  <si>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</si>
  <si>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</si>
  <si>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</si>
  <si>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</si>
  <si>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</si>
  <si>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</si>
  <si>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</si>
  <si>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</si>
  <si>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</si>
  <si>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</si>
  <si>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</si>
  <si>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</si>
  <si>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</si>
  <si>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</si>
  <si>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</si>
  <si>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</si>
  <si>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</si>
  <si>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</si>
  <si>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</si>
  <si>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</si>
  <si>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</si>
  <si>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</si>
  <si>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</si>
  <si>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</si>
  <si>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</si>
  <si>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</si>
  <si>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</si>
  <si>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</si>
  <si>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</si>
  <si>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</si>
  <si>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</si>
  <si>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</si>
  <si>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</si>
  <si>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</si>
  <si>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</si>
  <si>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</si>
  <si>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</si>
  <si>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</si>
  <si>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</si>
  <si>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</si>
  <si>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</si>
  <si>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</si>
  <si>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</si>
  <si>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</si>
  <si>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</si>
  <si>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</si>
  <si>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</si>
  <si>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</si>
  <si>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</si>
  <si>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</si>
  <si>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</si>
  <si>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</si>
  <si>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</si>
  <si>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</si>
  <si>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</si>
  <si>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</si>
  <si>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</si>
  <si>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</si>
  <si>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</si>
  <si>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</si>
  <si>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</si>
  <si>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</si>
  <si>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</si>
  <si>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</si>
  <si>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</si>
  <si>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</si>
  <si>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</si>
  <si>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</si>
  <si>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</si>
  <si>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</si>
  <si>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</si>
  <si>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</si>
  <si>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</si>
  <si>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</si>
  <si>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</si>
  <si>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</si>
  <si>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</si>
  <si>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</si>
  <si>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</si>
  <si>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</si>
  <si>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</si>
  <si>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</si>
  <si>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</si>
  <si>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</si>
  <si>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</si>
  <si>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</si>
  <si>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</si>
  <si>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</si>
  <si>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</si>
  <si>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</si>
  <si>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</si>
  <si>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</si>
  <si>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</si>
  <si>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</si>
  <si>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</si>
  <si>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</si>
  <si>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</si>
  <si>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</si>
  <si>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</si>
  <si>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</si>
  <si>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</si>
  <si>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</si>
  <si>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</si>
  <si>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</si>
  <si>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</si>
  <si>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</si>
  <si>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</si>
  <si>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</si>
  <si>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</si>
  <si>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</si>
  <si>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</si>
  <si>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</si>
  <si>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</si>
  <si>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</si>
  <si>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</si>
  <si>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</si>
  <si>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</si>
  <si>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</si>
  <si>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</si>
  <si>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</si>
  <si>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</si>
  <si>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</si>
  <si>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</si>
  <si>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</si>
  <si>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</si>
  <si>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</si>
  <si>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</si>
  <si>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</si>
  <si>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</si>
  <si>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</si>
  <si>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</si>
  <si>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</si>
  <si>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</si>
  <si>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</si>
  <si>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</si>
  <si>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</si>
  <si>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</si>
  <si>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</si>
  <si>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</si>
  <si>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</si>
  <si>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</si>
  <si>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</si>
  <si>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</si>
  <si>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</si>
  <si>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</si>
  <si>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</si>
  <si>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</si>
  <si>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</si>
  <si>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</si>
  <si>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</si>
  <si>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</si>
  <si>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</si>
  <si>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</si>
  <si>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</si>
  <si>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</si>
  <si>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</si>
  <si>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</si>
  <si>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</si>
  <si>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</si>
  <si>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</si>
  <si>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</si>
  <si>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</si>
  <si>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</si>
  <si>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</si>
  <si>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</si>
  <si>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</si>
  <si>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</si>
  <si>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</si>
  <si>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</si>
  <si>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</si>
  <si>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</si>
  <si>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</si>
  <si>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</si>
  <si>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</si>
  <si>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</si>
  <si>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</si>
  <si>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</si>
  <si>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</si>
  <si>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</si>
  <si>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</si>
  <si>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</si>
  <si>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</si>
  <si>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</si>
  <si>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</si>
  <si>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</si>
  <si>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</si>
  <si>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</si>
  <si>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</si>
  <si>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</si>
  <si>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</si>
  <si>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</si>
  <si>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</si>
  <si>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</si>
  <si>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</si>
  <si>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</si>
  <si>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</si>
  <si>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</si>
  <si>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</si>
  <si>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</si>
  <si>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</si>
  <si>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</si>
  <si>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</si>
  <si>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</si>
  <si>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</si>
  <si>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</si>
  <si>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</si>
  <si>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</si>
  <si>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</si>
  <si>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</si>
  <si>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</si>
  <si>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</si>
  <si>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</si>
  <si>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</si>
  <si>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</si>
  <si>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</si>
  <si>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</si>
  <si>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</si>
  <si>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</si>
  <si>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</si>
  <si>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</si>
  <si>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</si>
  <si>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</si>
  <si>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</si>
  <si>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</si>
  <si>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</si>
  <si>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</si>
  <si>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</si>
  <si>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</si>
  <si>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</si>
  <si>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</si>
  <si>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</si>
  <si>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</si>
  <si>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</si>
  <si>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</si>
  <si>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</si>
  <si>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</si>
  <si>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</si>
  <si>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</si>
  <si>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</si>
  <si>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</si>
  <si>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</si>
  <si>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</si>
  <si>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</si>
  <si>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</si>
  <si>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</si>
  <si>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</si>
  <si>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</si>
  <si>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</si>
  <si>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</si>
  <si>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</si>
  <si>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</si>
  <si>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</si>
  <si>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</si>
  <si>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</si>
  <si>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</si>
  <si>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</si>
  <si>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</si>
  <si>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</si>
  <si>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</si>
  <si>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</si>
  <si>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</si>
  <si>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</si>
  <si>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</si>
  <si>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</si>
  <si>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</si>
  <si>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</si>
  <si>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</si>
  <si>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</si>
  <si>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</si>
  <si>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</si>
  <si>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</si>
  <si>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</si>
  <si>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</si>
  <si>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</si>
  <si>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</si>
  <si>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</si>
  <si>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</si>
  <si>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</si>
  <si>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</si>
  <si>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</si>
  <si>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</si>
  <si>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</si>
  <si>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</si>
  <si>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</si>
  <si>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</si>
  <si>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</si>
  <si>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</si>
  <si>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</si>
  <si>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</si>
  <si>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</si>
  <si>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</si>
  <si>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</si>
  <si>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</si>
  <si>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</si>
  <si>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</si>
  <si>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</si>
  <si>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</si>
  <si>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</si>
  <si>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</si>
  <si>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</si>
  <si>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</si>
  <si>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</si>
  <si>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</si>
  <si>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</si>
  <si>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</si>
  <si>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</si>
  <si>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</si>
  <si>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</si>
  <si>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</si>
  <si>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</si>
  <si>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</si>
  <si>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</si>
  <si>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</si>
  <si>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</si>
  <si>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</si>
  <si>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</si>
  <si>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</si>
  <si>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</si>
  <si>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</si>
  <si>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</si>
  <si>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</si>
  <si>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</si>
  <si>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</si>
  <si>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</si>
  <si>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</si>
  <si>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</si>
  <si>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</si>
  <si>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</si>
  <si>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</si>
  <si>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</si>
  <si>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</si>
  <si>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</si>
  <si>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</si>
  <si>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</si>
  <si>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</si>
  <si>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</si>
  <si>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</si>
  <si>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</si>
  <si>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</si>
  <si>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</si>
  <si>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</si>
  <si>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</si>
  <si>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</si>
  <si>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</si>
  <si>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</si>
  <si>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</si>
  <si>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</si>
  <si>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</si>
  <si>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</si>
  <si>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</si>
  <si>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</si>
  <si>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</si>
  <si>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</si>
  <si>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</si>
  <si>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</si>
  <si>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</si>
  <si>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</si>
  <si>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</si>
  <si>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</si>
  <si>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</si>
  <si>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</si>
  <si>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</si>
  <si>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</si>
  <si>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</si>
  <si>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</si>
  <si>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</si>
  <si>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</si>
  <si>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</si>
  <si>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</si>
  <si>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</si>
  <si>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</si>
  <si>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</si>
  <si>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</si>
  <si>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</si>
  <si>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</si>
  <si>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</si>
  <si>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</si>
  <si>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</si>
  <si>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</si>
  <si>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</si>
  <si>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</si>
  <si>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</si>
  <si>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</si>
  <si>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</si>
  <si>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</si>
  <si>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</si>
  <si>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</si>
  <si>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</si>
  <si>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</si>
  <si>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</si>
  <si>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</si>
  <si>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</si>
  <si>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</si>
  <si>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</si>
  <si>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</si>
  <si>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</si>
  <si>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</si>
  <si>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</si>
  <si>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</si>
  <si>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</si>
  <si>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</si>
  <si>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</si>
  <si>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</si>
  <si>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</si>
  <si>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</si>
  <si>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</si>
  <si>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</si>
  <si>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</si>
  <si>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</si>
  <si>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</si>
  <si>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</si>
  <si>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</si>
  <si>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</si>
  <si>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</si>
  <si>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</si>
  <si>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</si>
  <si>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</si>
  <si>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</si>
  <si>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</si>
  <si>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</si>
  <si>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</si>
  <si>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</si>
  <si>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</si>
  <si>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</si>
  <si>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</si>
  <si>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</si>
  <si>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</si>
  <si>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</si>
  <si>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</si>
  <si>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</si>
  <si>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</si>
  <si>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</si>
  <si>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</si>
  <si>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</si>
  <si>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</si>
  <si>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</si>
  <si>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</si>
  <si>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</si>
  <si>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</si>
  <si>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</si>
  <si>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</si>
  <si>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</si>
  <si>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</si>
  <si>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</si>
  <si>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</si>
  <si>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</si>
  <si>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</si>
  <si>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</si>
  <si>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</si>
  <si>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</si>
  <si>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</si>
  <si>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</si>
  <si>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</si>
  <si>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</si>
  <si>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</si>
  <si>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</si>
  <si>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</si>
  <si>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</si>
  <si>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</si>
  <si>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</si>
  <si>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</si>
  <si>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</si>
  <si>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</si>
  <si>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</si>
  <si>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</si>
  <si>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</si>
  <si>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</si>
  <si>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</si>
  <si>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</si>
  <si>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</si>
  <si>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</si>
  <si>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</si>
  <si>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</si>
  <si>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</si>
  <si>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</si>
  <si>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</si>
  <si>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</si>
  <si>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</si>
  <si>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</si>
  <si>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</si>
  <si>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</si>
  <si>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</si>
  <si>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</si>
  <si>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</si>
  <si>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</si>
  <si>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</si>
  <si>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</si>
  <si>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</si>
  <si>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</si>
  <si>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</si>
  <si>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</si>
  <si>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</si>
  <si>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</si>
  <si>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</si>
  <si>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</si>
  <si>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</si>
  <si>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</si>
  <si>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</si>
  <si>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</si>
  <si>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</si>
  <si>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</si>
  <si>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</si>
  <si>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</si>
  <si>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</si>
  <si>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</si>
  <si>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</si>
  <si>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</si>
  <si>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</si>
  <si>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</si>
  <si>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</si>
  <si>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</si>
  <si>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</si>
  <si>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</si>
  <si>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</si>
  <si>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</si>
  <si>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</si>
  <si>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</si>
  <si>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</si>
  <si>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</si>
  <si>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</si>
  <si>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</si>
  <si>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</si>
  <si>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</si>
  <si>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</si>
  <si>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</si>
  <si>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</si>
  <si>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</si>
  <si>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</si>
  <si>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</si>
  <si>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</si>
  <si>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</si>
  <si>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</si>
  <si>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</si>
  <si>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</si>
  <si>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</si>
  <si>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</si>
  <si>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</si>
  <si>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</si>
  <si>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</si>
  <si>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</si>
  <si>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</si>
  <si>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</si>
  <si>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</si>
  <si>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</si>
  <si>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</si>
  <si>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</si>
  <si>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</si>
  <si>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</si>
  <si>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</si>
  <si>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</si>
  <si>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</si>
  <si>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</si>
  <si>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</si>
  <si>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</si>
  <si>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</si>
  <si>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</si>
  <si>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</si>
  <si>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</si>
  <si>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</si>
  <si>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</si>
  <si>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</si>
  <si>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</si>
  <si>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</si>
  <si>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</si>
  <si>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</si>
  <si>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</si>
  <si>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</si>
  <si>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</si>
  <si>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</si>
  <si>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</si>
  <si>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</si>
  <si>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</si>
  <si>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</si>
  <si>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</si>
  <si>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</si>
  <si>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</si>
  <si>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</si>
  <si>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</si>
  <si>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</si>
  <si>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</si>
  <si>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</si>
  <si>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</si>
  <si>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</si>
  <si>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</si>
  <si>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</si>
  <si>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</si>
  <si>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</si>
  <si>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</si>
  <si>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</si>
  <si>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</si>
  <si>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</si>
  <si>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</si>
  <si>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</si>
  <si>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</si>
  <si>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</si>
  <si>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</si>
  <si>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</si>
  <si>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</si>
  <si>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</si>
  <si>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</si>
  <si>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</si>
  <si>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</si>
  <si>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</si>
  <si>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</si>
  <si>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</si>
  <si>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</si>
  <si>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</si>
  <si>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</si>
  <si>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</si>
  <si>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</si>
  <si>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</si>
  <si>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</si>
  <si>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</si>
  <si>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</si>
  <si>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</si>
  <si>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</si>
  <si>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</si>
  <si>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</si>
  <si>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</si>
  <si>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</si>
  <si>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</si>
  <si>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</si>
  <si>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</si>
  <si>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</si>
  <si>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</si>
  <si>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</si>
  <si>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</si>
  <si>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</si>
  <si>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</si>
  <si>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</si>
  <si>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</si>
  <si>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</si>
  <si>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</si>
  <si>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</si>
  <si>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</si>
  <si>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</si>
  <si>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</si>
  <si>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</si>
  <si>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</si>
  <si>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</si>
  <si>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</si>
  <si>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</si>
  <si>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</si>
  <si>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</si>
  <si>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</si>
  <si>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</si>
  <si>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</si>
  <si>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</si>
  <si>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</si>
  <si>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</si>
  <si>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</si>
  <si>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</si>
  <si>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</si>
  <si>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</si>
  <si>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</si>
  <si>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</si>
  <si>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</si>
  <si>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</si>
  <si>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</si>
  <si>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</si>
  <si>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</si>
  <si>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</si>
  <si>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</si>
  <si>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</si>
  <si>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</si>
  <si>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</si>
  <si>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</si>
  <si>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</si>
  <si>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</si>
  <si>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</si>
  <si>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</si>
  <si>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</si>
  <si>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</si>
  <si>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</si>
  <si>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</si>
  <si>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</si>
  <si>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</si>
  <si>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</si>
  <si>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</si>
  <si>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</si>
  <si>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</si>
  <si>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</si>
  <si>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</si>
  <si>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</si>
  <si>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</si>
  <si>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</si>
  <si>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</si>
  <si>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</si>
  <si>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</si>
  <si>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</si>
  <si>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</si>
  <si>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</si>
  <si>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</si>
  <si>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</si>
  <si>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</si>
  <si>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</si>
  <si>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</si>
  <si>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</si>
  <si>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</si>
  <si>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</si>
  <si>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</si>
  <si>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</si>
  <si>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</si>
  <si>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</si>
  <si>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</si>
  <si>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</si>
  <si>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</si>
  <si>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</si>
  <si>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</si>
  <si>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</si>
  <si>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</si>
  <si>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</si>
  <si>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</si>
  <si>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</si>
  <si>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</si>
  <si>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</si>
  <si>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</si>
  <si>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</si>
  <si>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</si>
  <si>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</si>
  <si>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</si>
  <si>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</si>
  <si>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</si>
  <si>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</si>
  <si>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</si>
  <si>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</si>
  <si>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</si>
  <si>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</si>
  <si>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</si>
  <si>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</si>
  <si>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</si>
  <si>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</si>
  <si>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</si>
  <si>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</si>
  <si>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</si>
  <si>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</si>
  <si>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</si>
  <si>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</si>
  <si>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</si>
  <si>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</si>
  <si>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</si>
  <si>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</si>
  <si>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</si>
  <si>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</si>
  <si>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</si>
  <si>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</si>
  <si>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</si>
  <si>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</si>
  <si>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</si>
  <si>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</si>
  <si>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</si>
  <si>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</si>
  <si>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</si>
  <si>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</si>
  <si>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</si>
  <si>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</si>
  <si>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</si>
  <si>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</si>
  <si>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</si>
  <si>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</si>
  <si>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</si>
  <si>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</si>
  <si>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</si>
  <si>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</si>
  <si>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</si>
  <si>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</si>
  <si>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</si>
  <si>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</si>
  <si>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</si>
  <si>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</si>
  <si>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</si>
  <si>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</si>
  <si>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</si>
  <si>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</si>
  <si>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</si>
  <si>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</si>
  <si>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</si>
  <si>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</si>
  <si>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</si>
  <si>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</si>
  <si>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</si>
  <si>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</si>
  <si>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</si>
  <si>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</si>
  <si>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</si>
  <si>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</si>
  <si>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</si>
  <si>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</si>
  <si>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</si>
  <si>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</si>
  <si>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</si>
  <si>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</si>
  <si>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</si>
  <si>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</si>
  <si>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</si>
  <si>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</si>
  <si>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</si>
  <si>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</si>
  <si>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</si>
  <si>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</si>
  <si>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</si>
  <si>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</si>
  <si>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</si>
  <si>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</si>
  <si>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</si>
  <si>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</si>
  <si>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</si>
  <si>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</si>
  <si>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</si>
  <si>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</si>
  <si>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</si>
  <si>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</si>
  <si>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</si>
  <si>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</si>
  <si>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</si>
  <si>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</si>
  <si>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</si>
  <si>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</si>
  <si>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</si>
  <si>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</si>
  <si>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</si>
  <si>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</si>
  <si>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</si>
  <si>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</si>
  <si>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</si>
  <si>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</si>
  <si>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</si>
  <si>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</si>
  <si>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</si>
  <si>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</si>
  <si>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</si>
  <si>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</si>
  <si>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</si>
  <si>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</si>
  <si>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</si>
  <si>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</si>
  <si>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</si>
  <si>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</si>
  <si>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</si>
  <si>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</si>
  <si>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</si>
  <si>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</si>
  <si>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</si>
  <si>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</si>
  <si>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</si>
  <si>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</si>
  <si>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</si>
  <si>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</si>
  <si>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</si>
  <si>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</si>
  <si>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</si>
  <si>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</si>
  <si>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</si>
  <si>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</si>
  <si>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</si>
  <si>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</si>
  <si>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</si>
  <si>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</si>
  <si>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</si>
  <si>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</si>
  <si>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</si>
  <si>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</si>
  <si>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</si>
  <si>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</si>
  <si>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</si>
  <si>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</si>
  <si>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</si>
  <si>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</si>
  <si>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</si>
  <si>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</si>
  <si>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</si>
  <si>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</si>
  <si>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</si>
  <si>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</si>
  <si>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</si>
  <si>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</si>
  <si>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</si>
  <si>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</si>
  <si>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</si>
  <si>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</si>
  <si>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</si>
  <si>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</si>
  <si>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</si>
  <si>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</si>
  <si>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</si>
  <si>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</si>
  <si>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</si>
  <si>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</si>
  <si>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</si>
  <si>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</si>
  <si>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</si>
  <si>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</si>
  <si>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</si>
  <si>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</si>
  <si>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</si>
  <si>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</si>
  <si>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</si>
  <si>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</si>
  <si>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</si>
  <si>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</si>
  <si>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</si>
  <si>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</si>
  <si>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</si>
  <si>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</si>
  <si>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</si>
  <si>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</si>
  <si>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</si>
  <si>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</si>
  <si>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</si>
  <si>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</si>
  <si>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</si>
  <si>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</si>
  <si>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</si>
  <si>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</si>
  <si>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</si>
  <si>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</si>
  <si>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</si>
  <si>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</si>
  <si>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</si>
  <si>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</si>
  <si>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</si>
  <si>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</si>
  <si>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</si>
  <si>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</si>
  <si>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</si>
  <si>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</si>
  <si>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</si>
  <si>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</si>
  <si>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</si>
  <si>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</si>
  <si>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</si>
  <si>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</si>
  <si>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</si>
  <si>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</si>
  <si>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</si>
  <si>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</si>
  <si>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</si>
  <si>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</si>
  <si>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</si>
  <si>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</si>
  <si>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</si>
  <si>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</si>
  <si>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</si>
  <si>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</si>
  <si>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</si>
  <si>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</si>
  <si>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</si>
  <si>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</si>
  <si>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</si>
  <si>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</si>
  <si>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</si>
  <si>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</si>
  <si>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</si>
  <si>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</si>
  <si>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</si>
  <si>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</si>
  <si>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</si>
  <si>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</si>
  <si>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</si>
  <si>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</si>
  <si>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</si>
  <si>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</si>
  <si>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</si>
  <si>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</si>
  <si>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</si>
  <si>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</si>
  <si>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</si>
  <si>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</si>
  <si>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</si>
  <si>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</si>
  <si>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</si>
  <si>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</si>
  <si>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</si>
  <si>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</si>
  <si>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</si>
  <si>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</si>
  <si>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</si>
  <si>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</si>
  <si>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</si>
  <si>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</si>
  <si>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</si>
  <si>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</si>
  <si>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</si>
  <si>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</si>
  <si>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</si>
  <si>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</si>
  <si>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</si>
  <si>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</si>
  <si>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</si>
  <si>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</si>
  <si>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</si>
  <si>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</si>
  <si>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</si>
  <si>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</si>
  <si>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</si>
  <si>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</si>
  <si>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</si>
  <si>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</si>
  <si>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</si>
  <si>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</si>
  <si>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</si>
  <si>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</si>
  <si>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</si>
  <si>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</si>
  <si>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</si>
  <si>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</si>
  <si>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</si>
  <si>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</si>
  <si>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</si>
  <si>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</si>
  <si>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</si>
  <si>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</si>
  <si>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</si>
  <si>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</si>
  <si>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</si>
  <si>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</si>
  <si>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</si>
  <si>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</si>
  <si>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</si>
  <si>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</si>
  <si>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</si>
  <si>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</si>
  <si>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</si>
  <si>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</si>
  <si>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</si>
  <si>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</si>
  <si>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</si>
  <si>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</si>
  <si>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</si>
  <si>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</si>
  <si>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</si>
  <si>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</si>
  <si>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</si>
  <si>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</si>
  <si>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</si>
  <si>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</si>
  <si>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</si>
  <si>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</si>
  <si>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</si>
  <si>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</si>
  <si>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</si>
  <si>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</si>
  <si>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</si>
  <si>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</si>
  <si>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</si>
  <si>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</si>
  <si>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</si>
  <si>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</si>
  <si>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</si>
  <si>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</si>
  <si>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</si>
  <si>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</si>
  <si>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</si>
  <si>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</si>
  <si>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</si>
  <si>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</si>
  <si>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</si>
  <si>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</si>
  <si>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</si>
  <si>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</si>
  <si>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</si>
  <si>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</si>
  <si>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</si>
  <si>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</si>
  <si>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</si>
  <si>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</si>
  <si>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</si>
  <si>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</si>
  <si>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</si>
  <si>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</si>
  <si>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</si>
  <si>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</si>
  <si>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</si>
  <si>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</si>
  <si>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</si>
  <si>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</si>
  <si>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</si>
  <si>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</si>
  <si>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</si>
  <si>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</si>
  <si>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</si>
  <si>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</si>
  <si>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</si>
  <si>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</si>
  <si>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</si>
  <si>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</si>
  <si>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</si>
  <si>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</si>
  <si>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</si>
  <si>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</si>
  <si>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</si>
  <si>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</si>
  <si>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</si>
  <si>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</si>
  <si>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</si>
  <si>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</si>
  <si>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</si>
  <si>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</si>
  <si>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</si>
  <si>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</si>
  <si>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</si>
  <si>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</si>
  <si>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</si>
  <si>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</si>
  <si>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</si>
  <si>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</si>
  <si>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</si>
  <si>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</si>
  <si>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</si>
  <si>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</si>
  <si>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</si>
  <si>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</si>
  <si>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</si>
  <si>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</si>
  <si>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</si>
  <si>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</si>
  <si>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</si>
  <si>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</si>
  <si>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</si>
  <si>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</si>
  <si>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</si>
  <si>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</si>
  <si>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</si>
  <si>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</si>
  <si>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</si>
  <si>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</si>
  <si>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</si>
  <si>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</si>
  <si>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</si>
  <si>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</si>
  <si>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</si>
  <si>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</si>
  <si>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</si>
  <si>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</si>
  <si>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</si>
  <si>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</si>
  <si>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</si>
  <si>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</si>
  <si>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</si>
  <si>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</si>
  <si>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</si>
  <si>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</si>
  <si>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</si>
  <si>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</si>
  <si>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</si>
  <si>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</si>
  <si>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</si>
  <si>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</si>
  <si>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</si>
  <si>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</si>
  <si>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</si>
  <si>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</si>
  <si>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</si>
  <si>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</si>
  <si>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</si>
  <si>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</si>
  <si>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</si>
  <si>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</si>
  <si>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</si>
  <si>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</si>
  <si>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</si>
  <si>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</si>
  <si>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</si>
  <si>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</si>
  <si>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</si>
  <si>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</si>
  <si>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</si>
  <si>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</si>
  <si>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</si>
  <si>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</si>
  <si>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</si>
  <si>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</si>
  <si>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</si>
  <si>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</si>
  <si>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</si>
  <si>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</si>
  <si>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</si>
  <si>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</si>
  <si>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</si>
  <si>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</si>
  <si>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</si>
  <si>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</si>
  <si>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</si>
  <si>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</si>
  <si>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</si>
  <si>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</si>
  <si>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</si>
  <si>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</si>
  <si>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</si>
  <si>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</si>
  <si>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</si>
  <si>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</si>
  <si>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</si>
  <si>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</si>
  <si>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</si>
  <si>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</si>
  <si>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</si>
  <si>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</si>
  <si>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</si>
  <si>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</si>
  <si>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</si>
  <si>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</si>
  <si>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</si>
  <si>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</si>
  <si>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</si>
  <si>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</si>
  <si>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</si>
  <si>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</si>
  <si>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</si>
  <si>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</si>
  <si>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</si>
  <si>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</si>
  <si>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</si>
  <si>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</si>
  <si>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</si>
  <si>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</si>
  <si>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</si>
  <si>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</si>
  <si>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</si>
  <si>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</si>
  <si>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</si>
  <si>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</si>
  <si>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</si>
  <si>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</si>
  <si>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</si>
  <si>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</si>
  <si>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</si>
  <si>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</si>
  <si>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</si>
  <si>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</si>
  <si>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</si>
  <si>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</si>
  <si>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</si>
  <si>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</si>
  <si>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</si>
  <si>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</si>
  <si>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</si>
  <si>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</si>
  <si>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</si>
  <si>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</si>
  <si>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</si>
  <si>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</si>
  <si>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</si>
  <si>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</si>
  <si>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</si>
  <si>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</si>
  <si>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</si>
  <si>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</si>
  <si>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</si>
  <si>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</si>
  <si>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</si>
  <si>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</si>
  <si>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</si>
  <si>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</si>
  <si>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</si>
  <si>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</si>
  <si>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</si>
  <si>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</si>
  <si>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</si>
  <si>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</si>
  <si>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</si>
  <si>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</si>
  <si>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</si>
  <si>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</si>
  <si>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</si>
  <si>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</si>
  <si>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</si>
  <si>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</si>
  <si>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</si>
  <si>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</si>
  <si>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</si>
  <si>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</si>
  <si>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</si>
  <si>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</si>
  <si>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</si>
  <si>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</si>
  <si>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</si>
  <si>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</si>
  <si>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</si>
  <si>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</si>
  <si>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</si>
  <si>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</si>
  <si>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</si>
  <si>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</si>
  <si>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</si>
  <si>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</si>
  <si>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</si>
  <si>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</si>
  <si>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</si>
  <si>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</si>
  <si>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</si>
  <si>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</si>
  <si>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</si>
  <si>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</si>
  <si>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</si>
  <si>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</si>
  <si>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</si>
  <si>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</si>
  <si>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</si>
  <si>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</si>
  <si>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</si>
  <si>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</si>
  <si>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</si>
  <si>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</si>
  <si>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</si>
  <si>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</si>
  <si>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</si>
  <si>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</si>
  <si>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</si>
  <si>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</si>
  <si>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</si>
  <si>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</si>
  <si>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</si>
  <si>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</si>
  <si>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</si>
  <si>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</si>
  <si>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</si>
  <si>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</si>
  <si>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</si>
  <si>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</si>
  <si>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</si>
  <si>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</si>
  <si>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</si>
  <si>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</si>
  <si>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</si>
  <si>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</si>
  <si>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</si>
  <si>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</si>
  <si>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</si>
  <si>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</si>
  <si>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</si>
  <si>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</si>
  <si>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</si>
  <si>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</si>
  <si>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</si>
  <si>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</si>
  <si>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</si>
  <si>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</si>
  <si>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</si>
  <si>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</si>
  <si>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</si>
  <si>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</si>
  <si>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</si>
  <si>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</si>
  <si>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</si>
  <si>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</si>
  <si>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</si>
  <si>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</si>
  <si>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</si>
  <si>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</si>
  <si>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</si>
  <si>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</si>
  <si>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</si>
  <si>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</si>
  <si>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</si>
  <si>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</si>
  <si>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</si>
  <si>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</si>
  <si>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</si>
  <si>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</si>
  <si>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</si>
  <si>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</si>
  <si>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</si>
  <si>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</si>
  <si>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</si>
  <si>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</si>
  <si>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</si>
  <si>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</si>
  <si>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</si>
  <si>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</si>
  <si>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</si>
  <si>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</si>
  <si>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</si>
  <si>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</si>
  <si>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</si>
  <si>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</si>
  <si>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</si>
  <si>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</si>
  <si>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</si>
  <si>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</si>
  <si>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</si>
  <si>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</si>
  <si>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</si>
  <si>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</si>
  <si>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</si>
  <si>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</si>
  <si>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</si>
  <si>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</si>
  <si>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</si>
  <si>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</si>
  <si>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</si>
  <si>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</si>
  <si>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</si>
  <si>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</si>
  <si>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</si>
  <si>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</si>
  <si>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</si>
  <si>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</si>
  <si>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</si>
  <si>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</si>
  <si>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</si>
  <si>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</si>
  <si>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</si>
  <si>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</si>
  <si>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</si>
  <si>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</si>
  <si>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</si>
  <si>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</si>
  <si>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</si>
  <si>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</si>
  <si>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</si>
  <si>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</si>
  <si>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</si>
  <si>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</si>
  <si>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</si>
  <si>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</si>
  <si>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</si>
  <si>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</si>
  <si>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</si>
  <si>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</si>
  <si>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</si>
  <si>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</si>
  <si>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</si>
  <si>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</si>
  <si>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</si>
  <si>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</si>
  <si>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</si>
  <si>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</si>
  <si>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</si>
  <si>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</si>
  <si>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</si>
  <si>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</si>
  <si>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</si>
  <si>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</si>
  <si>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</si>
  <si>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</si>
  <si>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</si>
  <si>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</si>
  <si>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</si>
  <si>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</si>
  <si>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</si>
  <si>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</si>
  <si>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</si>
  <si>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</si>
  <si>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</si>
  <si>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</si>
  <si>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</si>
  <si>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</si>
  <si>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</si>
  <si>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</si>
  <si>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</si>
  <si>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</si>
  <si>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</si>
  <si>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</si>
  <si>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</si>
  <si>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</si>
  <si>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</si>
  <si>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</si>
  <si>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</si>
  <si>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</si>
  <si>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</si>
  <si>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</si>
  <si>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</si>
  <si>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</si>
  <si>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</si>
  <si>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</si>
  <si>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</si>
  <si>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</si>
  <si>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</si>
  <si>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</si>
  <si>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</si>
  <si>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</si>
  <si>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</si>
  <si>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</si>
  <si>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</si>
  <si>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</si>
  <si>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</si>
  <si>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</si>
  <si>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</si>
  <si>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</si>
  <si>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</si>
  <si>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</si>
  <si>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</si>
  <si>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</si>
  <si>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</si>
  <si>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</si>
  <si>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</si>
  <si>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</si>
  <si>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</si>
  <si>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</si>
  <si>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</si>
  <si>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</si>
  <si>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</si>
  <si>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</si>
  <si>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</si>
  <si>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</si>
  <si>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</si>
  <si>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</si>
  <si>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</si>
  <si>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</si>
  <si>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</si>
  <si>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</si>
  <si>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</si>
  <si>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</si>
  <si>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</si>
  <si>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</si>
  <si>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</si>
  <si>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</si>
  <si>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</si>
  <si>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</si>
  <si>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</si>
  <si>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</si>
  <si>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</si>
  <si>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</si>
  <si>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</si>
  <si>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</si>
  <si>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</si>
  <si>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</si>
  <si>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</si>
  <si>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</si>
  <si>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</si>
  <si>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</si>
  <si>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</si>
  <si>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</si>
  <si>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</si>
  <si>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</si>
  <si>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</si>
  <si>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</si>
  <si>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</si>
  <si>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</si>
  <si>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</si>
  <si>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</si>
  <si>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</si>
  <si>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</si>
  <si>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</si>
  <si>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</si>
  <si>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</si>
  <si>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</si>
  <si>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</si>
  <si>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</si>
  <si>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</si>
  <si>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</si>
  <si>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</si>
  <si>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</si>
  <si>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</si>
  <si>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</si>
  <si>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</si>
  <si>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</si>
  <si>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</si>
  <si>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</si>
  <si>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</si>
  <si>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</si>
  <si>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</si>
  <si>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</si>
  <si>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</si>
  <si>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</si>
  <si>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</si>
  <si>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</si>
  <si>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</si>
  <si>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</si>
  <si>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</si>
  <si>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</si>
  <si>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</si>
  <si>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</si>
  <si>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</si>
  <si>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</si>
  <si>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</si>
  <si>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</si>
  <si>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</si>
  <si>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</si>
  <si>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</si>
  <si>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</si>
  <si>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</si>
  <si>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</si>
  <si>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</si>
  <si>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</si>
  <si>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</si>
  <si>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</si>
  <si>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</si>
  <si>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</si>
  <si>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</si>
  <si>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</si>
  <si>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</si>
  <si>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</si>
  <si>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</si>
  <si>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</si>
  <si>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</si>
  <si>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</si>
  <si>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</si>
  <si>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</si>
  <si>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</si>
  <si>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</si>
  <si>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</si>
  <si>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</si>
  <si>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</si>
  <si>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</si>
  <si>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</si>
  <si>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</si>
  <si>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</si>
  <si>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</si>
  <si>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</si>
  <si>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</si>
  <si>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</si>
  <si>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</si>
  <si>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</si>
  <si>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</si>
  <si>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</si>
  <si>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</si>
  <si>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</si>
  <si>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</si>
  <si>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</si>
  <si>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</si>
  <si>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</si>
  <si>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</si>
  <si>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</si>
  <si>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</si>
  <si>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</si>
  <si>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</si>
  <si>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</si>
  <si>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</si>
  <si>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</si>
  <si>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</si>
  <si>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</si>
  <si>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</si>
  <si>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</si>
  <si>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</si>
  <si>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</si>
  <si>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</si>
  <si>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</si>
  <si>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</si>
  <si>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</si>
  <si>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</si>
  <si>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</si>
  <si>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</si>
  <si>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</si>
  <si>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</si>
  <si>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</si>
  <si>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</si>
  <si>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</si>
  <si>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</si>
  <si>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</si>
  <si>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</si>
  <si>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</si>
  <si>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</si>
  <si>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</si>
  <si>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</si>
  <si>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</si>
  <si>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</si>
  <si>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</si>
  <si>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</si>
  <si>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</si>
  <si>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</si>
  <si>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</si>
  <si>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</si>
  <si>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</si>
  <si>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</si>
  <si>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</si>
  <si>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</si>
  <si>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</si>
  <si>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</si>
  <si>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</si>
  <si>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</si>
  <si>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</si>
  <si>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</si>
  <si>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</si>
  <si>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</si>
  <si>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</si>
  <si>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</si>
  <si>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</si>
  <si>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</si>
  <si>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</si>
  <si>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</si>
  <si>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</si>
  <si>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</si>
  <si>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</si>
  <si>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</si>
  <si>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</si>
  <si>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</si>
  <si>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</si>
  <si>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</si>
  <si>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</si>
  <si>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</si>
  <si>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</si>
  <si>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</si>
  <si>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</si>
  <si>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</si>
  <si>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</si>
  <si>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</si>
  <si>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</si>
  <si>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</si>
  <si>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</si>
  <si>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</si>
  <si>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</si>
  <si>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</si>
  <si>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</si>
  <si>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</si>
  <si>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</si>
  <si>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</si>
  <si>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</si>
  <si>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</si>
  <si>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</si>
  <si>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</si>
  <si>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</si>
  <si>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</si>
  <si>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</si>
  <si>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</si>
  <si>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</si>
  <si>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</si>
  <si>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</si>
  <si>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</si>
  <si>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</si>
  <si>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</si>
  <si>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</si>
  <si>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</si>
  <si>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</si>
  <si>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</si>
  <si>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</si>
  <si>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</si>
  <si>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</si>
  <si>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</si>
  <si>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</si>
  <si>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</si>
  <si>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</si>
  <si>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</si>
  <si>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</si>
  <si>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</si>
  <si>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</si>
  <si>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</si>
  <si>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</si>
  <si>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</si>
  <si>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</si>
  <si>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</si>
  <si>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</si>
  <si>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</si>
  <si>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</si>
  <si>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</si>
  <si>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</si>
  <si>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</si>
  <si>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</si>
  <si>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</si>
  <si>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</si>
  <si>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</si>
  <si>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</si>
  <si>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</si>
  <si>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</si>
  <si>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</si>
  <si>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</si>
  <si>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</si>
  <si>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</si>
  <si>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</si>
  <si>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</si>
  <si>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</si>
  <si>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</si>
  <si>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</si>
  <si>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</si>
  <si>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</si>
  <si>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</si>
  <si>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</si>
  <si>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</si>
  <si>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</si>
  <si>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</si>
  <si>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</si>
  <si>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</si>
  <si>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</si>
  <si>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</si>
  <si>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</si>
  <si>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</si>
  <si>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</si>
  <si>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</si>
  <si>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</si>
  <si>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</si>
  <si>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</si>
  <si>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</si>
  <si>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</si>
  <si>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</si>
  <si>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</si>
  <si>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</si>
  <si>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</si>
  <si>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</si>
  <si>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</si>
  <si>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</si>
  <si>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</si>
  <si>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</si>
  <si>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</si>
  <si>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</si>
  <si>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</si>
  <si>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</si>
  <si>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</si>
  <si>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</si>
  <si>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</si>
  <si>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</si>
  <si>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</si>
  <si>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</si>
  <si>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</si>
  <si>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</si>
  <si>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</si>
  <si>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</si>
  <si>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</si>
  <si>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</si>
  <si>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</si>
  <si>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</si>
  <si>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</si>
  <si>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</si>
  <si>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</si>
  <si>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</si>
  <si>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</si>
  <si>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</si>
  <si>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</si>
  <si>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</si>
  <si>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</si>
  <si>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</si>
  <si>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</si>
  <si>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</si>
  <si>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</si>
  <si>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</si>
  <si>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</si>
  <si>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</si>
  <si>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</si>
  <si>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</si>
  <si>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</si>
  <si>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</si>
  <si>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</si>
  <si>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</si>
  <si>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</si>
  <si>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</si>
  <si>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</si>
  <si>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</si>
  <si>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</si>
  <si>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</si>
  <si>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</si>
  <si>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</si>
  <si>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</si>
  <si>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</si>
  <si>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</si>
  <si>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</si>
  <si>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</si>
  <si>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</si>
  <si>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</si>
  <si>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</si>
  <si>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</si>
  <si>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</si>
  <si>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</si>
  <si>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</si>
  <si>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</si>
  <si>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</si>
  <si>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</si>
  <si>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</si>
  <si>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</si>
  <si>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</si>
  <si>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</si>
  <si>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</si>
  <si>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</si>
  <si>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</si>
  <si>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</si>
  <si>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</si>
  <si>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</si>
  <si>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</si>
  <si>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</si>
  <si>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</si>
  <si>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</si>
  <si>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</si>
  <si>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</si>
  <si>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</si>
  <si>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</si>
  <si>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</si>
  <si>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</si>
  <si>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</si>
  <si>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</si>
  <si>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</si>
  <si>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</si>
  <si>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</si>
  <si>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</si>
  <si>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</si>
  <si>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</si>
  <si>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</si>
  <si>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</si>
  <si>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</si>
  <si>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</si>
  <si>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</si>
  <si>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</si>
  <si>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</si>
  <si>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</si>
  <si>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</si>
  <si>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</si>
  <si>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</si>
  <si>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</si>
  <si>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</si>
  <si>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</si>
  <si>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</si>
  <si>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</si>
  <si>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</si>
  <si>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</si>
  <si>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</si>
  <si>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</si>
  <si>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</si>
  <si>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</si>
  <si>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</si>
  <si>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</si>
  <si>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</si>
  <si>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</si>
  <si>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</si>
  <si>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</si>
  <si>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</si>
  <si>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</si>
  <si>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</si>
  <si>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</si>
  <si>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</si>
  <si>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</si>
  <si>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</si>
  <si>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</si>
  <si>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</si>
  <si>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</si>
  <si>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</si>
  <si>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</si>
  <si>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</si>
  <si>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</si>
  <si>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</si>
  <si>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</si>
  <si>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</si>
  <si>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</si>
  <si>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</si>
  <si>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</si>
  <si>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</si>
  <si>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</si>
  <si>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</si>
  <si>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</si>
  <si>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</si>
  <si>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</si>
  <si>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</si>
  <si>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</si>
  <si>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</si>
  <si>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</si>
  <si>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</si>
  <si>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</si>
  <si>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</si>
  <si>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</si>
  <si>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</si>
  <si>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</si>
  <si>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</si>
  <si>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</si>
  <si>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</si>
  <si>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</si>
  <si>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</si>
  <si>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</si>
  <si>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</si>
  <si>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</si>
  <si>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</si>
  <si>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</si>
  <si>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</si>
  <si>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</si>
  <si>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</si>
  <si>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</si>
  <si>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</si>
  <si>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</si>
  <si>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</si>
  <si>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</si>
  <si>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</si>
  <si>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</si>
  <si>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</si>
  <si>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</si>
  <si>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</si>
  <si>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</si>
  <si>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</si>
  <si>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</si>
  <si>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</si>
  <si>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</si>
  <si>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</si>
  <si>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</si>
  <si>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</si>
  <si>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</si>
  <si>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</si>
  <si>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</si>
  <si>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</si>
  <si>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</si>
  <si>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</si>
  <si>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</si>
  <si>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</si>
  <si>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</si>
  <si>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</si>
  <si>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</si>
  <si>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</si>
  <si>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</si>
  <si>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</si>
  <si>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</si>
  <si>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</si>
  <si>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</si>
  <si>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</si>
  <si>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</si>
  <si>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</si>
  <si>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</si>
  <si>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</si>
  <si>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</si>
  <si>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</si>
  <si>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</si>
  <si>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</si>
  <si>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</si>
  <si>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</si>
  <si>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</si>
  <si>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</si>
  <si>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</si>
  <si>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</si>
  <si>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</si>
  <si>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</si>
  <si>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</si>
  <si>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</si>
  <si>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</si>
  <si>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</si>
  <si>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</si>
  <si>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</si>
  <si>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</si>
  <si>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</si>
  <si>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</si>
  <si>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</si>
  <si>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</si>
  <si>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</si>
  <si>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</si>
  <si>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</si>
  <si>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</si>
  <si>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</si>
  <si>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</si>
  <si>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</si>
  <si>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</si>
  <si>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</si>
  <si>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</si>
  <si>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</si>
  <si>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</si>
  <si>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</si>
  <si>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</si>
  <si>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</si>
  <si>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</si>
  <si>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</si>
  <si>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</si>
  <si>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</si>
  <si>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</si>
  <si>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</si>
  <si>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</si>
  <si>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</si>
  <si>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</si>
  <si>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</si>
  <si>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</si>
  <si>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</si>
  <si>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</si>
  <si>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</si>
  <si>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</si>
  <si>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</si>
  <si>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</si>
  <si>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</si>
  <si>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</si>
  <si>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</si>
  <si>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</si>
  <si>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</si>
  <si>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</si>
  <si>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</si>
  <si>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</si>
  <si>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</si>
  <si>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</si>
  <si>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</si>
  <si>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</si>
  <si>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</si>
  <si>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</si>
  <si>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</si>
  <si>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</si>
  <si>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</si>
  <si>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</si>
  <si>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</si>
  <si>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</si>
  <si>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</si>
  <si>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</si>
  <si>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</si>
  <si>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</si>
  <si>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</si>
  <si>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</si>
  <si>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</si>
  <si>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</si>
  <si>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</si>
  <si>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</si>
  <si>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</si>
  <si>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</si>
  <si>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</si>
  <si>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</si>
  <si>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</si>
  <si>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</si>
  <si>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</si>
  <si>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</si>
  <si>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</si>
  <si>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</si>
  <si>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</si>
  <si>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</si>
  <si>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</si>
  <si>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</si>
  <si>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</si>
  <si>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</si>
  <si>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</si>
  <si>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</si>
  <si>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</si>
  <si>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</si>
  <si>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</si>
  <si>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</si>
  <si>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</si>
  <si>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</si>
  <si>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</si>
  <si>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</si>
  <si>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</si>
  <si>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</si>
  <si>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</si>
  <si>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</si>
  <si>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</si>
  <si>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</si>
  <si>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</si>
  <si>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</si>
  <si>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</si>
  <si>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</si>
  <si>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</si>
  <si>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</si>
  <si>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</si>
  <si>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</si>
  <si>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</si>
  <si>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</si>
  <si>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</si>
  <si>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</si>
  <si>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</si>
  <si>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</si>
  <si>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</si>
  <si>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</si>
  <si>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</si>
  <si>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</si>
  <si>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</si>
  <si>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</si>
  <si>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</si>
  <si>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</si>
  <si>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</si>
  <si>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</si>
  <si>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</si>
  <si>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</si>
  <si>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</si>
  <si>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</si>
  <si>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</si>
  <si>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</si>
  <si>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</si>
  <si>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</si>
  <si>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</si>
  <si>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</si>
  <si>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</si>
  <si>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</si>
  <si>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</si>
  <si>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</si>
  <si>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</si>
  <si>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</si>
  <si>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</si>
  <si>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</si>
  <si>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</si>
  <si>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</si>
  <si>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</si>
  <si>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</si>
  <si>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</si>
  <si>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</si>
  <si>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</si>
  <si>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</si>
  <si>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</si>
  <si>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</si>
  <si>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</si>
  <si>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</si>
  <si>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</si>
  <si>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</si>
  <si>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</si>
  <si>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</si>
  <si>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</si>
  <si>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</si>
  <si>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</si>
  <si>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</si>
  <si>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</si>
  <si>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</si>
  <si>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</si>
  <si>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</si>
  <si>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</si>
  <si>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</si>
  <si>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</si>
  <si>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</si>
  <si>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</si>
  <si>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</si>
  <si>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</si>
  <si>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</si>
  <si>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</si>
  <si>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</si>
  <si>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</si>
  <si>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</si>
  <si>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</si>
  <si>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</si>
  <si>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</si>
  <si>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</si>
  <si>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</si>
  <si>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</si>
  <si>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</si>
  <si>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</si>
  <si>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</si>
  <si>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</si>
  <si>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</si>
  <si>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</si>
  <si>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</si>
  <si>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</si>
  <si>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</si>
  <si>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</si>
  <si>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</si>
  <si>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</si>
  <si>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</si>
  <si>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</si>
  <si>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</si>
  <si>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</si>
  <si>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</si>
  <si>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</si>
  <si>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</si>
  <si>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</si>
  <si>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</si>
  <si>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</si>
  <si>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</si>
  <si>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</si>
  <si>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</si>
  <si>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</si>
  <si>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</si>
  <si>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</si>
  <si>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</si>
  <si>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</si>
  <si>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</si>
  <si>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</si>
  <si>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</si>
  <si>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</si>
  <si>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</si>
  <si>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</si>
  <si>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</si>
  <si>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</si>
  <si>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</si>
  <si>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</si>
  <si>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</si>
  <si>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</si>
  <si>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</si>
  <si>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</si>
  <si>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</si>
  <si>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</si>
  <si>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</si>
  <si>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</si>
  <si>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</si>
  <si>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</si>
  <si>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</si>
  <si>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</si>
  <si>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</si>
  <si>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</si>
  <si>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</si>
  <si>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</si>
  <si>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</si>
  <si>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</si>
  <si>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</si>
  <si>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</si>
  <si>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</si>
  <si>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</si>
  <si>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</si>
  <si>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</si>
  <si>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</si>
  <si>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</si>
  <si>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</si>
  <si>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</si>
  <si>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</si>
  <si>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</si>
  <si>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</si>
  <si>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</si>
  <si>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</si>
  <si>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</si>
  <si>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</si>
  <si>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</si>
  <si>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</si>
  <si>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</si>
  <si>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</si>
  <si>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</si>
  <si>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</si>
  <si>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</si>
  <si>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</si>
  <si>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</si>
  <si>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</si>
  <si>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</si>
  <si>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</si>
  <si>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</si>
  <si>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</si>
  <si>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</si>
  <si>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</si>
  <si>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</si>
  <si>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</si>
  <si>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</si>
  <si>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</si>
  <si>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</si>
  <si>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</si>
  <si>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</si>
  <si>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</si>
  <si>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</si>
  <si>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</si>
  <si>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</si>
  <si>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</si>
  <si>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</si>
  <si>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</si>
  <si>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</si>
  <si>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</si>
  <si>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</si>
  <si>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</si>
  <si>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</si>
  <si>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</si>
  <si>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</si>
  <si>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</si>
  <si>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</si>
  <si>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</si>
  <si>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</si>
  <si>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</si>
  <si>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</si>
  <si>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</si>
  <si>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</si>
  <si>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</si>
  <si>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</si>
  <si>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</si>
  <si>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</si>
  <si>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</si>
  <si>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</si>
  <si>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</si>
  <si>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</si>
  <si>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</si>
  <si>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</si>
  <si>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</si>
  <si>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</si>
  <si>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</si>
  <si>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</si>
  <si>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</si>
  <si>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</si>
  <si>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</si>
  <si>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</si>
  <si>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</si>
  <si>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</si>
  <si>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</si>
  <si>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</si>
  <si>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</si>
  <si>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</si>
  <si>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</si>
  <si>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</si>
  <si>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</si>
  <si>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</si>
  <si>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</si>
  <si>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</si>
  <si>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</si>
  <si>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</si>
  <si>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</si>
  <si>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</si>
  <si>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</si>
  <si>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</si>
  <si>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</si>
  <si>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</si>
  <si>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</si>
  <si>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</si>
  <si>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</si>
  <si>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</si>
  <si>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</si>
  <si>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</si>
  <si>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</si>
  <si>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</si>
  <si>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</si>
  <si>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</si>
  <si>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</si>
  <si>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</si>
  <si>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</si>
  <si>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</si>
  <si>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</si>
  <si>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</si>
  <si>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</si>
  <si>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</si>
  <si>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</si>
  <si>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</si>
  <si>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</si>
  <si>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</si>
  <si>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</si>
  <si>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</si>
  <si>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</si>
  <si>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</si>
  <si>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</si>
  <si>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</si>
  <si>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</si>
  <si>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</si>
  <si>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</si>
  <si>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</si>
  <si>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</si>
  <si>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</si>
  <si>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</si>
  <si>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</si>
  <si>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</si>
  <si>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</si>
  <si>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</si>
  <si>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</si>
  <si>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</si>
  <si>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</si>
  <si>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</si>
  <si>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</si>
  <si>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</si>
  <si>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</si>
  <si>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</si>
  <si>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</si>
  <si>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</si>
  <si>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</si>
  <si>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</si>
  <si>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</si>
  <si>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</si>
  <si>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</si>
  <si>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</si>
  <si>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</si>
  <si>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</si>
  <si>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</si>
  <si>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</si>
  <si>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</si>
  <si>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</si>
  <si>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</si>
  <si>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</si>
  <si>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</si>
  <si>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</si>
  <si>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</si>
  <si>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</si>
  <si>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</si>
  <si>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</si>
  <si>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</si>
  <si>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</si>
  <si>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</si>
  <si>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</si>
  <si>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</si>
  <si>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</si>
  <si>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</si>
  <si>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</si>
  <si>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</si>
  <si>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</si>
  <si>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</si>
  <si>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</si>
  <si>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</si>
  <si>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</si>
  <si>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</si>
  <si>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</si>
  <si>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</si>
  <si>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</si>
  <si>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</si>
  <si>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</si>
  <si>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</si>
  <si>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</si>
  <si>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</si>
  <si>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</si>
  <si>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</si>
  <si>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</si>
  <si>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</si>
  <si>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</si>
  <si>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</si>
  <si>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</si>
  <si>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</si>
  <si>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</si>
  <si>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</si>
  <si>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</si>
  <si>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</si>
  <si>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</si>
  <si>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</si>
  <si>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</si>
  <si>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</si>
  <si>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</si>
  <si>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</si>
  <si>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</si>
  <si>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</si>
  <si>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</si>
  <si>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</si>
  <si>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</si>
  <si>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</si>
  <si>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</si>
  <si>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</si>
  <si>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</si>
  <si>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</si>
  <si>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</si>
  <si>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</si>
  <si>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</si>
  <si>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</si>
  <si>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</si>
  <si>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</si>
  <si>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</si>
  <si>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</si>
  <si>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</si>
  <si>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</si>
  <si>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</si>
  <si>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</si>
  <si>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</si>
  <si>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</si>
  <si>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</si>
  <si>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</si>
  <si>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</si>
  <si>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</si>
  <si>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</si>
  <si>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</si>
  <si>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</si>
  <si>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</si>
  <si>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</si>
  <si>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</si>
  <si>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</si>
  <si>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</si>
  <si>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</si>
  <si>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</si>
  <si>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</si>
  <si>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</si>
  <si>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</si>
  <si>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</si>
  <si>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</si>
  <si>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</si>
  <si>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</si>
  <si>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</si>
  <si>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</si>
  <si>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</si>
  <si>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</si>
  <si>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</si>
  <si>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</si>
  <si>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</si>
  <si>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</si>
  <si>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</si>
  <si>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</si>
  <si>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</si>
  <si>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</si>
  <si>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</si>
  <si>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</si>
  <si>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</si>
  <si>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</si>
  <si>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</si>
  <si>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</si>
  <si>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</si>
  <si>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</si>
  <si>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</si>
  <si>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</si>
  <si>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</si>
  <si>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</si>
  <si>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</si>
  <si>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</si>
  <si>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</si>
  <si>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</si>
  <si>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</si>
  <si>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</si>
  <si>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</si>
  <si>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</si>
  <si>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</si>
  <si>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</si>
  <si>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</si>
  <si>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</si>
  <si>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</si>
  <si>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</si>
  <si>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</si>
  <si>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</si>
  <si>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</si>
  <si>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</si>
  <si>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</si>
  <si>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</si>
  <si>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</si>
  <si>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</si>
  <si>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</si>
  <si>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</si>
  <si>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</si>
  <si>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</si>
  <si>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</si>
  <si>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</si>
  <si>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</si>
  <si>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</si>
  <si>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</si>
  <si>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</si>
  <si>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</si>
  <si>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</si>
  <si>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</si>
  <si>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</si>
  <si>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</si>
  <si>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</si>
  <si>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</si>
  <si>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</si>
  <si>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</si>
  <si>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</si>
  <si>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</si>
  <si>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</si>
  <si>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</si>
  <si>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</si>
  <si>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</si>
  <si>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</si>
  <si>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</si>
  <si>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</si>
  <si>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</si>
  <si>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</si>
  <si>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</si>
  <si>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</si>
  <si>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</si>
  <si>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</si>
  <si>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</si>
  <si>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</si>
  <si>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</si>
  <si>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</si>
  <si>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</si>
  <si>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</si>
  <si>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</si>
  <si>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</si>
  <si>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</si>
  <si>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</si>
  <si>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</si>
  <si>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</si>
  <si>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</si>
  <si>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</si>
  <si>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</si>
  <si>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</si>
  <si>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</si>
  <si>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</si>
  <si>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</si>
  <si>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</si>
  <si>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</si>
  <si>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</si>
  <si>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</si>
  <si>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</si>
  <si>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</si>
  <si>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</si>
  <si>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</si>
  <si>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</si>
  <si>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</si>
  <si>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</si>
  <si>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</si>
  <si>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</si>
  <si>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</si>
  <si>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</si>
  <si>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</si>
  <si>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</si>
  <si>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</si>
  <si>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</si>
  <si>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</si>
  <si>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</si>
  <si>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</si>
  <si>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</si>
  <si>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</si>
  <si>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</si>
  <si>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</si>
  <si>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</si>
  <si>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</si>
  <si>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</si>
  <si>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</si>
  <si>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</si>
  <si>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</si>
  <si>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</si>
  <si>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</si>
  <si>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</si>
  <si>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</si>
  <si>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</si>
  <si>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</si>
  <si>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</si>
  <si>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</si>
  <si>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</si>
  <si>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</si>
  <si>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</si>
  <si>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</si>
  <si>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</si>
  <si>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</si>
  <si>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</si>
  <si>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</si>
  <si>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</si>
  <si>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</si>
  <si>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</si>
  <si>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</si>
  <si>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</si>
  <si>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</si>
  <si>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</si>
  <si>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</si>
  <si>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</si>
  <si>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</si>
  <si>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</si>
  <si>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</si>
  <si>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</si>
  <si>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</si>
  <si>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</si>
  <si>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</si>
  <si>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</si>
  <si>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</si>
  <si>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</si>
  <si>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</si>
  <si>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</si>
  <si>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</si>
  <si>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</si>
  <si>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</si>
  <si>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</si>
  <si>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</si>
  <si>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</si>
  <si>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</si>
  <si>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</si>
  <si>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</si>
  <si>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</si>
  <si>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</si>
  <si>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</si>
  <si>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</si>
  <si>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</si>
  <si>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</si>
  <si>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</si>
  <si>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</si>
  <si>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</si>
  <si>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</si>
  <si>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</si>
  <si>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</si>
  <si>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</si>
  <si>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</si>
  <si>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</si>
  <si>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</si>
  <si>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</si>
  <si>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</si>
  <si>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</si>
  <si>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</si>
  <si>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</si>
  <si>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</si>
  <si>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</si>
  <si>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</si>
  <si>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</si>
  <si>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</si>
  <si>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</si>
  <si>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</si>
  <si>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</si>
  <si>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</si>
  <si>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</si>
  <si>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</si>
  <si>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</si>
  <si>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</si>
  <si>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</si>
  <si>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</si>
  <si>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</si>
  <si>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</si>
  <si>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</si>
  <si>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</si>
  <si>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</si>
  <si>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</si>
  <si>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</si>
  <si>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</si>
  <si>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</si>
  <si>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</si>
  <si>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</si>
  <si>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</si>
  <si>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</si>
  <si>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</si>
  <si>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</si>
  <si>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</si>
  <si>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</si>
  <si>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</si>
  <si>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</si>
  <si>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</si>
  <si>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</si>
  <si>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</si>
  <si>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</si>
  <si>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</si>
  <si>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</si>
  <si>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</si>
  <si>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</si>
  <si>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</si>
  <si>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</si>
  <si>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</si>
  <si>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</si>
  <si>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</si>
  <si>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</si>
  <si>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</si>
  <si>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</si>
  <si>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</si>
  <si>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</si>
  <si>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</si>
  <si>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</si>
  <si>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</si>
  <si>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</si>
  <si>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</si>
  <si>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</si>
  <si>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</si>
  <si>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</si>
  <si>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</si>
  <si>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</si>
  <si>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</si>
  <si>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</si>
  <si>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</si>
  <si>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</si>
  <si>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</si>
  <si>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</si>
  <si>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</si>
  <si>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</si>
  <si>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</si>
  <si>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</si>
  <si>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</si>
  <si>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</si>
  <si>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</si>
  <si>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</si>
  <si>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</si>
  <si>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</si>
  <si>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</si>
  <si>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</si>
  <si>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</si>
  <si>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</si>
  <si>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</si>
  <si>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</si>
  <si>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</si>
  <si>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</si>
  <si>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</si>
  <si>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</si>
  <si>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</si>
  <si>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</si>
  <si>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</si>
  <si>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</si>
  <si>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</si>
  <si>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</si>
  <si>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</si>
  <si>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</si>
  <si>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</si>
  <si>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</si>
  <si>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</si>
  <si>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</si>
  <si>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</si>
  <si>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</si>
  <si>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</si>
  <si>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</si>
  <si>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</si>
  <si>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</si>
  <si>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</si>
  <si>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</si>
  <si>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</si>
  <si>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</si>
  <si>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</si>
  <si>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</si>
  <si>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</si>
  <si>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</si>
  <si>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</si>
  <si>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</si>
  <si>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</si>
  <si>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</si>
  <si>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</si>
  <si>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</si>
  <si>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</si>
  <si>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</si>
  <si>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</si>
  <si>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</si>
  <si>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</si>
  <si>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</si>
  <si>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</si>
  <si>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</si>
  <si>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</si>
  <si>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</si>
  <si>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</si>
  <si>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</si>
  <si>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</si>
  <si>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</si>
  <si>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</si>
  <si>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</si>
  <si>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</si>
  <si>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</si>
  <si>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</si>
  <si>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</si>
  <si>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</si>
  <si>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</si>
  <si>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</si>
  <si>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</si>
  <si>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</si>
  <si>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</si>
  <si>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</si>
  <si>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</si>
  <si>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</si>
  <si>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</si>
  <si>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</si>
  <si>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</si>
  <si>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</si>
  <si>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</si>
  <si>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</si>
  <si>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</si>
  <si>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</si>
  <si>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</si>
  <si>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</si>
  <si>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</si>
  <si>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</si>
  <si>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</si>
  <si>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</si>
  <si>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</si>
  <si>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</si>
  <si>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</si>
  <si>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</si>
  <si>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</si>
  <si>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</si>
  <si>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</si>
  <si>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</si>
  <si>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</si>
  <si>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</si>
  <si>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</si>
  <si>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</si>
  <si>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</si>
  <si>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</si>
  <si>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</si>
  <si>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</si>
  <si>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</si>
  <si>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</si>
  <si>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</si>
  <si>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</si>
  <si>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</si>
  <si>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</si>
  <si>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</si>
  <si>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</si>
  <si>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</si>
  <si>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</si>
  <si>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</si>
  <si>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</si>
  <si>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</si>
  <si>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</si>
  <si>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</si>
  <si>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</si>
  <si>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</si>
  <si>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</si>
  <si>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</si>
  <si>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</si>
  <si>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</si>
  <si>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</si>
  <si>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</si>
  <si>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</si>
  <si>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</si>
  <si>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</si>
  <si>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</si>
  <si>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</si>
  <si>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</si>
  <si>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</si>
  <si>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</si>
  <si>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</si>
  <si>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</si>
  <si>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</si>
  <si>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</si>
  <si>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</si>
  <si>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</si>
  <si>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</si>
  <si>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</si>
  <si>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</si>
  <si>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</si>
  <si>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</si>
  <si>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</si>
  <si>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</si>
  <si>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</si>
  <si>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</si>
  <si>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</si>
  <si>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</si>
  <si>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</si>
  <si>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</si>
  <si>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</si>
  <si>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</si>
  <si>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</si>
  <si>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</si>
  <si>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</si>
  <si>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</si>
  <si>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</si>
  <si>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</si>
  <si>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</si>
  <si>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</si>
  <si>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</si>
  <si>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</si>
  <si>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</si>
  <si>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</si>
  <si>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</si>
  <si>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</si>
  <si>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</si>
  <si>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</si>
  <si>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</si>
  <si>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</si>
  <si>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</si>
  <si>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</si>
  <si>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</si>
  <si>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</si>
  <si>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</si>
  <si>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</si>
  <si>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</si>
  <si>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</si>
  <si>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</si>
  <si>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</si>
  <si>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</si>
  <si>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</si>
  <si>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</si>
  <si>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</si>
  <si>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</si>
  <si>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</si>
  <si>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</si>
  <si>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</si>
  <si>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</si>
  <si>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</si>
  <si>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</si>
  <si>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</si>
  <si>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</si>
  <si>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</si>
  <si>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</si>
  <si>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</si>
  <si>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</si>
  <si>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</si>
  <si>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</si>
  <si>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</si>
  <si>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</si>
  <si>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</si>
  <si>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</si>
  <si>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</si>
  <si>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</si>
  <si>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</si>
  <si>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</si>
  <si>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</si>
  <si>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</si>
  <si>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</si>
  <si>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</si>
  <si>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</si>
  <si>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</si>
  <si>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</si>
  <si>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</si>
  <si>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</si>
  <si>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</si>
  <si>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</si>
  <si>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</si>
  <si>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</si>
  <si>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</si>
  <si>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</si>
  <si>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</si>
  <si>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</si>
  <si>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</si>
  <si>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</si>
  <si>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</si>
  <si>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</si>
  <si>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</si>
  <si>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</si>
  <si>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</si>
  <si>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</si>
  <si>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</si>
  <si>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</si>
  <si>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</si>
  <si>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</si>
  <si>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</si>
  <si>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</si>
  <si>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</si>
  <si>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</si>
  <si>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</si>
  <si>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</si>
  <si>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</si>
  <si>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</si>
  <si>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</si>
  <si>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</si>
  <si>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</si>
  <si>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</si>
  <si>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</si>
  <si>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</si>
  <si>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</si>
  <si>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</si>
  <si>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</si>
  <si>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</si>
  <si>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</si>
  <si>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</si>
  <si>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</si>
  <si>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</si>
  <si>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</si>
  <si>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</si>
  <si>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</si>
  <si>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</si>
  <si>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</si>
  <si>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</si>
  <si>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</si>
  <si>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</si>
  <si>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</si>
  <si>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</si>
  <si>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</si>
  <si>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</si>
  <si>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</si>
  <si>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</si>
  <si>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</si>
  <si>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</si>
  <si>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</si>
  <si>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</si>
  <si>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</si>
  <si>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</si>
  <si>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</si>
  <si>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</si>
  <si>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</si>
  <si>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</si>
  <si>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</si>
  <si>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</si>
  <si>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</si>
  <si>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</si>
  <si>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</si>
  <si>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</si>
  <si>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</si>
  <si>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</si>
  <si>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</si>
  <si>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</si>
  <si>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</si>
  <si>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</si>
  <si>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</si>
  <si>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</si>
  <si>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</si>
  <si>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</si>
  <si>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</si>
  <si>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</si>
  <si>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</si>
  <si>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</si>
  <si>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</si>
  <si>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</si>
  <si>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</si>
  <si>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</si>
  <si>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</si>
  <si>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</si>
  <si>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</si>
  <si>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</si>
  <si>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</si>
  <si>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</si>
  <si>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</si>
  <si>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</si>
  <si>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</si>
  <si>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</si>
  <si>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</si>
  <si>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</si>
  <si>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</si>
  <si>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</si>
  <si>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</si>
  <si>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</si>
  <si>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</si>
  <si>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</si>
  <si>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</si>
  <si>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</si>
  <si>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</si>
  <si>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</si>
  <si>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</si>
  <si>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</si>
  <si>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</si>
  <si>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</si>
  <si>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</si>
  <si>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</si>
  <si>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</si>
  <si>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</si>
  <si>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</si>
  <si>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</si>
  <si>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</si>
  <si>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</si>
  <si>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</si>
  <si>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</si>
  <si>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</si>
  <si>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</si>
  <si>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</si>
  <si>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</si>
  <si>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</si>
  <si>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</si>
  <si>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</si>
  <si>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</si>
  <si>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</si>
  <si>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</si>
  <si>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</si>
  <si>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</si>
  <si>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</si>
  <si>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</si>
  <si>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</si>
  <si>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</si>
  <si>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</si>
  <si>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</si>
  <si>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</si>
  <si>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</si>
  <si>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</si>
  <si>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</si>
  <si>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</si>
  <si>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</si>
  <si>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</si>
  <si>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</si>
  <si>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</si>
  <si>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</si>
  <si>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</si>
  <si>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</si>
  <si>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</si>
  <si>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</si>
  <si>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</si>
  <si>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</si>
  <si>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</si>
  <si>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</si>
  <si>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</si>
  <si>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</si>
  <si>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</si>
  <si>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</si>
  <si>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</si>
  <si>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</si>
  <si>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</si>
  <si>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</si>
  <si>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</si>
  <si>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</si>
  <si>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</si>
  <si>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</si>
  <si>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</si>
  <si>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</si>
  <si>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</si>
  <si>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</si>
  <si>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</si>
  <si>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</si>
  <si>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</si>
  <si>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</si>
  <si>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</si>
  <si>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</si>
  <si>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</si>
  <si>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</si>
  <si>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</si>
  <si>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</si>
  <si>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</si>
  <si>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</si>
  <si>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</si>
  <si>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</si>
  <si>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</si>
  <si>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</si>
  <si>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</si>
  <si>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</si>
  <si>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</si>
  <si>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</si>
  <si>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</si>
  <si>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</si>
  <si>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</si>
  <si>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</si>
  <si>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</si>
  <si>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</si>
  <si>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</si>
  <si>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</si>
  <si>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</si>
  <si>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</si>
  <si>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</si>
  <si>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</si>
  <si>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</si>
  <si>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</si>
  <si>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</si>
  <si>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</si>
  <si>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</si>
  <si>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</si>
  <si>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</si>
  <si>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</si>
  <si>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</si>
  <si>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</si>
  <si>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</si>
  <si>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</si>
  <si>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</si>
  <si>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</si>
  <si>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</si>
  <si>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</si>
  <si>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</si>
  <si>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</si>
  <si>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</si>
  <si>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</si>
  <si>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</si>
  <si>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</si>
  <si>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</si>
  <si>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</si>
  <si>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</si>
  <si>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</si>
  <si>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</si>
  <si>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</si>
  <si>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</si>
  <si>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</si>
  <si>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</si>
  <si>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</si>
  <si>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</si>
  <si>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</si>
  <si>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</si>
  <si>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</si>
  <si>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</si>
  <si>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</si>
  <si>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</si>
  <si>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</si>
  <si>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</si>
  <si>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</si>
  <si>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</si>
  <si>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</si>
  <si>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</si>
  <si>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</si>
  <si>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</si>
  <si>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</si>
  <si>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</si>
  <si>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</si>
  <si>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</si>
  <si>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</si>
  <si>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</si>
  <si>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</si>
  <si>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</si>
  <si>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</si>
  <si>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</si>
  <si>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</si>
  <si>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</si>
  <si>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</si>
  <si>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</si>
  <si>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</si>
  <si>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</si>
  <si>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</si>
  <si>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</si>
  <si>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</si>
  <si>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</si>
  <si>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</si>
  <si>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</si>
  <si>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</si>
  <si>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</si>
  <si>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</si>
  <si>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</si>
  <si>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</si>
  <si>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</si>
  <si>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</si>
  <si>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</si>
  <si>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</si>
  <si>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</si>
  <si>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</si>
  <si>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</si>
  <si>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</si>
  <si>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</si>
  <si>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</si>
  <si>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</si>
  <si>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</si>
  <si>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</si>
  <si>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</si>
  <si>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</si>
  <si>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</si>
  <si>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</si>
  <si>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</si>
  <si>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</si>
  <si>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</si>
  <si>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</si>
  <si>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</si>
  <si>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</si>
  <si>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</si>
  <si>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</si>
  <si>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</si>
  <si>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</si>
  <si>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</si>
  <si>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</si>
  <si>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</si>
  <si>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</si>
  <si>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</si>
  <si>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</si>
  <si>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</si>
  <si>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</si>
  <si>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</si>
  <si>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</si>
  <si>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</si>
  <si>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</si>
  <si>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</si>
  <si>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</si>
  <si>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</si>
  <si>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</si>
  <si>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</si>
  <si>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</si>
  <si>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</si>
  <si>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</si>
  <si>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</si>
  <si>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</si>
  <si>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</si>
  <si>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</si>
  <si>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</si>
  <si>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</si>
  <si>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</si>
  <si>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</si>
  <si>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</si>
  <si>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</si>
  <si>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</si>
  <si>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</si>
  <si>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</si>
  <si>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</si>
  <si>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</si>
  <si>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</si>
  <si>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</si>
  <si>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</si>
  <si>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</si>
  <si>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</si>
  <si>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</si>
  <si>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</si>
  <si>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</si>
  <si>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</si>
  <si>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</si>
  <si>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</si>
  <si>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</si>
  <si>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</si>
  <si>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</si>
  <si>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</si>
  <si>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</si>
  <si>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</si>
  <si>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</si>
  <si>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</si>
  <si>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</si>
  <si>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</si>
  <si>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</si>
  <si>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</si>
  <si>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</si>
  <si>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</si>
  <si>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</si>
  <si>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</si>
  <si>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</si>
  <si>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</si>
  <si>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</si>
  <si>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</si>
  <si>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</si>
  <si>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</si>
  <si>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</si>
  <si>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</si>
  <si>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</si>
  <si>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</si>
  <si>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</si>
  <si>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</si>
  <si>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</si>
  <si>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</si>
  <si>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</si>
  <si>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</si>
  <si>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</si>
  <si>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</si>
  <si>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</si>
  <si>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</si>
  <si>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</si>
  <si>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</si>
  <si>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</si>
  <si>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</si>
  <si>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</si>
  <si>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</si>
  <si>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</si>
  <si>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</si>
  <si>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</si>
  <si>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</si>
  <si>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</si>
  <si>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</si>
  <si>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</si>
  <si>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</si>
  <si>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</si>
  <si>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</si>
  <si>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</si>
  <si>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</si>
  <si>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</si>
  <si>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</si>
  <si>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</si>
  <si>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</si>
  <si>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</si>
  <si>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</si>
  <si>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</si>
  <si>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</si>
  <si>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</si>
  <si>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</si>
  <si>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</si>
  <si>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</si>
  <si>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</si>
  <si>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</si>
  <si>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</si>
  <si>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</si>
  <si>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</si>
  <si>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</si>
  <si>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</si>
  <si>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</si>
  <si>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</si>
  <si>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</si>
  <si>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</si>
  <si>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</si>
  <si>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</si>
  <si>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</si>
  <si>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</si>
  <si>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</si>
  <si>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</si>
  <si>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</si>
  <si>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</si>
  <si>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</si>
  <si>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</si>
  <si>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</si>
  <si>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</si>
  <si>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</si>
  <si>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</si>
  <si>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</si>
  <si>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</si>
  <si>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</si>
  <si>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</si>
  <si>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</si>
  <si>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</si>
  <si>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</si>
  <si>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</si>
  <si>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</si>
  <si>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</si>
  <si>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</si>
  <si>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</si>
  <si>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</si>
  <si>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</si>
  <si>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</si>
  <si>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</si>
  <si>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</si>
  <si>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</si>
  <si>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</si>
  <si>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</si>
  <si>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</si>
  <si>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</si>
  <si>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</si>
  <si>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</si>
  <si>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</si>
  <si>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</si>
  <si>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</si>
  <si>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</si>
  <si>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</si>
  <si>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</si>
  <si>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</si>
  <si>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</si>
  <si>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</si>
  <si>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</si>
  <si>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</si>
  <si>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</si>
  <si>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</si>
  <si>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</si>
  <si>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</si>
  <si>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</si>
  <si>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</si>
  <si>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</si>
  <si>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</si>
  <si>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</si>
  <si>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</si>
  <si>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</si>
  <si>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</si>
  <si>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</si>
  <si>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</si>
  <si>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</si>
  <si>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</si>
  <si>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</si>
  <si>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</si>
  <si>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</si>
  <si>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</si>
  <si>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</si>
  <si>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</si>
  <si>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</si>
  <si>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</si>
  <si>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</si>
  <si>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</si>
  <si>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</si>
  <si>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</si>
  <si>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</si>
  <si>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</si>
  <si>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</si>
  <si>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</si>
  <si>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</si>
  <si>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</si>
  <si>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</si>
  <si>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</si>
  <si>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</si>
  <si>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</si>
  <si>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</si>
  <si>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</si>
  <si>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</si>
  <si>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</si>
  <si>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</si>
  <si>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</si>
  <si>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</si>
  <si>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</si>
  <si>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</si>
  <si>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</si>
  <si>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</si>
  <si>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</si>
  <si>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</si>
  <si>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</si>
  <si>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</si>
  <si>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</si>
  <si>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</si>
  <si>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</si>
  <si>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</si>
  <si>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</si>
  <si>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</si>
  <si>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</si>
  <si>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</si>
  <si>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</si>
  <si>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</si>
  <si>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</si>
  <si>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</si>
  <si>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</si>
  <si>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</si>
  <si>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</si>
  <si>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</si>
  <si>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</si>
  <si>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</si>
  <si>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</si>
  <si>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</si>
  <si>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</si>
  <si>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</si>
  <si>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</si>
  <si>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</si>
  <si>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</si>
  <si>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</si>
  <si>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</si>
  <si>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</si>
  <si>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</si>
  <si>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</si>
  <si>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</si>
  <si>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</si>
  <si>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</si>
  <si>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</si>
  <si>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</si>
  <si>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</si>
  <si>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</si>
  <si>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</si>
  <si>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</si>
  <si>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</si>
  <si>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</si>
  <si>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</si>
  <si>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</si>
  <si>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</si>
  <si>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</si>
  <si>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</si>
  <si>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</si>
  <si>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</si>
  <si>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</si>
  <si>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</si>
  <si>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</si>
  <si>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</si>
  <si>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</si>
  <si>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</si>
  <si>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</si>
  <si>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</si>
  <si>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</si>
  <si>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</si>
  <si>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</si>
  <si>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</si>
  <si>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</si>
  <si>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</si>
  <si>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</si>
  <si>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</si>
  <si>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</si>
  <si>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</si>
  <si>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</si>
  <si>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</si>
  <si>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</si>
  <si>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</si>
  <si>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</si>
  <si>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</si>
  <si>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</si>
  <si>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</si>
  <si>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</si>
  <si>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</si>
  <si>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</si>
  <si>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</si>
  <si>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</si>
  <si>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</si>
  <si>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</si>
  <si>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</si>
  <si>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</si>
  <si>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</si>
  <si>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</si>
  <si>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</si>
  <si>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</si>
  <si>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</si>
  <si>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</si>
  <si>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</si>
  <si>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</si>
  <si>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</si>
  <si>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</si>
  <si>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</si>
  <si>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</si>
  <si>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</si>
  <si>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</si>
  <si>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</si>
  <si>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</si>
  <si>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</si>
  <si>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</si>
  <si>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</si>
  <si>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</si>
  <si>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</si>
  <si>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</si>
  <si>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</si>
  <si>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</si>
  <si>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</si>
  <si>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</si>
  <si>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</si>
  <si>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</si>
  <si>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</si>
  <si>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</si>
  <si>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</si>
  <si>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</si>
  <si>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</si>
  <si>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</si>
  <si>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</si>
  <si>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</si>
  <si>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</si>
  <si>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</si>
  <si>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</si>
  <si>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</si>
  <si>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</si>
  <si>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</si>
  <si>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</si>
  <si>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</si>
  <si>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</si>
  <si>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</si>
  <si>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</si>
  <si>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</si>
  <si>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</si>
  <si>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</si>
  <si>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</si>
  <si>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</si>
  <si>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</si>
  <si>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</si>
  <si>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</si>
  <si>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</si>
  <si>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</si>
  <si>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</si>
  <si>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</si>
  <si>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</si>
  <si>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</si>
  <si>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</si>
  <si>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</si>
  <si>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</si>
  <si>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</si>
  <si>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</si>
  <si>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</si>
  <si>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</si>
  <si>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</si>
  <si>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</si>
  <si>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</si>
  <si>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</si>
  <si>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</si>
  <si>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</si>
  <si>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</si>
  <si>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</si>
  <si>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</si>
  <si>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</si>
  <si>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</si>
  <si>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</si>
  <si>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</si>
  <si>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</si>
  <si>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</si>
  <si>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</si>
  <si>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</si>
  <si>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</si>
  <si>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</si>
  <si>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</si>
  <si>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</si>
  <si>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</si>
  <si>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</si>
  <si>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</si>
  <si>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</si>
  <si>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</si>
  <si>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</si>
  <si>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</si>
  <si>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</si>
  <si>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</si>
  <si>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</si>
  <si>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</si>
  <si>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</si>
  <si>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</si>
  <si>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</si>
  <si>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</si>
  <si>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</si>
  <si>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</si>
  <si>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</si>
  <si>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</si>
  <si>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</si>
  <si>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</si>
  <si>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</si>
  <si>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</si>
  <si>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</si>
  <si>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</si>
  <si>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</si>
  <si>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</si>
  <si>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</si>
  <si>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</si>
  <si>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</si>
  <si>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</si>
  <si>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</si>
  <si>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</si>
  <si>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</si>
  <si>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</si>
  <si>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</si>
  <si>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</si>
  <si>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</si>
  <si>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</si>
  <si>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</si>
  <si>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</si>
  <si>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</si>
  <si>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</si>
  <si>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</si>
  <si>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</si>
  <si>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</si>
  <si>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</si>
  <si>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</si>
  <si>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</si>
  <si>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</si>
  <si>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</si>
  <si>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</si>
  <si>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</si>
  <si>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</si>
  <si>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</si>
  <si>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</si>
  <si>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</si>
  <si>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</si>
  <si>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</si>
  <si>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</si>
  <si>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</si>
  <si>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</si>
  <si>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</si>
  <si>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</si>
  <si>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</si>
  <si>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</si>
  <si>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</si>
  <si>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</si>
  <si>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</si>
  <si>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</si>
  <si>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</si>
  <si>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</si>
  <si>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</si>
  <si>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</si>
  <si>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</si>
  <si>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</si>
  <si>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</si>
  <si>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</si>
  <si>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</si>
  <si>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</si>
  <si>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</si>
  <si>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</si>
  <si>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</si>
  <si>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</si>
  <si>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</si>
  <si>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</si>
  <si>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</si>
  <si>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</si>
  <si>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</si>
  <si>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</si>
  <si>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</si>
  <si>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</si>
  <si>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</si>
  <si>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</si>
  <si>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</si>
  <si>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</si>
  <si>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</si>
  <si>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</si>
  <si>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</si>
  <si>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</si>
  <si>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</si>
  <si>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</si>
  <si>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</si>
  <si>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</si>
  <si>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</si>
  <si>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</si>
  <si>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</si>
  <si>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</si>
  <si>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</si>
  <si>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</si>
  <si>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</si>
  <si>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</si>
  <si>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</si>
  <si>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</si>
  <si>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</si>
  <si>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</si>
  <si>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</si>
  <si>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</si>
  <si>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</si>
  <si>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</si>
  <si>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</si>
  <si>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</si>
  <si>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</si>
  <si>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</si>
  <si>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</si>
  <si>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</si>
  <si>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</si>
  <si>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</si>
  <si>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</si>
  <si>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</si>
  <si>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</si>
  <si>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</si>
  <si>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</si>
  <si>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</si>
  <si>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</si>
  <si>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</si>
  <si>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</si>
  <si>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</si>
  <si>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</si>
  <si>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</si>
  <si>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</si>
  <si>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</si>
  <si>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</si>
  <si>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</si>
  <si>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</si>
  <si>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</si>
  <si>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</si>
  <si>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</si>
  <si>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</si>
  <si>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</si>
  <si>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</si>
  <si>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</si>
  <si>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</si>
  <si>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</si>
  <si>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</si>
  <si>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</si>
  <si>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</si>
  <si>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</si>
  <si>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</si>
  <si>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</si>
  <si>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</si>
  <si>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</si>
  <si>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</si>
  <si>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</si>
  <si>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</si>
  <si>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</si>
  <si>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</si>
  <si>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</si>
  <si>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</si>
  <si>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</si>
  <si>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</si>
  <si>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</si>
  <si>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</si>
  <si>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</si>
  <si>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</si>
  <si>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</si>
  <si>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</si>
  <si>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</si>
  <si>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</si>
  <si>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</si>
  <si>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</si>
  <si>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</si>
  <si>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</si>
  <si>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</si>
  <si>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</si>
  <si>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</si>
  <si>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</si>
  <si>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</si>
  <si>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</si>
  <si>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</si>
  <si>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</si>
  <si>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</si>
  <si>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</si>
  <si>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</si>
  <si>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</si>
  <si>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</si>
  <si>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</si>
  <si>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</si>
  <si>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</si>
  <si>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</si>
  <si>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</si>
  <si>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</si>
  <si>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</si>
  <si>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</si>
  <si>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</si>
  <si>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</si>
  <si>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</si>
  <si>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</si>
  <si>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</si>
  <si>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</si>
  <si>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</si>
  <si>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</si>
  <si>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</si>
  <si>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</si>
  <si>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</si>
  <si>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</si>
  <si>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</si>
  <si>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</si>
  <si>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</si>
  <si>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</si>
  <si>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</si>
  <si>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</si>
  <si>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</si>
  <si>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</si>
  <si>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</si>
  <si>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</si>
  <si>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</si>
  <si>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</si>
  <si>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</si>
  <si>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</si>
  <si>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</si>
  <si>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</si>
  <si>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</si>
  <si>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</si>
  <si>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</si>
  <si>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</si>
  <si>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</si>
  <si>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</si>
  <si>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</si>
  <si>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</si>
  <si>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</si>
  <si>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</si>
  <si>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</si>
  <si>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</si>
  <si>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</si>
  <si>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</si>
  <si>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</si>
  <si>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</si>
  <si>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</si>
  <si>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</si>
  <si>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</si>
  <si>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</si>
  <si>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</si>
  <si>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</si>
  <si>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</si>
  <si>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</si>
  <si>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</si>
  <si>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</si>
  <si>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</si>
  <si>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</si>
  <si>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</si>
  <si>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</si>
  <si>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</si>
  <si>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</si>
  <si>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</si>
  <si>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</si>
  <si>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</si>
  <si>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</si>
  <si>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</si>
  <si>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</si>
  <si>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</si>
  <si>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</si>
  <si>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</si>
  <si>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</si>
  <si>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</si>
  <si>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</si>
  <si>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</si>
  <si>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</si>
  <si>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</si>
  <si>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</si>
  <si>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</si>
  <si>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</si>
  <si>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</si>
  <si>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</si>
  <si>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</si>
  <si>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</si>
  <si>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</si>
  <si>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</si>
  <si>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</si>
  <si>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</si>
  <si>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</si>
  <si>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</si>
  <si>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</si>
  <si>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</si>
  <si>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</si>
  <si>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</si>
  <si>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</si>
  <si>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</si>
  <si>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</si>
  <si>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</si>
  <si>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</si>
  <si>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</si>
  <si>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</si>
  <si>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</si>
  <si>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</si>
  <si>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</si>
  <si>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</si>
  <si>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</si>
  <si>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</si>
  <si>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</si>
  <si>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</si>
  <si>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</si>
  <si>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</si>
  <si>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</si>
  <si>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</si>
  <si>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</si>
  <si>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</si>
  <si>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</si>
  <si>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</si>
  <si>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</si>
  <si>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</si>
  <si>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</si>
  <si>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</si>
  <si>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</si>
  <si>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</si>
  <si>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</si>
  <si>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</si>
  <si>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</si>
  <si>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</si>
  <si>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</si>
  <si>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</si>
  <si>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</si>
  <si>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</si>
  <si>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</si>
  <si>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</si>
  <si>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</si>
  <si>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</si>
  <si>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</si>
  <si>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</si>
  <si>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</si>
  <si>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</si>
  <si>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</si>
  <si>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</si>
  <si>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</si>
  <si>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</si>
  <si>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</si>
  <si>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</si>
  <si>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</si>
  <si>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</si>
  <si>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</si>
  <si>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</si>
  <si>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</si>
  <si>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</si>
  <si>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</si>
  <si>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</si>
  <si>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</si>
  <si>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</si>
  <si>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</si>
  <si>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</si>
  <si>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</si>
  <si>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</si>
  <si>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</si>
  <si>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</si>
  <si>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</si>
  <si>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</si>
  <si>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</si>
  <si>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</si>
  <si>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</si>
  <si>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</si>
  <si>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</si>
  <si>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</si>
  <si>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</si>
  <si>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</si>
  <si>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</si>
  <si>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</si>
  <si>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</si>
  <si>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</si>
  <si>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</si>
  <si>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</si>
  <si>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</si>
  <si>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</si>
  <si>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</si>
  <si>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</si>
  <si>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</si>
  <si>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</si>
  <si>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</si>
  <si>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</si>
  <si>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</si>
  <si>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</si>
  <si>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</si>
  <si>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</si>
  <si>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</si>
  <si>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</si>
  <si>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</si>
  <si>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</si>
  <si>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</si>
  <si>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</si>
  <si>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</si>
  <si>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</si>
  <si>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</si>
  <si>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</si>
  <si>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</si>
  <si>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</si>
  <si>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</si>
  <si>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</si>
  <si>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</si>
  <si>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</si>
  <si>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</si>
  <si>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</si>
  <si>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</si>
  <si>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</si>
  <si>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</si>
  <si>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</si>
  <si>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</si>
  <si>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</si>
  <si>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</si>
  <si>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</si>
  <si>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</si>
  <si>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</si>
  <si>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</si>
  <si>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</si>
  <si>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</si>
  <si>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</si>
  <si>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</si>
  <si>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</si>
  <si>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</si>
  <si>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</si>
  <si>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</si>
  <si>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</si>
  <si>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</si>
  <si>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</si>
  <si>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</si>
  <si>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</si>
  <si>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</si>
  <si>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</si>
  <si>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</si>
  <si>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</si>
  <si>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</si>
  <si>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</si>
  <si>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</si>
  <si>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</si>
  <si>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</si>
  <si>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</si>
  <si>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</si>
  <si>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</si>
  <si>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</si>
  <si>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</si>
  <si>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</si>
  <si>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</si>
  <si>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</si>
  <si>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</si>
  <si>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</si>
  <si>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</si>
  <si>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</si>
  <si>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</si>
  <si>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</si>
  <si>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</si>
  <si>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</si>
  <si>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</si>
  <si>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</si>
  <si>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</si>
  <si>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</si>
  <si>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</si>
  <si>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</si>
  <si>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</si>
  <si>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</si>
  <si>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</si>
  <si>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</si>
  <si>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</si>
  <si>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</si>
  <si>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</si>
  <si>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</si>
  <si>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</si>
  <si>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</si>
  <si>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</si>
  <si>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</si>
  <si>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</si>
  <si>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</si>
  <si>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</si>
  <si>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</si>
  <si>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</si>
  <si>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</si>
  <si>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</si>
  <si>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</si>
  <si>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</si>
  <si>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</si>
  <si>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</si>
  <si>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</si>
  <si>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</si>
  <si>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</si>
  <si>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</si>
  <si>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</si>
  <si>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</si>
  <si>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</si>
  <si>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</si>
  <si>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</si>
  <si>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</si>
  <si>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</si>
  <si>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</si>
  <si>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</si>
  <si>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</si>
  <si>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</si>
  <si>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</si>
  <si>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</si>
  <si>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</si>
  <si>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</si>
  <si>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</si>
  <si>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</si>
  <si>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</si>
  <si>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</si>
  <si>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</si>
  <si>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</si>
  <si>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</si>
  <si>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</si>
  <si>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</si>
  <si>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</si>
  <si>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</si>
  <si>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</si>
  <si>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</si>
  <si>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</si>
  <si>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</si>
  <si>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</si>
  <si>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</si>
  <si>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</si>
  <si>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</si>
  <si>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</si>
  <si>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</si>
  <si>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</si>
  <si>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</si>
  <si>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</si>
  <si>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</si>
  <si>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</si>
  <si>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</si>
  <si>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</si>
  <si>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</si>
  <si>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</si>
  <si>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</si>
  <si>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</si>
  <si>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</si>
  <si>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</si>
  <si>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</si>
  <si>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</si>
  <si>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</si>
  <si>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</si>
  <si>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</si>
  <si>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</si>
  <si>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</si>
  <si>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</si>
  <si>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</si>
  <si>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</si>
  <si>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</si>
  <si>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</si>
  <si>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</si>
  <si>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</si>
  <si>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</si>
  <si>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</si>
  <si>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</si>
  <si>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</si>
  <si>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</si>
  <si>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</si>
  <si>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</si>
  <si>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</si>
  <si>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</si>
  <si>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</si>
  <si>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</si>
  <si>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</si>
  <si>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</si>
  <si>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</si>
  <si>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</si>
  <si>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</si>
  <si>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</si>
  <si>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</si>
  <si>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</si>
  <si>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</si>
  <si>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</si>
  <si>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</si>
  <si>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</si>
  <si>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</si>
  <si>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</si>
  <si>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</si>
  <si>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</si>
  <si>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</si>
  <si>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</si>
  <si>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</si>
  <si>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</si>
  <si>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</si>
  <si>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</si>
  <si>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</si>
  <si>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</si>
  <si>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</si>
  <si>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</si>
  <si>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</si>
  <si>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</si>
  <si>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</si>
  <si>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</si>
  <si>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</si>
  <si>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</si>
  <si>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</si>
  <si>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</si>
  <si>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</si>
  <si>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</si>
  <si>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</si>
  <si>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</si>
  <si>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</si>
  <si>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</si>
  <si>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</si>
  <si>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</si>
  <si>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</si>
  <si>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</si>
  <si>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</si>
  <si>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</si>
  <si>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</si>
  <si>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</si>
  <si>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</si>
  <si>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</si>
  <si>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</si>
  <si>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</si>
  <si>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</si>
  <si>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</si>
  <si>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</si>
  <si>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</si>
  <si>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</si>
  <si>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</si>
  <si>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</si>
  <si>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</si>
  <si>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</si>
  <si>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</si>
  <si>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</si>
  <si>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</si>
  <si>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</si>
  <si>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</si>
  <si>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</si>
  <si>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</si>
  <si>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</si>
  <si>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</si>
  <si>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</si>
  <si>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</si>
  <si>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</si>
  <si>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</si>
  <si>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</si>
  <si>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</si>
  <si>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</si>
  <si>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</si>
  <si>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</si>
  <si>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</si>
  <si>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</si>
  <si>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</si>
  <si>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</si>
  <si>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</si>
  <si>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</si>
  <si>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</si>
  <si>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</si>
  <si>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</si>
  <si>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</si>
  <si>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</si>
  <si>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</si>
  <si>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</si>
  <si>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</si>
  <si>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</si>
  <si>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</si>
  <si>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</si>
  <si>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</si>
  <si>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</si>
  <si>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</si>
  <si>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</si>
  <si>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</si>
  <si>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</si>
  <si>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</si>
  <si>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</si>
  <si>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</si>
  <si>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</si>
  <si>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</si>
  <si>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</si>
  <si>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</si>
  <si>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</si>
  <si>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</si>
  <si>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</si>
  <si>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</si>
  <si>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</si>
  <si>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</si>
  <si>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</si>
  <si>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</si>
  <si>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</si>
  <si>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</si>
  <si>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</si>
  <si>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</si>
  <si>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</si>
  <si>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</si>
  <si>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</si>
  <si>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</si>
  <si>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</si>
  <si>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</si>
  <si>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</si>
  <si>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</si>
  <si>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</si>
  <si>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</si>
  <si>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</si>
  <si>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</si>
  <si>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</si>
  <si>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</si>
  <si>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</si>
  <si>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</si>
  <si>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</si>
  <si>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</si>
  <si>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</si>
  <si>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</si>
  <si>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</si>
  <si>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</si>
  <si>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</si>
  <si>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</si>
  <si>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</si>
  <si>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</si>
  <si>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</si>
  <si>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</si>
  <si>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</si>
  <si>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</si>
  <si>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</si>
  <si>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</si>
  <si>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</si>
  <si>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</si>
  <si>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</si>
  <si>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</si>
  <si>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</si>
  <si>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</si>
  <si>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</si>
  <si>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</si>
  <si>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</si>
  <si>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</si>
  <si>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</si>
  <si>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</si>
  <si>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</si>
  <si>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</si>
  <si>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</si>
  <si>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</si>
  <si>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</si>
  <si>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</si>
  <si>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</si>
  <si>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</si>
  <si>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</si>
  <si>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</si>
  <si>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</si>
  <si>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</si>
  <si>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</si>
  <si>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</si>
  <si>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</si>
  <si>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</si>
  <si>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</si>
  <si>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</si>
  <si>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</si>
  <si>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</si>
  <si>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</si>
  <si>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</si>
  <si>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</si>
  <si>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</si>
  <si>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</si>
  <si>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</si>
  <si>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</si>
  <si>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</si>
  <si>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</si>
  <si>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</si>
  <si>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</si>
  <si>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</si>
  <si>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</si>
  <si>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</si>
  <si>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</si>
  <si>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</si>
  <si>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</si>
  <si>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</si>
  <si>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</si>
  <si>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</si>
  <si>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</si>
  <si>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</si>
  <si>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</si>
  <si>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</si>
  <si>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</si>
  <si>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</si>
  <si>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</si>
  <si>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</si>
  <si>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</si>
  <si>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</si>
  <si>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</si>
  <si>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</si>
  <si>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</si>
  <si>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</si>
  <si>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</si>
  <si>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</si>
  <si>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</si>
  <si>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</si>
  <si>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</si>
  <si>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</si>
  <si>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</si>
  <si>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</si>
  <si>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</si>
  <si>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</si>
  <si>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</si>
  <si>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</si>
  <si>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</si>
  <si>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</si>
  <si>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</si>
  <si>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</si>
  <si>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</si>
  <si>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</si>
  <si>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</si>
  <si>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</si>
  <si>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</si>
  <si>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</si>
  <si>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</si>
  <si>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</si>
  <si>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</si>
  <si>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</si>
  <si>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</si>
  <si>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</si>
  <si>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</si>
  <si>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</si>
  <si>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</si>
  <si>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</si>
  <si>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</si>
  <si>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</si>
  <si>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</si>
  <si>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</si>
  <si>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</si>
  <si>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</si>
  <si>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</si>
  <si>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</si>
  <si>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</si>
  <si>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</si>
  <si>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</si>
  <si>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</si>
  <si>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</si>
  <si>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</si>
  <si>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</si>
  <si>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</si>
  <si>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</si>
  <si>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</si>
  <si>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</si>
  <si>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</si>
  <si>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</si>
  <si>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</si>
  <si>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</si>
  <si>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</si>
  <si>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</si>
  <si>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</si>
  <si>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</si>
  <si>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</si>
  <si>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</si>
  <si>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</si>
  <si>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</si>
  <si>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</si>
  <si>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</si>
  <si>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</si>
  <si>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</si>
  <si>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</si>
  <si>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</si>
  <si>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</si>
  <si>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</si>
  <si>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</si>
  <si>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</si>
  <si>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</si>
  <si>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</si>
  <si>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</si>
  <si>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</si>
  <si>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</si>
  <si>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</si>
  <si>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</si>
  <si>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</si>
  <si>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</si>
  <si>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</si>
  <si>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</si>
  <si>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</si>
  <si>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</si>
  <si>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</si>
  <si>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</si>
  <si>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</si>
  <si>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</si>
  <si>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</si>
  <si>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</si>
  <si>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</si>
  <si>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</si>
  <si>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</si>
  <si>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</si>
  <si>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</si>
  <si>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</si>
  <si>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</si>
  <si>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</si>
  <si>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</si>
  <si>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</si>
  <si>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</si>
  <si>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</si>
  <si>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</si>
  <si>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</si>
  <si>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</si>
  <si>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</si>
  <si>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</si>
  <si>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</si>
  <si>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</si>
  <si>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</si>
  <si>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</si>
  <si>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</si>
  <si>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</si>
  <si>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</si>
  <si>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</si>
  <si>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</si>
  <si>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</si>
  <si>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</si>
  <si>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</si>
  <si>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</si>
  <si>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</si>
  <si>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</si>
  <si>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</si>
  <si>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</si>
  <si>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</si>
  <si>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</si>
  <si>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</si>
  <si>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</si>
  <si>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</si>
  <si>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</si>
  <si>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</si>
  <si>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</si>
  <si>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</si>
  <si>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</si>
  <si>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</si>
  <si>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</si>
  <si>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</si>
  <si>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</si>
  <si>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</si>
  <si>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</si>
  <si>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</si>
  <si>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</si>
  <si>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</si>
  <si>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</si>
  <si>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</si>
  <si>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</si>
  <si>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</si>
  <si>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</si>
  <si>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</si>
  <si>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</si>
  <si>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</si>
  <si>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</si>
  <si>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</si>
  <si>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</si>
  <si>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</si>
  <si>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</si>
  <si>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</si>
  <si>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</si>
  <si>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</si>
  <si>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</si>
  <si>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</si>
  <si>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</si>
  <si>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</si>
  <si>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</si>
  <si>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</si>
  <si>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</si>
  <si>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</si>
  <si>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</si>
  <si>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</si>
  <si>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</si>
  <si>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</si>
  <si>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</si>
  <si>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</si>
  <si>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</si>
  <si>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</si>
  <si>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</si>
  <si>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</si>
  <si>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</si>
  <si>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</si>
  <si>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</si>
  <si>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</si>
  <si>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</si>
  <si>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</si>
  <si>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</si>
  <si>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</si>
  <si>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</si>
  <si>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</si>
  <si>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</si>
  <si>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</si>
  <si>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</si>
  <si>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</si>
  <si>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</si>
  <si>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</si>
  <si>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</si>
  <si>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</si>
  <si>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</si>
  <si>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</si>
  <si>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</si>
  <si>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</si>
  <si>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</si>
  <si>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</si>
  <si>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</si>
  <si>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</si>
  <si>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</si>
  <si>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</si>
  <si>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</si>
  <si>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</si>
  <si>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</si>
  <si>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</si>
  <si>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</si>
  <si>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</si>
  <si>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</si>
  <si>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</si>
  <si>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</si>
  <si>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</si>
  <si>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</si>
  <si>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</si>
  <si>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</si>
  <si>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</si>
  <si>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</si>
  <si>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</si>
  <si>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</si>
  <si>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</si>
  <si>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</si>
  <si>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</si>
  <si>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</si>
  <si>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</si>
  <si>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</si>
  <si>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</si>
  <si>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</si>
  <si>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</si>
  <si>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</si>
  <si>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</si>
  <si>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</si>
  <si>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</si>
  <si>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</si>
  <si>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</si>
  <si>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</si>
  <si>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</si>
  <si>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</si>
  <si>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</si>
  <si>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</si>
  <si>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</si>
  <si>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</si>
  <si>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</si>
  <si>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</si>
  <si>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</si>
  <si>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</si>
  <si>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</si>
  <si>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</si>
  <si>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</si>
  <si>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</si>
  <si>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</si>
  <si>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</si>
  <si>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</si>
  <si>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</si>
  <si>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</si>
  <si>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</si>
  <si>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</si>
  <si>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</si>
  <si>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</si>
  <si>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</si>
  <si>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</si>
  <si>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</si>
  <si>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</si>
  <si>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</si>
  <si>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</si>
  <si>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</si>
  <si>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</si>
  <si>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</si>
  <si>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</si>
  <si>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</si>
  <si>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</si>
  <si>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</si>
  <si>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</si>
  <si>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</si>
  <si>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</si>
  <si>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</si>
  <si>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</si>
  <si>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</si>
  <si>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</si>
  <si>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</si>
  <si>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</si>
  <si>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</si>
  <si>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</si>
  <si>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</si>
  <si>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</si>
  <si>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</si>
  <si>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</si>
  <si>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</si>
  <si>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</si>
  <si>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</si>
  <si>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</si>
  <si>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</si>
  <si>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</si>
  <si>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</si>
  <si>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</si>
  <si>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</si>
  <si>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</si>
  <si>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</si>
  <si>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</si>
  <si>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</si>
  <si>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</si>
  <si>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</si>
  <si>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</si>
  <si>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</si>
  <si>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</si>
  <si>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</si>
  <si>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</si>
  <si>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</si>
  <si>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</si>
  <si>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</si>
  <si>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</si>
  <si>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</si>
  <si>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</si>
  <si>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</si>
  <si>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</si>
  <si>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</si>
  <si>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</si>
  <si>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</si>
  <si>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</si>
  <si>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</si>
  <si>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</si>
  <si>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</si>
  <si>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</si>
  <si>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</si>
  <si>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</si>
  <si>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</si>
  <si>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</si>
  <si>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</si>
  <si>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</si>
  <si>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</si>
  <si>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</si>
  <si>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</si>
  <si>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</si>
  <si>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</si>
  <si>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</si>
  <si>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</si>
  <si>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</si>
  <si>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</si>
  <si>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</si>
  <si>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</si>
  <si>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</si>
  <si>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</si>
  <si>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</si>
  <si>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</si>
  <si>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</si>
  <si>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</si>
  <si>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</si>
  <si>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</si>
  <si>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</si>
  <si>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</si>
  <si>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</si>
  <si>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</si>
  <si>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</si>
  <si>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</si>
  <si>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</si>
  <si>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</si>
  <si>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</si>
  <si>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</si>
  <si>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</si>
  <si>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</si>
  <si>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</si>
  <si>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</si>
  <si>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</si>
  <si>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</si>
  <si>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</si>
  <si>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</si>
  <si>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</si>
  <si>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</si>
  <si>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</si>
  <si>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</si>
  <si>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</si>
  <si>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</si>
  <si>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</si>
  <si>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</si>
  <si>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</si>
  <si>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</si>
  <si>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</si>
  <si>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</si>
  <si>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</si>
  <si>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</si>
  <si>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</si>
  <si>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</si>
  <si>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</si>
  <si>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</si>
  <si>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</si>
  <si>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</si>
  <si>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</si>
  <si>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</si>
  <si>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</si>
  <si>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</si>
  <si>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</si>
  <si>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</si>
  <si>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</si>
  <si>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</si>
  <si>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</si>
  <si>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</si>
  <si>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</si>
  <si>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</si>
  <si>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</si>
  <si>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</si>
  <si>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</si>
  <si>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</si>
  <si>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</si>
  <si>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</si>
  <si>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</si>
  <si>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</si>
  <si>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</si>
  <si>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</si>
  <si>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</si>
  <si>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</si>
  <si>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</si>
  <si>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</si>
  <si>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</si>
  <si>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</si>
  <si>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</si>
  <si>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</si>
  <si>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</si>
  <si>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</si>
  <si>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</si>
  <si>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</si>
  <si>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</si>
  <si>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</si>
  <si>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</si>
  <si>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</si>
  <si>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</si>
  <si>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</si>
  <si>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</si>
  <si>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</si>
  <si>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</si>
  <si>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</si>
  <si>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</si>
  <si>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</si>
  <si>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</si>
  <si>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</si>
  <si>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</si>
  <si>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</si>
  <si>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</si>
  <si>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</si>
  <si>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</si>
  <si>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</si>
  <si>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</si>
  <si>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</si>
  <si>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</si>
  <si>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</si>
  <si>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</si>
  <si>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</si>
  <si>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</si>
  <si>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</si>
  <si>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</si>
  <si>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</si>
  <si>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</si>
  <si>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</si>
  <si>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</si>
  <si>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</si>
  <si>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</si>
  <si>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</si>
  <si>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</si>
  <si>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</si>
  <si>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</si>
  <si>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</si>
  <si>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</si>
  <si>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</si>
  <si>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</si>
  <si>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</si>
  <si>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</si>
  <si>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</si>
  <si>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</si>
  <si>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</si>
  <si>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</si>
  <si>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</si>
  <si>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</si>
  <si>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</si>
  <si>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</si>
  <si>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</si>
  <si>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</si>
  <si>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</si>
  <si>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</si>
  <si>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</si>
  <si>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</si>
  <si>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</si>
  <si>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</si>
  <si>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</si>
  <si>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</si>
  <si>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</si>
  <si>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</si>
  <si>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</si>
  <si>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</si>
  <si>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</si>
  <si>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</si>
  <si>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</si>
  <si>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</si>
  <si>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</si>
  <si>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</si>
  <si>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</si>
  <si>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</si>
  <si>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</si>
  <si>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</si>
  <si>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</si>
  <si>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</si>
  <si>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</si>
  <si>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</si>
  <si>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</si>
  <si>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</si>
  <si>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</si>
  <si>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</si>
  <si>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</si>
  <si>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</si>
  <si>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</si>
  <si>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</si>
  <si>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</si>
  <si>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</si>
  <si>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</si>
  <si>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</si>
  <si>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</si>
  <si>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</si>
  <si>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</si>
  <si>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</si>
  <si>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</si>
  <si>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</si>
  <si>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</si>
  <si>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</si>
  <si>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</si>
  <si>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</si>
  <si>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</si>
  <si>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</si>
  <si>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</si>
  <si>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</si>
  <si>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</si>
  <si>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</si>
  <si>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</si>
  <si>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</si>
  <si>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</si>
  <si>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</si>
  <si>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</si>
  <si>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</si>
  <si>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</si>
  <si>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</si>
  <si>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</si>
  <si>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</si>
  <si>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</si>
  <si>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</si>
  <si>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</si>
  <si>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</si>
  <si>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</si>
  <si>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</si>
  <si>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</si>
  <si>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</si>
  <si>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</si>
  <si>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</si>
  <si>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</si>
  <si>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</si>
  <si>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</si>
  <si>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</si>
  <si>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</si>
  <si>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</si>
  <si>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</si>
  <si>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</si>
  <si>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</si>
  <si>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</si>
  <si>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</si>
  <si>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</si>
  <si>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</si>
  <si>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</si>
  <si>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</si>
  <si>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</si>
  <si>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</si>
  <si>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</si>
  <si>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</si>
  <si>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</si>
  <si>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</si>
  <si>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</si>
  <si>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</si>
  <si>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</si>
  <si>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</si>
  <si>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</si>
  <si>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</si>
  <si>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</si>
  <si>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</si>
  <si>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</si>
  <si>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</si>
  <si>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</si>
  <si>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</si>
  <si>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</si>
  <si>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</si>
  <si>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</si>
  <si>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</si>
  <si>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</si>
  <si>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</si>
  <si>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</si>
  <si>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</si>
  <si>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</si>
  <si>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</si>
  <si>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</si>
  <si>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</si>
  <si>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</si>
  <si>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</si>
  <si>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</si>
  <si>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</si>
  <si>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</si>
  <si>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</si>
  <si>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</si>
  <si>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</si>
  <si>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</si>
  <si>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</si>
  <si>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</si>
  <si>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</si>
  <si>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</si>
  <si>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</si>
  <si>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</si>
  <si>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</si>
  <si>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</si>
  <si>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</si>
  <si>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</si>
  <si>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</si>
  <si>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</si>
  <si>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</si>
  <si>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</si>
  <si>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</si>
  <si>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</si>
  <si>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</si>
  <si>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</si>
  <si>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</si>
  <si>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</si>
  <si>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</si>
  <si>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</si>
  <si>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</si>
  <si>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</si>
  <si>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</si>
  <si>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</si>
  <si>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</si>
  <si>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</si>
  <si>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</si>
  <si>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</si>
  <si>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</si>
  <si>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</si>
  <si>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</si>
  <si>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</si>
  <si>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</si>
  <si>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</si>
  <si>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</si>
  <si>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</si>
  <si>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</si>
  <si>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</si>
  <si>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</si>
  <si>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</si>
  <si>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</si>
  <si>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</si>
  <si>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</si>
  <si>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</si>
  <si>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</si>
  <si>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</si>
  <si>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</si>
  <si>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</si>
  <si>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</si>
  <si>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</si>
  <si>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</si>
  <si>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</si>
  <si>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</si>
  <si>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</si>
  <si>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</si>
  <si>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</si>
  <si>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</si>
  <si>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</si>
  <si>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</si>
  <si>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</si>
  <si>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</si>
  <si>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</si>
  <si>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</si>
  <si>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</si>
  <si>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</si>
  <si>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</si>
  <si>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</si>
  <si>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</si>
  <si>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</si>
  <si>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</si>
  <si>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</si>
  <si>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</si>
  <si>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</si>
  <si>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</si>
  <si>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</si>
  <si>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</si>
  <si>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</si>
  <si>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</si>
  <si>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</si>
  <si>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</si>
  <si>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</si>
  <si>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</si>
  <si>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</si>
  <si>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</si>
  <si>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</si>
  <si>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</si>
  <si>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</si>
  <si>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</si>
  <si>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</si>
  <si>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</si>
  <si>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</si>
  <si>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</si>
  <si>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</si>
  <si>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</si>
  <si>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</si>
  <si>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</si>
  <si>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</si>
  <si>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</si>
  <si>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</si>
  <si>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</si>
  <si>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</si>
  <si>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</si>
  <si>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</si>
  <si>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</si>
  <si>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</si>
  <si>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</si>
  <si>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</si>
  <si>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</si>
  <si>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</si>
  <si>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</si>
  <si>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</si>
  <si>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</si>
  <si>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</si>
  <si>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</si>
  <si>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</si>
  <si>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</si>
  <si>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</si>
  <si>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</si>
  <si>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</si>
  <si>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</si>
  <si>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</si>
  <si>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</si>
  <si>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</si>
  <si>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</si>
  <si>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</si>
  <si>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</si>
  <si>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</si>
  <si>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</si>
  <si>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</si>
  <si>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</si>
  <si>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</si>
  <si>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</si>
  <si>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</si>
  <si>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</si>
  <si>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</si>
  <si>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</si>
  <si>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</si>
  <si>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</si>
  <si>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</si>
  <si>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</si>
  <si>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</si>
  <si>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</si>
  <si>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</si>
  <si>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</si>
  <si>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</si>
  <si>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</si>
  <si>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</si>
  <si>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</si>
  <si>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</si>
  <si>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</si>
  <si>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</si>
  <si>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</si>
  <si>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</si>
  <si>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</si>
  <si>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</si>
  <si>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</si>
  <si>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</si>
  <si>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</si>
  <si>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</si>
  <si>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</si>
  <si>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</si>
  <si>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</si>
  <si>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</si>
  <si>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</si>
  <si>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</si>
  <si>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</si>
  <si>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</si>
  <si>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</si>
  <si>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</si>
  <si>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</si>
  <si>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</si>
  <si>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</si>
  <si>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</si>
  <si>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</si>
  <si>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</si>
  <si>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</si>
  <si>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</si>
  <si>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</si>
  <si>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</si>
  <si>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</si>
  <si>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</si>
  <si>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</si>
  <si>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</si>
  <si>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</si>
  <si>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</si>
  <si>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</si>
  <si>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</si>
  <si>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</si>
  <si>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</si>
  <si>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</si>
  <si>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</si>
  <si>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</si>
  <si>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</si>
  <si>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</si>
  <si>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</si>
  <si>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</si>
  <si>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</si>
  <si>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</si>
  <si>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</si>
  <si>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</si>
  <si>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</si>
  <si>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</si>
  <si>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</si>
  <si>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</si>
  <si>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</si>
  <si>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</si>
  <si>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</si>
  <si>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</si>
  <si>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</si>
  <si>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</si>
  <si>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</si>
  <si>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</si>
  <si>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</si>
  <si>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</si>
  <si>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</si>
  <si>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</si>
  <si>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</si>
  <si>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</si>
  <si>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</si>
  <si>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</si>
  <si>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</si>
  <si>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</si>
  <si>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</si>
  <si>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</si>
  <si>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</si>
  <si>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</si>
  <si>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</si>
  <si>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</si>
  <si>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</si>
  <si>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</si>
  <si>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</si>
  <si>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</si>
  <si>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</si>
  <si>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</si>
  <si>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</si>
  <si>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</si>
  <si>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</si>
  <si>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</si>
  <si>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</si>
  <si>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</si>
  <si>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</si>
  <si>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</si>
  <si>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</si>
  <si>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</si>
  <si>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</si>
  <si>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</si>
  <si>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</si>
  <si>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</si>
  <si>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</si>
  <si>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</si>
  <si>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</si>
  <si>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</si>
  <si>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</si>
  <si>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</si>
  <si>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</si>
  <si>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</si>
  <si>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</si>
  <si>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</si>
  <si>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</si>
  <si>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</si>
  <si>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</si>
  <si>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</si>
  <si>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</si>
  <si>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</si>
  <si>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</si>
  <si>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</si>
  <si>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</si>
  <si>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</si>
  <si>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</si>
  <si>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</si>
  <si>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</si>
  <si>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</si>
  <si>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</si>
  <si>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</si>
  <si>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</si>
  <si>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</si>
  <si>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</si>
  <si>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</si>
  <si>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</si>
  <si>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</si>
  <si>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</si>
  <si>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</si>
  <si>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</si>
  <si>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</si>
  <si>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</si>
  <si>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</si>
  <si>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</si>
  <si>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</si>
  <si>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</si>
  <si>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</si>
  <si>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</si>
  <si>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</si>
  <si>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</si>
  <si>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</si>
  <si>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</si>
  <si>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</si>
  <si>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</si>
  <si>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</si>
  <si>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</si>
  <si>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</si>
  <si>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</si>
  <si>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</si>
  <si>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</si>
  <si>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</si>
  <si>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</si>
  <si>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</si>
  <si>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</si>
  <si>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</si>
  <si>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</si>
  <si>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</si>
  <si>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</si>
  <si>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</si>
  <si>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</si>
  <si>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</si>
  <si>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</si>
  <si>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</si>
  <si>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</si>
  <si>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</si>
  <si>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</si>
  <si>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</si>
  <si>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</si>
  <si>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</si>
  <si>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</si>
  <si>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</si>
  <si>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</si>
  <si>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</si>
  <si>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</si>
  <si>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</si>
  <si>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</si>
  <si>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</si>
  <si>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</si>
  <si>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</si>
  <si>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</si>
  <si>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</si>
  <si>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</si>
  <si>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</si>
  <si>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</si>
  <si>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</si>
  <si>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</si>
  <si>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</si>
  <si>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</si>
  <si>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</si>
  <si>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</si>
  <si>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</si>
  <si>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</si>
  <si>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</si>
  <si>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</si>
  <si>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</si>
  <si>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</si>
  <si>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</si>
  <si>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</si>
  <si>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</si>
  <si>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</si>
  <si>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</si>
  <si>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</si>
  <si>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</si>
  <si>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</si>
  <si>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</si>
  <si>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</si>
  <si>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</si>
  <si>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</si>
  <si>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</si>
  <si>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</si>
  <si>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</si>
  <si>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</si>
  <si>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</si>
  <si>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</si>
  <si>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</si>
  <si>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</si>
  <si>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</si>
  <si>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</si>
  <si>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</si>
  <si>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</si>
  <si>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</si>
  <si>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</si>
  <si>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</si>
  <si>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</si>
  <si>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</si>
  <si>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</si>
  <si>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</si>
  <si>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</si>
  <si>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</si>
  <si>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</si>
  <si>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</si>
  <si>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</si>
  <si>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</si>
  <si>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</si>
  <si>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</si>
  <si>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</si>
  <si>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</si>
  <si>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</si>
  <si>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</si>
  <si>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</si>
  <si>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</si>
  <si>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</si>
  <si>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</si>
  <si>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</si>
  <si>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</si>
  <si>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</si>
  <si>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</si>
  <si>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</si>
  <si>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</si>
  <si>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</si>
  <si>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</si>
  <si>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</si>
  <si>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</si>
  <si>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</si>
  <si>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</si>
  <si>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</si>
  <si>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</si>
  <si>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</si>
  <si>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</si>
  <si>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</si>
  <si>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</si>
  <si>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</si>
  <si>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</si>
  <si>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</si>
  <si>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</si>
  <si>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</si>
  <si>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</si>
  <si>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</si>
  <si>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</si>
  <si>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</si>
  <si>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</si>
  <si>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</si>
  <si>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</si>
  <si>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</si>
  <si>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</si>
  <si>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</si>
  <si>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</si>
  <si>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</si>
  <si>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</si>
  <si>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</si>
  <si>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</si>
  <si>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</si>
  <si>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</si>
  <si>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</si>
  <si>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</si>
  <si>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</si>
  <si>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</si>
  <si>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</si>
  <si>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</si>
  <si>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</si>
  <si>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</si>
  <si>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</si>
  <si>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</si>
  <si>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</si>
  <si>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</si>
  <si>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</si>
  <si>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</si>
  <si>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</si>
  <si>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</si>
  <si>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</si>
  <si>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</si>
  <si>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</si>
  <si>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</si>
  <si>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</si>
  <si>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</si>
  <si>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</si>
  <si>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</si>
  <si>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</si>
  <si>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</si>
  <si>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</si>
  <si>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</si>
  <si>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</si>
  <si>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</si>
  <si>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</si>
  <si>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</si>
  <si>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</si>
  <si>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</si>
  <si>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</si>
  <si>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</si>
  <si>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</si>
  <si>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</si>
  <si>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</si>
  <si>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</si>
  <si>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</si>
  <si>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</si>
  <si>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</si>
  <si>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</si>
  <si>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</si>
  <si>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</si>
  <si>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</si>
  <si>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</si>
  <si>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</si>
  <si>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</si>
  <si>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</si>
  <si>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</si>
  <si>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</si>
  <si>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</si>
  <si>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</si>
  <si>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</si>
  <si>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</si>
  <si>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</si>
  <si>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</si>
  <si>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</si>
  <si>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</si>
  <si>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</si>
  <si>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</si>
  <si>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</si>
  <si>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</si>
  <si>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</si>
  <si>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</si>
  <si>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</si>
  <si>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</si>
  <si>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</si>
  <si>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</si>
  <si>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</si>
  <si>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</si>
  <si>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</si>
  <si>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</si>
  <si>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</si>
  <si>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</si>
  <si>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</si>
  <si>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</si>
  <si>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</si>
  <si>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</si>
  <si>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</si>
  <si>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</si>
  <si>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</si>
  <si>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</si>
  <si>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</si>
  <si>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</si>
  <si>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</si>
  <si>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</si>
  <si>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</si>
  <si>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</si>
  <si>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</si>
  <si>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</si>
  <si>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</si>
  <si>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</si>
  <si>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</si>
  <si>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</si>
  <si>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</si>
  <si>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</si>
  <si>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</si>
  <si>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</si>
  <si>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</si>
  <si>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</si>
  <si>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</si>
  <si>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</si>
  <si>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</si>
  <si>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</si>
  <si>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</si>
  <si>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</si>
  <si>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</si>
  <si>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</si>
  <si>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</si>
  <si>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</si>
  <si>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</si>
  <si>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</si>
  <si>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</si>
  <si>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</si>
  <si>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</si>
  <si>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</si>
  <si>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</si>
  <si>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</si>
  <si>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</si>
  <si>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</si>
  <si>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</si>
  <si>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</si>
  <si>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</si>
  <si>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</si>
  <si>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</si>
  <si>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</si>
  <si>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</si>
  <si>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</si>
  <si>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</si>
  <si>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</si>
  <si>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</si>
  <si>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</si>
  <si>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</si>
  <si>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</si>
  <si>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</si>
  <si>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</si>
  <si>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</si>
  <si>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</si>
  <si>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</si>
  <si>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</si>
  <si>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</si>
  <si>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</si>
  <si>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</si>
  <si>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</si>
  <si>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</si>
  <si>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</si>
  <si>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</si>
  <si>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</si>
  <si>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</si>
  <si>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</si>
  <si>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</si>
  <si>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</si>
  <si>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</si>
  <si>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</si>
  <si>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</si>
  <si>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</si>
  <si>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</si>
  <si>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</si>
  <si>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</si>
  <si>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</si>
  <si>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</si>
  <si>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</si>
  <si>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</si>
  <si>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</si>
  <si>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</si>
  <si>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</si>
  <si>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</si>
  <si>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</si>
  <si>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</si>
  <si>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</si>
  <si>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</si>
  <si>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</si>
  <si>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</si>
  <si>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</si>
  <si>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</si>
  <si>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</si>
  <si>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</si>
  <si>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</si>
  <si>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</si>
  <si>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</si>
  <si>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</si>
  <si>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</si>
  <si>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</si>
  <si>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</si>
  <si>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</si>
  <si>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</si>
  <si>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</si>
  <si>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</si>
  <si>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</si>
  <si>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</si>
  <si>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</si>
  <si>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</si>
  <si>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</si>
  <si>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</si>
  <si>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</si>
  <si>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</si>
  <si>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</si>
  <si>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</si>
  <si>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</si>
  <si>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</si>
  <si>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</si>
  <si>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</si>
  <si>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</si>
  <si>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</si>
  <si>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</si>
  <si>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</si>
  <si>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</si>
  <si>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</si>
  <si>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</si>
  <si>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</si>
  <si>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</si>
  <si>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</si>
  <si>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</si>
  <si>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</si>
  <si>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</si>
  <si>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</si>
  <si>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</si>
  <si>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</si>
  <si>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</si>
  <si>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</si>
  <si>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</si>
  <si>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</si>
  <si>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</si>
  <si>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</si>
  <si>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</si>
  <si>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</si>
  <si>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</si>
  <si>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</si>
  <si>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</si>
  <si>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</si>
  <si>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</si>
  <si>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</si>
  <si>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</si>
  <si>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</si>
  <si>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</si>
  <si>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</si>
  <si>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</si>
  <si>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</si>
  <si>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</si>
  <si>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</si>
  <si>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</si>
  <si>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</si>
  <si>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</si>
  <si>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</si>
  <si>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</si>
  <si>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</si>
  <si>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</si>
  <si>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</si>
  <si>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</si>
  <si>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</si>
  <si>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</si>
  <si>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</si>
  <si>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</si>
  <si>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</si>
  <si>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</si>
  <si>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</si>
  <si>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</si>
  <si>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</si>
  <si>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</si>
  <si>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</si>
  <si>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</si>
  <si>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</si>
  <si>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</si>
  <si>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</si>
  <si>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</si>
  <si>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</si>
  <si>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</si>
  <si>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</si>
  <si>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</si>
  <si>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</si>
  <si>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</si>
  <si>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</si>
  <si>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</si>
  <si>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</si>
  <si>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</si>
  <si>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</si>
  <si>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</si>
  <si>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</si>
  <si>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</si>
  <si>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</si>
  <si>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</si>
  <si>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</si>
  <si>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</si>
  <si>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</si>
  <si>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</si>
  <si>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</si>
  <si>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</si>
  <si>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</si>
  <si>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</si>
  <si>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</si>
  <si>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</si>
  <si>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</si>
  <si>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</si>
  <si>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</si>
  <si>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</si>
  <si>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</si>
  <si>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</si>
  <si>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</si>
  <si>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</si>
  <si>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</si>
  <si>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</si>
  <si>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</si>
  <si>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</si>
  <si>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</si>
  <si>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</si>
  <si>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</si>
  <si>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</si>
  <si>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</si>
  <si>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</si>
  <si>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</si>
  <si>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</si>
  <si>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</si>
  <si>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</si>
  <si>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</si>
  <si>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</si>
  <si>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</si>
  <si>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</si>
  <si>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</si>
  <si>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</si>
  <si>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</si>
  <si>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</si>
  <si>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</si>
  <si>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</si>
  <si>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</si>
  <si>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</si>
  <si>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</si>
  <si>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</si>
  <si>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</si>
  <si>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</si>
  <si>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</si>
  <si>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</si>
  <si>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</si>
  <si>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</si>
  <si>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</si>
  <si>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</si>
  <si>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</si>
  <si>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</si>
  <si>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</si>
  <si>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</si>
  <si>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</si>
  <si>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</si>
  <si>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</si>
  <si>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</si>
  <si>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</si>
  <si>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</si>
  <si>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</si>
  <si>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</si>
  <si>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</si>
  <si>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</si>
  <si>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</si>
  <si>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</si>
  <si>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</si>
  <si>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</si>
  <si>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</si>
  <si>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</si>
  <si>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</si>
  <si>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</si>
  <si>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</si>
  <si>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</si>
  <si>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</si>
  <si>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</si>
  <si>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</si>
  <si>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</si>
  <si>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</si>
  <si>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</si>
  <si>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</si>
  <si>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</si>
  <si>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</si>
  <si>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</si>
  <si>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</si>
  <si>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</si>
  <si>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</si>
  <si>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</si>
  <si>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</si>
  <si>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</si>
  <si>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</si>
  <si>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</si>
  <si>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</si>
  <si>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</si>
  <si>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</si>
  <si>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</si>
  <si>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</si>
  <si>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</si>
  <si>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</si>
  <si>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</si>
  <si>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</si>
  <si>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</si>
  <si>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</si>
  <si>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</si>
  <si>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</si>
  <si>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</si>
  <si>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</si>
  <si>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</si>
  <si>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</si>
  <si>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</si>
  <si>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</si>
  <si>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</si>
  <si>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</si>
  <si>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</si>
  <si>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</si>
  <si>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</si>
  <si>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</si>
  <si>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</si>
  <si>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</si>
  <si>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</si>
  <si>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</si>
  <si>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</si>
  <si>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</si>
  <si>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</si>
  <si>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</si>
  <si>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</si>
  <si>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</si>
  <si>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</si>
  <si>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</si>
  <si>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</si>
  <si>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</si>
  <si>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</si>
  <si>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</si>
  <si>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</si>
  <si>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</si>
  <si>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</si>
  <si>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</si>
  <si>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</si>
  <si>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</si>
  <si>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</si>
  <si>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</si>
  <si>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</si>
  <si>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</si>
  <si>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</si>
  <si>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</si>
  <si>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</si>
  <si>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</si>
  <si>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</si>
  <si>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</si>
  <si>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</si>
  <si>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</si>
  <si>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</si>
  <si>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</si>
  <si>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</si>
  <si>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</si>
  <si>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</si>
  <si>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</si>
  <si>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</si>
  <si>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</si>
  <si>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</si>
  <si>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</si>
  <si>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</si>
  <si>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</si>
  <si>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</si>
  <si>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</si>
  <si>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</si>
  <si>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</si>
  <si>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</si>
  <si>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</si>
  <si>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</si>
  <si>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</si>
  <si>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</si>
  <si>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</si>
  <si>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</si>
  <si>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</si>
  <si>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</si>
  <si>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</si>
  <si>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</si>
  <si>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</si>
  <si>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</si>
  <si>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</si>
  <si>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</si>
  <si>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</si>
  <si>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</si>
  <si>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</si>
  <si>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</si>
  <si>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</si>
  <si>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</si>
  <si>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</si>
  <si>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</si>
  <si>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</si>
  <si>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</si>
  <si>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</si>
  <si>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</si>
  <si>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</si>
  <si>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</si>
  <si>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</si>
  <si>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</si>
  <si>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</si>
  <si>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</si>
  <si>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</si>
  <si>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</si>
  <si>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</si>
  <si>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</si>
  <si>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</si>
  <si>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</si>
  <si>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</si>
  <si>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</si>
  <si>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</si>
  <si>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</si>
  <si>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</si>
  <si>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</si>
  <si>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</si>
  <si>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</si>
  <si>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</si>
  <si>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</si>
  <si>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</si>
  <si>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</si>
  <si>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</si>
  <si>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</si>
  <si>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</si>
  <si>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</si>
  <si>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</si>
  <si>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</si>
  <si>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</si>
  <si>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</si>
  <si>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</si>
  <si>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</si>
  <si>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</si>
  <si>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</si>
  <si>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</si>
  <si>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</si>
  <si>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</si>
  <si>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</si>
  <si>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</si>
  <si>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</si>
  <si>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</si>
  <si>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</si>
  <si>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</si>
  <si>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</si>
  <si>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</si>
  <si>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</si>
  <si>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</si>
  <si>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</si>
  <si>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</si>
  <si>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</si>
  <si>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</si>
  <si>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</si>
  <si>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</si>
  <si>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</si>
  <si>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</si>
  <si>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</si>
  <si>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</si>
  <si>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</si>
  <si>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</si>
  <si>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</si>
  <si>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</si>
  <si>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</si>
  <si>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</si>
  <si>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</si>
  <si>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</si>
  <si>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</si>
  <si>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</si>
  <si>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</si>
  <si>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</si>
  <si>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</si>
  <si>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</si>
  <si>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</si>
  <si>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</si>
  <si>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</si>
  <si>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</si>
  <si>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</si>
  <si>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</si>
  <si>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</si>
  <si>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</si>
  <si>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</si>
  <si>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</si>
  <si>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</si>
  <si>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</si>
  <si>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</si>
  <si>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</si>
  <si>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</si>
  <si>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</si>
  <si>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</si>
  <si>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</si>
  <si>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</si>
  <si>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</si>
  <si>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</si>
  <si>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</si>
  <si>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</si>
  <si>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</si>
  <si>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</si>
  <si>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</si>
  <si>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</si>
  <si>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</si>
  <si>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</si>
  <si>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</si>
  <si>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</si>
  <si>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</si>
  <si>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</si>
  <si>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</si>
  <si>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</si>
  <si>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</si>
  <si>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</si>
  <si>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</si>
  <si>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</si>
  <si>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</si>
  <si>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</si>
  <si>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</si>
  <si>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</si>
  <si>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</si>
  <si>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</si>
  <si>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</si>
  <si>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</si>
  <si>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</si>
  <si>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</si>
  <si>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</si>
  <si>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</si>
  <si>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</si>
  <si>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</si>
  <si>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</si>
  <si>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</si>
  <si>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</si>
  <si>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</si>
  <si>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</si>
  <si>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</si>
  <si>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</si>
  <si>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</si>
  <si>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</si>
  <si>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</si>
  <si>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</si>
  <si>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</si>
  <si>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</si>
  <si>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</si>
  <si>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</si>
  <si>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</si>
  <si>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</si>
  <si>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</si>
  <si>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</si>
  <si>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</si>
  <si>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</si>
  <si>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</si>
  <si>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</si>
  <si>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</si>
  <si>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</si>
  <si>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</si>
  <si>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</si>
  <si>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</si>
  <si>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</si>
  <si>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</si>
  <si>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</si>
  <si>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</si>
  <si>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</si>
  <si>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</si>
  <si>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</si>
  <si>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</si>
  <si>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</si>
  <si>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</si>
  <si>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</si>
  <si>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</si>
  <si>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</si>
  <si>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</si>
  <si>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</si>
  <si>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</si>
  <si>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</si>
  <si>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</si>
  <si>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</si>
  <si>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</si>
  <si>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</si>
  <si>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</si>
  <si>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</si>
  <si>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</si>
  <si>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</si>
  <si>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</si>
  <si>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</si>
  <si>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</si>
  <si>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</si>
  <si>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</si>
  <si>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</si>
  <si>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</si>
  <si>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</si>
  <si>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</si>
  <si>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</si>
  <si>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</si>
  <si>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</si>
  <si>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</si>
  <si>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</si>
  <si>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</si>
  <si>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</si>
  <si>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</si>
  <si>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</si>
  <si>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</si>
  <si>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</si>
  <si>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</si>
  <si>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</si>
  <si>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</si>
  <si>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</si>
  <si>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</si>
  <si>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</si>
  <si>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</si>
  <si>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</si>
  <si>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</si>
  <si>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</si>
  <si>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</si>
  <si>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</si>
  <si>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</si>
  <si>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</si>
  <si>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</si>
  <si>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</si>
  <si>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</si>
  <si>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</si>
  <si>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</si>
  <si>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</si>
  <si>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</si>
  <si>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</si>
  <si>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</si>
  <si>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</si>
  <si>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</si>
  <si>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</si>
  <si>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</si>
  <si>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</si>
  <si>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</si>
  <si>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</si>
  <si>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</si>
  <si>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</si>
  <si>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</si>
  <si>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</si>
  <si>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</si>
  <si>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</si>
  <si>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</si>
  <si>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</si>
  <si>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</si>
  <si>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</si>
  <si>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</si>
  <si>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</si>
  <si>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</si>
  <si>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</si>
  <si>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</si>
  <si>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</si>
  <si>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</si>
  <si>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</si>
  <si>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</si>
  <si>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</si>
  <si>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</si>
  <si>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</si>
  <si>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</si>
  <si>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</si>
  <si>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</si>
  <si>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</si>
  <si>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</si>
  <si>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</si>
  <si>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</si>
  <si>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</si>
  <si>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</si>
  <si>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</si>
  <si>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</si>
  <si>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</si>
  <si>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</si>
  <si>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</si>
  <si>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</si>
  <si>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</si>
  <si>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</si>
  <si>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</si>
  <si>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</si>
  <si>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</si>
  <si>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</si>
  <si>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</si>
  <si>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</si>
  <si>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</si>
  <si>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</si>
  <si>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</si>
  <si>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</si>
  <si>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</si>
  <si>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</si>
  <si>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</si>
  <si>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</si>
  <si>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</si>
  <si>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</si>
  <si>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</si>
  <si>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</si>
  <si>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</si>
  <si>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</si>
  <si>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</si>
  <si>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</si>
  <si>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</si>
  <si>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</si>
  <si>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</si>
  <si>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</si>
  <si>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</si>
  <si>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</si>
  <si>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</si>
  <si>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</si>
  <si>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</si>
  <si>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</si>
  <si>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</si>
  <si>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</si>
  <si>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</si>
  <si>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</si>
  <si>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</si>
  <si>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</si>
  <si>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</si>
  <si>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</si>
  <si>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</si>
  <si>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</si>
  <si>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</si>
  <si>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</si>
  <si>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</si>
  <si>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</si>
  <si>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</si>
  <si>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</si>
  <si>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</si>
  <si>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</si>
  <si>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</si>
  <si>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</si>
  <si>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</si>
  <si>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</si>
  <si>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</si>
  <si>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</si>
  <si>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</si>
  <si>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</si>
  <si>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</si>
  <si>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</si>
  <si>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</si>
  <si>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</si>
  <si>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</si>
  <si>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</si>
  <si>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</si>
  <si>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</si>
  <si>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</si>
  <si>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</si>
  <si>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</si>
  <si>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</si>
  <si>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</si>
  <si>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</si>
  <si>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</si>
  <si>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</si>
  <si>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</si>
  <si>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</si>
  <si>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</si>
  <si>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</si>
  <si>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</si>
  <si>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</si>
  <si>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</si>
  <si>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</si>
  <si>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</si>
  <si>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</si>
  <si>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</si>
  <si>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</si>
  <si>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</si>
  <si>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</si>
  <si>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</si>
  <si>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</si>
  <si>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</si>
  <si>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</si>
  <si>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</si>
  <si>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</si>
  <si>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</si>
  <si>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</si>
  <si>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</si>
  <si>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</si>
  <si>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</si>
  <si>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</si>
  <si>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</si>
  <si>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</si>
  <si>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</si>
  <si>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</si>
  <si>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</si>
  <si>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</si>
  <si>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</si>
  <si>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</si>
  <si>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</si>
  <si>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</si>
  <si>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</si>
  <si>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</si>
  <si>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</si>
  <si>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</si>
  <si>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</si>
  <si>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</si>
  <si>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</si>
  <si>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</si>
  <si>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</si>
  <si>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</si>
  <si>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</si>
  <si>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</si>
  <si>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</si>
  <si>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</si>
  <si>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</si>
  <si>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</si>
  <si>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</si>
  <si>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</si>
  <si>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</si>
  <si>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</si>
  <si>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</si>
  <si>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</si>
  <si>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</si>
  <si>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</si>
  <si>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</si>
  <si>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</si>
  <si>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</si>
  <si>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</si>
  <si>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</si>
  <si>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</si>
  <si>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</si>
  <si>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</si>
  <si>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</si>
  <si>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</si>
  <si>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</si>
  <si>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</si>
  <si>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</si>
  <si>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</si>
  <si>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</si>
  <si>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</si>
  <si>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</si>
  <si>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</si>
  <si>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</si>
  <si>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</si>
  <si>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</si>
  <si>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</si>
  <si>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</si>
  <si>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</si>
  <si>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</si>
  <si>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</si>
  <si>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</si>
  <si>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</si>
  <si>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</si>
  <si>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</si>
  <si>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</si>
  <si>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</si>
  <si>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</si>
  <si>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</si>
  <si>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</si>
  <si>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</si>
  <si>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</si>
  <si>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</si>
  <si>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</si>
  <si>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</si>
  <si>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</si>
  <si>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</si>
  <si>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</si>
  <si>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</si>
  <si>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</si>
  <si>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</si>
  <si>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</si>
  <si>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</si>
  <si>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</si>
  <si>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</si>
  <si>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</si>
  <si>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</si>
  <si>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</si>
  <si>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</si>
  <si>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</si>
  <si>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</si>
  <si>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</si>
  <si>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</si>
  <si>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</si>
  <si>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</si>
  <si>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</si>
  <si>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DEMASIADO GORDO</t>
  </si>
  <si>
    <t>DEMASIADO FLACA ESCUALIDA</t>
  </si>
  <si>
    <t>Arrugó como frenada'e gusano.</t>
  </si>
  <si>
    <t>Abandonó, tiró la toalla, hasta acá llegó.</t>
  </si>
  <si>
    <t>32/02/2045</t>
  </si>
  <si>
    <t>31/02/2011</t>
  </si>
  <si>
    <t>CREDITO ENTREGADO</t>
  </si>
  <si>
    <t>CREDITO FALTANTE</t>
  </si>
  <si>
    <t>29/02/2026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</si>
</sst>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75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12" fillId="0" borderId="2" xfId="2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1" fillId="0" borderId="2" xfId="0" applyFont="1" applyBorder="1"/>
    <xf numFmtId="0" fontId="3" fillId="0" borderId="0" xfId="0" applyFont="1" applyFill="1" applyBorder="1" applyProtection="1"/>
    <xf numFmtId="0" fontId="9" fillId="0" borderId="2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3" fillId="0" borderId="0" xfId="0" applyFont="1" applyFill="1" applyProtection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  <xf numFmtId="0" fontId="1" fillId="4" borderId="2" xfId="1" applyFont="1" applyFill="1" applyBorder="1" applyAlignment="1" applyProtection="1">
      <alignment horizontal="center"/>
    </xf>
    <xf numFmtId="0" fontId="9" fillId="4" borderId="2" xfId="0" applyFont="1" applyFill="1" applyBorder="1" applyAlignment="1" applyProtection="1">
      <alignment horizontal="center"/>
    </xf>
    <xf numFmtId="0" fontId="9" fillId="4" borderId="7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3" fillId="0" borderId="7" xfId="1" applyNumberFormat="1" applyFont="1" applyFill="1" applyBorder="1" applyAlignment="1" applyProtection="1">
      <alignment horizontal="center"/>
      <protection locked="0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866775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12"/>
  <sheetViews>
    <sheetView tabSelected="1" zoomScale="110" zoomScaleNormal="110" workbookViewId="0">
      <pane xSplit="4" ySplit="4" topLeftCell="I5" activePane="bottomRight" state="frozen"/>
      <selection activeCell="F20" sqref="F20"/>
      <selection pane="topRight" activeCell="F20" sqref="F20"/>
      <selection pane="bottomLeft" activeCell="F20" sqref="F20"/>
      <selection pane="bottomRight" activeCell="M8" sqref="M8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43"/>
    <col min="6" max="6" width="13.140625" style="43" bestFit="1" customWidth="1"/>
    <col min="7" max="8" width="11.42578125" style="43"/>
    <col min="9" max="9" width="13.140625" style="43" bestFit="1" customWidth="1"/>
    <col min="10" max="10" width="11.42578125" style="43"/>
    <col min="11" max="11" width="11.42578125" style="8"/>
    <col min="12" max="12" width="13.140625" style="8" bestFit="1" customWidth="1"/>
    <col min="13" max="13" width="11.42578125" style="8"/>
    <col min="14" max="14" width="19.42578125" style="8" customWidth="1"/>
    <col min="15" max="15" width="20.140625" style="8" customWidth="1"/>
    <col min="16" max="16" width="18" style="8" customWidth="1"/>
    <col min="17" max="17" width="69.140625" style="8" customWidth="1"/>
    <col min="18" max="16384" width="11.42578125" style="8"/>
  </cols>
  <sheetData>
    <row r="1" spans="1:17" s="7" customFormat="1" ht="53.25" customHeight="1" x14ac:dyDescent="0.5">
      <c r="A1" s="50" t="s">
        <v>9132</v>
      </c>
      <c r="B1" s="50"/>
      <c r="C1" s="14" t="s">
        <v>15</v>
      </c>
      <c r="D1" s="14"/>
      <c r="E1" s="68" t="s">
        <v>9150</v>
      </c>
      <c r="F1" s="72">
        <v>325000</v>
      </c>
      <c r="G1" s="73"/>
      <c r="H1" s="68" t="s">
        <v>9146</v>
      </c>
      <c r="I1" s="69">
        <v>112000</v>
      </c>
      <c r="J1" s="67"/>
      <c r="K1" s="68" t="s">
        <v>9147</v>
      </c>
      <c r="L1" s="69">
        <v>112000</v>
      </c>
      <c r="M1" s="67"/>
    </row>
    <row r="2" spans="1:17" s="7" customFormat="1" ht="33" customHeight="1" x14ac:dyDescent="0.35">
      <c r="A2" s="11"/>
      <c r="B2" s="11"/>
      <c r="C2" s="12"/>
      <c r="D2" s="5" t="s">
        <v>18</v>
      </c>
      <c r="E2" s="51" t="s">
        <v>3388</v>
      </c>
      <c r="F2" s="52"/>
      <c r="G2" s="53"/>
      <c r="H2" s="51" t="s">
        <v>1849</v>
      </c>
      <c r="I2" s="52"/>
      <c r="J2" s="53"/>
      <c r="K2" s="47" t="s">
        <v>1680</v>
      </c>
      <c r="L2" s="48"/>
      <c r="M2" s="49"/>
      <c r="N2" s="35"/>
      <c r="O2" s="70"/>
      <c r="P2" s="70"/>
    </row>
    <row r="3" spans="1:17" s="7" customFormat="1" ht="42" customHeight="1" x14ac:dyDescent="0.35">
      <c r="A3" s="11"/>
      <c r="B3" s="11"/>
      <c r="C3" s="13"/>
      <c r="D3" s="4" t="s">
        <v>16</v>
      </c>
      <c r="E3" s="54" t="str">
        <f>IF(E2="","",VLOOKUP(E2,CODIGOS!$A$2:$C$5003,2,FALSE))</f>
        <v>CAMP PALMAJ NEGRA 2XS/2XL RER</v>
      </c>
      <c r="F3" s="55"/>
      <c r="G3" s="56"/>
      <c r="H3" s="54" t="str">
        <f>IF(H2="","",VLOOKUP(H2,CODIGOS!$A$2:$C$5003,2,FALSE))</f>
        <v>REMERA MC COMBAT AZUL 3XS/2XL</v>
      </c>
      <c r="I3" s="55"/>
      <c r="J3" s="56"/>
      <c r="K3" s="44" t="str">
        <f>IF(K2="","",VLOOKUP(K2,CODIGOS!$A$2:$C$5003,2,FALSE))</f>
        <v>CHOMBA MC CIERRE AZ 3XL/5XL RER</v>
      </c>
      <c r="L3" s="45"/>
      <c r="M3" s="46"/>
      <c r="N3" s="36"/>
      <c r="O3" s="71"/>
      <c r="P3" s="71"/>
    </row>
    <row r="4" spans="1:17" x14ac:dyDescent="0.25">
      <c r="A4" s="61" t="s">
        <v>9139</v>
      </c>
      <c r="B4" s="61" t="s">
        <v>9</v>
      </c>
      <c r="C4" s="61" t="s">
        <v>9116</v>
      </c>
      <c r="D4" s="61" t="s">
        <v>9117</v>
      </c>
      <c r="E4" s="41" t="s">
        <v>8979</v>
      </c>
      <c r="F4" s="41" t="s">
        <v>8980</v>
      </c>
      <c r="G4" s="42" t="s">
        <v>8981</v>
      </c>
      <c r="H4" s="62" t="s">
        <v>8979</v>
      </c>
      <c r="I4" s="62" t="s">
        <v>8980</v>
      </c>
      <c r="J4" s="63" t="s">
        <v>8981</v>
      </c>
      <c r="K4" s="64" t="s">
        <v>8979</v>
      </c>
      <c r="L4" s="64" t="s">
        <v>8980</v>
      </c>
      <c r="M4" s="65" t="s">
        <v>8981</v>
      </c>
      <c r="N4" s="65" t="s">
        <v>9141</v>
      </c>
      <c r="O4" s="65" t="s">
        <v>9148</v>
      </c>
      <c r="P4" s="65" t="s">
        <v>9149</v>
      </c>
      <c r="Q4" s="65" t="s">
        <v>9140</v>
      </c>
    </row>
    <row r="5" spans="1:17" s="15" customFormat="1" x14ac:dyDescent="0.25">
      <c r="A5" s="25" t="s">
        <v>9138</v>
      </c>
      <c r="B5" s="26">
        <v>37137843</v>
      </c>
      <c r="C5" s="27" t="s">
        <v>9118</v>
      </c>
      <c r="D5" s="28" t="s">
        <v>9119</v>
      </c>
      <c r="E5" s="25" t="s">
        <v>1</v>
      </c>
      <c r="F5" s="29"/>
      <c r="G5" s="31">
        <v>3</v>
      </c>
      <c r="H5" s="25"/>
      <c r="I5" s="29"/>
      <c r="J5" s="66"/>
      <c r="K5" s="25" t="s">
        <v>1</v>
      </c>
      <c r="L5" s="29"/>
      <c r="M5" s="31">
        <v>1</v>
      </c>
      <c r="N5" s="37">
        <f>$I$1*$J5+$L$1*$M5</f>
        <v>112000</v>
      </c>
      <c r="O5" s="74" t="e">
        <f>$I$1*ValidarColorCelda+$L$1*$M5</f>
        <v>#NAME?</v>
      </c>
      <c r="P5" s="37" t="e">
        <f>+N5-O5</f>
        <v>#NAME?</v>
      </c>
      <c r="Q5" s="30" t="s">
        <v>9144</v>
      </c>
    </row>
    <row r="6" spans="1:17" s="15" customFormat="1" x14ac:dyDescent="0.25">
      <c r="A6" s="25" t="s">
        <v>9138</v>
      </c>
      <c r="B6" s="26">
        <v>45796216</v>
      </c>
      <c r="C6" s="27" t="s">
        <v>9121</v>
      </c>
      <c r="D6" s="28" t="s">
        <v>9122</v>
      </c>
      <c r="E6" s="25" t="s">
        <v>0</v>
      </c>
      <c r="F6" s="29"/>
      <c r="G6" s="31">
        <v>2</v>
      </c>
      <c r="H6" s="25" t="s">
        <v>0</v>
      </c>
      <c r="I6" s="29" t="s">
        <v>9096</v>
      </c>
      <c r="J6" s="31">
        <v>2</v>
      </c>
      <c r="K6" s="25" t="s">
        <v>11</v>
      </c>
      <c r="L6" s="29"/>
      <c r="M6" s="31">
        <v>3</v>
      </c>
      <c r="N6" s="37">
        <f t="shared" ref="N6:O8" si="0">$I$1*$J6+$L$1*$M6</f>
        <v>560000</v>
      </c>
      <c r="O6" s="37">
        <f t="shared" si="0"/>
        <v>560000</v>
      </c>
      <c r="P6" s="37">
        <f t="shared" ref="P6:P8" si="1">+N6-O6</f>
        <v>0</v>
      </c>
      <c r="Q6" s="30" t="s">
        <v>9143</v>
      </c>
    </row>
    <row r="7" spans="1:17" s="15" customFormat="1" x14ac:dyDescent="0.25">
      <c r="A7" s="38" t="s">
        <v>9138</v>
      </c>
      <c r="B7" s="32">
        <v>45766296</v>
      </c>
      <c r="C7" s="33" t="s">
        <v>9120</v>
      </c>
      <c r="D7" s="34" t="s">
        <v>9123</v>
      </c>
      <c r="E7" s="25" t="s">
        <v>2</v>
      </c>
      <c r="F7" s="29"/>
      <c r="G7" s="31">
        <v>1</v>
      </c>
      <c r="H7" s="25" t="s">
        <v>1</v>
      </c>
      <c r="I7" s="29" t="s">
        <v>9096</v>
      </c>
      <c r="J7" s="31">
        <v>2</v>
      </c>
      <c r="K7" s="25" t="s">
        <v>12</v>
      </c>
      <c r="L7" s="29"/>
      <c r="M7" s="31">
        <v>2</v>
      </c>
      <c r="N7" s="37">
        <f t="shared" si="0"/>
        <v>448000</v>
      </c>
      <c r="O7" s="37">
        <f t="shared" si="0"/>
        <v>448000</v>
      </c>
      <c r="P7" s="37">
        <f t="shared" si="1"/>
        <v>0</v>
      </c>
      <c r="Q7" s="30" t="s">
        <v>9142</v>
      </c>
    </row>
    <row r="8" spans="1:17" x14ac:dyDescent="0.25">
      <c r="A8" s="25" t="s">
        <v>9138</v>
      </c>
      <c r="B8" s="26">
        <v>70561456</v>
      </c>
      <c r="C8" s="27" t="s">
        <v>9124</v>
      </c>
      <c r="D8" s="28" t="s">
        <v>9125</v>
      </c>
      <c r="E8" s="25" t="s">
        <v>5</v>
      </c>
      <c r="F8" s="29"/>
      <c r="G8" s="66">
        <v>2</v>
      </c>
      <c r="H8" s="25"/>
      <c r="I8" s="29"/>
      <c r="J8" s="66"/>
      <c r="K8" s="25" t="s">
        <v>14</v>
      </c>
      <c r="L8" s="29"/>
      <c r="M8" s="31">
        <v>1</v>
      </c>
      <c r="N8" s="37">
        <f t="shared" si="0"/>
        <v>112000</v>
      </c>
      <c r="O8" s="37">
        <f t="shared" si="0"/>
        <v>112000</v>
      </c>
      <c r="P8" s="37">
        <f t="shared" si="1"/>
        <v>0</v>
      </c>
      <c r="Q8" s="30" t="s">
        <v>9145</v>
      </c>
    </row>
    <row r="9" spans="1:17" x14ac:dyDescent="0.25">
      <c r="C9" s="21"/>
      <c r="D9" s="7"/>
      <c r="E9" s="40"/>
      <c r="F9" s="40"/>
      <c r="G9" s="40"/>
      <c r="H9" s="40"/>
      <c r="I9" s="40"/>
      <c r="J9" s="40"/>
      <c r="K9" s="7"/>
      <c r="L9" s="7"/>
      <c r="M9" s="7"/>
      <c r="N9" s="7"/>
      <c r="O9" s="7"/>
      <c r="P9" s="7"/>
    </row>
    <row r="10" spans="1:17" x14ac:dyDescent="0.25">
      <c r="A10" s="20" t="s">
        <v>9133</v>
      </c>
      <c r="B10" s="24">
        <f>COUNTIF(A5:A8,"=Activo")</f>
        <v>4</v>
      </c>
    </row>
    <row r="11" spans="1:17" x14ac:dyDescent="0.25">
      <c r="A11" s="22" t="s">
        <v>9134</v>
      </c>
      <c r="B11" s="23">
        <f>COUNTIF(A5:A8,"=Inactivo")</f>
        <v>0</v>
      </c>
    </row>
    <row r="12" spans="1:17" x14ac:dyDescent="0.25">
      <c r="A12" s="22" t="s">
        <v>9135</v>
      </c>
      <c r="B12" s="23">
        <f>COUNTA(B5:B8)</f>
        <v>4</v>
      </c>
    </row>
  </sheetData>
  <mergeCells count="7">
    <mergeCell ref="K3:M3"/>
    <mergeCell ref="K2:M2"/>
    <mergeCell ref="A1:B1"/>
    <mergeCell ref="H2:J2"/>
    <mergeCell ref="H3:J3"/>
    <mergeCell ref="E2:G2"/>
    <mergeCell ref="E3:G3"/>
  </mergeCells>
  <conditionalFormatting sqref="K2:K3 B4:D8 K4:Q8">
    <cfRule type="cellIs" priority="5459" stopIfTrue="1" operator="equal">
      <formula>"="</formula>
    </cfRule>
    <cfRule type="cellIs" priority="5460" stopIfTrue="1" operator="equal">
      <formula>"="</formula>
    </cfRule>
  </conditionalFormatting>
  <conditionalFormatting sqref="A5:D8 K5:Q8">
    <cfRule type="cellIs" priority="5461" stopIfTrue="1" operator="equal">
      <formula>"="</formula>
    </cfRule>
    <cfRule type="cellIs" priority="5467" stopIfTrue="1" operator="equal">
      <formula>"="</formula>
    </cfRule>
    <cfRule type="cellIs" priority="5475" stopIfTrue="1" operator="equal">
      <formula>"="</formula>
    </cfRule>
    <cfRule type="cellIs" priority="5480" stopIfTrue="1" operator="equal">
      <formula>"&lt;&gt;"""</formula>
    </cfRule>
    <cfRule type="cellIs" priority="5484" stopIfTrue="1" operator="equal">
      <formula>"&lt;&gt;"""</formula>
    </cfRule>
    <cfRule type="cellIs" priority="5486" stopIfTrue="1" operator="notEqual">
      <formula>"="</formula>
    </cfRule>
    <cfRule type="cellIs" priority="5490" stopIfTrue="1" operator="notEqual">
      <formula>"="</formula>
    </cfRule>
  </conditionalFormatting>
  <conditionalFormatting sqref="A5:D8 K5:Q8">
    <cfRule type="cellIs" priority="5462" stopIfTrue="1" operator="equal">
      <formula>"="</formula>
    </cfRule>
    <cfRule type="cellIs" priority="5466" stopIfTrue="1" operator="equal">
      <formula>"="</formula>
    </cfRule>
    <cfRule type="cellIs" priority="5474" stopIfTrue="1" operator="equal">
      <formula>"="</formula>
    </cfRule>
    <cfRule type="cellIs" priority="5476" stopIfTrue="1" operator="equal">
      <formula>"="</formula>
    </cfRule>
    <cfRule type="cellIs" priority="5481" stopIfTrue="1" operator="equal">
      <formula>"&lt;&gt;"""</formula>
    </cfRule>
    <cfRule type="cellIs" priority="5483" stopIfTrue="1" operator="equal">
      <formula>"&lt;&gt;"""</formula>
    </cfRule>
    <cfRule type="cellIs" priority="5491" stopIfTrue="1" operator="notEqual">
      <formula>7</formula>
    </cfRule>
  </conditionalFormatting>
  <conditionalFormatting sqref="A5:D8 K5:Q8">
    <cfRule type="cellIs" priority="5463" stopIfTrue="1" operator="equal">
      <formula>"="</formula>
    </cfRule>
    <cfRule type="cellIs" priority="5465" stopIfTrue="1" operator="equal">
      <formula>"="</formula>
    </cfRule>
    <cfRule type="cellIs" priority="5473" stopIfTrue="1" operator="equal">
      <formula>"="</formula>
    </cfRule>
    <cfRule type="cellIs" priority="5477" stopIfTrue="1" operator="equal">
      <formula>"="</formula>
    </cfRule>
  </conditionalFormatting>
  <conditionalFormatting sqref="A5:D8 K5:Q8">
    <cfRule type="cellIs" priority="5464" stopIfTrue="1" operator="equal">
      <formula>"="</formula>
    </cfRule>
    <cfRule type="cellIs" priority="5472" stopIfTrue="1" operator="equal">
      <formula>"="</formula>
    </cfRule>
    <cfRule type="cellIs" priority="5478" stopIfTrue="1" operator="equal">
      <formula>"="</formula>
    </cfRule>
  </conditionalFormatting>
  <conditionalFormatting sqref="A5:D8 K5:Q8">
    <cfRule type="cellIs" priority="5468" stopIfTrue="1" operator="equal">
      <formula>"="</formula>
    </cfRule>
    <cfRule type="cellIs" priority="5469" stopIfTrue="1" operator="equal">
      <formula>"="</formula>
    </cfRule>
    <cfRule type="cellIs" priority="5470" stopIfTrue="1" operator="equal">
      <formula>"="</formula>
    </cfRule>
    <cfRule type="cellIs" priority="5471" stopIfTrue="1" operator="equal">
      <formula>"="</formula>
    </cfRule>
    <cfRule type="cellIs" priority="5479" stopIfTrue="1" operator="equal">
      <formula>"="</formula>
    </cfRule>
  </conditionalFormatting>
  <conditionalFormatting sqref="A5:D8 K5:Q8">
    <cfRule type="cellIs" priority="5482" stopIfTrue="1" operator="equal">
      <formula>"&lt;&gt;"""</formula>
    </cfRule>
  </conditionalFormatting>
  <conditionalFormatting sqref="A5:D8 K5:Q8">
    <cfRule type="cellIs" priority="5485" stopIfTrue="1" operator="equal">
      <formula>"&lt;&gt;"""</formula>
    </cfRule>
    <cfRule type="cellIs" priority="5487" stopIfTrue="1" operator="notEqual">
      <formula>"="</formula>
    </cfRule>
    <cfRule type="cellIs" priority="5489" stopIfTrue="1" operator="notEqual">
      <formula>"="</formula>
    </cfRule>
    <cfRule type="cellIs" priority="5492" stopIfTrue="1" operator="notEqual">
      <formula>7</formula>
    </cfRule>
  </conditionalFormatting>
  <conditionalFormatting sqref="A5:D8 K5:Q8">
    <cfRule type="cellIs" priority="5488" stopIfTrue="1" operator="notEqual">
      <formula>"="</formula>
    </cfRule>
    <cfRule type="cellIs" priority="5493" stopIfTrue="1" operator="notEqual">
      <formula>7</formula>
    </cfRule>
  </conditionalFormatting>
  <conditionalFormatting sqref="A4:A8">
    <cfRule type="cellIs" priority="5494" stopIfTrue="1" operator="notEqual">
      <formula>7</formula>
    </cfRule>
  </conditionalFormatting>
  <conditionalFormatting sqref="H2:H3 H4:J8">
    <cfRule type="cellIs" priority="71" stopIfTrue="1" operator="equal">
      <formula>"="</formula>
    </cfRule>
    <cfRule type="cellIs" priority="72" stopIfTrue="1" operator="equal">
      <formula>"="</formula>
    </cfRule>
  </conditionalFormatting>
  <conditionalFormatting sqref="H5:J8">
    <cfRule type="cellIs" priority="73" stopIfTrue="1" operator="equal">
      <formula>"="</formula>
    </cfRule>
    <cfRule type="cellIs" priority="79" stopIfTrue="1" operator="equal">
      <formula>"="</formula>
    </cfRule>
    <cfRule type="cellIs" priority="87" stopIfTrue="1" operator="equal">
      <formula>"="</formula>
    </cfRule>
    <cfRule type="cellIs" priority="92" stopIfTrue="1" operator="equal">
      <formula>"&lt;&gt;"""</formula>
    </cfRule>
    <cfRule type="cellIs" priority="96" stopIfTrue="1" operator="equal">
      <formula>"&lt;&gt;"""</formula>
    </cfRule>
    <cfRule type="cellIs" priority="98" stopIfTrue="1" operator="notEqual">
      <formula>"="</formula>
    </cfRule>
    <cfRule type="cellIs" priority="102" stopIfTrue="1" operator="notEqual">
      <formula>"="</formula>
    </cfRule>
  </conditionalFormatting>
  <conditionalFormatting sqref="H5:J8">
    <cfRule type="cellIs" priority="74" stopIfTrue="1" operator="equal">
      <formula>"="</formula>
    </cfRule>
    <cfRule type="cellIs" priority="78" stopIfTrue="1" operator="equal">
      <formula>"="</formula>
    </cfRule>
    <cfRule type="cellIs" priority="86" stopIfTrue="1" operator="equal">
      <formula>"="</formula>
    </cfRule>
    <cfRule type="cellIs" priority="88" stopIfTrue="1" operator="equal">
      <formula>"="</formula>
    </cfRule>
    <cfRule type="cellIs" priority="93" stopIfTrue="1" operator="equal">
      <formula>"&lt;&gt;"""</formula>
    </cfRule>
    <cfRule type="cellIs" priority="95" stopIfTrue="1" operator="equal">
      <formula>"&lt;&gt;"""</formula>
    </cfRule>
    <cfRule type="cellIs" priority="103" stopIfTrue="1" operator="notEqual">
      <formula>7</formula>
    </cfRule>
  </conditionalFormatting>
  <conditionalFormatting sqref="H5:J8">
    <cfRule type="cellIs" priority="75" stopIfTrue="1" operator="equal">
      <formula>"="</formula>
    </cfRule>
    <cfRule type="cellIs" priority="77" stopIfTrue="1" operator="equal">
      <formula>"="</formula>
    </cfRule>
    <cfRule type="cellIs" priority="85" stopIfTrue="1" operator="equal">
      <formula>"="</formula>
    </cfRule>
    <cfRule type="cellIs" priority="89" stopIfTrue="1" operator="equal">
      <formula>"="</formula>
    </cfRule>
  </conditionalFormatting>
  <conditionalFormatting sqref="H5:J8">
    <cfRule type="cellIs" priority="76" stopIfTrue="1" operator="equal">
      <formula>"="</formula>
    </cfRule>
    <cfRule type="cellIs" priority="84" stopIfTrue="1" operator="equal">
      <formula>"="</formula>
    </cfRule>
    <cfRule type="cellIs" priority="90" stopIfTrue="1" operator="equal">
      <formula>"="</formula>
    </cfRule>
  </conditionalFormatting>
  <conditionalFormatting sqref="H5:J8">
    <cfRule type="cellIs" priority="80" stopIfTrue="1" operator="equal">
      <formula>"="</formula>
    </cfRule>
    <cfRule type="cellIs" priority="81" stopIfTrue="1" operator="equal">
      <formula>"="</formula>
    </cfRule>
    <cfRule type="cellIs" priority="82" stopIfTrue="1" operator="equal">
      <formula>"="</formula>
    </cfRule>
    <cfRule type="cellIs" priority="83" stopIfTrue="1" operator="equal">
      <formula>"="</formula>
    </cfRule>
    <cfRule type="cellIs" priority="91" stopIfTrue="1" operator="equal">
      <formula>"="</formula>
    </cfRule>
  </conditionalFormatting>
  <conditionalFormatting sqref="H5:J8">
    <cfRule type="cellIs" priority="94" stopIfTrue="1" operator="equal">
      <formula>"&lt;&gt;"""</formula>
    </cfRule>
  </conditionalFormatting>
  <conditionalFormatting sqref="H5:J8">
    <cfRule type="cellIs" priority="97" stopIfTrue="1" operator="equal">
      <formula>"&lt;&gt;"""</formula>
    </cfRule>
    <cfRule type="cellIs" priority="99" stopIfTrue="1" operator="notEqual">
      <formula>"="</formula>
    </cfRule>
    <cfRule type="cellIs" priority="101" stopIfTrue="1" operator="notEqual">
      <formula>"="</formula>
    </cfRule>
    <cfRule type="cellIs" priority="104" stopIfTrue="1" operator="notEqual">
      <formula>7</formula>
    </cfRule>
  </conditionalFormatting>
  <conditionalFormatting sqref="H5:J8">
    <cfRule type="cellIs" priority="100" stopIfTrue="1" operator="notEqual">
      <formula>"="</formula>
    </cfRule>
    <cfRule type="cellIs" priority="105" stopIfTrue="1" operator="notEqual">
      <formula>7</formula>
    </cfRule>
  </conditionalFormatting>
  <conditionalFormatting sqref="E2:E3 E4:G8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E5:G8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E5:G8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E5:G8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E5:G8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E5:G8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E5:G8">
    <cfRule type="cellIs" priority="24" stopIfTrue="1" operator="equal">
      <formula>"&lt;&gt;"""</formula>
    </cfRule>
  </conditionalFormatting>
  <conditionalFormatting sqref="E5:G8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E5:G8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4">
    <dataValidation type="list" allowBlank="1" showInputMessage="1" showErrorMessage="1" sqref="E2:M2">
      <formula1>Codigos</formula1>
    </dataValidation>
    <dataValidation type="list" allowBlank="1" showInputMessage="1" showErrorMessage="1" sqref="K5:K8 E8:J8 H5:H7 E5:E7">
      <formula1>Talle</formula1>
    </dataValidation>
    <dataValidation type="list" allowBlank="1" showInputMessage="1" showErrorMessage="1" sqref="L5:L8 I5:I7 F5:F7">
      <formula1>Color</formula1>
    </dataValidation>
    <dataValidation type="list" allowBlank="1" showInputMessage="1" showErrorMessage="1" sqref="A5:A8">
      <formula1>Estado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866775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4"/>
  <sheetViews>
    <sheetView workbookViewId="0">
      <selection activeCell="D21" sqref="D21:D22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57" t="s">
        <v>9127</v>
      </c>
      <c r="B1" s="57"/>
      <c r="C1" s="58"/>
      <c r="D1" s="57"/>
      <c r="E1" s="19">
        <v>2103050</v>
      </c>
    </row>
    <row r="2" spans="1:5" ht="18.75" x14ac:dyDescent="0.3">
      <c r="A2" s="59" t="s">
        <v>1850</v>
      </c>
      <c r="B2" s="60"/>
      <c r="C2" s="60"/>
      <c r="D2" s="60"/>
      <c r="E2" s="60"/>
    </row>
    <row r="3" spans="1:5" x14ac:dyDescent="0.25">
      <c r="A3" s="39" t="s">
        <v>8979</v>
      </c>
      <c r="B3" s="39" t="s">
        <v>8980</v>
      </c>
      <c r="C3" s="39" t="s">
        <v>9128</v>
      </c>
      <c r="D3" s="39" t="s">
        <v>9129</v>
      </c>
      <c r="E3" s="39" t="s">
        <v>9130</v>
      </c>
    </row>
    <row r="4" spans="1:5" x14ac:dyDescent="0.25">
      <c r="A4" s="18" t="s">
        <v>1</v>
      </c>
      <c r="B4" s="18" t="s">
        <v>9096</v>
      </c>
      <c r="C4" s="18">
        <v>2</v>
      </c>
      <c r="D4" s="18">
        <v>2</v>
      </c>
      <c r="E4" s="18"/>
    </row>
    <row r="5" spans="1:5" x14ac:dyDescent="0.25">
      <c r="A5" s="18" t="s">
        <v>0</v>
      </c>
      <c r="B5" s="18" t="s">
        <v>9096</v>
      </c>
      <c r="C5" s="18">
        <v>2</v>
      </c>
      <c r="D5" s="18">
        <v>2</v>
      </c>
      <c r="E5" s="18"/>
    </row>
    <row r="6" spans="1:5" x14ac:dyDescent="0.25">
      <c r="A6" s="18"/>
      <c r="B6" s="39" t="s">
        <v>9131</v>
      </c>
      <c r="C6" s="39">
        <f>SUM(C4:C5)</f>
        <v>4</v>
      </c>
      <c r="D6" s="39">
        <f>SUM(D4:D5)</f>
        <v>4</v>
      </c>
      <c r="E6" s="39">
        <f>SUM(E4:E5)</f>
        <v>0</v>
      </c>
    </row>
    <row r="9" spans="1:5" x14ac:dyDescent="0.25">
      <c r="A9" s="57" t="s">
        <v>9127</v>
      </c>
      <c r="B9" s="57"/>
      <c r="C9" s="58"/>
      <c r="D9" s="57"/>
      <c r="E9" s="19">
        <v>2101499</v>
      </c>
    </row>
    <row r="10" spans="1:5" ht="18.75" x14ac:dyDescent="0.3">
      <c r="A10" s="59" t="s">
        <v>1681</v>
      </c>
      <c r="B10" s="60"/>
      <c r="C10" s="60"/>
      <c r="D10" s="60"/>
      <c r="E10" s="60"/>
    </row>
    <row r="11" spans="1:5" x14ac:dyDescent="0.25">
      <c r="A11" s="39" t="s">
        <v>8979</v>
      </c>
      <c r="B11" s="39" t="s">
        <v>8980</v>
      </c>
      <c r="C11" s="39" t="s">
        <v>9128</v>
      </c>
      <c r="D11" s="39" t="s">
        <v>9129</v>
      </c>
      <c r="E11" s="39" t="s">
        <v>9130</v>
      </c>
    </row>
    <row r="12" spans="1:5" x14ac:dyDescent="0.25">
      <c r="A12" s="18" t="s">
        <v>11</v>
      </c>
      <c r="B12" s="18"/>
      <c r="C12" s="18">
        <v>3</v>
      </c>
      <c r="D12" s="18">
        <v>3</v>
      </c>
      <c r="E12" s="18"/>
    </row>
    <row r="13" spans="1:5" x14ac:dyDescent="0.25">
      <c r="A13" s="18" t="s">
        <v>12</v>
      </c>
      <c r="B13" s="18"/>
      <c r="C13" s="18">
        <v>2</v>
      </c>
      <c r="D13" s="18">
        <v>2</v>
      </c>
      <c r="E13" s="18"/>
    </row>
    <row r="14" spans="1:5" x14ac:dyDescent="0.25">
      <c r="A14" s="18"/>
      <c r="B14" s="39" t="s">
        <v>9131</v>
      </c>
      <c r="C14" s="39">
        <f>SUM(C12:C13)</f>
        <v>5</v>
      </c>
      <c r="D14" s="39">
        <f>SUM(D12:D13)</f>
        <v>5</v>
      </c>
      <c r="E14" s="39">
        <f>SUM(E12:E13)</f>
        <v>0</v>
      </c>
    </row>
  </sheetData>
  <sheetProtection sort="0" autoFilter="0"/>
  <mergeCells count="4">
    <mergeCell ref="A1:D1"/>
    <mergeCell ref="A2:E2"/>
    <mergeCell ref="A9:D9"/>
    <mergeCell ref="A10:E10"/>
  </mergeCells>
  <hyperlinks>
    <hyperlink ref="E1" location="LISTADO!E2" display="LISTADO!E2"/>
    <hyperlink ref="E9" location="LISTADO!H2" display="LISTADO!H2"/>
  </hyperlink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7" t="s">
        <v>9132</v>
      </c>
      <c r="B1" s="16"/>
      <c r="C1" s="6"/>
    </row>
    <row r="2" spans="1:5" x14ac:dyDescent="0.25">
      <c r="A2" s="57" t="s">
        <v>9127</v>
      </c>
      <c r="B2" s="57"/>
      <c r="C2" s="58"/>
      <c r="D2" s="57"/>
      <c r="E2" s="19">
        <v>2103050</v>
      </c>
    </row>
    <row r="3" spans="1:5" ht="18.75" x14ac:dyDescent="0.3">
      <c r="A3" s="59" t="s">
        <v>1850</v>
      </c>
      <c r="B3" s="60"/>
      <c r="C3" s="60"/>
      <c r="D3" s="60"/>
      <c r="E3" s="60"/>
    </row>
    <row r="4" spans="1:5" x14ac:dyDescent="0.25">
      <c r="A4" s="39" t="s">
        <v>8979</v>
      </c>
      <c r="B4" s="39" t="s">
        <v>8980</v>
      </c>
      <c r="C4" s="39" t="s">
        <v>9128</v>
      </c>
      <c r="D4" s="39" t="s">
        <v>9129</v>
      </c>
      <c r="E4" s="39" t="s">
        <v>9130</v>
      </c>
    </row>
    <row r="5" spans="1:5" x14ac:dyDescent="0.25">
      <c r="A5" s="18" t="s">
        <v>1</v>
      </c>
      <c r="B5" s="18" t="s">
        <v>9096</v>
      </c>
      <c r="C5" s="18">
        <v>2</v>
      </c>
      <c r="D5" s="18">
        <v>2</v>
      </c>
      <c r="E5" s="18"/>
    </row>
    <row r="6" spans="1:5" x14ac:dyDescent="0.25">
      <c r="A6" s="18" t="s">
        <v>0</v>
      </c>
      <c r="B6" s="18" t="s">
        <v>9096</v>
      </c>
      <c r="C6" s="18">
        <v>2</v>
      </c>
      <c r="D6" s="18">
        <v>2</v>
      </c>
      <c r="E6" s="18"/>
    </row>
    <row r="7" spans="1:5" x14ac:dyDescent="0.25">
      <c r="A7" s="18"/>
      <c r="B7" s="39" t="s">
        <v>9131</v>
      </c>
      <c r="C7" s="39">
        <f>SUM(C5:C6)</f>
        <v>4</v>
      </c>
      <c r="D7" s="39">
        <f>SUM(D5:D6)</f>
        <v>4</v>
      </c>
      <c r="E7" s="39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7"/>
  <sheetViews>
    <sheetView workbookViewId="0">
      <selection activeCell="D27" sqref="D2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7" t="s">
        <v>9132</v>
      </c>
      <c r="B1" s="16"/>
      <c r="C1" s="6"/>
    </row>
    <row r="2" spans="1:5" x14ac:dyDescent="0.25">
      <c r="A2" s="57" t="s">
        <v>9127</v>
      </c>
      <c r="B2" s="57"/>
      <c r="C2" s="58"/>
      <c r="D2" s="57"/>
      <c r="E2" s="19">
        <v>2101499</v>
      </c>
    </row>
    <row r="3" spans="1:5" ht="18.75" x14ac:dyDescent="0.3">
      <c r="A3" s="59" t="s">
        <v>1681</v>
      </c>
      <c r="B3" s="60"/>
      <c r="C3" s="60"/>
      <c r="D3" s="60"/>
      <c r="E3" s="60"/>
    </row>
    <row r="4" spans="1:5" x14ac:dyDescent="0.25">
      <c r="A4" s="39" t="s">
        <v>8979</v>
      </c>
      <c r="B4" s="39" t="s">
        <v>8980</v>
      </c>
      <c r="C4" s="39" t="s">
        <v>9128</v>
      </c>
      <c r="D4" s="39" t="s">
        <v>9129</v>
      </c>
      <c r="E4" s="39" t="s">
        <v>9130</v>
      </c>
    </row>
    <row r="5" spans="1:5" x14ac:dyDescent="0.25">
      <c r="A5" s="18" t="s">
        <v>11</v>
      </c>
      <c r="B5" s="18"/>
      <c r="C5" s="18">
        <v>3</v>
      </c>
      <c r="D5" s="18">
        <v>3</v>
      </c>
      <c r="E5" s="18"/>
    </row>
    <row r="6" spans="1:5" x14ac:dyDescent="0.25">
      <c r="A6" s="18" t="s">
        <v>12</v>
      </c>
      <c r="B6" s="18"/>
      <c r="C6" s="18">
        <v>2</v>
      </c>
      <c r="D6" s="18">
        <v>2</v>
      </c>
      <c r="E6" s="18"/>
    </row>
    <row r="7" spans="1:5" x14ac:dyDescent="0.25">
      <c r="A7" s="18"/>
      <c r="B7" s="39" t="s">
        <v>9131</v>
      </c>
      <c r="C7" s="39">
        <f>SUM(C5:C6)</f>
        <v>5</v>
      </c>
      <c r="D7" s="39">
        <f>SUM(D5:D6)</f>
        <v>5</v>
      </c>
      <c r="E7" s="39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9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2103050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2025-07-29T20:53:00Z</dcterms:modified>
</cp:coreProperties>
</file>