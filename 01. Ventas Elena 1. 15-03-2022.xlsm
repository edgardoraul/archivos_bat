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r:id="rId11"/>
    <sheet name="Datos" sheetId="10" state="hidden" r:id="rId12"/>
    <sheet name="LINCE" sheetId="2" state="hidden" r:id="rId13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K35" i="3" l="1"/>
  <c r="K34" i="3"/>
  <c r="K33" i="3"/>
  <c r="K32" i="3"/>
  <c r="K31" i="3"/>
  <c r="K30" i="3"/>
  <c r="K29" i="3"/>
  <c r="K28" i="3"/>
  <c r="K27" i="3"/>
  <c r="K26" i="3"/>
  <c r="C35" i="15" l="1"/>
  <c r="F35" i="15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B32" i="15" l="1"/>
  <c r="B34" i="15"/>
  <c r="B23" i="15"/>
  <c r="B33" i="15"/>
  <c r="B28" i="15"/>
  <c r="B25" i="15"/>
  <c r="B30" i="15"/>
  <c r="B24" i="15"/>
  <c r="B27" i="15"/>
  <c r="B31" i="15"/>
  <c r="B26" i="15"/>
  <c r="B22" i="15"/>
  <c r="B29" i="15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<sst xmlns="http://schemas.openxmlformats.org/spreadsheetml/2006/main" count="22415" uniqueCount="14215">
  <si>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</si>
  <si>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</si>
  <si>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</si>
  <si>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</si>
  <si>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</si>
  <si>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</si>
  <si>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</si>
  <si>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</si>
  <si>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</si>
  <si>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</si>
  <si>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</si>
  <si>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</si>
  <si>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</si>
  <si>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</si>
  <si>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</si>
  <si>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</si>
  <si>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</si>
  <si>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</si>
  <si>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</si>
  <si>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</si>
  <si>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</si>
  <si>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</si>
  <si>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</si>
  <si>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</si>
  <si>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</si>
  <si>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</si>
  <si>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</si>
  <si>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</si>
  <si>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</si>
  <si>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</si>
  <si>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</si>
  <si>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</si>
  <si>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</si>
  <si>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</si>
  <si>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</si>
  <si>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</si>
  <si>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</si>
  <si>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</si>
  <si>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</si>
  <si>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</si>
  <si>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</si>
  <si>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</si>
  <si>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</si>
  <si>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</si>
  <si>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</si>
  <si>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</si>
  <si>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</si>
  <si>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</si>
  <si>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</si>
  <si>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</si>
  <si>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</si>
  <si>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</si>
  <si>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</si>
  <si>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</si>
  <si>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</si>
  <si>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</si>
  <si>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</si>
  <si>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</si>
  <si>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</si>
  <si>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</si>
  <si>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</si>
  <si>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</si>
  <si>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</si>
  <si>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</si>
  <si>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</si>
  <si>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</si>
  <si>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</si>
  <si>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</si>
  <si>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</si>
  <si>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</si>
  <si>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</si>
  <si>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</si>
  <si>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</si>
  <si>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</si>
  <si>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</si>
  <si>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</si>
  <si>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</si>
  <si>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</si>
  <si>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</si>
  <si>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</si>
  <si>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</si>
  <si>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</si>
  <si>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</si>
  <si>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</si>
  <si>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</si>
  <si>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</si>
  <si>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</si>
  <si>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</si>
  <si>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</si>
  <si>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</si>
  <si>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</si>
  <si>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</si>
  <si>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</si>
  <si>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</si>
  <si>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</si>
  <si>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</si>
  <si>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</si>
  <si>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</si>
  <si>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</si>
  <si>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</si>
  <si>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</si>
  <si>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</si>
  <si>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</si>
  <si>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</si>
  <si>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</si>
  <si>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</si>
  <si>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</si>
  <si>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</si>
  <si>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</si>
  <si>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</si>
  <si>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</si>
  <si>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</si>
  <si>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</si>
  <si>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</si>
  <si>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</si>
  <si>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</si>
  <si>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</si>
  <si>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</si>
  <si>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</si>
  <si>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</si>
  <si>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</si>
  <si>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</si>
  <si>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</si>
  <si>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</si>
  <si>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</si>
  <si>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</si>
  <si>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</si>
  <si>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</si>
  <si>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</si>
  <si>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</si>
  <si>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</si>
  <si>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</si>
  <si>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</si>
  <si>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</si>
  <si>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</si>
  <si>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</si>
  <si>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</si>
  <si>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</si>
  <si>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</si>
  <si>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</si>
  <si>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</si>
  <si>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</si>
  <si>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</si>
  <si>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</si>
  <si>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</si>
  <si>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</si>
  <si>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</si>
  <si>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</si>
  <si>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</si>
  <si>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</si>
  <si>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</si>
  <si>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</si>
  <si>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</si>
  <si>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</si>
  <si>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</si>
  <si>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</si>
  <si>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</si>
  <si>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</si>
  <si>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</si>
  <si>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</si>
  <si>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</si>
  <si>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</si>
  <si>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</si>
  <si>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</si>
  <si>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</si>
  <si>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</si>
  <si>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</si>
  <si>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</si>
  <si>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</si>
  <si>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</si>
  <si>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</si>
  <si>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</si>
  <si>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</si>
  <si>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</si>
  <si>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</si>
  <si>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</si>
  <si>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</si>
  <si>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</si>
  <si>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</si>
  <si>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</si>
  <si>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</si>
  <si>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</si>
  <si>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</si>
  <si>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</si>
  <si>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</si>
  <si>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</si>
  <si>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</si>
  <si>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</si>
  <si>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</si>
  <si>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</si>
  <si>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</si>
  <si>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</si>
  <si>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</si>
  <si>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</si>
  <si>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</si>
  <si>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</si>
  <si>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</si>
  <si>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</si>
  <si>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</si>
  <si>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</si>
  <si>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</si>
  <si>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</si>
  <si>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</si>
  <si>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</si>
  <si>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</si>
  <si>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</si>
  <si>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</si>
  <si>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</si>
  <si>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</si>
  <si>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</si>
  <si>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</si>
  <si>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</si>
  <si>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</si>
  <si>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</si>
  <si>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</si>
  <si>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</si>
  <si>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</si>
  <si>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</si>
  <si>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</si>
  <si>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</si>
  <si>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</si>
  <si>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</si>
  <si>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</si>
  <si>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</si>
  <si>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</si>
  <si>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</si>
  <si>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</si>
  <si>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</si>
  <si>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</si>
  <si>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</si>
  <si>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</si>
  <si>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</si>
  <si>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</si>
  <si>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</si>
  <si>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</si>
  <si>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</si>
  <si>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</si>
  <si>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</si>
  <si>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</si>
  <si>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</si>
  <si>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</si>
  <si>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</si>
  <si>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</si>
  <si>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</si>
  <si>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</si>
  <si>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</si>
  <si>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</si>
  <si>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</si>
  <si>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</si>
  <si>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</si>
  <si>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</si>
  <si>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</si>
  <si>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</si>
  <si>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</si>
  <si>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</si>
  <si>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</si>
  <si>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</si>
  <si>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</si>
  <si>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</si>
  <si>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</si>
  <si>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</si>
  <si>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</si>
  <si>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</si>
  <si>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</si>
  <si>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</si>
  <si>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</si>
  <si>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</si>
  <si>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</si>
  <si>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</si>
  <si>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</si>
  <si>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</si>
  <si>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</si>
  <si>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</si>
  <si>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</si>
  <si>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</si>
  <si>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</si>
  <si>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</si>
  <si>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</si>
  <si>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</si>
  <si>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</si>
  <si>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</si>
  <si>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</si>
  <si>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</si>
  <si>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</si>
  <si>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</si>
  <si>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</si>
  <si>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</si>
  <si>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</si>
  <si>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</si>
  <si>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</si>
  <si>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</si>
  <si>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</si>
  <si>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</si>
  <si>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</si>
  <si>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</si>
  <si>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</si>
  <si>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</si>
  <si>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</si>
  <si>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</si>
  <si>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</si>
  <si>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</si>
  <si>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</si>
  <si>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</si>
  <si>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</si>
  <si>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</si>
  <si>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</si>
  <si>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</si>
  <si>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</si>
  <si>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</si>
  <si>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</si>
  <si>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</si>
  <si>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</si>
  <si>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</si>
  <si>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</si>
  <si>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</si>
  <si>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</si>
  <si>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</si>
  <si>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</si>
  <si>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</si>
  <si>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</si>
  <si>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</si>
  <si>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</si>
  <si>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</si>
  <si>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</si>
  <si>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</si>
  <si>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</si>
  <si>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</si>
  <si>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</si>
  <si>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</si>
  <si>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</si>
  <si>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</si>
  <si>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</si>
  <si>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</si>
  <si>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</si>
  <si>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</si>
  <si>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</si>
  <si>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</si>
  <si>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</si>
  <si>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</si>
  <si>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</si>
  <si>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</si>
  <si>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</si>
  <si>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</si>
  <si>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</si>
  <si>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</si>
  <si>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</si>
  <si>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</si>
  <si>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</si>
  <si>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</si>
  <si>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</si>
  <si>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</si>
  <si>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</si>
  <si>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</si>
  <si>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</si>
  <si>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</si>
  <si>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</si>
  <si>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</si>
  <si>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</si>
  <si>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</si>
  <si>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</si>
  <si>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</si>
  <si>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</si>
  <si>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</si>
  <si>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</si>
  <si>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</si>
  <si>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</si>
  <si>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</si>
  <si>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</si>
  <si>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</si>
  <si>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</si>
  <si>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</si>
  <si>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</si>
  <si>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</si>
  <si>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</si>
  <si>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</si>
  <si>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</si>
  <si>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</si>
  <si>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</si>
  <si>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</si>
  <si>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</si>
  <si>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</si>
  <si>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</si>
  <si>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</si>
  <si>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</si>
  <si>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</si>
  <si>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</si>
  <si>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</si>
  <si>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</si>
  <si>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</si>
  <si>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</si>
  <si>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</si>
  <si>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</si>
  <si>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</si>
  <si>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</si>
  <si>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</si>
  <si>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</si>
  <si>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</si>
  <si>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</si>
  <si>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</si>
  <si>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</si>
  <si>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</si>
  <si>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</si>
  <si>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</si>
  <si>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</si>
  <si>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</si>
  <si>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</si>
  <si>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</si>
  <si>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</si>
  <si>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</si>
  <si>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</si>
  <si>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</si>
  <si>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</si>
  <si>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</si>
  <si>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</si>
  <si>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</si>
  <si>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</si>
  <si>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</si>
  <si>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</si>
  <si>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</si>
  <si>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</si>
  <si>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</si>
  <si>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</si>
  <si>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</si>
  <si>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</si>
  <si>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</si>
  <si>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</si>
  <si>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</si>
  <si>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</si>
  <si>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</si>
  <si>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</si>
  <si>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</si>
  <si>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</si>
  <si>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</si>
  <si>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</si>
  <si>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</si>
  <si>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</si>
  <si>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</si>
  <si>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</si>
  <si>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</si>
  <si>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</si>
  <si>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</si>
  <si>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</si>
  <si>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</si>
  <si>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</si>
  <si>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</si>
  <si>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</si>
  <si>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</si>
  <si>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</si>
  <si>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</si>
  <si>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</si>
  <si>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</si>
  <si>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</si>
  <si>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</si>
  <si>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</si>
  <si>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</si>
  <si>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</si>
  <si>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</si>
  <si>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</si>
  <si>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</si>
  <si>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</si>
  <si>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</si>
  <si>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</si>
  <si>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</si>
  <si>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</si>
  <si>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</si>
  <si>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</si>
  <si>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</si>
  <si>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</si>
  <si>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</si>
  <si>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</si>
  <si>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</si>
  <si>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</si>
  <si>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</si>
  <si>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</si>
  <si>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</si>
  <si>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</si>
  <si>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</si>
  <si>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</si>
  <si>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</si>
  <si>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</si>
  <si>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</si>
  <si>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</si>
  <si>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</si>
  <si>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</si>
  <si>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</si>
  <si>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</si>
  <si>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</si>
  <si>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</si>
  <si>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</si>
  <si>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</si>
  <si>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</si>
  <si>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</si>
  <si>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</si>
  <si>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</si>
  <si>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</si>
  <si>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</si>
  <si>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</si>
  <si>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</si>
  <si>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</si>
  <si>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</si>
  <si>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</si>
  <si>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</si>
  <si>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</si>
  <si>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</si>
  <si>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</si>
  <si>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</si>
  <si>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</si>
  <si>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</si>
  <si>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</si>
  <si>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</si>
  <si>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</si>
  <si>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</si>
  <si>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</si>
  <si>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</si>
  <si>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</si>
  <si>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</si>
  <si>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</si>
  <si>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</si>
  <si>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</si>
  <si>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</si>
  <si>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</si>
  <si>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</si>
  <si>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</si>
  <si>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</si>
  <si>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</si>
  <si>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</si>
  <si>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</si>
  <si>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</si>
  <si>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</si>
  <si>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</si>
  <si>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</si>
  <si>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</si>
  <si>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</si>
  <si>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</si>
  <si>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</si>
  <si>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</si>
  <si>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</si>
  <si>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</si>
  <si>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</si>
  <si>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</si>
  <si>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</si>
  <si>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</si>
  <si>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</si>
  <si>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</si>
  <si>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</si>
  <si>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</si>
  <si>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</si>
  <si>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</si>
  <si>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</si>
  <si>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</si>
  <si>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</si>
  <si>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</si>
  <si>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</si>
  <si>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</si>
  <si>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</si>
  <si>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</si>
  <si>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</si>
  <si>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</si>
  <si>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</si>
  <si>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</si>
  <si>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</si>
  <si>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</si>
  <si>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</si>
  <si>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</si>
  <si>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</si>
  <si>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</si>
  <si>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</si>
  <si>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</si>
  <si>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</si>
  <si>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</si>
  <si>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</si>
  <si>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</si>
  <si>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</si>
  <si>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</si>
  <si>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</si>
  <si>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</si>
  <si>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</si>
  <si>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</si>
  <si>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</si>
  <si>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</si>
  <si>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</si>
  <si>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</si>
  <si>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</si>
  <si>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</si>
  <si>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</si>
  <si>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</si>
  <si>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</si>
  <si>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</si>
  <si>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</si>
  <si>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</si>
  <si>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</si>
  <si>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</si>
  <si>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</si>
  <si>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</si>
  <si>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</si>
  <si>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</si>
  <si>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</si>
  <si>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</si>
  <si>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</si>
  <si>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</si>
  <si>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</si>
  <si>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</si>
  <si>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</si>
  <si>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</si>
  <si>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</si>
  <si>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</si>
  <si>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</si>
  <si>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</si>
  <si>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</si>
  <si>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</si>
  <si>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</si>
  <si>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</si>
  <si>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</si>
  <si>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</si>
  <si>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</si>
  <si>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</si>
  <si>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</si>
  <si>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</si>
  <si>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</si>
  <si>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</si>
  <si>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</si>
  <si>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</si>
  <si>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</si>
  <si>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</si>
  <si>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</si>
  <si>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</si>
  <si>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</si>
  <si>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</si>
  <si>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</si>
  <si>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</si>
  <si>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</si>
  <si>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</si>
  <si>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</si>
  <si>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</si>
  <si>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</si>
  <si>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</si>
  <si>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</si>
  <si>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</si>
  <si>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</si>
  <si>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</si>
  <si>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</si>
  <si>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</si>
  <si>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</si>
  <si>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</si>
  <si>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</si>
  <si>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</si>
  <si>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</si>
  <si>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</si>
  <si>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</si>
  <si>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</si>
  <si>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</si>
  <si>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</si>
  <si>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</si>
  <si>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</si>
  <si>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</si>
  <si>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</si>
  <si>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</si>
  <si>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</si>
  <si>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</si>
  <si>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</si>
  <si>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</si>
  <si>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</si>
  <si>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</si>
  <si>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</si>
  <si>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</si>
  <si>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</si>
  <si>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</si>
  <si>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</si>
  <si>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</si>
  <si>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</si>
  <si>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</si>
  <si>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</si>
  <si>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</si>
  <si>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</si>
  <si>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</si>
  <si>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</si>
  <si>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</si>
  <si>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</si>
  <si>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</si>
  <si>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</si>
  <si>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</si>
  <si>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</si>
  <si>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</si>
  <si>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</si>
  <si>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</si>
  <si>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</si>
  <si>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</si>
  <si>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</si>
  <si>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</si>
  <si>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</si>
  <si>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</si>
  <si>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</si>
  <si>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</si>
  <si>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</si>
  <si>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</si>
  <si>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</si>
  <si>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</si>
  <si>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</si>
  <si>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</si>
  <si>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</si>
  <si>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</si>
  <si>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</si>
  <si>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</si>
  <si>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</si>
  <si>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</si>
  <si>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</si>
  <si>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</si>
  <si>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</si>
  <si>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</si>
  <si>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</si>
  <si>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</si>
  <si>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</si>
  <si>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</si>
  <si>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</si>
  <si>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</si>
  <si>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</si>
  <si>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</si>
  <si>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</si>
  <si>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</si>
  <si>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</si>
  <si>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</si>
  <si>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</si>
  <si>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</si>
  <si>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</si>
  <si>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</si>
  <si>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</si>
  <si>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</si>
  <si>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</si>
  <si>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</si>
  <si>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</si>
  <si>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</si>
  <si>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</si>
  <si>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</si>
  <si>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</si>
  <si>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</si>
  <si>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</si>
  <si>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</si>
  <si>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</si>
  <si>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</si>
  <si>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</si>
  <si>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</si>
  <si>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</si>
  <si>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</si>
  <si>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</si>
  <si>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</si>
  <si>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</si>
  <si>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</si>
  <si>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</si>
  <si>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</si>
  <si>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</si>
  <si>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</si>
  <si>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</si>
  <si>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</si>
  <si>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</si>
  <si>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</si>
  <si>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</si>
  <si>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</si>
  <si>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</si>
  <si>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</si>
  <si>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</si>
  <si>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</si>
  <si>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</si>
  <si>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</si>
  <si>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</si>
  <si>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</si>
  <si>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</si>
  <si>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</si>
  <si>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</si>
  <si>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</si>
  <si>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</si>
  <si>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</si>
  <si>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</si>
  <si>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</si>
  <si>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</si>
  <si>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</si>
  <si>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</si>
  <si>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</si>
  <si>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</si>
  <si>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</si>
  <si>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</si>
  <si>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</si>
  <si>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</si>
  <si>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</si>
  <si>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</si>
  <si>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</si>
  <si>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</si>
  <si>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</si>
  <si>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</si>
  <si>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</si>
  <si>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</si>
  <si>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</si>
  <si>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</si>
  <si>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</si>
  <si>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</si>
  <si>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</si>
  <si>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</si>
  <si>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</si>
  <si>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</si>
  <si>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</si>
  <si>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</si>
  <si>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</si>
  <si>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</si>
  <si>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</si>
  <si>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</si>
  <si>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</si>
  <si>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</si>
  <si>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</si>
  <si>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</si>
  <si>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</si>
  <si>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</si>
  <si>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</si>
  <si>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</si>
  <si>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</si>
  <si>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</si>
  <si>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</si>
  <si>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</si>
  <si>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</si>
  <si>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</si>
  <si>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</si>
  <si>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</si>
  <si>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</si>
  <si>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</si>
  <si>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</si>
  <si>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</si>
  <si>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</si>
  <si>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</si>
  <si>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</si>
  <si>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</si>
  <si>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</si>
  <si>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</si>
  <si>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</si>
  <si>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</si>
  <si>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</si>
  <si>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</si>
  <si>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</si>
  <si>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</si>
  <si>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</si>
  <si>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</si>
  <si>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</si>
  <si>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</si>
  <si>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</si>
  <si>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</si>
  <si>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</si>
  <si>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</si>
  <si>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</si>
  <si>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</si>
  <si>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</si>
  <si>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</si>
  <si>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</si>
  <si>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</si>
  <si>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</si>
  <si>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</si>
  <si>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</si>
  <si>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</si>
  <si>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</si>
  <si>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</si>
  <si>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</si>
  <si>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</si>
  <si>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</si>
  <si>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</si>
  <si>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</si>
  <si>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</si>
  <si>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</si>
  <si>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</si>
  <si>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</si>
  <si>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</si>
  <si>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</si>
  <si>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</si>
  <si>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</si>
  <si>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</si>
  <si>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</si>
  <si>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</si>
  <si>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</si>
  <si>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</si>
  <si>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</si>
  <si>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</si>
  <si>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</si>
  <si>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</si>
  <si>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</si>
  <si>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</si>
  <si>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</si>
  <si>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</si>
  <si>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</si>
  <si>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</si>
  <si>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</si>
  <si>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</si>
  <si>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</si>
  <si>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</si>
  <si>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</si>
  <si>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</si>
  <si>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</si>
  <si>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</si>
  <si>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</si>
  <si>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</si>
  <si>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</si>
  <si>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</si>
  <si>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</si>
  <si>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</si>
  <si>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</si>
  <si>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</si>
  <si>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</si>
  <si>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</si>
  <si>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</si>
  <si>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</si>
  <si>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</si>
  <si>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</si>
  <si>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</si>
  <si>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</si>
  <si>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</si>
  <si>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</si>
  <si>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</si>
  <si>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</si>
  <si>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</si>
  <si>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</si>
  <si>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</si>
  <si>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</si>
  <si>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</si>
  <si>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</si>
  <si>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</si>
  <si>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</si>
  <si>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</si>
  <si>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</si>
  <si>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</si>
  <si>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</si>
  <si>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</si>
  <si>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</si>
  <si>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</si>
  <si>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</si>
  <si>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</si>
  <si>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</si>
  <si>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</si>
  <si>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</si>
  <si>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</si>
  <si>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</si>
  <si>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</si>
  <si>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</si>
  <si>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</si>
  <si>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</si>
  <si>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</si>
  <si>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</si>
  <si>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</si>
  <si>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</si>
  <si>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</si>
  <si>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</si>
  <si>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</si>
  <si>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</si>
  <si>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</si>
  <si>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</si>
  <si>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</si>
  <si>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</si>
  <si>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</si>
  <si>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</si>
  <si>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</si>
  <si>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</si>
  <si>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</si>
  <si>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</si>
  <si>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</si>
  <si>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</si>
  <si>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</si>
  <si>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</si>
  <si>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</si>
  <si>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</si>
  <si>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</si>
  <si>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</si>
  <si>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</si>
  <si>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</si>
  <si>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</si>
  <si>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</si>
  <si>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</si>
  <si>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</si>
  <si>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</si>
  <si>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</si>
  <si>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</si>
  <si>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</si>
  <si>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</si>
  <si>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</si>
  <si>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</si>
  <si>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</si>
  <si>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</si>
  <si>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</si>
  <si>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</si>
  <si>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</si>
  <si>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</si>
  <si>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</si>
  <si>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</si>
  <si>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</si>
  <si>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</si>
  <si>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</si>
  <si>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</si>
  <si>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</si>
  <si>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</si>
  <si>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</si>
  <si>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</si>
  <si>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</si>
  <si>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</si>
  <si>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</si>
  <si>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</si>
  <si>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</si>
  <si>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</si>
  <si>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</si>
  <si>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</si>
  <si>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</si>
  <si>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</si>
  <si>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</si>
  <si>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</si>
  <si>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</si>
  <si>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</si>
  <si>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</si>
  <si>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</si>
  <si>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</si>
  <si>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</si>
  <si>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</si>
  <si>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</si>
  <si>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</si>
  <si>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</si>
  <si>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</si>
  <si>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</si>
  <si>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</si>
  <si>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</si>
  <si>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</si>
  <si>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</si>
  <si>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</si>
  <si>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</si>
  <si>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</si>
  <si>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</si>
  <si>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</si>
  <si>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</si>
  <si>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</si>
  <si>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</si>
  <si>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</si>
  <si>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</si>
  <si>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</si>
  <si>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</si>
  <si>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</si>
  <si>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</si>
  <si>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</si>
  <si>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</si>
  <si>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</si>
  <si>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</si>
  <si>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</si>
  <si>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</si>
  <si>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</si>
  <si>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</si>
  <si>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</si>
  <si>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</si>
  <si>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</si>
  <si>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</si>
  <si>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</si>
  <si>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</si>
  <si>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</si>
  <si>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</si>
  <si>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</si>
  <si>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</si>
  <si>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</si>
  <si>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</si>
  <si>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</si>
  <si>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</si>
  <si>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</si>
  <si>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</si>
  <si>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</si>
  <si>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</si>
  <si>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</si>
  <si>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</si>
  <si>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</si>
  <si>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</si>
  <si>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</si>
  <si>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</si>
  <si>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</si>
  <si>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</si>
  <si>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</si>
  <si>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</si>
  <si>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</si>
  <si>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</si>
  <si>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</si>
  <si>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</si>
  <si>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</si>
  <si>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</si>
  <si>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</si>
  <si>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</si>
  <si>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</si>
  <si>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</si>
  <si>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</si>
  <si>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</si>
  <si>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</si>
  <si>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</si>
  <si>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</si>
  <si>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</si>
  <si>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</si>
  <si>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</si>
  <si>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</si>
  <si>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</si>
  <si>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</si>
  <si>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</si>
  <si>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</si>
  <si>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</si>
  <si>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</si>
  <si>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</si>
  <si>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</si>
  <si>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</si>
  <si>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</si>
  <si>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</si>
  <si>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</si>
  <si>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</si>
  <si>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</si>
  <si>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</si>
  <si>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</si>
  <si>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</si>
  <si>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</si>
  <si>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</si>
  <si>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</si>
  <si>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</si>
  <si>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</si>
  <si>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</si>
  <si>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</si>
  <si>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</si>
  <si>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</si>
  <si>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</si>
  <si>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</si>
  <si>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</si>
  <si>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</si>
  <si>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</si>
  <si>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</si>
  <si>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</si>
  <si>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</si>
  <si>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</si>
  <si>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</si>
  <si>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</si>
  <si>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</si>
  <si>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</si>
  <si>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</si>
  <si>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</si>
  <si>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</si>
  <si>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</si>
  <si>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</si>
  <si>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</si>
  <si>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</si>
  <si>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</si>
  <si>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</si>
  <si>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</si>
  <si>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</si>
  <si>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</si>
  <si>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</si>
  <si>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</si>
  <si>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</si>
  <si>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</si>
  <si>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</si>
  <si>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</si>
  <si>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</si>
  <si>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</si>
  <si>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</si>
  <si>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</si>
  <si>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</si>
  <si>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</si>
  <si>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</si>
  <si>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</si>
  <si>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</si>
  <si>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</si>
  <si>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</si>
  <si>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</si>
  <si>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</si>
  <si>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</si>
  <si>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</si>
  <si>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</si>
  <si>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</si>
  <si>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</si>
  <si>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</si>
  <si>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</si>
  <si>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</si>
  <si>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</si>
  <si>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</si>
  <si>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</si>
  <si>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</si>
  <si>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</si>
  <si>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</si>
  <si>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</si>
  <si>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</si>
  <si>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</si>
  <si>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</si>
  <si>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</si>
  <si>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</si>
  <si>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</si>
  <si>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</si>
  <si>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</si>
  <si>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</si>
  <si>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</si>
  <si>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</si>
  <si>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</si>
  <si>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</si>
  <si>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</si>
  <si>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</si>
  <si>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</si>
  <si>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</si>
  <si>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</si>
  <si>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</si>
  <si>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</si>
  <si>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</si>
  <si>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</si>
  <si>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</si>
  <si>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</si>
  <si>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</si>
  <si>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</si>
  <si>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</si>
  <si>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</si>
  <si>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</si>
  <si>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</si>
  <si>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</si>
  <si>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</si>
  <si>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</si>
  <si>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</si>
  <si>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</si>
  <si>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</si>
  <si>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</si>
  <si>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</si>
  <si>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</si>
  <si>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</si>
  <si>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</si>
  <si>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</si>
  <si>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</si>
  <si>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</si>
  <si>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</si>
  <si>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</si>
  <si>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</si>
  <si>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</si>
  <si>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</si>
  <si>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</si>
  <si>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</si>
  <si>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</si>
  <si>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</si>
  <si>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</si>
  <si>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</si>
  <si>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</si>
  <si>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</si>
  <si>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</si>
  <si>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</si>
  <si>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</si>
  <si>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</si>
  <si>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</si>
  <si>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</si>
  <si>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</si>
  <si>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</si>
  <si>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</si>
  <si>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</si>
  <si>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</si>
  <si>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</si>
  <si>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</si>
  <si>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</si>
  <si>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</si>
  <si>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</si>
  <si>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</si>
  <si>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</si>
  <si>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</si>
  <si>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</si>
  <si>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</si>
  <si>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</si>
  <si>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</si>
  <si>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</si>
  <si>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</si>
  <si>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</si>
  <si>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</si>
  <si>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</si>
  <si>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</si>
  <si>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</si>
  <si>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</si>
  <si>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</si>
  <si>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</si>
  <si>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</si>
  <si>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</si>
  <si>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</si>
  <si>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</si>
  <si>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</si>
  <si>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</si>
  <si>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</si>
  <si>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</si>
  <si>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</si>
  <si>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</si>
  <si>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</si>
  <si>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</si>
  <si>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</si>
  <si>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</si>
  <si>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</si>
  <si>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</si>
  <si>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</si>
  <si>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</si>
  <si>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</si>
  <si>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</si>
  <si>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</si>
  <si>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</si>
  <si>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</si>
  <si>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</si>
  <si>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</si>
  <si>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</si>
  <si>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</si>
  <si>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</si>
  <si>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</si>
  <si>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</si>
  <si>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</si>
  <si>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</si>
  <si>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</si>
  <si>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</si>
  <si>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</si>
  <si>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</si>
  <si>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</si>
  <si>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</si>
  <si>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</si>
  <si>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</si>
  <si>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</si>
  <si>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</si>
  <si>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</si>
  <si>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</si>
  <si>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</si>
  <si>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</si>
  <si>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</si>
  <si>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</si>
  <si>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</si>
  <si>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</si>
  <si>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</si>
  <si>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</si>
  <si>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</si>
  <si>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</si>
  <si>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</si>
  <si>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</si>
  <si>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</si>
  <si>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</si>
  <si>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</si>
  <si>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</si>
  <si>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</si>
  <si>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</si>
  <si>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</si>
  <si>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</si>
  <si>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</si>
  <si>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</si>
  <si>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</si>
  <si>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</si>
  <si>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</si>
  <si>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</si>
  <si>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</si>
  <si>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</si>
  <si>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</si>
  <si>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</si>
  <si>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</si>
  <si>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</si>
  <si>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</si>
  <si>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</si>
  <si>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</si>
  <si>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</si>
  <si>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</si>
  <si>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</si>
  <si>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</si>
  <si>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</si>
  <si>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</si>
  <si>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</si>
  <si>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</si>
  <si>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</si>
  <si>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</si>
  <si>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</si>
  <si>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</si>
  <si>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</si>
  <si>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</si>
  <si>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</si>
  <si>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</si>
  <si>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</si>
  <si>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</si>
  <si>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</si>
  <si>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</si>
  <si>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</si>
  <si>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</si>
  <si>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</si>
  <si>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</si>
  <si>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</si>
  <si>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</si>
  <si>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</si>
  <si>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</si>
  <si>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</si>
  <si>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</si>
  <si>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</si>
  <si>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</si>
  <si>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</si>
  <si>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</si>
  <si>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</si>
  <si>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</si>
  <si>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</si>
  <si>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</si>
  <si>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</si>
  <si>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</si>
  <si>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</si>
  <si>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</si>
  <si>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</si>
  <si>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</si>
  <si>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</si>
  <si>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</si>
  <si>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</si>
  <si>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</si>
  <si>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</si>
  <si>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</si>
  <si>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</si>
  <si>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</si>
  <si>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</si>
  <si>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</si>
  <si>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</si>
  <si>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</si>
  <si>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</si>
  <si>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</si>
  <si>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</si>
  <si>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</si>
  <si>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</si>
  <si>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</si>
  <si>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</si>
  <si>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</si>
  <si>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</si>
  <si>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</si>
  <si>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</si>
  <si>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</si>
  <si>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</si>
  <si>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</si>
  <si>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</si>
  <si>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</si>
  <si>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</si>
  <si>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</si>
  <si>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</si>
  <si>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</si>
  <si>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</si>
  <si>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</si>
  <si>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</si>
  <si>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</si>
  <si>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</si>
  <si>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</si>
  <si>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</si>
  <si>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</si>
  <si>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</si>
  <si>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</si>
  <si>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</si>
  <si>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</si>
  <si>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</si>
  <si>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</si>
  <si>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</si>
  <si>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</si>
  <si>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</si>
  <si>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</si>
  <si>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</si>
  <si>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</si>
  <si>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</si>
  <si>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</si>
  <si>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</si>
  <si>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</si>
  <si>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</si>
  <si>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</si>
  <si>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</si>
  <si>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</si>
  <si>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</si>
  <si>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</si>
  <si>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</si>
  <si>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</si>
  <si>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</si>
  <si>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</si>
  <si>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</si>
  <si>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</si>
  <si>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</si>
  <si>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</si>
  <si>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</si>
  <si>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</si>
  <si>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</si>
  <si>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</si>
  <si>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</si>
  <si>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</si>
  <si>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</si>
  <si>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</si>
  <si>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</si>
  <si>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</si>
  <si>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</si>
  <si>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</si>
  <si>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</si>
  <si>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</si>
  <si>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</si>
  <si>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</si>
  <si>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</si>
  <si>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</si>
  <si>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</si>
  <si>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</si>
  <si>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</si>
  <si>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</si>
  <si>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</si>
  <si>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</si>
  <si>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</si>
  <si>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</si>
  <si>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</si>
  <si>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</si>
  <si>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</si>
  <si>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</si>
  <si>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</si>
  <si>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</si>
  <si>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</si>
  <si>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</si>
  <si>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</si>
  <si>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</si>
  <si>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</si>
  <si>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</si>
  <si>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</si>
  <si>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</si>
  <si>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</si>
  <si>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</si>
  <si>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</si>
  <si>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</si>
  <si>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</si>
  <si>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</si>
  <si>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</si>
  <si>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</si>
  <si>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</si>
  <si>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</si>
  <si>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</si>
  <si>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</si>
  <si>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</si>
  <si>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</si>
  <si>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</si>
  <si>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</si>
  <si>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</si>
  <si>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</si>
  <si>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</si>
  <si>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</si>
  <si>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</si>
  <si>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</si>
  <si>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</si>
  <si>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</si>
  <si>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</si>
  <si>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</si>
  <si>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</si>
  <si>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</si>
  <si>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</si>
  <si>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</si>
  <si>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</si>
  <si>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</si>
  <si>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</si>
  <si>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</si>
  <si>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</si>
  <si>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</si>
  <si>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</si>
  <si>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</si>
  <si>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</si>
  <si>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</si>
  <si>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</si>
  <si>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</si>
  <si>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</si>
  <si>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</si>
  <si>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</si>
  <si>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</si>
  <si>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</si>
  <si>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</si>
  <si>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</si>
  <si>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</si>
  <si>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</si>
  <si>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</si>
  <si>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</si>
  <si>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</si>
  <si>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</si>
  <si>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</si>
  <si>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</si>
  <si>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</si>
  <si>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</si>
  <si>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</si>
  <si>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</si>
  <si>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</si>
  <si>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</si>
  <si>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</si>
  <si>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</si>
  <si>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</si>
  <si>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</si>
  <si>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</si>
  <si>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</si>
  <si>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</si>
  <si>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</si>
  <si>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</si>
  <si>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</si>
  <si>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</si>
  <si>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</si>
  <si>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</si>
  <si>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</si>
  <si>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</si>
  <si>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</si>
  <si>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</si>
  <si>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</si>
  <si>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</si>
  <si>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</si>
  <si>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</si>
  <si>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</si>
  <si>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</si>
  <si>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</si>
  <si>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</si>
  <si>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</si>
  <si>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</si>
  <si>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</si>
  <si>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</si>
  <si>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</si>
  <si>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</si>
  <si>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</si>
  <si>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</si>
  <si>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</si>
  <si>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</si>
  <si>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</si>
  <si>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</si>
  <si>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</si>
  <si>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</si>
  <si>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</si>
  <si>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</si>
  <si>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</si>
  <si>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</si>
  <si>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</si>
  <si>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</si>
  <si>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</si>
  <si>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</si>
  <si>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</si>
  <si>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</si>
  <si>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</si>
  <si>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</si>
  <si>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</si>
  <si>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</si>
  <si>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</si>
  <si>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</si>
  <si>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</si>
  <si>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</si>
  <si>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</si>
  <si>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</si>
  <si>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</si>
  <si>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</si>
  <si>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</si>
  <si>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</si>
  <si>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</si>
  <si>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</si>
  <si>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</si>
  <si>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</si>
  <si>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</si>
  <si>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</si>
  <si>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</si>
  <si>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</si>
  <si>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</si>
  <si>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</si>
  <si>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</si>
  <si>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</si>
  <si>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</si>
  <si>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</si>
  <si>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</si>
  <si>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</si>
  <si>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</si>
  <si>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</si>
  <si>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</si>
  <si>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</si>
  <si>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</si>
  <si>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</si>
  <si>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</si>
  <si>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</si>
  <si>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</si>
  <si>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</si>
  <si>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</si>
  <si>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</si>
  <si>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</si>
  <si>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</si>
  <si>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</si>
  <si>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</si>
  <si>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</si>
  <si>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</si>
  <si>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</si>
  <si>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</si>
  <si>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</si>
  <si>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</si>
  <si>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</si>
  <si>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</si>
  <si>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</si>
  <si>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</si>
  <si>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</si>
  <si>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</si>
  <si>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</si>
  <si>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</si>
  <si>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</si>
  <si>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</si>
  <si>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</si>
  <si>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</si>
  <si>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</si>
  <si>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</si>
  <si>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</si>
  <si>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</si>
  <si>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</si>
  <si>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</si>
  <si>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</si>
  <si>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</si>
  <si>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</si>
  <si>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</si>
  <si>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</si>
  <si>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</si>
  <si>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</si>
  <si>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</si>
  <si>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</si>
  <si>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</si>
  <si>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</si>
  <si>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</si>
  <si>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</si>
  <si>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</si>
  <si>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</si>
  <si>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</si>
  <si>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</si>
  <si>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</si>
  <si>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</si>
  <si>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</si>
  <si>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</si>
  <si>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</si>
  <si>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</si>
  <si>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</si>
  <si>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</si>
  <si>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</si>
  <si>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</si>
  <si>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</si>
  <si>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</si>
  <si>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</si>
  <si>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</si>
  <si>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</si>
  <si>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</si>
  <si>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</si>
  <si>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</si>
  <si>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</si>
  <si>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</si>
  <si>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</si>
  <si>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</si>
  <si>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</si>
  <si>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</si>
  <si>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</si>
  <si>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</si>
  <si>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</si>
  <si>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</si>
  <si>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</si>
  <si>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</si>
  <si>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</si>
  <si>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</si>
  <si>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</si>
  <si>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</si>
  <si>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</si>
  <si>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</si>
  <si>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</si>
  <si>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</si>
  <si>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</si>
  <si>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</si>
  <si>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</si>
  <si>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</si>
  <si>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</si>
  <si>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</si>
  <si>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</si>
  <si>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</si>
  <si>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</si>
  <si>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</si>
  <si>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</si>
  <si>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</si>
  <si>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</si>
  <si>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</si>
  <si>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</si>
  <si>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</si>
  <si>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</si>
  <si>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</si>
  <si>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</si>
  <si>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</si>
  <si>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</si>
  <si>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</si>
  <si>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</si>
  <si>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</si>
  <si>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</si>
  <si>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</si>
  <si>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</si>
  <si>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</si>
  <si>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</si>
  <si>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</si>
  <si>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</si>
  <si>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</si>
  <si>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</si>
  <si>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</si>
  <si>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</si>
  <si>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</si>
  <si>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</si>
  <si>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</si>
  <si>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</si>
  <si>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</si>
  <si>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</si>
  <si>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</si>
  <si>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</si>
  <si>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</si>
  <si>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</si>
  <si>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</si>
  <si>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</si>
  <si>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</si>
  <si>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</si>
  <si>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</si>
  <si>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</si>
  <si>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</si>
  <si>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</si>
  <si>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</si>
  <si>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</si>
  <si>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</si>
  <si>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</si>
  <si>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</si>
  <si>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</si>
  <si>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</si>
  <si>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</si>
  <si>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</si>
  <si>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</si>
  <si>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</si>
  <si>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</si>
  <si>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</si>
  <si>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</si>
  <si>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</si>
  <si>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</si>
  <si>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</si>
  <si>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</si>
  <si>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</si>
  <si>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</si>
  <si>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</si>
  <si>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</si>
  <si>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</si>
  <si>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</si>
  <si>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</si>
  <si>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</si>
  <si>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</si>
  <si>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</si>
  <si>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</si>
  <si>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</si>
  <si>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</si>
  <si>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</si>
  <si>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</si>
  <si>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</si>
  <si>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</si>
  <si>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</si>
  <si>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</si>
  <si>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</si>
  <si>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</si>
  <si>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</si>
  <si>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</si>
  <si>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</si>
  <si>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</si>
  <si>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</si>
  <si>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</si>
  <si>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</si>
  <si>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</si>
  <si>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</si>
  <si>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</si>
  <si>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</si>
  <si>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</si>
  <si>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</si>
  <si>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</si>
  <si>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</si>
  <si>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</si>
  <si>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</si>
  <si>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</si>
  <si>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</si>
  <si>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</si>
  <si>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</si>
  <si>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</si>
  <si>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</si>
  <si>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</si>
  <si>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</si>
  <si>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</si>
  <si>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</si>
  <si>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</si>
  <si>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</si>
  <si>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</si>
  <si>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</si>
  <si>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</si>
  <si>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</si>
  <si>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</si>
  <si>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</si>
  <si>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</si>
  <si>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</si>
  <si>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</si>
  <si>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</si>
  <si>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</si>
  <si>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</si>
  <si>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</si>
  <si>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</si>
  <si>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</si>
  <si>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</si>
  <si>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</si>
  <si>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</si>
  <si>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</si>
  <si>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</si>
  <si>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</si>
  <si>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</si>
  <si>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</si>
  <si>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</si>
  <si>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</si>
  <si>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</si>
  <si>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</si>
  <si>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</si>
  <si>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</si>
  <si>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</si>
  <si>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</si>
  <si>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</si>
  <si>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</si>
  <si>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</si>
  <si>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</si>
  <si>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</si>
  <si>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</si>
  <si>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</si>
  <si>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</si>
  <si>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</si>
  <si>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</si>
  <si>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</si>
  <si>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</si>
  <si>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</si>
  <si>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</si>
  <si>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</si>
  <si>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</si>
  <si>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</si>
  <si>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</si>
  <si>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</si>
  <si>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</si>
  <si>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</si>
  <si>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</si>
  <si>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</si>
  <si>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</si>
  <si>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</si>
  <si>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</si>
  <si>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</si>
  <si>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</si>
  <si>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</si>
  <si>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</si>
  <si>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</si>
  <si>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</si>
  <si>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</si>
  <si>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</si>
  <si>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</si>
  <si>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</si>
  <si>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</si>
  <si>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</si>
  <si>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</si>
  <si>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</si>
  <si>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</si>
  <si>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</si>
  <si>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</si>
  <si>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</si>
  <si>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</si>
  <si>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</si>
  <si>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</si>
  <si>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</si>
  <si>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</si>
  <si>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</si>
  <si>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</si>
  <si>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</si>
  <si>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</si>
  <si>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</si>
  <si>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</si>
  <si>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</si>
  <si>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</si>
  <si>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</si>
  <si>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</si>
  <si>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</si>
  <si>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</si>
  <si>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</si>
  <si>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</si>
  <si>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</si>
  <si>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</si>
  <si>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</si>
  <si>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</si>
  <si>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</si>
  <si>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</si>
  <si>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</si>
  <si>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</si>
  <si>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</si>
  <si>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</si>
  <si>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</si>
  <si>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</si>
  <si>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</si>
  <si>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</si>
  <si>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</si>
  <si>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</si>
  <si>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</si>
  <si>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</si>
  <si>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</si>
  <si>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</si>
  <si>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</si>
  <si>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</si>
  <si>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</si>
  <si>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</si>
  <si>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</si>
  <si>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</si>
  <si>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</si>
  <si>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</si>
  <si>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</si>
  <si>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</si>
  <si>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</si>
  <si>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</si>
  <si>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</si>
  <si>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</si>
  <si>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</si>
  <si>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</si>
  <si>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</si>
  <si>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</si>
  <si>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</si>
  <si>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</si>
  <si>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</si>
  <si>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</si>
  <si>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</si>
  <si>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</si>
  <si>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</si>
  <si>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</si>
  <si>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</si>
  <si>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</si>
  <si>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</si>
  <si>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</si>
  <si>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</si>
  <si>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</si>
  <si>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</si>
  <si>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</si>
  <si>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</si>
  <si>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</si>
  <si>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</si>
  <si>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</si>
  <si>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</si>
  <si>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</si>
  <si>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</si>
  <si>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</si>
  <si>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</si>
  <si>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</si>
  <si>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</si>
  <si>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</si>
  <si>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</si>
  <si>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</si>
  <si>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</si>
  <si>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</si>
  <si>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</si>
  <si>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</si>
  <si>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</si>
  <si>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</si>
  <si>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</si>
  <si>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</si>
  <si>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</si>
  <si>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</si>
  <si>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</si>
  <si>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</si>
  <si>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</si>
  <si>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</si>
  <si>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</si>
  <si>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</si>
  <si>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</si>
  <si>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</si>
  <si>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</si>
  <si>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</si>
  <si>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</si>
  <si>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</si>
  <si>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</si>
  <si>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</si>
  <si>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</si>
  <si>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</si>
  <si>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</si>
  <si>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</si>
  <si>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</si>
  <si>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</si>
  <si>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</si>
  <si>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</si>
  <si>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</si>
  <si>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</si>
  <si>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</si>
  <si>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</si>
  <si>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</si>
  <si>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</si>
  <si>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</si>
  <si>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</si>
  <si>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</si>
  <si>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</si>
  <si>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</si>
  <si>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</si>
  <si>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</si>
  <si>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</si>
  <si>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</si>
  <si>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</si>
  <si>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</si>
  <si>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</si>
  <si>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</si>
  <si>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</si>
  <si>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</si>
  <si>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</si>
  <si>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</si>
  <si>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</si>
  <si>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</si>
  <si>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</si>
  <si>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</si>
  <si>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</si>
  <si>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</si>
  <si>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</si>
  <si>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</si>
  <si>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</si>
  <si>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</si>
  <si>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</si>
  <si>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</si>
  <si>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</si>
  <si>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</si>
  <si>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</si>
  <si>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</si>
  <si>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</si>
  <si>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</si>
  <si>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</si>
  <si>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</si>
  <si>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</si>
  <si>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</si>
  <si>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</si>
  <si>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</si>
  <si>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</si>
  <si>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</si>
  <si>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</si>
  <si>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</si>
  <si>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</si>
  <si>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</si>
  <si>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</si>
  <si>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</si>
  <si>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</si>
  <si>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</si>
  <si>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</si>
  <si>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</si>
  <si>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</si>
  <si>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</si>
  <si>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</si>
  <si>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</si>
  <si>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</si>
  <si>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</si>
  <si>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</si>
  <si>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</si>
  <si>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</si>
  <si>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</si>
  <si>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</si>
  <si>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</si>
  <si>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</si>
  <si>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</si>
  <si>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</si>
  <si>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</si>
  <si>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</si>
  <si>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</si>
  <si>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</si>
  <si>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</si>
  <si>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</si>
  <si>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</si>
  <si>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</si>
  <si>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</si>
  <si>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</si>
  <si>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</si>
  <si>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</si>
  <si>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</si>
  <si>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</si>
  <si>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</si>
  <si>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</si>
  <si>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</si>
  <si>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</si>
  <si>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</si>
  <si>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</si>
  <si>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</si>
  <si>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</si>
  <si>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</si>
  <si>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</si>
  <si>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</si>
  <si>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</si>
  <si>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</si>
  <si>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</si>
  <si>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</si>
  <si>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</si>
  <si>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</si>
  <si>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</si>
  <si>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</si>
  <si>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</si>
  <si>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</si>
  <si>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</si>
  <si>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</si>
  <si>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</si>
  <si>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</si>
  <si>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</si>
  <si>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</si>
  <si>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</si>
  <si>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</si>
  <si>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</si>
  <si>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</si>
  <si>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</si>
  <si>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</si>
  <si>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</si>
  <si>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</si>
  <si>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</si>
  <si>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</si>
  <si>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</si>
  <si>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</si>
  <si>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</si>
  <si>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</si>
  <si>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</si>
  <si>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</si>
  <si>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</si>
  <si>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</si>
  <si>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</si>
  <si>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</si>
  <si>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</si>
  <si>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</si>
  <si>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</si>
  <si>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</si>
  <si>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</si>
  <si>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</si>
  <si>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</si>
  <si>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</si>
  <si>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</si>
  <si>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</si>
  <si>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</si>
  <si>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</si>
  <si>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</si>
  <si>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</si>
  <si>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</si>
  <si>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</si>
  <si>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</si>
  <si>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</si>
  <si>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</si>
  <si>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</si>
  <si>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</si>
  <si>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</si>
  <si>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</si>
  <si>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</si>
  <si>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</si>
  <si>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</si>
  <si>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</si>
  <si>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</si>
  <si>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</si>
  <si>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</si>
  <si>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</si>
  <si>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</si>
  <si>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</si>
  <si>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</si>
  <si>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</si>
  <si>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</si>
  <si>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</si>
  <si>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</si>
  <si>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</si>
  <si>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</si>
  <si>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</si>
  <si>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</si>
  <si>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</si>
  <si>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</si>
  <si>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</si>
  <si>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</si>
  <si>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</si>
  <si>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</si>
  <si>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</si>
  <si>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</si>
  <si>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</si>
  <si>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</si>
  <si>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</si>
  <si>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</si>
  <si>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</si>
  <si>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</si>
  <si>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</si>
  <si>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</si>
  <si>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</si>
  <si>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</si>
  <si>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</si>
  <si>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</si>
  <si>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</si>
  <si>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</si>
  <si>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</si>
  <si>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</si>
  <si>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</si>
  <si>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</si>
  <si>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</si>
  <si>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</si>
  <si>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</si>
  <si>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</si>
  <si>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</si>
  <si>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</si>
  <si>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</si>
  <si>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</si>
  <si>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</si>
  <si>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</si>
  <si>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</si>
  <si>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</si>
  <si>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</si>
  <si>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</si>
  <si>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</si>
  <si>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</si>
  <si>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</si>
  <si>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</si>
  <si>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</si>
  <si>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</si>
  <si>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</si>
  <si>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</si>
  <si>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</si>
  <si>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</si>
  <si>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</si>
  <si>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</si>
  <si>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</si>
  <si>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</si>
  <si>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</si>
  <si>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</si>
  <si>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</si>
  <si>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</si>
  <si>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</si>
  <si>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</si>
  <si>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</si>
  <si>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</si>
  <si>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</si>
  <si>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</si>
  <si>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</si>
  <si>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</si>
  <si>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</si>
  <si>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</si>
  <si>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</si>
  <si>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</si>
  <si>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</si>
  <si>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</si>
  <si>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</si>
  <si>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</si>
  <si>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</si>
  <si>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</si>
  <si>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</si>
  <si>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</si>
  <si>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</si>
  <si>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</si>
  <si>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</si>
  <si>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</si>
  <si>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</si>
  <si>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</si>
  <si>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</si>
  <si>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</si>
  <si>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</si>
  <si>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</si>
  <si>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</si>
  <si>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</si>
  <si>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</si>
  <si>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</si>
  <si>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</si>
  <si>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</si>
  <si>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</si>
  <si>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</si>
  <si>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</si>
  <si>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</si>
  <si>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</si>
  <si>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</si>
  <si>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</si>
  <si>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</si>
  <si>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</si>
  <si>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</si>
  <si>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</si>
  <si>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</si>
  <si>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</si>
  <si>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</si>
  <si>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</si>
  <si>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</si>
  <si>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</si>
  <si>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</si>
  <si>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</si>
  <si>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</si>
  <si>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</si>
  <si>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</si>
  <si>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</si>
  <si>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</si>
  <si>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</si>
  <si>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</si>
  <si>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</si>
  <si>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</si>
  <si>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</si>
  <si>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</si>
  <si>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</si>
  <si>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</si>
  <si>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</si>
  <si>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</si>
  <si>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</si>
  <si>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</si>
  <si>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</si>
  <si>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</si>
  <si>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</si>
  <si>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</si>
  <si>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</si>
  <si>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</si>
  <si>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</si>
  <si>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</si>
  <si>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</si>
  <si>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</si>
  <si>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</si>
  <si>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</si>
  <si>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</si>
  <si>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</si>
  <si>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</si>
  <si>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</si>
  <si>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</si>
  <si>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</si>
  <si>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</si>
  <si>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</si>
  <si>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</si>
  <si>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</si>
  <si>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</si>
  <si>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</si>
  <si>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</si>
  <si>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</si>
  <si>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</si>
  <si>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</si>
  <si>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</si>
  <si>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</si>
  <si>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</si>
  <si>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</si>
  <si>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</si>
  <si>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</si>
  <si>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</si>
  <si>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</si>
  <si>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</si>
  <si>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</si>
  <si>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</si>
  <si>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</si>
  <si>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</si>
  <si>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</si>
  <si>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</si>
  <si>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</si>
  <si>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</si>
  <si>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</si>
  <si>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</si>
  <si>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</si>
  <si>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</si>
  <si>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</si>
  <si>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</si>
  <si>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</si>
  <si>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</si>
  <si>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</si>
  <si>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</si>
  <si>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</si>
  <si>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</si>
  <si>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</si>
  <si>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</si>
  <si>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</si>
  <si>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</si>
  <si>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</si>
  <si>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</si>
  <si>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</si>
  <si>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</si>
  <si>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</si>
  <si>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</si>
  <si>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</si>
  <si>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</si>
  <si>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</si>
  <si>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</si>
  <si>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</si>
  <si>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</si>
  <si>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</si>
  <si>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</si>
  <si>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</si>
  <si>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</si>
  <si>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</si>
  <si>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</si>
  <si>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</si>
  <si>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</si>
  <si>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</si>
  <si>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</si>
  <si>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</si>
  <si>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</si>
  <si>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</si>
  <si>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</si>
  <si>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</si>
  <si>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</si>
  <si>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</si>
  <si>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</si>
  <si>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</si>
  <si>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</si>
  <si>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</si>
  <si>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</si>
  <si>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</si>
  <si>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</si>
  <si>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</si>
  <si>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</si>
  <si>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</si>
  <si>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</si>
  <si>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</si>
  <si>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</si>
  <si>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</si>
  <si>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</si>
  <si>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</si>
  <si>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</si>
  <si>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</si>
  <si>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</si>
  <si>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</si>
  <si>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</si>
  <si>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</si>
  <si>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</si>
  <si>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</si>
  <si>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</si>
  <si>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</si>
  <si>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</si>
  <si>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</si>
  <si>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</si>
  <si>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</si>
  <si>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</si>
  <si>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</si>
  <si>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</si>
  <si>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</si>
  <si>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</si>
  <si>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</si>
  <si>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</si>
  <si>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</si>
  <si>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</si>
  <si>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</si>
  <si>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</si>
  <si>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</si>
  <si>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</si>
  <si>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</si>
  <si>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</si>
  <si>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</si>
  <si>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</si>
  <si>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</si>
  <si>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</si>
  <si>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</si>
  <si>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</si>
  <si>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</si>
  <si>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</si>
  <si>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</si>
  <si>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</si>
  <si>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</si>
  <si>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</si>
  <si>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</si>
  <si>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</si>
  <si>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</si>
  <si>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</si>
  <si>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</si>
  <si>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</si>
  <si>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</si>
  <si>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</si>
  <si>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</si>
  <si>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</si>
  <si>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</si>
  <si>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</si>
  <si>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</si>
  <si>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</si>
  <si>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</si>
  <si>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</si>
  <si>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</si>
  <si>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</si>
  <si>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</si>
  <si>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</si>
  <si>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</si>
  <si>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</si>
  <si>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</si>
  <si>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</si>
  <si>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</si>
  <si>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</si>
  <si>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</si>
  <si>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</si>
  <si>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</si>
  <si>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</si>
  <si>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</si>
  <si>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</si>
  <si>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</si>
  <si>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</si>
  <si>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</si>
  <si>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</si>
  <si>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</si>
  <si>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</si>
  <si>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</si>
  <si>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</si>
  <si>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</si>
  <si>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</si>
  <si>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</si>
  <si>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</si>
  <si>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</si>
  <si>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</si>
  <si>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</si>
  <si>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</si>
  <si>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</si>
  <si>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</si>
  <si>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</si>
  <si>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</si>
  <si>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</si>
  <si>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</si>
  <si>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</si>
  <si>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</si>
  <si>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</si>
  <si>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</si>
  <si>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</si>
  <si>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</si>
  <si>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</si>
  <si>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</si>
  <si>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</si>
  <si>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</si>
  <si>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</si>
  <si>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</si>
  <si>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</si>
  <si>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</si>
  <si>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</si>
  <si>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</si>
  <si>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</si>
  <si>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</si>
  <si>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</si>
  <si>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</si>
  <si>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</si>
  <si>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</si>
  <si>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</si>
  <si>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</si>
  <si>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</si>
  <si>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</si>
  <si>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</si>
  <si>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</si>
  <si>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</si>
  <si>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</si>
  <si>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</si>
  <si>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</si>
  <si>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</si>
  <si>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</si>
  <si>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</si>
  <si>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</si>
  <si>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</si>
  <si>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</si>
  <si>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</si>
  <si>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</si>
  <si>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</si>
  <si>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</si>
  <si>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</si>
  <si>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</si>
  <si>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</si>
  <si>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</si>
  <si>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</si>
  <si>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</si>
  <si>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</si>
  <si>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</si>
  <si>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</si>
  <si>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</si>
  <si>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</si>
  <si>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</si>
  <si>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</si>
  <si>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</si>
  <si>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</si>
  <si>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</si>
  <si>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</si>
  <si>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</si>
  <si>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</si>
  <si>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</si>
  <si>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</si>
  <si>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</si>
  <si>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</si>
  <si>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</si>
  <si>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</si>
  <si>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</si>
  <si>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</si>
  <si>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</si>
  <si>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</si>
  <si>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</si>
  <si>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</si>
  <si>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</si>
  <si>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</si>
  <si>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</si>
  <si>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</si>
  <si>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</si>
  <si>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</si>
  <si>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</si>
  <si>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</si>
  <si>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</si>
  <si>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</si>
  <si>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</si>
  <si>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</si>
  <si>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</si>
  <si>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</si>
  <si>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</si>
  <si>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</si>
  <si>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</si>
  <si>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</si>
  <si>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</si>
  <si>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</si>
  <si>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</si>
  <si>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</si>
  <si>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</si>
  <si>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</si>
  <si>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</si>
  <si>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</si>
  <si>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</si>
  <si>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</si>
  <si>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</si>
  <si>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</si>
  <si>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</si>
  <si>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</si>
  <si>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</si>
  <si>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</si>
  <si>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</si>
  <si>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</si>
  <si>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</si>
  <si>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</si>
  <si>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</si>
  <si>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</si>
  <si>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</si>
  <si>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</si>
  <si>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</si>
  <si>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</si>
  <si>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</si>
  <si>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</si>
  <si>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</si>
  <si>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</si>
  <si>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</si>
  <si>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</si>
  <si>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</si>
  <si>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</si>
  <si>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</si>
  <si>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</si>
  <si>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</si>
  <si>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</si>
  <si>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</si>
  <si>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</si>
  <si>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</si>
  <si>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</si>
  <si>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</si>
  <si>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</si>
  <si>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</si>
  <si>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</si>
  <si>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</si>
  <si>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</si>
  <si>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</si>
  <si>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</si>
  <si>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</si>
  <si>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</si>
  <si>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</si>
  <si>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</si>
  <si>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</si>
  <si>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</si>
  <si>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</si>
  <si>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</si>
  <si>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</si>
  <si>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</si>
  <si>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</si>
  <si>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</si>
  <si>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</si>
  <si>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</si>
  <si>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</si>
  <si>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</si>
  <si>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</si>
  <si>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</si>
  <si>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</si>
  <si>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</si>
  <si>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</si>
  <si>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</si>
  <si>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</si>
  <si>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</si>
  <si>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</si>
  <si>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</si>
  <si>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</si>
  <si>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</si>
  <si>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</si>
  <si>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</si>
  <si>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</si>
  <si>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</si>
  <si>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</si>
  <si>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</si>
  <si>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</si>
  <si>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</si>
  <si>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</si>
  <si>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</si>
  <si>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</si>
  <si>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</si>
  <si>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</si>
  <si>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</si>
  <si>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</si>
  <si>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</si>
  <si>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</si>
  <si>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</si>
  <si>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</si>
  <si>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</si>
  <si>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</si>
  <si>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</si>
  <si>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</si>
  <si>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</si>
  <si>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</si>
  <si>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</si>
  <si>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</si>
  <si>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</si>
  <si>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</si>
  <si>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</si>
  <si>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</si>
  <si>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</si>
  <si>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</si>
  <si>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</si>
  <si>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</si>
  <si>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</si>
  <si>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</si>
  <si>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</si>
  <si>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</si>
  <si>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</si>
  <si>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</si>
  <si>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</si>
  <si>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</si>
  <si>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</si>
  <si>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</si>
  <si>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</si>
  <si>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</si>
  <si>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</si>
  <si>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</si>
  <si>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</si>
  <si>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</si>
  <si>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</si>
  <si>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</si>
  <si>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</si>
  <si>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</si>
  <si>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</si>
  <si>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</si>
  <si>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</si>
  <si>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</si>
  <si>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</si>
  <si>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</si>
  <si>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</si>
  <si>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</si>
  <si>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</si>
  <si>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</si>
  <si>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</si>
  <si>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</si>
  <si>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</si>
  <si>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</si>
  <si>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</si>
  <si>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</si>
  <si>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</si>
  <si>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</si>
  <si>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</si>
  <si>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</si>
  <si>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</si>
  <si>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</si>
  <si>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</si>
  <si>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</si>
  <si>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</si>
  <si>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</si>
  <si>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</si>
  <si>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</si>
  <si>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</si>
  <si>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</si>
  <si>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</si>
  <si>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</si>
  <si>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</si>
  <si>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</si>
  <si>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</si>
  <si>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</si>
  <si>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</si>
  <si>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</si>
  <si>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</si>
  <si>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</si>
  <si>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</si>
  <si>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</si>
  <si>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</si>
  <si>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</si>
  <si>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</si>
  <si>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</si>
  <si>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</si>
  <si>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</si>
  <si>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</si>
  <si>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</si>
  <si>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</si>
  <si>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</si>
  <si>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</si>
  <si>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</si>
  <si>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</si>
  <si>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</si>
  <si>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</si>
  <si>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</si>
  <si>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</si>
  <si>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</si>
  <si>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</si>
  <si>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</si>
  <si>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</si>
  <si>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</si>
  <si>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</si>
  <si>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</si>
  <si>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</si>
  <si>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</si>
  <si>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</si>
  <si>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</si>
  <si>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</si>
  <si>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</si>
  <si>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</si>
  <si>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</si>
  <si>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</si>
  <si>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</si>
  <si>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</si>
  <si>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</si>
  <si>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</si>
  <si>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</si>
  <si>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</si>
  <si>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</si>
  <si>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</si>
  <si>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</si>
  <si>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</si>
  <si>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</si>
  <si>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</si>
  <si>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</si>
  <si>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</si>
  <si>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</si>
  <si>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</si>
  <si>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</si>
  <si>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</si>
  <si>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</si>
  <si>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</si>
  <si>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</si>
  <si>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</si>
  <si>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</si>
  <si>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</si>
  <si>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</si>
  <si>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</si>
  <si>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</si>
  <si>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</si>
  <si>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</si>
  <si>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</si>
  <si>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</si>
  <si>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</si>
  <si>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</si>
  <si>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</si>
  <si>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</si>
  <si>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</si>
  <si>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</si>
  <si>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</si>
  <si>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</si>
  <si>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</si>
  <si>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</si>
  <si>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</si>
  <si>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</si>
  <si>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</si>
  <si>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</si>
  <si>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</si>
  <si>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</si>
  <si>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</si>
  <si>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</si>
  <si>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</si>
  <si>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</si>
  <si>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</si>
  <si>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</si>
  <si>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</si>
  <si>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</si>
  <si>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</si>
  <si>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</si>
  <si>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</si>
  <si>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</si>
  <si>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</si>
  <si>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</si>
  <si>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</si>
  <si>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</si>
  <si>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</si>
  <si>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</si>
  <si>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</si>
  <si>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</si>
  <si>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</si>
  <si>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</si>
  <si>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</si>
  <si>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</si>
  <si>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</si>
  <si>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</si>
  <si>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</si>
  <si>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</si>
  <si>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</si>
  <si>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</si>
  <si>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</si>
  <si>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</si>
  <si>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</si>
  <si>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</si>
  <si>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</si>
  <si>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</si>
  <si>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</si>
  <si>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</si>
  <si>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</si>
  <si>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</si>
  <si>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</si>
  <si>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</si>
  <si>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</si>
  <si>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</si>
  <si>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</si>
  <si>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</si>
  <si>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</si>
  <si>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</si>
  <si>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</si>
  <si>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</si>
  <si>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</si>
  <si>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</si>
  <si>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</si>
  <si>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</si>
  <si>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</si>
  <si>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</si>
  <si>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</si>
  <si>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</si>
  <si>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</si>
  <si>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</si>
  <si>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</si>
  <si>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</si>
  <si>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</si>
  <si>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</si>
  <si>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</si>
  <si>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</si>
  <si>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</si>
  <si>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</si>
  <si>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</si>
  <si>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</si>
  <si>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</si>
  <si>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</si>
  <si>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</si>
  <si>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</si>
  <si>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</si>
  <si>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</si>
  <si>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</si>
  <si>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</si>
  <si>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</si>
  <si>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</si>
  <si>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</si>
  <si>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</si>
  <si>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</si>
  <si>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</si>
  <si>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</si>
  <si>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</si>
  <si>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</si>
  <si>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</si>
  <si>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</si>
  <si>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</si>
  <si>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</si>
  <si>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</si>
  <si>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</si>
  <si>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</si>
  <si>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</si>
  <si>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</si>
  <si>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</si>
  <si>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</si>
  <si>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</si>
  <si>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</si>
  <si>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</si>
  <si>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</si>
  <si>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</si>
  <si>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</si>
  <si>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</si>
  <si>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</si>
  <si>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</si>
  <si>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</si>
  <si>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</si>
  <si>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</si>
  <si>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</si>
  <si>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</si>
  <si>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</si>
  <si>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</si>
  <si>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</si>
  <si>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</si>
  <si>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</si>
  <si>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</si>
  <si>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</si>
  <si>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</si>
  <si>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</si>
  <si>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</si>
  <si>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</si>
  <si>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</si>
  <si>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</si>
  <si>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</si>
  <si>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</si>
  <si>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</si>
  <si>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</si>
  <si>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</si>
  <si>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</si>
  <si>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</si>
  <si>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</si>
  <si>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</si>
  <si>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</si>
  <si>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</si>
  <si>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</si>
  <si>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</si>
  <si>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</si>
  <si>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</si>
  <si>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</si>
  <si>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</si>
  <si>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</si>
  <si>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</si>
  <si>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</si>
  <si>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</si>
  <si>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</si>
  <si>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</si>
  <si>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</si>
  <si>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</si>
  <si>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</si>
  <si>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</si>
  <si>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</si>
  <si>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</si>
  <si>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</si>
  <si>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</si>
  <si>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</si>
  <si>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</si>
  <si>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</si>
  <si>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</si>
  <si>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</si>
  <si>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</si>
  <si>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</si>
  <si>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</si>
  <si>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</si>
  <si>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</si>
  <si>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</si>
  <si>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</si>
  <si>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</si>
  <si>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</si>
  <si>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</si>
  <si>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</si>
  <si>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</si>
  <si>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</si>
  <si>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</si>
  <si>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</si>
  <si>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</si>
  <si>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</si>
  <si>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</si>
  <si>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</si>
  <si>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</si>
  <si>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</si>
  <si>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</si>
  <si>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</si>
  <si>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</si>
  <si>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</si>
  <si>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</si>
  <si>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</si>
  <si>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</si>
  <si>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</si>
  <si>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</si>
  <si>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</si>
  <si>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</si>
  <si>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</si>
  <si>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</si>
  <si>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</si>
  <si>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</si>
  <si>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</si>
  <si>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</si>
  <si>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</si>
  <si>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</si>
  <si>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</si>
  <si>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</si>
  <si>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</si>
  <si>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</si>
  <si>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</si>
  <si>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</si>
  <si>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</si>
  <si>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</si>
  <si>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</si>
  <si>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</si>
  <si>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</si>
  <si>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</si>
  <si>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</si>
  <si>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</si>
  <si>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</si>
  <si>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</si>
  <si>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</si>
  <si>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</si>
  <si>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</si>
  <si>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</si>
  <si>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</si>
  <si>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</si>
  <si>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</si>
  <si>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</si>
  <si>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</si>
  <si>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</si>
  <si>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</si>
  <si>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</si>
  <si>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</si>
  <si>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</si>
  <si>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</si>
  <si>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</si>
  <si>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</si>
  <si>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</si>
  <si>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</si>
  <si>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</si>
  <si>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</si>
  <si>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</si>
  <si>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</si>
  <si>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</si>
  <si>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</si>
  <si>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</si>
  <si>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</si>
  <si>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</si>
  <si>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</si>
  <si>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</si>
  <si>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</si>
  <si>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</si>
  <si>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</si>
  <si>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</si>
  <si>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</si>
  <si>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</si>
  <si>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</si>
  <si>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</si>
  <si>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</si>
  <si>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</si>
  <si>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</si>
  <si>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</si>
  <si>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</si>
  <si>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</si>
  <si>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</si>
  <si>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</si>
  <si>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</si>
  <si>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</si>
  <si>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</si>
  <si>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</si>
  <si>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</si>
  <si>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</si>
  <si>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</si>
  <si>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</si>
  <si>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</si>
  <si>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</si>
  <si>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</si>
  <si>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</si>
  <si>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</si>
  <si>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</si>
  <si>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</si>
  <si>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</si>
  <si>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</si>
  <si>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</si>
  <si>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</si>
  <si>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</si>
  <si>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</si>
  <si>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</si>
  <si>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</si>
  <si>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</si>
  <si>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</si>
  <si>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</si>
  <si>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</si>
  <si>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</si>
  <si>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</si>
  <si>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</si>
  <si>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</si>
  <si>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</si>
  <si>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</si>
  <si>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</si>
  <si>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</si>
  <si>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</si>
  <si>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</si>
  <si>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</si>
  <si>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</si>
  <si>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</si>
  <si>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</si>
  <si>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</si>
  <si>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</si>
  <si>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</si>
  <si>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</si>
  <si>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</si>
  <si>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</si>
  <si>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</si>
  <si>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</si>
  <si>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</si>
  <si>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</si>
  <si>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</si>
  <si>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</si>
  <si>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</si>
  <si>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</si>
  <si>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</si>
  <si>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</si>
  <si>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</si>
  <si>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</si>
  <si>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</si>
  <si>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</si>
  <si>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</si>
  <si>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</si>
  <si>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</si>
  <si>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</si>
  <si>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</si>
  <si>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</si>
  <si>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</si>
  <si>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</si>
  <si>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</si>
  <si>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</si>
  <si>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</si>
  <si>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</si>
  <si>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</si>
  <si>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</si>
  <si>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</si>
  <si>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</si>
  <si>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</si>
  <si>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</si>
  <si>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</si>
  <si>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</si>
  <si>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</si>
  <si>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</si>
  <si>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</si>
  <si>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</si>
  <si>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</si>
  <si>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</si>
  <si>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</si>
  <si>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</si>
  <si>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</si>
  <si>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</si>
  <si>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</si>
  <si>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</si>
  <si>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</si>
  <si>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</si>
  <si>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</si>
  <si>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</si>
  <si>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</si>
  <si>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</si>
  <si>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</si>
  <si>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</si>
  <si>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</si>
  <si>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</si>
  <si>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</si>
  <si>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</si>
  <si>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</si>
  <si>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</si>
  <si>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</si>
  <si>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</si>
  <si>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</si>
  <si>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</si>
  <si>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</si>
  <si>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</si>
  <si>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</si>
  <si>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</si>
  <si>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</si>
  <si>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</si>
  <si>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</si>
  <si>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</si>
  <si>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</si>
  <si>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</si>
  <si>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</si>
  <si>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</si>
  <si>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</si>
  <si>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</si>
  <si>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</si>
  <si>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</si>
  <si>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</si>
  <si>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</si>
  <si>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</si>
  <si>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</si>
  <si>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</si>
  <si>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</si>
  <si>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</si>
  <si>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</si>
  <si>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</si>
  <si>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</si>
  <si>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</si>
  <si>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</si>
  <si>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</si>
  <si>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</si>
  <si>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</si>
  <si>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</si>
  <si>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</si>
  <si>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</si>
  <si>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</si>
  <si>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</si>
  <si>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</si>
  <si>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</si>
  <si>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</si>
  <si>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</si>
  <si>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</si>
  <si>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</si>
  <si>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</si>
  <si>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</si>
  <si>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</si>
  <si>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</si>
  <si>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</si>
  <si>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</si>
  <si>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</si>
  <si>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</si>
  <si>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</si>
  <si>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</si>
  <si>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</si>
  <si>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</si>
  <si>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</si>
  <si>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</si>
  <si>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</si>
  <si>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</si>
  <si>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</si>
  <si>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</si>
  <si>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</si>
  <si>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</si>
  <si>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</si>
  <si>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</si>
  <si>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</si>
  <si>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</si>
  <si>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</si>
  <si>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</si>
  <si>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</si>
  <si>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</si>
  <si>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</si>
  <si>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</si>
  <si>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</si>
  <si>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</si>
  <si>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</si>
  <si>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</si>
  <si>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</si>
  <si>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</si>
  <si>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</si>
  <si>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</si>
  <si>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</si>
  <si>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</si>
  <si>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</si>
  <si>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</si>
  <si>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</si>
  <si>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</si>
  <si>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</si>
  <si>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</si>
  <si>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</si>
  <si>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</si>
  <si>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</si>
  <si>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</si>
  <si>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</si>
  <si>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</si>
  <si>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</si>
  <si>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</si>
  <si>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</si>
  <si>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</si>
  <si>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</si>
  <si>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</si>
  <si>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</si>
  <si>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</si>
  <si>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</si>
  <si>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</si>
  <si>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</si>
  <si>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</si>
  <si>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</si>
  <si>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</si>
  <si>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</si>
  <si>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</si>
  <si>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</si>
  <si>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</si>
  <si>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</si>
  <si>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</si>
  <si>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</si>
  <si>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</si>
  <si>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</si>
  <si>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</si>
  <si>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</si>
  <si>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</si>
  <si>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</si>
  <si>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</si>
  <si>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</si>
  <si>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</si>
  <si>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</si>
  <si>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</si>
  <si>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</si>
  <si>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</si>
  <si>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</si>
  <si>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</si>
  <si>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</si>
  <si>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</si>
  <si>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</si>
  <si>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</si>
  <si>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</si>
  <si>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</si>
  <si>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</si>
  <si>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</si>
  <si>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</si>
  <si>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</si>
  <si>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</si>
  <si>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</si>
  <si>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</si>
  <si>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</si>
  <si>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</si>
  <si>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</si>
  <si>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</si>
  <si>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</si>
  <si>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</si>
  <si>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</si>
  <si>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</si>
  <si>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</si>
  <si>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</si>
  <si>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</si>
  <si>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</si>
  <si>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</si>
  <si>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</si>
  <si>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</si>
  <si>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</si>
  <si>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</si>
  <si>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</si>
  <si>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</si>
  <si>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</si>
  <si>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</si>
  <si>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</si>
  <si>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</si>
  <si>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</si>
  <si>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</si>
  <si>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</si>
  <si>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</si>
  <si>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</si>
  <si>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</si>
  <si>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</si>
  <si>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</si>
  <si>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</si>
  <si>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</si>
  <si>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</si>
  <si>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</si>
  <si>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</si>
  <si>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</si>
  <si>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</si>
  <si>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</si>
  <si>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</si>
  <si>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</si>
  <si>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</si>
  <si>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</si>
  <si>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</si>
  <si>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</si>
  <si>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</si>
  <si>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</si>
  <si>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</si>
  <si>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</si>
  <si>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</si>
  <si>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</si>
  <si>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</si>
  <si>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</si>
  <si>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</si>
  <si>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</si>
  <si>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</si>
  <si>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</si>
  <si>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</si>
  <si>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</si>
  <si>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</si>
  <si>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</si>
  <si>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</si>
  <si>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</si>
  <si>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</si>
  <si>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</si>
  <si>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</si>
  <si>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</si>
  <si>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</si>
  <si>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</si>
  <si>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</si>
  <si>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</si>
  <si>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</si>
  <si>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</si>
  <si>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</si>
  <si>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</si>
  <si>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</si>
  <si>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</si>
  <si>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</si>
  <si>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</si>
  <si>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</si>
  <si>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</si>
  <si>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</si>
  <si>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</si>
  <si>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</si>
  <si>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</si>
  <si>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</si>
  <si>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</si>
  <si>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</si>
  <si>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</si>
  <si>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</si>
  <si>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</si>
  <si>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</si>
  <si>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</si>
  <si>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</si>
  <si>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</si>
  <si>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</si>
  <si>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</si>
  <si>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</si>
  <si>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</si>
  <si>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</si>
  <si>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</si>
  <si>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</si>
  <si>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</si>
  <si>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</si>
  <si>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</si>
  <si>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</si>
  <si>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</si>
  <si>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</si>
  <si>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</si>
  <si>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</si>
  <si>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</si>
  <si>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</si>
  <si>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</si>
  <si>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</si>
  <si>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</si>
  <si>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</si>
  <si>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</si>
  <si>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</si>
  <si>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</si>
  <si>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</si>
  <si>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</si>
  <si>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</si>
  <si>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</si>
  <si>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</si>
  <si>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</si>
  <si>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</si>
  <si>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</si>
  <si>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</si>
  <si>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</si>
  <si>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</si>
  <si>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</si>
  <si>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</si>
  <si>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</si>
  <si>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</si>
  <si>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</si>
  <si>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</si>
  <si>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</si>
  <si>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</si>
  <si>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</si>
  <si>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</si>
  <si>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</si>
  <si>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</si>
  <si>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</si>
  <si>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</si>
  <si>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</si>
  <si>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</si>
  <si>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</si>
  <si>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</si>
  <si>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</si>
  <si>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</si>
  <si>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</si>
  <si>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</si>
  <si>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</si>
  <si>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</si>
  <si>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</si>
  <si>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</si>
  <si>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</si>
  <si>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</si>
  <si>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</si>
  <si>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</si>
  <si>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</si>
  <si>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</si>
  <si>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</si>
  <si>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</si>
  <si>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</si>
  <si>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</si>
  <si>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</si>
  <si>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</si>
  <si>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</si>
  <si>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</si>
  <si>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</si>
  <si>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</si>
  <si>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</si>
  <si>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</si>
  <si>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</si>
  <si>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</si>
  <si>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</si>
  <si>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</si>
  <si>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</si>
  <si>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</si>
  <si>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</si>
  <si>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</si>
  <si>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</si>
  <si>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</si>
  <si>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</si>
  <si>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</si>
  <si>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</si>
  <si>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</si>
  <si>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</si>
  <si>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</si>
  <si>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</si>
  <si>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</si>
  <si>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</si>
  <si>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</si>
  <si>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</si>
  <si>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</si>
  <si>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</si>
  <si>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</si>
  <si>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</si>
  <si>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</si>
  <si>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</si>
  <si>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</si>
  <si>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</si>
  <si>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</si>
  <si>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</si>
  <si>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</si>
  <si>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</si>
  <si>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</si>
  <si>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</si>
  <si>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</si>
  <si>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</si>
  <si>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</si>
  <si>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</si>
  <si>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</si>
  <si>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</si>
  <si>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</si>
  <si>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</si>
  <si>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</si>
  <si>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</si>
  <si>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</si>
  <si>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</si>
  <si>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</si>
  <si>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</si>
  <si>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</si>
  <si>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</si>
  <si>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</si>
  <si>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</si>
  <si>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</si>
  <si>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</si>
  <si>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</si>
  <si>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</si>
  <si>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</si>
  <si>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</si>
  <si>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</si>
  <si>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</si>
  <si>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</si>
  <si>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</si>
  <si>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</si>
  <si>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</si>
  <si>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</si>
  <si>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</si>
  <si>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</si>
  <si>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</si>
  <si>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</si>
  <si>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</si>
  <si>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</si>
  <si>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</si>
  <si>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</si>
  <si>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</si>
  <si>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</si>
  <si>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</si>
  <si>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</si>
  <si>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</si>
  <si>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</si>
  <si>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</si>
  <si>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</si>
  <si>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</si>
  <si>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</si>
  <si>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</si>
  <si>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</si>
  <si>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</si>
  <si>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</si>
  <si>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</si>
  <si>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</si>
  <si>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</si>
  <si>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</si>
  <si>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</si>
  <si>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</si>
  <si>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</si>
  <si>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</si>
  <si>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</si>
  <si>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</si>
  <si>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</si>
  <si>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</si>
  <si>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</si>
  <si>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</si>
  <si>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</si>
  <si>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</si>
  <si>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</si>
  <si>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</si>
  <si>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</si>
  <si>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</si>
  <si>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</si>
  <si>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</si>
  <si>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</si>
  <si>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</si>
  <si>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</si>
  <si>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</si>
  <si>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</si>
  <si>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</si>
  <si>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</si>
  <si>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</si>
  <si>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</si>
  <si>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</si>
  <si>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</si>
  <si>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</si>
  <si>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</si>
  <si>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</si>
  <si>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</si>
  <si>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</si>
  <si>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</si>
  <si>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</si>
  <si>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</si>
  <si>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</si>
  <si>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</si>
  <si>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</si>
  <si>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</si>
  <si>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</si>
  <si>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</si>
  <si>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</si>
  <si>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</si>
  <si>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</si>
  <si>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</si>
  <si>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</si>
  <si>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</si>
  <si>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</si>
  <si>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</si>
  <si>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</si>
  <si>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</si>
  <si>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</si>
  <si>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</si>
  <si>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</si>
  <si>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</si>
  <si>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</si>
  <si>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</si>
  <si>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</si>
  <si>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</si>
  <si>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</si>
  <si>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</si>
  <si>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</si>
  <si>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</si>
  <si>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</si>
  <si>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</si>
  <si>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</si>
  <si>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</si>
  <si>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</si>
  <si>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</si>
  <si>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</si>
  <si>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</si>
  <si>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</si>
  <si>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</si>
  <si>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</si>
  <si>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</si>
  <si>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</si>
  <si>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</si>
  <si>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</si>
  <si>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</si>
  <si>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</si>
  <si>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</si>
  <si>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</si>
  <si>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</si>
  <si>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</si>
  <si>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</si>
  <si>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</si>
  <si>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</si>
  <si>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</si>
  <si>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</si>
  <si>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</si>
  <si>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</si>
  <si>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</si>
  <si>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</si>
  <si>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</si>
  <si>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</si>
  <si>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</si>
  <si>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</si>
  <si>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</si>
  <si>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</si>
  <si>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</si>
  <si>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</si>
  <si>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</si>
  <si>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</si>
  <si>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</si>
  <si>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</si>
  <si>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</si>
  <si>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</si>
  <si>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</si>
  <si>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</si>
  <si>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</si>
  <si>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</si>
  <si>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</si>
  <si>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</si>
  <si>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</si>
  <si>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</si>
  <si>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</si>
  <si>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</si>
  <si>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</si>
  <si>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</si>
  <si>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</si>
  <si>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</si>
  <si>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</si>
  <si>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</si>
  <si>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</si>
  <si>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</si>
  <si>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</si>
  <si>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</si>
  <si>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</si>
  <si>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</si>
  <si>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</si>
  <si>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</si>
  <si>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</si>
  <si>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</si>
  <si>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</si>
  <si>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</si>
  <si>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</si>
  <si>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</si>
  <si>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</si>
  <si>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</si>
  <si>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</si>
  <si>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</si>
  <si>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</si>
  <si>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</si>
  <si>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</si>
  <si>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</si>
  <si>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</si>
  <si>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</si>
  <si>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</si>
  <si>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</si>
  <si>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</si>
  <si>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</si>
  <si>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</si>
  <si>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</si>
  <si>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</si>
  <si>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</si>
  <si>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</si>
  <si>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</si>
  <si>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</si>
  <si>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</si>
  <si>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</si>
  <si>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</si>
  <si>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</si>
  <si>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</si>
  <si>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</si>
  <si>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</si>
  <si>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</si>
  <si>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</si>
  <si>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</si>
  <si>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</si>
  <si>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</si>
  <si>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</si>
  <si>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</si>
  <si>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</si>
  <si>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</si>
  <si>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</si>
  <si>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</si>
  <si>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</si>
  <si>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</si>
  <si>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</si>
  <si>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</si>
  <si>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</si>
  <si>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</si>
  <si>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</si>
  <si>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</si>
  <si>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</si>
  <si>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</si>
  <si>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</si>
  <si>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</si>
  <si>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</si>
  <si>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</si>
  <si>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</si>
  <si>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</si>
  <si>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</si>
  <si>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</si>
  <si>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</si>
  <si>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</si>
  <si>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</si>
  <si>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</si>
  <si>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</si>
  <si>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</si>
  <si>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</si>
  <si>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</si>
  <si>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</si>
  <si>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</si>
  <si>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</si>
  <si>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</si>
  <si>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</si>
  <si>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</si>
  <si>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</si>
  <si>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</si>
  <si>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</si>
  <si>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</si>
  <si>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</si>
  <si>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</si>
  <si>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</si>
  <si>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</si>
  <si>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</si>
  <si>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</si>
  <si>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</si>
  <si>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</si>
  <si>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</si>
  <si>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</si>
  <si>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</si>
  <si>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</si>
  <si>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</si>
  <si>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</si>
  <si>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</si>
  <si>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</si>
  <si>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</si>
  <si>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</si>
  <si>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</si>
  <si>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</si>
  <si>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</si>
  <si>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</si>
  <si>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</si>
  <si>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</si>
  <si>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</si>
  <si>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</si>
  <si>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</si>
  <si>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</si>
  <si>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</si>
  <si>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</si>
  <si>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</si>
  <si>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</si>
  <si>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</si>
  <si>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</si>
  <si>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</si>
  <si>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</si>
  <si>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</si>
  <si>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</si>
  <si>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</si>
  <si>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</si>
  <si>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</si>
  <si>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</si>
  <si>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</si>
  <si>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</si>
  <si>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</si>
  <si>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</si>
  <si>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</si>
  <si>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</si>
  <si>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</si>
  <si>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</si>
  <si>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</si>
  <si>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</si>
  <si>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</si>
  <si>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</si>
  <si>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</si>
  <si>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</si>
  <si>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</si>
  <si>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</si>
  <si>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</si>
  <si>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</si>
  <si>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</si>
  <si>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</si>
  <si>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</si>
  <si>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</si>
  <si>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</si>
  <si>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</si>
  <si>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</si>
  <si>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</si>
  <si>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</si>
  <si>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</si>
  <si>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</si>
  <si>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</si>
  <si>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</si>
  <si>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</si>
  <si>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</si>
  <si>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</si>
  <si>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</si>
  <si>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</si>
  <si>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</si>
  <si>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</si>
  <si>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</si>
  <si>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</si>
  <si>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</si>
  <si>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</si>
  <si>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</si>
  <si>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</si>
  <si>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</si>
  <si>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</si>
  <si>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</si>
  <si>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</si>
  <si>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</si>
  <si>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</si>
  <si>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</si>
  <si>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</si>
  <si>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</si>
  <si>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</si>
  <si>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</si>
  <si>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</si>
  <si>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</si>
  <si>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</si>
  <si>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</si>
  <si>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</si>
  <si>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</si>
  <si>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</si>
  <si>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</si>
  <si>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</si>
  <si>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</si>
  <si>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</si>
  <si>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</si>
  <si>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</si>
  <si>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</si>
  <si>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</si>
  <si>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</si>
  <si>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</si>
  <si>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</si>
  <si>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</si>
  <si>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</si>
  <si>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</si>
  <si>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</si>
  <si>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</si>
  <si>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</si>
  <si>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</si>
  <si>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</si>
  <si>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</si>
  <si>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</si>
  <si>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</si>
  <si>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</si>
  <si>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</si>
  <si>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</si>
  <si>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</si>
  <si>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</si>
  <si>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</si>
  <si>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</si>
  <si>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</si>
  <si>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</si>
  <si>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</si>
  <si>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</si>
  <si>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</si>
  <si>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</si>
  <si>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</si>
  <si>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</si>
  <si>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</si>
  <si>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</si>
  <si>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</si>
  <si>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</si>
  <si>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</si>
  <si>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</si>
  <si>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</si>
  <si>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</si>
  <si>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</si>
  <si>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</si>
  <si>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</si>
  <si>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</si>
  <si>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</si>
  <si>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</si>
  <si>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</si>
  <si>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</si>
  <si>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</si>
  <si>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</si>
  <si>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</si>
  <si>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</si>
  <si>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</si>
  <si>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</si>
  <si>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</si>
  <si>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</si>
  <si>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</si>
  <si>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</si>
  <si>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</si>
  <si>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</si>
  <si>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</si>
  <si>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</si>
  <si>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</si>
  <si>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</si>
  <si>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</si>
  <si>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</si>
  <si>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</si>
  <si>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</si>
  <si>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</si>
  <si>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</si>
  <si>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</si>
  <si>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</si>
  <si>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</si>
  <si>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</si>
  <si>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</si>
  <si>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</si>
  <si>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</si>
  <si>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</si>
  <si>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</si>
  <si>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</si>
  <si>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</si>
  <si>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</si>
  <si>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</si>
  <si>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</si>
  <si>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</si>
  <si>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</si>
  <si>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</si>
  <si>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</si>
  <si>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</si>
  <si>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</si>
  <si>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</si>
  <si>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</si>
  <si>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</si>
  <si>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</si>
  <si>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</si>
  <si>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</si>
  <si>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</si>
  <si>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</si>
  <si>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</si>
  <si>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</si>
  <si>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</si>
  <si>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</si>
  <si>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</si>
  <si>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</si>
  <si>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</si>
  <si>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</si>
  <si>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</si>
  <si>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</si>
  <si>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</si>
  <si>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</si>
  <si>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</si>
  <si>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</si>
  <si>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</si>
  <si>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</si>
  <si>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</si>
  <si>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</si>
  <si>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</si>
  <si>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</si>
  <si>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</si>
  <si>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</si>
  <si>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</si>
  <si>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</si>
  <si>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</si>
  <si>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</si>
  <si>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</si>
  <si>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</si>
  <si>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</si>
  <si>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</si>
  <si>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</si>
  <si>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</si>
  <si>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</si>
  <si>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</si>
  <si>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</si>
  <si>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</si>
  <si>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</si>
  <si>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</si>
  <si>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</si>
  <si>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</si>
  <si>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</si>
  <si>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</si>
  <si>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</si>
  <si>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</si>
  <si>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</si>
  <si>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</si>
  <si>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</si>
  <si>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</si>
  <si>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</si>
  <si>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</si>
  <si>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</si>
  <si>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</si>
  <si>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</si>
  <si>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</si>
  <si>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</si>
  <si>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</si>
  <si>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</si>
  <si>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</si>
  <si>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</si>
  <si>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</si>
  <si>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</si>
  <si>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</si>
  <si>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</si>
  <si>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</si>
  <si>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</si>
  <si>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</si>
  <si>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</si>
  <si>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</si>
  <si>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</si>
  <si>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</si>
  <si>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</si>
  <si>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</si>
  <si>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</si>
  <si>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</si>
  <si>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</si>
  <si>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</si>
  <si>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</si>
  <si>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</si>
  <si>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</si>
  <si>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</si>
  <si>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</si>
  <si>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</si>
  <si>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</si>
  <si>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</si>
  <si>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</si>
  <si>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</si>
  <si>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</si>
  <si>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</si>
  <si>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</si>
  <si>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</si>
  <si>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</si>
  <si>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</si>
  <si>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</si>
  <si>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</si>
  <si>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</si>
  <si>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</si>
  <si>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</si>
  <si>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</si>
  <si>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</si>
  <si>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</si>
  <si>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</si>
  <si>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</si>
  <si>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</si>
  <si>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</si>
  <si>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</si>
  <si>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</si>
  <si>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</si>
  <si>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</si>
  <si>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</si>
  <si>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</si>
  <si>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</si>
  <si>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</si>
  <si>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</si>
  <si>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</si>
  <si>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</si>
  <si>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</si>
  <si>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</si>
  <si>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</si>
  <si>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</si>
  <si>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</si>
  <si>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</si>
  <si>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</si>
  <si>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</si>
  <si>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</si>
  <si>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</si>
  <si>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</si>
  <si>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</si>
  <si>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</si>
  <si>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</si>
  <si>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</si>
  <si>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</si>
  <si>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</si>
  <si>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</si>
  <si>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</si>
  <si>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</si>
  <si>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</si>
  <si>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</si>
  <si>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</si>
  <si>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</si>
  <si>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</si>
  <si>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</si>
  <si>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</si>
  <si>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</si>
  <si>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</si>
  <si>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</si>
  <si>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</si>
  <si>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</si>
  <si>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</si>
  <si>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</si>
  <si>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</si>
  <si>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</si>
  <si>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</si>
  <si>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</si>
  <si>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</si>
  <si>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</si>
  <si>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</si>
  <si>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</si>
  <si>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</si>
  <si>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</si>
  <si>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</si>
  <si>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</si>
  <si>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</si>
  <si>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</si>
  <si>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</si>
  <si>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</si>
  <si>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</si>
  <si>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</si>
  <si>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</si>
  <si>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</si>
  <si>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</si>
  <si>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</si>
  <si>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</si>
  <si>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</si>
  <si>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</si>
  <si>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</si>
  <si>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</si>
  <si>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</si>
  <si>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</si>
  <si>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</si>
  <si>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</si>
  <si>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</si>
  <si>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</si>
  <si>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</si>
  <si>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</si>
  <si>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</si>
  <si>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</si>
  <si>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</si>
  <si>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</si>
  <si>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</si>
  <si>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</si>
  <si>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</si>
  <si>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</si>
  <si>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</si>
  <si>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</si>
  <si>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</si>
  <si>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</si>
  <si>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</si>
  <si>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</si>
  <si>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</si>
  <si>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</si>
  <si>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</si>
  <si>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</si>
  <si>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</si>
  <si>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</si>
  <si>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</si>
  <si>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</si>
  <si>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</si>
  <si>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</si>
  <si>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</si>
  <si>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</si>
  <si>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</si>
  <si>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</si>
  <si>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</si>
  <si>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</si>
  <si>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</si>
  <si>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</si>
  <si>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</si>
  <si>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</si>
  <si>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</si>
  <si>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</si>
  <si>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</si>
  <si>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</si>
  <si>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</si>
  <si>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</si>
  <si>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</si>
  <si>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</si>
  <si>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</si>
  <si>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</si>
  <si>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</si>
  <si>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</si>
  <si>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</si>
  <si>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</si>
  <si>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</si>
  <si>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</si>
  <si>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</si>
  <si>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</si>
  <si>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</si>
  <si>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</si>
  <si>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</si>
  <si>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</si>
  <si>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</si>
  <si>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</si>
  <si>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</si>
  <si>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</si>
  <si>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</si>
  <si>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</si>
  <si>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</si>
  <si>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</si>
  <si>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</si>
  <si>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</si>
  <si>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</si>
  <si>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</si>
  <si>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</si>
  <si>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</si>
  <si>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</si>
  <si>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</si>
  <si>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</si>
  <si>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</si>
  <si>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</si>
  <si>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</si>
  <si>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</si>
  <si>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</si>
  <si>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</si>
  <si>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</si>
  <si>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</si>
  <si>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</si>
  <si>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</si>
  <si>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</si>
  <si>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</si>
  <si>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</si>
  <si>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</si>
  <si>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</si>
  <si>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</si>
  <si>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</si>
  <si>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</si>
  <si>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</si>
  <si>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</si>
  <si>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</si>
  <si>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</si>
  <si>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</si>
  <si>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</si>
  <si>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</si>
  <si>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</si>
  <si>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</si>
  <si>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</si>
  <si>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</si>
  <si>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</si>
  <si>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</si>
  <si>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</si>
  <si>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</si>
  <si>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</si>
  <si>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</si>
  <si>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</si>
  <si>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</si>
  <si>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</si>
  <si>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</si>
  <si>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</si>
  <si>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</si>
  <si>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</si>
  <si>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</si>
  <si>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</si>
  <si>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</si>
  <si>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</si>
  <si>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</si>
  <si>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</si>
  <si>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</si>
  <si>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</si>
  <si>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</si>
  <si>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</si>
  <si>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</si>
  <si>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</si>
  <si>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</si>
  <si>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</si>
  <si>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</si>
  <si>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</si>
  <si>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</si>
  <si>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</si>
  <si>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</si>
  <si>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</si>
  <si>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</si>
  <si>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</si>
  <si>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</si>
  <si>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</si>
  <si>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</si>
  <si>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</si>
  <si>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</si>
  <si>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</si>
  <si>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</si>
  <si>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</si>
  <si>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</si>
  <si>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</si>
  <si>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</si>
  <si>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</si>
  <si>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</si>
  <si>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</si>
  <si>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</si>
  <si>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</si>
  <si>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</si>
  <si>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</si>
  <si>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</si>
  <si>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</si>
  <si>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</si>
  <si>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</si>
  <si>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</si>
  <si>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</si>
  <si>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</si>
  <si>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</si>
  <si>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</si>
  <si>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</si>
  <si>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</si>
  <si>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</si>
  <si>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</si>
  <si>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</si>
  <si>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</si>
  <si>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</si>
  <si>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</si>
  <si>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</si>
  <si>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</si>
  <si>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</si>
  <si>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</si>
  <si>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</si>
  <si>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</si>
  <si>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</si>
  <si>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</si>
  <si>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</si>
  <si>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</si>
  <si>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</si>
  <si>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</si>
  <si>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</si>
  <si>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</si>
  <si>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</si>
  <si>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</si>
  <si>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</si>
  <si>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</si>
  <si>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</si>
  <si>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</si>
  <si>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</si>
  <si>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</si>
  <si>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</si>
  <si>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</si>
  <si>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</si>
  <si>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</si>
  <si>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</si>
  <si>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</si>
  <si>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</si>
  <si>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</si>
  <si>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</si>
  <si>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</si>
  <si>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</si>
  <si>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</si>
  <si>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</si>
  <si>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</si>
  <si>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</si>
  <si>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</si>
  <si>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</si>
  <si>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</si>
  <si>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</si>
  <si>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</si>
  <si>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</si>
  <si>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</si>
  <si>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</si>
  <si>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</si>
  <si>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</si>
  <si>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</si>
  <si>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</si>
  <si>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</si>
  <si>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</si>
  <si>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</si>
  <si>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</si>
  <si>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</si>
  <si>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</si>
  <si>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</si>
  <si>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</si>
  <si>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</si>
  <si>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</si>
  <si>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</si>
  <si>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</si>
  <si>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</si>
  <si>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</si>
  <si>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</si>
  <si>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</si>
  <si>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</si>
  <si>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</si>
  <si>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</si>
  <si>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</si>
  <si>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</si>
  <si>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</si>
  <si>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</si>
  <si>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</si>
  <si>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</si>
  <si>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</si>
  <si>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</si>
  <si>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</si>
  <si>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</si>
  <si>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</si>
  <si>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</si>
  <si>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</si>
  <si>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</si>
  <si>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</si>
  <si>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</si>
  <si>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</si>
  <si>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</si>
  <si>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</si>
  <si>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</si>
  <si>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</si>
  <si>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</si>
  <si>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</si>
  <si>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</si>
  <si>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</si>
  <si>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</si>
  <si>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</si>
  <si>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</si>
  <si>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</si>
  <si>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</si>
  <si>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</si>
  <si>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</si>
  <si>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</si>
  <si>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</si>
  <si>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</si>
  <si>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</si>
  <si>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</si>
  <si>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</si>
  <si>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</si>
  <si>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</si>
  <si>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</si>
  <si>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</si>
  <si>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</si>
  <si>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</si>
  <si>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</si>
  <si>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</si>
  <si>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</si>
  <si>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</si>
  <si>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</si>
  <si>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</si>
  <si>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</si>
  <si>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</si>
  <si>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</si>
  <si>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</si>
  <si>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</si>
  <si>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</si>
  <si>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</si>
  <si>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</si>
  <si>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</si>
  <si>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</si>
  <si>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</si>
  <si>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</si>
  <si>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</si>
  <si>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</si>
  <si>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</si>
  <si>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</si>
  <si>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</si>
  <si>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</si>
  <si>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</si>
  <si>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</si>
  <si>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</si>
  <si>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</si>
  <si>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</si>
  <si>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</si>
  <si>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</si>
  <si>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</si>
  <si>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</si>
  <si>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</si>
  <si>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</si>
  <si>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</si>
  <si>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</si>
  <si>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</si>
  <si>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</si>
  <si>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</si>
  <si>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</si>
  <si>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</si>
  <si>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</si>
  <si>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</si>
  <si>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</si>
  <si>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</si>
  <si>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</si>
  <si>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</si>
  <si>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</si>
  <si>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</si>
  <si>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</si>
  <si>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</si>
  <si>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</si>
  <si>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</si>
  <si>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</si>
  <si>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</si>
  <si>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</si>
  <si>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</si>
  <si>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</si>
  <si>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</si>
  <si>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</si>
  <si>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</si>
  <si>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</si>
  <si>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</si>
  <si>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</si>
  <si>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</si>
  <si>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</si>
  <si>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</si>
  <si>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</si>
  <si>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</si>
  <si>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</si>
  <si>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</si>
  <si>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</si>
  <si>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</si>
  <si>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</si>
  <si>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</si>
  <si>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</si>
  <si>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</si>
  <si>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</si>
  <si>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</si>
  <si>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</si>
  <si>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</si>
  <si>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</si>
  <si>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</si>
  <si>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</si>
  <si>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</si>
  <si>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</si>
  <si>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</si>
  <si>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</si>
  <si>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</si>
  <si>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</si>
  <si>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</si>
  <si>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</si>
  <si>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</si>
  <si>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</si>
  <si>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</si>
  <si>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</si>
  <si>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</si>
  <si>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</si>
  <si>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</si>
  <si>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</si>
  <si>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</si>
  <si>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</si>
  <si>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</si>
  <si>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</si>
  <si>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</si>
  <si>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</si>
  <si>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</si>
  <si>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</si>
  <si>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</si>
  <si>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</si>
  <si>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</si>
  <si>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</si>
  <si>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</si>
  <si>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</si>
  <si>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</si>
  <si>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</si>
  <si>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</si>
  <si>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</si>
  <si>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</si>
  <si>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</si>
  <si>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</si>
  <si>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</si>
  <si>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</si>
  <si>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</si>
  <si>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</si>
  <si>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</si>
  <si>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</si>
  <si>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</si>
  <si>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</si>
  <si>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</si>
  <si>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</si>
  <si>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</si>
  <si>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</si>
  <si>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</si>
  <si>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</si>
  <si>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</si>
  <si>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</si>
  <si>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</si>
  <si>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</si>
  <si>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</si>
  <si>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</si>
  <si>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</si>
  <si>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</si>
  <si>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</si>
  <si>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</si>
  <si>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</si>
  <si>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</si>
  <si>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</si>
  <si>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</si>
  <si>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</si>
  <si>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</si>
  <si>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</si>
  <si>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</si>
  <si>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</si>
  <si>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</si>
  <si>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</si>
  <si>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</si>
  <si>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</si>
  <si>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</si>
  <si>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</si>
  <si>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</si>
  <si>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</si>
  <si>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</si>
  <si>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</si>
  <si>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</si>
  <si>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</si>
  <si>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</si>
  <si>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</si>
  <si>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</si>
  <si>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</si>
  <si>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</si>
  <si>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</si>
  <si>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</si>
  <si>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</si>
  <si>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</si>
  <si>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</si>
  <si>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</si>
  <si>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</si>
  <si>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</si>
  <si>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</si>
  <si>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</si>
  <si>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</si>
  <si>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</si>
  <si>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</si>
  <si>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</si>
  <si>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</si>
  <si>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</si>
  <si>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</si>
  <si>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</si>
  <si>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</si>
  <si>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</si>
  <si>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</si>
  <si>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</si>
  <si>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</si>
  <si>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</si>
  <si>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</si>
  <si>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</si>
  <si>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</si>
  <si>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</si>
  <si>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</si>
  <si>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</si>
  <si>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</si>
  <si>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</si>
  <si>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</si>
  <si>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</si>
  <si>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</si>
  <si>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</si>
  <si>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</si>
  <si>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</si>
  <si>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</si>
  <si>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</si>
  <si>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</si>
  <si>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</si>
  <si>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</si>
  <si>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</si>
  <si>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</si>
  <si>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</si>
  <si>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</si>
  <si>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</si>
  <si>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</si>
  <si>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</si>
  <si>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</si>
  <si>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</si>
  <si>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</si>
  <si>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</si>
  <si>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</si>
  <si>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</si>
  <si>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</si>
  <si>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</si>
  <si>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</si>
  <si>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</si>
  <si>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</si>
  <si>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</si>
  <si>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</si>
  <si>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</si>
  <si>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</si>
  <si>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</si>
  <si>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</si>
  <si>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</si>
  <si>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</si>
  <si>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</si>
  <si>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</si>
  <si>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</si>
  <si>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</si>
  <si>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</si>
  <si>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</si>
  <si>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</si>
  <si>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</si>
  <si>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</si>
  <si>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</si>
  <si>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</si>
  <si>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</si>
  <si>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</si>
  <si>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</si>
  <si>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</si>
  <si>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</si>
  <si>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</si>
  <si>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</si>
  <si>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</si>
  <si>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</si>
  <si>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</si>
  <si>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</si>
  <si>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</si>
  <si>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</si>
  <si>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</si>
  <si>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</si>
  <si>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</si>
  <si>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</si>
  <si>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</si>
  <si>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</si>
  <si>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</si>
  <si>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</si>
  <si>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</si>
  <si>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</si>
  <si>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</si>
  <si>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</si>
  <si>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</si>
  <si>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</si>
  <si>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</si>
  <si>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</si>
  <si>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</si>
  <si>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</si>
  <si>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</si>
  <si>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</si>
  <si>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</si>
  <si>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</si>
  <si>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</si>
  <si>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</si>
  <si>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</si>
  <si>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</si>
  <si>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</si>
  <si>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</si>
  <si>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</si>
  <si>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</si>
  <si>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</si>
  <si>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</si>
  <si>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</si>
  <si>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</si>
  <si>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</si>
  <si>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</si>
  <si>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</si>
  <si>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</si>
  <si>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</si>
  <si>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</si>
  <si>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</si>
  <si>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</si>
  <si>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</si>
  <si>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</si>
  <si>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</si>
  <si>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</si>
  <si>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</si>
  <si>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</si>
  <si>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</si>
  <si>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</si>
  <si>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</si>
  <si>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</si>
  <si>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</si>
  <si>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</si>
  <si>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</si>
  <si>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</si>
  <si>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</si>
  <si>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</si>
  <si>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</si>
  <si>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</si>
  <si>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</si>
  <si>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</si>
  <si>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</si>
  <si>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</si>
  <si>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</si>
  <si>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</si>
  <si>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</si>
  <si>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</si>
  <si>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</si>
  <si>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</si>
  <si>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</si>
  <si>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</si>
  <si>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</si>
  <si>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</si>
  <si>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</si>
  <si>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</si>
  <si>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</si>
  <si>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</si>
  <si>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</si>
  <si>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</si>
  <si>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</si>
  <si>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</si>
  <si>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</si>
  <si>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</si>
  <si>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</si>
  <si>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</si>
  <si>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</si>
  <si>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</si>
  <si>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</si>
  <si>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</si>
  <si>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</si>
  <si>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</si>
  <si>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</si>
  <si>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</si>
  <si>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</si>
  <si>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</si>
  <si>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</si>
  <si>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</si>
  <si>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</si>
  <si>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</si>
  <si>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</si>
  <si>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</si>
  <si>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</si>
  <si>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</si>
  <si>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</si>
  <si>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</si>
  <si>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</si>
  <si>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</si>
  <si>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</si>
  <si>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</si>
  <si>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</si>
  <si>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</si>
  <si>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</si>
  <si>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</si>
  <si>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</si>
  <si>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</si>
  <si>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</si>
  <si>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</si>
  <si>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</si>
  <si>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</si>
  <si>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</si>
  <si>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</si>
  <si>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</si>
  <si>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</si>
  <si>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</si>
  <si>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</si>
  <si>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</si>
  <si>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</si>
  <si>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</si>
  <si>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</si>
  <si>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</si>
  <si>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</si>
  <si>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</si>
  <si>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</si>
  <si>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</si>
  <si>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</si>
  <si>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</si>
  <si>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</si>
  <si>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</si>
  <si>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</si>
  <si>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</si>
  <si>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</si>
  <si>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</si>
  <si>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</si>
  <si>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</si>
  <si>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</si>
  <si>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</si>
  <si>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</si>
  <si>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</si>
  <si>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</si>
  <si>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</si>
  <si>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</si>
  <si>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</si>
  <si>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</si>
  <si>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</si>
  <si>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</si>
  <si>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</si>
  <si>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</si>
  <si>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</si>
  <si>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</si>
  <si>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</si>
  <si>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</si>
  <si>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</si>
  <si>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</si>
  <si>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</si>
  <si>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</si>
  <si>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</si>
  <si>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</si>
  <si>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</si>
  <si>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</si>
  <si>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</si>
  <si>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</si>
  <si>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</si>
  <si>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</si>
  <si>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</si>
  <si>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</si>
  <si>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</si>
  <si>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</si>
  <si>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</si>
  <si>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</si>
  <si>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</si>
  <si>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</si>
  <si>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</si>
  <si>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</si>
  <si>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</si>
  <si>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</si>
  <si>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</si>
  <si>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</si>
  <si>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</si>
  <si>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</si>
  <si>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</si>
  <si>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</si>
  <si>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</si>
  <si>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</si>
  <si>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</si>
  <si>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</si>
  <si>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</si>
  <si>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</si>
  <si>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</si>
  <si>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</si>
  <si>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</si>
  <si>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</si>
  <si>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</si>
  <si>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</si>
  <si>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</si>
  <si>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</si>
  <si>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</si>
  <si>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</si>
  <si>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</si>
  <si>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</si>
  <si>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</si>
  <si>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</si>
  <si>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</si>
  <si>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</si>
  <si>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</si>
  <si>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</si>
  <si>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</si>
  <si>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</si>
  <si>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</si>
  <si>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</si>
  <si>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</si>
  <si>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</si>
  <si>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</si>
  <si>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</si>
  <si>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</si>
  <si>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</si>
  <si>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</si>
  <si>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</si>
  <si>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</si>
  <si>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</si>
  <si>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</si>
  <si>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</si>
  <si>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</si>
  <si>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</si>
  <si>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</si>
  <si>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</si>
  <si>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</si>
  <si>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</si>
  <si>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</si>
  <si>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</si>
  <si>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</si>
  <si>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</si>
  <si>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</si>
  <si>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</si>
  <si>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</si>
  <si>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</si>
  <si>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</si>
  <si>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</si>
  <si>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</si>
  <si>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</si>
  <si>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</si>
  <si>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</si>
  <si>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</si>
  <si>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</si>
  <si>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</si>
  <si>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</si>
  <si>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</si>
  <si>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</si>
  <si>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</si>
  <si>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</si>
  <si>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</si>
  <si>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</si>
  <si>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</si>
  <si>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</si>
  <si>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</si>
  <si>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</si>
  <si>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</si>
  <si>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</si>
  <si>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</si>
  <si>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</si>
  <si>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</si>
  <si>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</si>
  <si>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</si>
  <si>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</si>
  <si>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</si>
  <si>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</si>
  <si>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</si>
  <si>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</si>
  <si>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</si>
  <si>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</si>
  <si>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</si>
  <si>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</si>
  <si>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</si>
  <si>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</si>
  <si>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</si>
  <si>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</si>
  <si>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</si>
  <si>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</si>
  <si>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</si>
  <si>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</si>
  <si>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</si>
  <si>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</si>
  <si>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</si>
  <si>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</si>
  <si>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</si>
  <si>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</si>
  <si>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</si>
  <si>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</si>
  <si>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</si>
  <si>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</si>
  <si>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</si>
  <si>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</si>
  <si>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</si>
  <si>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</si>
  <si>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</si>
  <si>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</si>
  <si>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</si>
  <si>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</si>
  <si>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</si>
  <si>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</si>
  <si>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</si>
  <si>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</si>
  <si>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</si>
  <si>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</si>
  <si>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</si>
  <si>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</si>
  <si>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</si>
  <si>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</si>
  <si>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</si>
  <si>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</si>
  <si>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</si>
  <si>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</si>
  <si>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</si>
  <si>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</si>
  <si>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</si>
  <si>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</si>
  <si>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</si>
  <si>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</si>
  <si>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</si>
  <si>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</si>
  <si>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</si>
  <si>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</si>
  <si>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</si>
  <si>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</si>
  <si>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</si>
  <si>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</si>
  <si>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</si>
  <si>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</si>
  <si>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</si>
  <si>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</si>
  <si>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</si>
  <si>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</si>
  <si>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</si>
  <si>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</si>
  <si>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</si>
  <si>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</si>
  <si>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</si>
  <si>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</si>
  <si>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</si>
  <si>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</si>
  <si>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</si>
  <si>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</si>
  <si>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</si>
  <si>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</si>
  <si>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</si>
  <si>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</si>
  <si>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</si>
  <si>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</si>
  <si>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</si>
  <si>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</si>
  <si>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</si>
  <si>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</si>
  <si>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</si>
  <si>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</si>
  <si>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</si>
  <si>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</si>
  <si>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</si>
  <si>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</si>
  <si>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</si>
  <si>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</si>
  <si>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</si>
  <si>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</si>
  <si>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</si>
  <si>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</si>
  <si>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</si>
  <si>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</si>
  <si>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</si>
  <si>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</si>
  <si>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</si>
  <si>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</si>
  <si>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</si>
  <si>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</si>
  <si>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</si>
  <si>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</si>
  <si>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</si>
  <si>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</si>
  <si>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</si>
  <si>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</si>
  <si>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</si>
  <si>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</si>
  <si>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</si>
  <si>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</si>
  <si>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</si>
  <si>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</si>
  <si>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</si>
  <si>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</si>
  <si>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</si>
  <si>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</si>
  <si>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</si>
  <si>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</si>
  <si>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</si>
  <si>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</si>
  <si>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</si>
  <si>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</si>
  <si>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</si>
  <si>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</si>
  <si>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</si>
  <si>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</si>
  <si>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</si>
  <si>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</si>
  <si>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</si>
  <si>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</si>
  <si>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</si>
  <si>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</si>
  <si>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</si>
  <si>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</si>
  <si>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</si>
  <si>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</si>
  <si>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</si>
  <si>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</si>
  <si>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</si>
  <si>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</si>
  <si>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</si>
  <si>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</si>
  <si>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</si>
  <si>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</si>
  <si>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</si>
  <si>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</si>
  <si>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</si>
  <si>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</si>
  <si>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</si>
  <si>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</si>
  <si>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</si>
  <si>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</si>
  <si>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</si>
  <si>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</si>
  <si>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</si>
  <si>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</si>
  <si>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</si>
  <si>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</si>
  <si>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</si>
  <si>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</si>
  <si>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</si>
  <si>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</si>
  <si>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</si>
  <si>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</si>
  <si>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</si>
  <si>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</si>
  <si>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</si>
  <si>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</si>
  <si>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</si>
  <si>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</si>
  <si>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</si>
  <si>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</si>
  <si>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</si>
  <si>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</si>
  <si>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</si>
  <si>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</si>
  <si>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</si>
  <si>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</si>
  <si>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</si>
  <si>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</si>
  <si>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</si>
  <si>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</si>
  <si>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</si>
  <si>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</si>
  <si>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</si>
  <si>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</si>
  <si>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</si>
  <si>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</si>
  <si>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</si>
  <si>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</si>
  <si>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</si>
  <si>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</si>
  <si>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</si>
  <si>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</si>
  <si>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</si>
  <si>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</si>
  <si>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</si>
  <si>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</si>
  <si>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</si>
  <si>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</si>
  <si>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</si>
  <si>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</si>
  <si>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</si>
  <si>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</si>
  <si>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</si>
  <si>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</si>
  <si>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</si>
  <si>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</si>
  <si>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</si>
  <si>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</si>
  <si>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</si>
  <si>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</si>
  <si>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</si>
  <si>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</si>
  <si>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</si>
  <si>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</si>
  <si>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</si>
  <si>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</si>
  <si>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</si>
  <si>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</si>
  <si>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</si>
  <si>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</si>
  <si>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</si>
  <si>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</si>
  <si>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</si>
  <si>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</si>
  <si>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</si>
  <si>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</si>
  <si>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</si>
  <si>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</si>
  <si>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</si>
  <si>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</si>
  <si>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</si>
  <si>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</si>
  <si>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</si>
  <si>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</si>
  <si>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</si>
  <si>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</si>
  <si>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</si>
  <si>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</si>
  <si>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</si>
  <si>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</si>
  <si>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</si>
  <si>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</si>
  <si>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</si>
  <si>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</si>
  <si>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</si>
  <si>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</si>
  <si>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</si>
  <si>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</si>
  <si>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</si>
  <si>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</si>
  <si>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</si>
  <si>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</si>
  <si>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</si>
  <si>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</si>
  <si>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</si>
  <si>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</si>
  <si>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</si>
  <si>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</si>
  <si>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</si>
  <si>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</si>
  <si>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</si>
  <si>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</si>
  <si>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</si>
  <si>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</si>
  <si>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</si>
  <si>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</si>
  <si>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</si>
  <si>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</si>
  <si>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</si>
  <si>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</si>
  <si>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</si>
  <si>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</si>
  <si>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</si>
  <si>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</si>
  <si>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</si>
  <si>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</si>
  <si>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</si>
  <si>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</si>
  <si>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</si>
  <si>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</si>
  <si>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</si>
  <si>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</si>
  <si>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</si>
  <si>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</si>
  <si>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</si>
  <si>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</si>
  <si>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</si>
  <si>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</si>
  <si>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</si>
  <si>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</si>
  <si>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</si>
  <si>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</si>
  <si>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</si>
  <si>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</si>
  <si>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</si>
  <si>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</si>
  <si>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</si>
  <si>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</si>
  <si>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</si>
  <si>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</si>
  <si>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</si>
  <si>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</si>
  <si>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</si>
  <si>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</si>
  <si>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</si>
  <si>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</si>
  <si>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</si>
  <si>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</si>
  <si>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</si>
  <si>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</si>
  <si>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</si>
  <si>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</si>
  <si>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</si>
  <si>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</si>
  <si>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</si>
  <si>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</si>
  <si>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</si>
  <si>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</si>
  <si>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</si>
  <si>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</si>
  <si>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</si>
  <si>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</si>
  <si>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</si>
  <si>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</si>
  <si>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</si>
  <si>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</si>
  <si>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</si>
  <si>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</si>
  <si>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</si>
  <si>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</si>
  <si>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</si>
  <si>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</si>
  <si>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</si>
  <si>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</si>
  <si>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</si>
  <si>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</si>
  <si>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</si>
  <si>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</si>
  <si>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</si>
  <si>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</si>
  <si>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</si>
  <si>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</si>
  <si>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</si>
  <si>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</si>
  <si>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</si>
  <si>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</si>
  <si>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</si>
  <si>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</si>
  <si>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</si>
  <si>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</si>
  <si>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</si>
  <si>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</si>
  <si>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</si>
  <si>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</si>
  <si>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</si>
  <si>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</si>
  <si>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</si>
  <si>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</si>
  <si>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</si>
  <si>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</si>
  <si>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</si>
  <si>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</si>
  <si>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</si>
  <si>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</si>
  <si>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</si>
  <si>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</si>
  <si>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</si>
  <si>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</si>
  <si>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</si>
  <si>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</si>
  <si>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</si>
  <si>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</si>
  <si>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</si>
  <si>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</si>
  <si>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</si>
  <si>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</si>
  <si>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</si>
  <si>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</si>
  <si>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</si>
  <si>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</si>
  <si>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</si>
  <si>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</si>
  <si>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</si>
  <si>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</si>
  <si>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</si>
  <si>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</si>
  <si>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</si>
  <si>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</si>
  <si>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</si>
  <si>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</si>
  <si>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</si>
  <si>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</si>
  <si>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</si>
  <si>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</si>
  <si>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</si>
  <si>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</si>
  <si>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</si>
  <si>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</si>
  <si>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</si>
  <si>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</si>
  <si>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</si>
  <si>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</si>
  <si>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</si>
  <si>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</si>
  <si>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</si>
  <si>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</si>
  <si>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</si>
  <si>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</si>
  <si>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</si>
  <si>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</si>
  <si>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</si>
  <si>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</si>
  <si>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</si>
  <si>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</si>
  <si>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</si>
  <si>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</si>
  <si>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</si>
  <si>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</si>
  <si>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</si>
  <si>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</si>
  <si>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</si>
  <si>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</si>
  <si>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</si>
  <si>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</si>
  <si>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</si>
  <si>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</si>
  <si>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</si>
  <si>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</si>
  <si>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</si>
  <si>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</si>
  <si>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</si>
  <si>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</si>
  <si>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</si>
  <si>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</si>
  <si>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</si>
  <si>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</si>
  <si>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</si>
  <si>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</si>
  <si>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</si>
  <si>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</si>
  <si>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</si>
  <si>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</si>
  <si>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</si>
  <si>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</si>
  <si>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</si>
  <si>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</si>
  <si>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</si>
  <si>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</si>
  <si>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</si>
  <si>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</si>
  <si>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</si>
  <si>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</si>
  <si>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</si>
  <si>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</si>
  <si>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</si>
  <si>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</si>
  <si>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</si>
  <si>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</si>
  <si>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</si>
  <si>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</si>
  <si>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</si>
  <si>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</si>
  <si>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</si>
  <si>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</si>
  <si>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</si>
  <si>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</si>
  <si>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</si>
  <si>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</si>
  <si>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</si>
  <si>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</si>
  <si>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</si>
  <si>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</si>
  <si>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</si>
  <si>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</si>
  <si>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</si>
  <si>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</si>
  <si>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</si>
  <si>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</si>
  <si>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</si>
  <si>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</si>
  <si>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</si>
  <si>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</si>
  <si>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</si>
  <si>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</si>
  <si>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</si>
  <si>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</si>
  <si>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</si>
  <si>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</si>
  <si>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</si>
  <si>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</si>
  <si>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</si>
  <si>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</si>
  <si>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</si>
  <si>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</si>
  <si>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</si>
  <si>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</si>
  <si>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</si>
  <si>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</si>
  <si>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</si>
  <si>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</si>
  <si>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</si>
  <si>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</si>
  <si>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</si>
  <si>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</si>
  <si>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</si>
  <si>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</si>
  <si>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</si>
  <si>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</si>
  <si>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</si>
  <si>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</si>
  <si>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</si>
  <si>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</si>
  <si>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</si>
  <si>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</si>
  <si>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</si>
  <si>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</si>
  <si>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</si>
  <si>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</si>
  <si>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</si>
  <si>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</si>
  <si>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</si>
  <si>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</si>
  <si>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</si>
  <si>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</si>
  <si>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</si>
  <si>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</si>
  <si>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</si>
  <si>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</si>
  <si>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</si>
  <si>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</si>
  <si>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</si>
  <si>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</si>
  <si>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</si>
  <si>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</si>
  <si>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</si>
  <si>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</si>
  <si>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</si>
  <si>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</si>
  <si>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</si>
  <si>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</si>
  <si>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</si>
  <si>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</si>
  <si>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</si>
  <si>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</si>
  <si>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</si>
  <si>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</si>
  <si>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</si>
  <si>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</si>
  <si>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</si>
  <si>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</si>
  <si>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</si>
  <si>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</si>
  <si>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</si>
  <si>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</si>
  <si>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</si>
  <si>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</si>
  <si>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</si>
  <si>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</si>
  <si>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</si>
  <si>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</si>
  <si>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</si>
  <si>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</si>
  <si>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</si>
  <si>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</si>
  <si>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</si>
  <si>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</si>
  <si>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</si>
  <si>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</si>
  <si>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</si>
  <si>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</si>
  <si>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</si>
  <si>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</si>
  <si>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</si>
  <si>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</si>
  <si>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</si>
  <si>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</si>
  <si>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</si>
  <si>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</si>
  <si>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</si>
  <si>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</si>
  <si>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</si>
  <si>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</si>
  <si>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</si>
  <si>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</si>
  <si>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</si>
  <si>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</si>
  <si>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</si>
  <si>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</si>
  <si>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</si>
  <si>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</si>
  <si>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</si>
  <si>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</si>
  <si>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</si>
  <si>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</si>
  <si>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</si>
  <si>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</si>
  <si>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</si>
  <si>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</si>
  <si>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</si>
  <si>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</si>
  <si>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</si>
  <si>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</si>
  <si>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</si>
  <si>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</si>
  <si>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</si>
  <si>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</si>
  <si>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</si>
  <si>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</si>
  <si>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</si>
  <si>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</si>
  <si>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</si>
  <si>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</si>
  <si>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</si>
  <si>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</si>
  <si>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</si>
  <si>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</si>
  <si>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</si>
  <si>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</si>
  <si>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</si>
  <si>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</si>
  <si>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</si>
  <si>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</si>
  <si>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</si>
  <si>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</si>
  <si>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</si>
  <si>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</si>
  <si>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</si>
  <si>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</si>
  <si>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</si>
  <si>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</si>
  <si>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</si>
  <si>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</si>
  <si>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</si>
  <si>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</si>
  <si>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</si>
  <si>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</si>
  <si>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</si>
  <si>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</si>
  <si>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</si>
  <si>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</si>
  <si>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</si>
  <si>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</si>
  <si>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</si>
  <si>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</si>
  <si>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</si>
  <si>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</si>
  <si>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</si>
  <si>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</si>
  <si>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</si>
  <si>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</si>
  <si>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</si>
  <si>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</si>
  <si>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</si>
  <si>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</si>
  <si>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</si>
  <si>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</si>
  <si>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</si>
  <si>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</si>
  <si>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</si>
  <si>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</si>
  <si>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</si>
  <si>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</si>
  <si>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</si>
  <si>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</si>
  <si>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</si>
  <si>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</si>
  <si>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</si>
  <si>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</si>
  <si>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</si>
  <si>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</si>
  <si>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</si>
  <si>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</si>
  <si>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</si>
  <si>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</si>
  <si>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</si>
  <si>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</si>
  <si>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</si>
  <si>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</si>
  <si>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</si>
  <si>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</si>
  <si>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</si>
  <si>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</si>
  <si>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</si>
  <si>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</si>
  <si>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</si>
  <si>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</si>
  <si>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</si>
  <si>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</si>
  <si>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</si>
  <si>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</si>
  <si>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</si>
  <si>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</si>
  <si>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</si>
  <si>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</si>
  <si>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</si>
  <si>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</si>
  <si>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</si>
  <si>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</si>
  <si>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</si>
  <si>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</si>
  <si>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</si>
  <si>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</si>
  <si>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</si>
  <si>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</si>
  <si>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</si>
  <si>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</si>
  <si>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</si>
  <si>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</si>
  <si>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</si>
  <si>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</si>
  <si>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</si>
  <si>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</si>
  <si>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</si>
  <si>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</si>
  <si>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</si>
  <si>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</si>
  <si>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</si>
  <si>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</si>
  <si>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</si>
  <si>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</si>
  <si>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</si>
  <si>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</si>
  <si>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</si>
  <si>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</si>
  <si>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</si>
  <si>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</si>
  <si>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</si>
  <si>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</si>
  <si>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</si>
  <si>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</si>
  <si>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</si>
  <si>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</si>
  <si>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</si>
  <si>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</si>
  <si>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</si>
  <si>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</si>
  <si>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</si>
  <si>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</si>
  <si>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</si>
  <si>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</si>
  <si>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</si>
  <si>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</si>
  <si>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</si>
  <si>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</si>
  <si>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</si>
  <si>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</si>
  <si>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</si>
  <si>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</si>
  <si>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</si>
  <si>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</si>
  <si>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</si>
  <si>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</si>
  <si>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</si>
  <si>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</si>
  <si>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</si>
  <si>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</si>
  <si>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</si>
  <si>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</si>
  <si>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</si>
  <si>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</si>
  <si>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</si>
  <si>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</si>
  <si>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</si>
  <si>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</si>
  <si>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</si>
  <si>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</si>
  <si>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</si>
  <si>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</si>
  <si>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</si>
  <si>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</si>
  <si>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</si>
  <si>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</si>
  <si>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</si>
  <si>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</si>
  <si>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</si>
  <si>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</si>
  <si>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</si>
  <si>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</si>
  <si>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</si>
  <si>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</si>
  <si>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</si>
  <si>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</si>
  <si>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</si>
  <si>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</si>
  <si>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</si>
  <si>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</si>
  <si>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</si>
  <si>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</si>
  <si>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</si>
  <si>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</si>
  <si>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</si>
  <si>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</si>
  <si>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</si>
  <si>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</si>
  <si>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</si>
  <si>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</si>
  <si>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</si>
  <si>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</si>
  <si>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</si>
  <si>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</si>
  <si>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</si>
  <si>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</si>
  <si>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</si>
  <si>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</si>
  <si>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</si>
  <si>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</si>
  <si>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</si>
  <si>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</si>
  <si>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</si>
  <si>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</si>
  <si>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</si>
  <si>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</si>
  <si>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</si>
  <si>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</si>
  <si>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</si>
  <si>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</si>
  <si>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</si>
  <si>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</si>
  <si>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</si>
  <si>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</si>
  <si>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</si>
  <si>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</si>
  <si>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</si>
  <si>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</si>
  <si>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</si>
  <si>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</si>
  <si>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</si>
  <si>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</si>
  <si>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</si>
  <si>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</si>
  <si>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</si>
  <si>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</si>
  <si>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</si>
  <si>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</si>
  <si>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</si>
  <si>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</si>
  <si>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</si>
  <si>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</si>
  <si>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</si>
  <si>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</si>
  <si>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</si>
  <si>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</si>
  <si>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</si>
  <si>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</si>
  <si>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</si>
  <si>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</si>
  <si>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</si>
  <si>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</si>
  <si>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</si>
  <si>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</si>
  <si>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</si>
  <si>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</si>
  <si>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</si>
  <si>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</si>
  <si>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</si>
  <si>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</si>
  <si>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</si>
  <si>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</si>
  <si>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</si>
  <si>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</si>
  <si>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</si>
  <si>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</si>
  <si>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</si>
  <si>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</si>
  <si>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</si>
  <si>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</si>
  <si>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</si>
  <si>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</si>
  <si>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</si>
  <si>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</si>
  <si>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</si>
  <si>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</si>
  <si>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</si>
  <si>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</si>
  <si>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</si>
  <si>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</si>
  <si>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</si>
  <si>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</si>
  <si>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</si>
  <si>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</si>
  <si>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</si>
  <si>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</si>
  <si>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</si>
  <si>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</si>
  <si>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</si>
  <si>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</si>
  <si>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</si>
  <si>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</si>
  <si>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</si>
  <si>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</si>
  <si>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</si>
  <si>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</si>
  <si>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</si>
  <si>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</si>
  <si>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</si>
  <si>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</si>
  <si>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</si>
  <si>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</si>
  <si>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</si>
  <si>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</si>
  <si>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</si>
  <si>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</si>
  <si>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</si>
  <si>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</si>
  <si>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</si>
  <si>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</si>
  <si>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</si>
  <si>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</si>
  <si>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</si>
  <si>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</si>
  <si>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</si>
  <si>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</si>
  <si>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</si>
  <si>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</si>
  <si>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</si>
  <si>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</si>
  <si>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</si>
  <si>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</si>
  <si>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</si>
  <si>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</si>
  <si>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</si>
  <si>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</si>
  <si>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</si>
  <si>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</si>
  <si>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</si>
  <si>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</si>
  <si>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</si>
  <si>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</si>
  <si>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</si>
  <si>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</si>
  <si>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</si>
  <si>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</si>
  <si>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</si>
  <si>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</si>
  <si>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</si>
  <si>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</si>
  <si>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</si>
  <si>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</si>
  <si>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</si>
  <si>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</si>
  <si>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</si>
  <si>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</si>
  <si>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</si>
  <si>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</si>
  <si>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</si>
  <si>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</si>
  <si>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</si>
  <si>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</si>
  <si>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</si>
  <si>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</si>
  <si>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</si>
  <si>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</si>
  <si>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</si>
  <si>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</si>
  <si>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</si>
  <si>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</si>
  <si>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</si>
  <si>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</si>
  <si>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</si>
  <si>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</si>
  <si>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</si>
  <si>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</si>
  <si>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</si>
  <si>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</si>
  <si>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</si>
  <si>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</si>
  <si>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</si>
  <si>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</si>
  <si>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</si>
  <si>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</si>
  <si>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</si>
  <si>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</si>
  <si>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</si>
  <si>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</si>
  <si>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</si>
  <si>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</si>
  <si>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</si>
  <si>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</si>
  <si>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</si>
  <si>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</si>
  <si>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</si>
  <si>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</si>
  <si>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</si>
  <si>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</si>
  <si>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</si>
  <si>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</si>
  <si>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</si>
  <si>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</si>
  <si>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</si>
  <si>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</si>
  <si>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</si>
  <si>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</si>
  <si>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</si>
  <si>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</si>
  <si>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</si>
  <si>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</si>
  <si>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</si>
  <si>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</si>
  <si>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</si>
  <si>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</si>
  <si>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</si>
  <si>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</si>
  <si>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</si>
  <si>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</si>
  <si>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</si>
  <si>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</si>
  <si>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</si>
  <si>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</si>
  <si>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</si>
  <si>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</si>
  <si>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</si>
  <si>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</si>
  <si>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</si>
  <si>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</si>
  <si>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</si>
  <si>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</si>
  <si>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</si>
  <si>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</si>
  <si>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</si>
  <si>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</si>
  <si>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</si>
  <si>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</si>
  <si>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</si>
  <si>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</si>
  <si>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</si>
  <si>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</si>
  <si>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</si>
  <si>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</si>
  <si>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</si>
  <si>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</si>
  <si>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</si>
  <si>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</si>
  <si>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</si>
  <si>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</si>
  <si>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</si>
  <si>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</si>
  <si>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</si>
  <si>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</si>
  <si>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</si>
  <si>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</si>
  <si>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</si>
  <si>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</si>
  <si>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</si>
  <si>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</si>
  <si>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</si>
  <si>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</si>
  <si>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</si>
  <si>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</si>
  <si>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</si>
  <si>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</si>
  <si>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</si>
  <si>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</si>
  <si>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</si>
  <si>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</si>
  <si>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</si>
  <si>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</si>
  <si>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</si>
  <si>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</si>
  <si>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</si>
  <si>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</si>
  <si>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</si>
  <si>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</si>
  <si>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</si>
  <si>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</si>
  <si>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</si>
  <si>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</si>
  <si>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</si>
  <si>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</si>
  <si>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</si>
  <si>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</si>
  <si>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</si>
  <si>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</si>
  <si>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</si>
  <si>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</si>
  <si>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</si>
  <si>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</si>
  <si>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</si>
  <si>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</si>
  <si>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</si>
  <si>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</si>
  <si>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</si>
  <si>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</si>
  <si>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</si>
  <si>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</si>
  <si>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</si>
  <si>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</si>
  <si>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</si>
  <si>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</si>
  <si>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</si>
  <si>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</si>
  <si>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</si>
  <si>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</si>
  <si>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</si>
  <si>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</si>
  <si>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</si>
  <si>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</si>
  <si>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</si>
  <si>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</si>
  <si>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</si>
  <si>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</si>
  <si>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</si>
  <si>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</si>
  <si>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</si>
  <si>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</si>
  <si>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</si>
  <si>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</si>
  <si>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</si>
  <si>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</si>
  <si>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</si>
  <si>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</si>
  <si>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</si>
  <si>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</si>
  <si>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</si>
  <si>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</si>
  <si>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</si>
  <si>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</si>
  <si>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</si>
  <si>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</si>
  <si>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</si>
  <si>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</si>
  <si>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</si>
  <si>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</si>
  <si>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</si>
  <si>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</si>
  <si>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</si>
  <si>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</si>
  <si>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</si>
  <si>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</si>
  <si>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</si>
  <si>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</si>
  <si>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</si>
  <si>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</si>
  <si>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</si>
  <si>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</si>
  <si>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</si>
  <si>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</si>
  <si>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</si>
  <si>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</si>
  <si>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</si>
  <si>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</si>
  <si>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</si>
  <si>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</si>
  <si>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</si>
  <si>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</si>
  <si>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</si>
  <si>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</si>
  <si>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</si>
  <si>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</si>
  <si>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</si>
  <si>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</si>
  <si>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</si>
  <si>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</si>
  <si>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</si>
  <si>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</si>
  <si>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</si>
  <si>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</si>
  <si>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</si>
  <si>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</si>
  <si>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</si>
  <si>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</si>
  <si>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</si>
  <si>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</si>
  <si>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</si>
  <si>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</si>
  <si>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</si>
  <si>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</si>
  <si>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</si>
  <si>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</si>
  <si>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</si>
  <si>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</si>
  <si>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</si>
  <si>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</si>
  <si>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</si>
  <si>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</si>
  <si>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</si>
  <si>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</si>
  <si>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</si>
  <si>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</si>
  <si>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</si>
  <si>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</si>
  <si>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</si>
  <si>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</si>
  <si>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</si>
  <si>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</si>
  <si>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</si>
  <si>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</si>
  <si>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</si>
  <si>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</si>
  <si>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</si>
  <si>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</si>
  <si>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</si>
  <si>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</si>
  <si>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</si>
  <si>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</si>
  <si>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</si>
  <si>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</si>
  <si>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</si>
  <si>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</si>
  <si>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</si>
  <si>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</si>
  <si>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</si>
  <si>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</si>
  <si>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</si>
  <si>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</si>
  <si>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</si>
  <si>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</si>
  <si>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</si>
  <si>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</si>
  <si>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</si>
  <si>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</si>
  <si>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</si>
  <si>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</si>
  <si>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</si>
  <si>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</si>
  <si>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</si>
  <si>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</si>
  <si>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</si>
  <si>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</si>
  <si>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</si>
  <si>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</si>
  <si>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</si>
  <si>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</si>
  <si>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</si>
  <si>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</si>
  <si>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</si>
  <si>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</si>
  <si>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</si>
  <si>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</si>
  <si>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</si>
  <si>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</si>
  <si>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</si>
  <si>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</si>
  <si>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</si>
  <si>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</si>
  <si>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</si>
  <si>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</si>
  <si>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</si>
  <si>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</si>
  <si>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</si>
  <si>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</si>
  <si>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</si>
  <si>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</si>
  <si>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</si>
  <si>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</si>
  <si>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</si>
  <si>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</si>
  <si>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</si>
  <si>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</si>
  <si>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</si>
  <si>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</si>
  <si>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</si>
  <si>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</si>
  <si>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</si>
  <si>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</si>
  <si>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</si>
  <si>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</si>
  <si>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</si>
  <si>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</si>
  <si>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</si>
  <si>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</si>
  <si>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</si>
  <si>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</si>
  <si>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</si>
  <si>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</si>
  <si>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</si>
  <si>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</si>
  <si>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</si>
  <si>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</si>
  <si>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</si>
  <si>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</si>
  <si>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</si>
  <si>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</si>
  <si>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</si>
  <si>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</si>
  <si>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</si>
  <si>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</si>
  <si>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</si>
  <si>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</si>
  <si>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</si>
  <si>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</si>
  <si>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</si>
  <si>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</si>
  <si>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</si>
  <si>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</si>
  <si>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</si>
  <si>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</si>
  <si>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</si>
  <si>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</si>
  <si>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</si>
  <si>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</si>
  <si>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</si>
  <si>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</si>
  <si>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</si>
  <si>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</si>
  <si>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</si>
  <si>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</si>
  <si>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</si>
  <si>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</si>
  <si>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</si>
  <si>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</si>
  <si>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</si>
  <si>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</si>
  <si>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</si>
  <si>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</si>
  <si>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</si>
  <si>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</si>
  <si>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</si>
  <si>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</si>
  <si>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</si>
  <si>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</si>
  <si>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</si>
  <si>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</si>
  <si>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</si>
  <si>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</si>
  <si>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</si>
  <si>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</si>
  <si>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</si>
  <si>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</si>
  <si>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</si>
  <si>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</si>
  <si>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</si>
  <si>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</si>
  <si>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</si>
  <si>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</si>
  <si>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</si>
  <si>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</si>
  <si>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</si>
  <si>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</si>
  <si>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</si>
  <si>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</si>
  <si>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</si>
  <si>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</si>
  <si>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</si>
  <si>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</si>
  <si>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</si>
  <si>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</si>
  <si>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</si>
  <si>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</si>
  <si>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</si>
  <si>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</si>
  <si>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</si>
  <si>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</si>
  <si>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</si>
  <si>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</si>
  <si>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</si>
  <si>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</si>
  <si>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</si>
  <si>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</si>
  <si>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</si>
  <si>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</si>
  <si>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</si>
  <si>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</si>
  <si>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</si>
  <si>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</si>
  <si>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</si>
  <si>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</si>
  <si>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</si>
  <si>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</si>
  <si>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</si>
  <si>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</si>
  <si>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</si>
  <si>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</si>
  <si>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</si>
  <si>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</si>
  <si>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</si>
  <si>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</si>
  <si>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</si>
  <si>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</si>
  <si>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</si>
  <si>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</si>
  <si>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</si>
  <si>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</si>
  <si>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</si>
  <si>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</si>
  <si>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</si>
  <si>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</si>
  <si>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</si>
  <si>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</si>
  <si>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</si>
  <si>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</si>
  <si>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</si>
  <si>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</si>
  <si>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</si>
  <si>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</si>
  <si>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</si>
  <si>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</si>
  <si>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</si>
  <si>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</si>
  <si>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</si>
  <si>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</si>
  <si>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</si>
  <si>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</si>
  <si>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</si>
  <si>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</si>
  <si>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</si>
  <si>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</si>
  <si>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</si>
  <si>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</si>
  <si>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</si>
  <si>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</si>
  <si>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</si>
  <si>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</si>
  <si>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</si>
  <si>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</si>
  <si>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</si>
  <si>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</si>
  <si>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</si>
  <si>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</si>
  <si>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</si>
  <si>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</si>
  <si>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</si>
  <si>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</si>
  <si>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</si>
  <si>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</si>
  <si>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</si>
  <si>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</si>
  <si>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</si>
  <si>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</si>
  <si>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</si>
  <si>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</si>
  <si>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</si>
  <si>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</si>
  <si>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</si>
  <si>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</si>
  <si>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</si>
  <si>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</si>
  <si>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</si>
  <si>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</si>
  <si>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</si>
  <si>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</si>
  <si>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</si>
  <si>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</si>
  <si>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</si>
  <si>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</si>
  <si>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</si>
  <si>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</si>
  <si>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</si>
  <si>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</si>
  <si>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</si>
  <si>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</si>
  <si>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</si>
  <si>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</si>
  <si>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</si>
  <si>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</si>
  <si>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</si>
  <si>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</si>
  <si>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</si>
  <si>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</si>
  <si>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</si>
  <si>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</si>
  <si>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</si>
  <si>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</si>
  <si>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</si>
  <si>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</si>
  <si>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</si>
  <si>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</si>
  <si>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</si>
  <si>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</si>
  <si>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</si>
  <si>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</si>
  <si>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</si>
  <si>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</si>
  <si>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</si>
  <si>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</si>
  <si>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</si>
  <si>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</si>
  <si>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</si>
  <si>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</si>
  <si>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</si>
  <si>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</si>
  <si>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</si>
  <si>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</si>
  <si>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</si>
  <si>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</si>
  <si>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</si>
  <si>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</si>
  <si>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</si>
  <si>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</si>
  <si>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</si>
  <si>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</si>
  <si>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</si>
  <si>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</si>
  <si>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</si>
  <si>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</si>
  <si>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</si>
  <si>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</si>
  <si>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</si>
  <si>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</si>
  <si>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</si>
  <si>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</si>
  <si>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</si>
  <si>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</si>
  <si>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</si>
  <si>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</si>
  <si>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</si>
  <si>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</si>
  <si>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</si>
  <si>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</si>
  <si>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</si>
  <si>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</si>
  <si>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</si>
  <si>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</si>
  <si>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</si>
  <si>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</si>
  <si>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</si>
  <si>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</si>
  <si>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</si>
  <si>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</si>
  <si>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</si>
  <si>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</si>
  <si>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</si>
  <si>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</si>
  <si>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</si>
  <si>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</si>
  <si>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</si>
  <si>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</si>
  <si>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</si>
  <si>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</si>
  <si>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</si>
  <si>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</si>
  <si>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</si>
  <si>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</si>
  <si>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</si>
  <si>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</si>
  <si>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</si>
  <si>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</si>
  <si>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</si>
  <si>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</si>
  <si>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</si>
  <si>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</si>
  <si>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</si>
  <si>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</si>
  <si>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</si>
  <si>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</si>
  <si>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</si>
  <si>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</si>
  <si>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</si>
  <si>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</si>
  <si>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</si>
  <si>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</si>
  <si>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</si>
  <si>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</si>
  <si>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</si>
  <si>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</si>
  <si>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</si>
  <si>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</si>
  <si>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</si>
  <si>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</si>
  <si>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</si>
  <si>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</si>
  <si>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</si>
  <si>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</si>
  <si>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</si>
  <si>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</si>
  <si>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</si>
  <si>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</si>
  <si>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</si>
  <si>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</si>
  <si>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</si>
  <si>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</si>
  <si>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</si>
  <si>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</si>
  <si>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</si>
  <si>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</si>
  <si>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</si>
  <si>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</si>
  <si>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</si>
  <si>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</si>
  <si>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</si>
  <si>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</si>
  <si>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</si>
  <si>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</si>
  <si>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</si>
  <si>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</si>
  <si>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</si>
  <si>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</si>
  <si>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</si>
  <si>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</si>
  <si>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</si>
  <si>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</si>
  <si>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</si>
  <si>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</si>
  <si>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</si>
  <si>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</si>
  <si>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</si>
  <si>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</si>
  <si>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</si>
  <si>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</si>
  <si>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</si>
  <si>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</si>
  <si>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</si>
  <si>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</si>
  <si>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</si>
  <si>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</si>
  <si>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</si>
  <si>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</si>
  <si>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</si>
  <si>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</si>
  <si>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</si>
  <si>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</si>
  <si>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</si>
  <si>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</si>
  <si>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</si>
  <si>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</si>
  <si>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</si>
  <si>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</si>
  <si>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</si>
  <si>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</si>
  <si>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</si>
  <si>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</si>
  <si>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</si>
  <si>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</si>
  <si>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</si>
  <si>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</si>
  <si>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</si>
  <si>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</si>
  <si>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</si>
  <si>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</si>
  <si>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</si>
  <si>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</si>
  <si>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</si>
  <si>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</si>
  <si>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</si>
  <si>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</si>
  <si>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</si>
  <si>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</si>
  <si>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</si>
  <si>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</si>
  <si>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</si>
  <si>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</si>
  <si>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</si>
  <si>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</si>
  <si>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</si>
  <si>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</si>
  <si>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</si>
  <si>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</si>
  <si>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</si>
  <si>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</si>
  <si>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</si>
  <si>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</si>
  <si>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</si>
  <si>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</si>
  <si>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</si>
  <si>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</si>
  <si>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</si>
  <si>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</si>
  <si>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</si>
  <si>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</si>
  <si>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</si>
  <si>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</si>
  <si>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</si>
  <si>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</si>
  <si>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</si>
  <si>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</si>
  <si>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</si>
  <si>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</si>
  <si>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</si>
  <si>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</si>
  <si>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</si>
  <si>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</si>
  <si>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</si>
  <si>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</si>
  <si>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</si>
  <si>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</si>
  <si>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</si>
  <si>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</si>
  <si>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</si>
  <si>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</si>
  <si>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</si>
  <si>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</si>
  <si>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</si>
  <si>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</si>
  <si>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</si>
  <si>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</si>
  <si>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</si>
  <si>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</si>
  <si>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</si>
  <si>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</si>
  <si>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</si>
  <si>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</si>
  <si>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</si>
  <si>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</si>
  <si>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</si>
  <si>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</si>
  <si>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</si>
  <si>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</si>
  <si>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</si>
  <si>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</si>
  <si>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</si>
  <si>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</si>
  <si>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</si>
  <si>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</si>
  <si>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</si>
  <si>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</si>
  <si>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</si>
  <si>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</si>
  <si>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</si>
  <si>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</si>
  <si>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</si>
  <si>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</si>
  <si>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</si>
  <si>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</si>
  <si>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</si>
  <si>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</si>
  <si>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</si>
  <si>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</si>
  <si>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</si>
  <si>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</si>
  <si>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</si>
  <si>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</si>
  <si>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</si>
  <si>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</si>
  <si>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</si>
  <si>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</si>
  <si>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</si>
  <si>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</si>
  <si>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</si>
  <si>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</si>
  <si>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</si>
  <si>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</si>
  <si>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</si>
  <si>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</si>
  <si>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</si>
  <si>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</si>
  <si>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</si>
  <si>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</si>
  <si>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</si>
  <si>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</si>
  <si>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</si>
  <si>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</si>
  <si>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</si>
  <si>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</si>
  <si>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</si>
  <si>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</si>
  <si>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</si>
  <si>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</si>
  <si>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</si>
  <si>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</si>
  <si>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</si>
  <si>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</si>
  <si>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</si>
  <si>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</si>
  <si>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</si>
  <si>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</si>
  <si>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</si>
  <si>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</si>
  <si>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</si>
  <si>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</si>
  <si>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</si>
  <si>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</si>
  <si>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</si>
  <si>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</si>
  <si>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</si>
  <si>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</si>
  <si>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</si>
  <si>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</si>
  <si>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</si>
  <si>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</si>
  <si>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</si>
  <si>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</si>
  <si>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</si>
  <si>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</si>
  <si>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</si>
  <si>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</si>
  <si>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</si>
  <si>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</si>
  <si>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</si>
  <si>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</si>
  <si>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</si>
  <si>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</si>
  <si>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</si>
  <si>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</si>
  <si>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</si>
  <si>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</si>
  <si>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</si>
  <si>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</si>
  <si>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</si>
  <si>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</si>
  <si>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</si>
  <si>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</si>
  <si>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</si>
  <si>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</si>
  <si>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</si>
  <si>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</si>
  <si>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</si>
  <si>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</si>
  <si>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</si>
  <si>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</si>
  <si>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</si>
  <si>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</si>
  <si>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</si>
  <si>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</si>
  <si>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</si>
  <si>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</si>
  <si>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</si>
  <si>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</si>
  <si>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</si>
  <si>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</si>
  <si>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</si>
  <si>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</si>
  <si>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</si>
  <si>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</si>
  <si>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</si>
  <si>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</si>
  <si>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</si>
  <si>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</si>
  <si>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</si>
  <si>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</si>
  <si>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</si>
  <si>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</si>
  <si>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</si>
  <si>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</si>
  <si>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</si>
  <si>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</si>
  <si>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</si>
  <si>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</si>
  <si>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</si>
  <si>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</si>
  <si>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</si>
  <si>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</si>
  <si>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</si>
  <si>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</si>
  <si>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</si>
  <si>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</si>
  <si>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</si>
  <si>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</si>
  <si>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</si>
  <si>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</si>
  <si>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</si>
  <si>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</si>
  <si>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</si>
  <si>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</si>
  <si>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</si>
  <si>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</si>
  <si>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</si>
  <si>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</si>
  <si>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</si>
  <si>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</si>
  <si>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</si>
  <si>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</si>
  <si>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</si>
  <si>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</si>
  <si>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</si>
  <si>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</si>
  <si>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</si>
  <si>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</si>
  <si>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</si>
  <si>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</si>
  <si>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</si>
  <si>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</si>
  <si>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</si>
  <si>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</si>
  <si>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</si>
  <si>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</si>
  <si>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</si>
  <si>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</si>
  <si>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</si>
  <si>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</si>
  <si>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</si>
  <si>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</si>
  <si>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</si>
  <si>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</si>
  <si>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</si>
  <si>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</si>
  <si>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</si>
  <si>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</si>
  <si>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</si>
  <si>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</si>
  <si>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</si>
  <si>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</si>
  <si>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</si>
  <si>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</si>
  <si>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</si>
  <si>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</si>
  <si>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</si>
  <si>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</si>
  <si>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</si>
  <si>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</si>
  <si>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</si>
  <si>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</si>
  <si>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</si>
  <si>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</si>
  <si>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</si>
  <si>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</si>
  <si>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</si>
  <si>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</si>
  <si>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</si>
  <si>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</si>
  <si>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</si>
  <si>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</si>
  <si>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</si>
  <si>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</si>
  <si>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</si>
  <si>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</si>
  <si>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</si>
  <si>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</si>
  <si>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</si>
  <si>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</si>
  <si>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</si>
  <si>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</si>
  <si>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</si>
  <si>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</si>
  <si>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</si>
  <si>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</si>
  <si>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</si>
  <si>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</si>
  <si>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</si>
  <si>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</si>
  <si>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</si>
  <si>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</si>
  <si>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</si>
  <si>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</si>
  <si>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</si>
  <si>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</si>
  <si>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</si>
  <si>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</si>
  <si>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</si>
  <si>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</si>
  <si>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</si>
  <si>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</si>
  <si>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</si>
  <si>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</si>
  <si>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</si>
  <si>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</si>
  <si>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</si>
  <si>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</si>
  <si>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</si>
  <si>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</si>
  <si>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</si>
  <si>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</si>
  <si>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</si>
  <si>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</si>
  <si>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</si>
  <si>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</si>
  <si>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</si>
  <si>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</si>
  <si>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</si>
  <si>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</si>
  <si>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</si>
  <si>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</si>
  <si>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</si>
  <si>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</si>
  <si>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</si>
  <si>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</si>
  <si>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</si>
  <si>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</si>
  <si>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</si>
  <si>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</si>
  <si>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</si>
  <si>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</si>
  <si>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</si>
  <si>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</si>
  <si>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</si>
  <si>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</si>
  <si>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</si>
  <si>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</si>
  <si>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</si>
  <si>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</si>
  <si>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</si>
  <si>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</si>
  <si>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</si>
  <si>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</si>
  <si>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</si>
  <si>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</si>
  <si>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</si>
  <si>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</si>
  <si>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</si>
  <si>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</si>
  <si>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</si>
  <si>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</si>
  <si>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</si>
  <si>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</si>
  <si>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</si>
  <si>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</si>
  <si>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</si>
  <si>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</si>
  <si>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</si>
  <si>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</si>
  <si>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</si>
  <si>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</si>
  <si>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</si>
  <si>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</si>
  <si>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</si>
  <si>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</si>
  <si>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</si>
  <si>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</si>
  <si>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</si>
  <si>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</si>
  <si>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</si>
  <si>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</si>
  <si>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</si>
  <si>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</si>
  <si>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</si>
  <si>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</si>
  <si>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</si>
  <si>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</si>
  <si>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</si>
  <si>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</si>
  <si>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</si>
  <si>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</si>
  <si>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</si>
  <si>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</si>
  <si>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</si>
  <si>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</si>
  <si>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</si>
  <si>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</si>
  <si>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</si>
  <si>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</si>
  <si>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</si>
  <si>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</si>
  <si>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</si>
  <si>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</si>
  <si>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</si>
  <si>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</si>
  <si>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</si>
  <si>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</si>
  <si>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</si>
  <si>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</si>
  <si>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</si>
  <si>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</si>
  <si>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</si>
  <si>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</si>
  <si>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</si>
  <si>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</si>
  <si>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</si>
  <si>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</si>
  <si>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</si>
  <si>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</si>
  <si>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</si>
  <si>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</si>
  <si>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</si>
  <si>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</si>
  <si>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</si>
  <si>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</si>
  <si>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</si>
  <si>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</si>
  <si>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</si>
  <si>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</si>
  <si>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</si>
  <si>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</si>
  <si>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</si>
  <si>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</si>
  <si>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</si>
  <si>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</si>
  <si>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</si>
  <si>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</si>
  <si>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</si>
  <si>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</si>
  <si>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</si>
  <si>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</si>
  <si>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</si>
  <si>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</si>
  <si>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</si>
  <si>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</si>
  <si>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</si>
  <si>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</si>
  <si>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</si>
  <si>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</si>
  <si>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</si>
  <si>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</si>
  <si>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</si>
  <si>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</si>
  <si>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</si>
  <si>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</si>
  <si>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</si>
  <si>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</si>
  <si>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</si>
  <si>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</si>
  <si>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</si>
  <si>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</si>
  <si>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</si>
  <si>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</si>
  <si>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</si>
  <si>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</si>
  <si>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</si>
  <si>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</si>
  <si>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</si>
  <si>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</si>
  <si>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</si>
  <si>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</si>
  <si>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</si>
  <si>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</si>
  <si>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</si>
  <si>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</si>
  <si>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</si>
  <si>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</si>
  <si>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</si>
  <si>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</si>
  <si>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</si>
  <si>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</si>
  <si>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</si>
  <si>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</si>
  <si>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</si>
  <si>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</si>
  <si>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</si>
  <si>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</si>
  <si>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</si>
  <si>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</si>
  <si>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</si>
  <si>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</si>
  <si>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</si>
  <si>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</si>
  <si>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</si>
  <si>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</si>
  <si>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</si>
  <si>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</si>
  <si>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</si>
  <si>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</si>
  <si>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</si>
  <si>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</si>
  <si>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</si>
  <si>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</si>
  <si>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</si>
  <si>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</si>
  <si>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</si>
  <si>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</si>
  <si>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</si>
  <si>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</si>
  <si>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</si>
  <si>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</si>
  <si>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</si>
  <si>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</si>
  <si>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</si>
  <si>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</si>
  <si>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</si>
  <si>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</si>
  <si>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</si>
  <si>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</si>
  <si>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</si>
  <si>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</si>
  <si>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</si>
  <si>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</si>
  <si>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</si>
  <si>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</si>
  <si>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</si>
  <si>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</si>
  <si>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</si>
  <si>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</si>
  <si>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</si>
  <si>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</si>
  <si>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</si>
  <si>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</si>
  <si>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</si>
  <si>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</si>
  <si>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</si>
  <si>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</si>
  <si>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</si>
  <si>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</si>
  <si>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</si>
  <si>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</si>
  <si>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</si>
  <si>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</si>
  <si>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</si>
  <si>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</si>
  <si>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</si>
  <si>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</si>
  <si>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</si>
  <si>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</si>
  <si>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</si>
  <si>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</si>
  <si>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</si>
  <si>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</si>
  <si>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</si>
  <si>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</si>
  <si>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</si>
  <si>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</si>
  <si>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</si>
  <si>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</si>
  <si>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</si>
  <si>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</si>
  <si>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</si>
  <si>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</si>
  <si>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</si>
  <si>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</si>
  <si>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</si>
  <si>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</si>
  <si>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</si>
  <si>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</si>
  <si>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</si>
  <si>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</si>
  <si>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</si>
  <si>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</si>
  <si>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</si>
  <si>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</si>
  <si>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</si>
  <si>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</si>
  <si>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</si>
  <si>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</si>
  <si>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</si>
  <si>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</si>
  <si>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</si>
  <si>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</si>
  <si>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</si>
  <si>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</si>
  <si>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</si>
  <si>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</si>
  <si>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</si>
  <si>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</si>
  <si>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</si>
  <si>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</si>
  <si>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</si>
  <si>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</si>
  <si>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</si>
  <si>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</si>
  <si>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</si>
  <si>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</si>
  <si>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</si>
  <si>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</si>
  <si>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</si>
  <si>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</si>
  <si>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</si>
  <si>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</si>
  <si>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</si>
  <si>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</si>
  <si>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</si>
  <si>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</si>
  <si>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</si>
  <si>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</si>
  <si>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</si>
  <si>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</si>
  <si>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</si>
  <si>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</si>
  <si>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</si>
  <si>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</si>
  <si>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</si>
  <si>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</si>
  <si>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</si>
  <si>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</si>
  <si>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</si>
  <si>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</si>
  <si>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</si>
  <si>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</si>
  <si>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</si>
  <si>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</si>
  <si>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</si>
  <si>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</si>
  <si>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</si>
  <si>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</si>
  <si>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</si>
  <si>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</si>
  <si>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</si>
  <si>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</si>
  <si>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</si>
  <si>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</si>
  <si>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</si>
  <si>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</si>
  <si>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</si>
  <si>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</si>
  <si>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</si>
  <si>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</si>
  <si>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</si>
  <si>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</si>
  <si>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</si>
  <si>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</si>
  <si>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</si>
  <si>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</si>
  <si>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</si>
  <si>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</si>
  <si>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</si>
  <si>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</si>
  <si>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</si>
  <si>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</si>
  <si>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</si>
  <si>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</si>
  <si>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</si>
  <si>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</si>
  <si>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</si>
  <si>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</si>
  <si>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</si>
  <si>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</si>
  <si>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</si>
  <si>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</si>
  <si>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</si>
  <si>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</si>
  <si>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</si>
  <si>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</si>
  <si>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</si>
  <si>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</si>
  <si>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</si>
  <si>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</si>
  <si>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</si>
  <si>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</si>
  <si>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</si>
  <si>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</si>
  <si>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</si>
  <si>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</si>
  <si>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</si>
  <si>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</si>
  <si>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</si>
  <si>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</si>
  <si>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</si>
  <si>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</si>
  <si>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</si>
  <si>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</si>
  <si>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</si>
  <si>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</si>
  <si>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</si>
  <si>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</si>
  <si>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</si>
  <si>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</si>
  <si>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</si>
  <si>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</si>
  <si>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</si>
  <si>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</si>
  <si>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</si>
  <si>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</si>
  <si>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</si>
  <si>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</si>
  <si>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</si>
  <si>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</si>
  <si>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</si>
  <si>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</si>
  <si>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</si>
  <si>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</si>
  <si>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</si>
  <si>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</si>
  <si>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</si>
  <si>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</si>
  <si>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</si>
  <si>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</si>
  <si>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</si>
  <si>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</si>
  <si>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</si>
  <si>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</si>
  <si>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</si>
  <si>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</si>
  <si>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</si>
  <si>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</si>
  <si>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</si>
  <si>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</si>
  <si>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</si>
  <si>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</si>
  <si>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</si>
  <si>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</si>
  <si>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</si>
  <si>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</si>
  <si>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</si>
  <si>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</si>
  <si>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</si>
  <si>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</si>
  <si>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</si>
  <si>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</si>
  <si>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</si>
  <si>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</si>
  <si>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</si>
  <si>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</si>
  <si>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</si>
  <si>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</si>
  <si>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</si>
  <si>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</si>
  <si>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</si>
  <si>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</si>
  <si>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</si>
  <si>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</si>
  <si>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</si>
  <si>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</si>
  <si>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</si>
  <si>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</si>
  <si>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</si>
  <si>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</si>
  <si>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</si>
  <si>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</si>
  <si>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</si>
  <si>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</si>
  <si>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</si>
  <si>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</si>
  <si>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</si>
  <si>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</si>
  <si>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</si>
  <si>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</si>
  <si>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</si>
  <si>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</si>
  <si>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</si>
  <si>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</si>
  <si>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</si>
  <si>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</si>
  <si>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</si>
  <si>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</si>
  <si>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</si>
  <si>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</si>
  <si>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</si>
  <si>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</si>
  <si>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</si>
  <si>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</si>
  <si>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</si>
  <si>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</si>
  <si>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</si>
  <si>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</si>
  <si>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</si>
  <si>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</si>
  <si>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</si>
  <si>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</si>
  <si>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</si>
  <si>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</si>
  <si>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</si>
  <si>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</si>
  <si>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</si>
  <si>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</si>
  <si>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</si>
  <si>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</si>
  <si>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</si>
  <si>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</si>
  <si>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</si>
  <si>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</si>
  <si>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</si>
  <si>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</si>
  <si>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</si>
  <si>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</si>
  <si>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</si>
  <si>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</si>
  <si>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</si>
  <si>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</si>
  <si>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</si>
  <si>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</si>
  <si>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</si>
  <si>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</si>
  <si>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</si>
  <si>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</si>
  <si>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</si>
  <si>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</si>
  <si>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</si>
  <si>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</si>
  <si>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</si>
  <si>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</si>
  <si>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</si>
  <si>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</si>
  <si>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</si>
  <si>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</si>
  <si>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</si>
  <si>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</si>
  <si>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</si>
  <si>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</si>
  <si>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</si>
  <si>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</si>
  <si>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</si>
  <si>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</si>
  <si>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</si>
  <si>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</si>
  <si>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</si>
  <si>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</si>
  <si>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</si>
  <si>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</si>
  <si>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</si>
  <si>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</si>
  <si>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</si>
  <si>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</si>
  <si>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</si>
  <si>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</si>
  <si>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</si>
  <si>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</si>
  <si>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</si>
  <si>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</si>
  <si>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</si>
  <si>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</si>
  <si>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</si>
  <si>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</si>
  <si>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</si>
  <si>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</si>
  <si>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</si>
  <si>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</si>
  <si>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</si>
  <si>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</si>
  <si>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</si>
  <si>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</si>
  <si>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</si>
  <si>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</si>
  <si>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</si>
  <si>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</si>
  <si>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</si>
  <si>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</si>
  <si>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</si>
  <si>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</si>
  <si>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</si>
  <si>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</si>
  <si>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</si>
  <si>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</si>
  <si>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</si>
  <si>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</si>
  <si>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</si>
  <si>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</si>
  <si>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</si>
  <si>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</si>
  <si>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</si>
  <si>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</si>
  <si>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</si>
  <si>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</si>
  <si>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</si>
  <si>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</si>
  <si>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</si>
  <si>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</si>
  <si>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</si>
  <si>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</si>
  <si>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</si>
  <si>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</si>
  <si>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</si>
  <si>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</si>
  <si>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</si>
  <si>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</si>
  <si>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</si>
  <si>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</si>
  <si>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</si>
  <si>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</si>
  <si>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</si>
  <si>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</si>
  <si>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</si>
  <si>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</si>
  <si>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</si>
  <si>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</si>
  <si>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</si>
  <si>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</si>
  <si>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</si>
  <si>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</si>
  <si>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</si>
  <si>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</si>
  <si>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</si>
  <si>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</si>
  <si>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</si>
  <si>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</si>
  <si>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</si>
  <si>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</si>
  <si>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</si>
  <si>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</si>
  <si>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</si>
  <si>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</si>
  <si>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</si>
  <si>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</si>
  <si>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</si>
  <si>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</si>
  <si>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</si>
  <si>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</si>
  <si>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</si>
  <si>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</si>
  <si>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</si>
  <si>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</si>
  <si>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</si>
  <si>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</si>
  <si>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</si>
  <si>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</si>
  <si>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</si>
  <si>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</si>
  <si>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</si>
  <si>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</si>
  <si>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</si>
  <si>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</si>
  <si>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</si>
  <si>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</si>
  <si>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</si>
  <si>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</si>
  <si>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</si>
  <si>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</si>
  <si>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</si>
  <si>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</si>
  <si>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</si>
  <si>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</si>
  <si>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</si>
  <si>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</si>
  <si>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</si>
  <si>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</si>
  <si>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</si>
  <si>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</si>
  <si>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</si>
  <si>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</si>
  <si>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</si>
  <si>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</si>
  <si>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</si>
  <si>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</si>
  <si>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</si>
  <si>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</si>
  <si>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</si>
  <si>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</si>
  <si>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</si>
  <si>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</si>
  <si>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</si>
  <si>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</si>
  <si>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</si>
  <si>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</si>
  <si>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</si>
  <si>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</si>
  <si>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</si>
  <si>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</si>
  <si>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</si>
  <si>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</si>
  <si>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</si>
  <si>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</si>
  <si>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</si>
  <si>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</si>
  <si>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</si>
  <si>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</si>
  <si>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</si>
  <si>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</si>
  <si>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</si>
  <si>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</si>
  <si>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</si>
  <si>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</si>
  <si>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</si>
  <si>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</si>
  <si>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</si>
  <si>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</si>
  <si>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</si>
  <si>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</si>
  <si>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</si>
  <si>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</si>
  <si>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</si>
  <si>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</si>
  <si>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</si>
  <si>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</si>
  <si>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</si>
  <si>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</si>
  <si>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</si>
  <si>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</si>
  <si>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</si>
  <si>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</si>
  <si>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</si>
  <si>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</si>
  <si>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</si>
  <si>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</si>
  <si>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</si>
  <si>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</si>
  <si>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</si>
  <si>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</si>
  <si>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</si>
  <si>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</si>
  <si>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</si>
  <si>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</si>
  <si>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</si>
  <si>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</si>
  <si>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</si>
  <si>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</si>
  <si>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</si>
  <si>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</si>
  <si>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</si>
  <si>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</si>
  <si>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</si>
  <si>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</si>
  <si>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</si>
  <si>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</si>
  <si>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</si>
  <si>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</si>
  <si>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</si>
  <si>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</si>
  <si>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</si>
  <si>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</si>
  <si>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</si>
  <si>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</si>
  <si>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</si>
  <si>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</si>
  <si>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</si>
  <si>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</si>
  <si>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</si>
  <si>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</si>
  <si>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</si>
  <si>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</si>
  <si>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</si>
  <si>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</si>
  <si>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</si>
  <si>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</si>
  <si>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</si>
  <si>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</si>
  <si>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</si>
  <si>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</si>
  <si>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</si>
  <si>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</si>
  <si>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</si>
  <si>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</si>
  <si>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</si>
  <si>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</si>
  <si>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</si>
  <si>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</si>
  <si>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</si>
  <si>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</si>
  <si>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</si>
  <si>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</si>
  <si>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</si>
  <si>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</si>
  <si>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</si>
  <si>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</si>
  <si>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</si>
  <si>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</si>
  <si>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</si>
  <si>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</si>
  <si>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</si>
  <si>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</si>
  <si>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</si>
  <si>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</si>
  <si>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</si>
  <si>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</si>
  <si>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</si>
  <si>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</si>
  <si>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</si>
  <si>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</si>
  <si>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</si>
  <si>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</si>
  <si>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</si>
  <si>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</si>
  <si>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</si>
  <si>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</si>
  <si>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</si>
  <si>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</si>
  <si>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</si>
  <si>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</si>
  <si>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</si>
  <si>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</si>
  <si>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</si>
  <si>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</si>
  <si>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</si>
  <si>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</si>
  <si>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</si>
  <si>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</si>
  <si>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</si>
  <si>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</si>
  <si>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</si>
  <si>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</si>
  <si>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</si>
  <si>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</si>
  <si>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</si>
  <si>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</si>
  <si>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</si>
  <si>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</si>
  <si>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</si>
  <si>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</si>
  <si>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</si>
  <si>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</si>
  <si>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</si>
  <si>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</si>
  <si>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</si>
  <si>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</si>
  <si>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</si>
  <si>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</si>
  <si>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</si>
  <si>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</si>
  <si>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</si>
  <si>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</si>
  <si>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</si>
  <si>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</si>
  <si>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</si>
  <si>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</si>
  <si>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</si>
  <si>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</si>
  <si>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</si>
  <si>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</si>
  <si>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</si>
  <si>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</si>
  <si>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</si>
  <si>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</si>
  <si>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</si>
  <si>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</si>
  <si>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</si>
  <si>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</si>
  <si>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</si>
  <si>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</si>
  <si>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</si>
  <si>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</si>
  <si>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</si>
  <si>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</si>
  <si>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</si>
  <si>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</si>
  <si>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</si>
  <si>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</si>
  <si>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</si>
  <si>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</si>
  <si>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</si>
  <si>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</si>
  <si>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</si>
  <si>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</si>
  <si>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</si>
  <si>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</si>
  <si>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</si>
  <si>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</si>
  <si>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</si>
  <si>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</si>
  <si>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</si>
  <si>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</si>
  <si>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</si>
  <si>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</si>
  <si>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</si>
  <si>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</si>
  <si>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</si>
  <si>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</si>
  <si>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</si>
  <si>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</si>
  <si>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</si>
  <si>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</si>
  <si>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</si>
  <si>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</si>
  <si>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</si>
  <si>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</si>
  <si>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</si>
  <si>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</si>
  <si>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</si>
  <si>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</si>
  <si>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</si>
  <si>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</si>
  <si>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</si>
  <si>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</si>
  <si>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</si>
  <si>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</si>
  <si>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</si>
  <si>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</si>
  <si>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</si>
  <si>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</si>
  <si>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</si>
  <si>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</si>
  <si>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</si>
  <si>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</si>
  <si>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</si>
  <si>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</si>
  <si>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</si>
  <si>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</si>
  <si>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</si>
  <si>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</si>
  <si>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</si>
  <si>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</si>
  <si>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</si>
  <si>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</si>
  <si>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</si>
  <si>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</si>
  <si>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</si>
  <si>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</si>
  <si>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</si>
  <si>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</si>
  <si>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</si>
  <si>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</si>
  <si>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</si>
  <si>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</si>
  <si>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</si>
  <si>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</si>
  <si>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</si>
  <si>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</si>
  <si>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</si>
  <si>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</si>
  <si>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</si>
  <si>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</si>
  <si>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</si>
  <si>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</si>
  <si>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</si>
  <si>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</si>
  <si>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</si>
  <si>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</si>
  <si>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</si>
  <si>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</si>
  <si>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</si>
  <si>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</si>
  <si>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</si>
  <si>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</si>
  <si>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</si>
  <si>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</si>
  <si>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</si>
  <si>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</si>
  <si>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</si>
  <si>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</si>
  <si>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</si>
  <si>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</si>
  <si>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</si>
  <si>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</si>
  <si>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</si>
  <si>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</si>
  <si>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</si>
  <si>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</si>
  <si>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</si>
  <si>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</si>
  <si>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</si>
  <si>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</si>
  <si>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</si>
  <si>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</si>
  <si>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</si>
  <si>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</si>
  <si>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</si>
  <si>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</si>
  <si>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</si>
  <si>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</si>
  <si>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</si>
  <si>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</si>
  <si>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</si>
  <si>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</si>
  <si>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</si>
  <si>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</si>
  <si>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</si>
  <si>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</si>
  <si>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</si>
  <si>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</si>
  <si>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</si>
  <si>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</si>
  <si>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</si>
  <si>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</si>
  <si>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</si>
  <si>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</si>
  <si>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</si>
  <si>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</si>
  <si>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</si>
  <si>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</si>
  <si>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</si>
  <si>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</si>
  <si>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</si>
  <si>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</si>
  <si>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</si>
  <si>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</si>
  <si>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</si>
  <si>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</si>
  <si>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</si>
  <si>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</si>
  <si>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</si>
  <si>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</si>
  <si>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</si>
  <si>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</si>
  <si>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</si>
  <si>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</si>
  <si>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</si>
  <si>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</si>
  <si>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</si>
  <si>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</si>
  <si>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</si>
  <si>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</si>
  <si>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</si>
  <si>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</si>
  <si>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</si>
  <si>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</si>
  <si>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</si>
  <si>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</si>
  <si>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</si>
  <si>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</si>
  <si>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</si>
  <si>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</si>
  <si>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</si>
  <si>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</si>
  <si>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</si>
  <si>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</si>
  <si>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</si>
  <si>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</si>
  <si>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</si>
  <si>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</si>
  <si>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</si>
  <si>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</si>
  <si>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</si>
  <si>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</si>
  <si>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</si>
  <si>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</si>
  <si>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</si>
  <si>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</si>
  <si>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</si>
  <si>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</si>
  <si>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</si>
  <si>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</si>
  <si>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</si>
  <si>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</si>
  <si>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</si>
  <si>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</si>
  <si>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</si>
  <si>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</si>
  <si>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</si>
  <si>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</si>
  <si>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</si>
  <si>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</si>
  <si>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</si>
  <si>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</si>
  <si>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</si>
  <si>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</si>
  <si>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</si>
  <si>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</si>
  <si>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</si>
  <si>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</si>
  <si>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</si>
  <si>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</si>
  <si>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</si>
  <si>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</si>
  <si>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</si>
  <si>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</si>
  <si>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</si>
  <si>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</si>
  <si>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</si>
  <si>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</si>
  <si>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</si>
  <si>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</si>
  <si>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</si>
  <si>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</si>
  <si>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</si>
  <si>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</si>
  <si>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</si>
  <si>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</si>
  <si>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</si>
  <si>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</si>
  <si>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</si>
  <si>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</si>
  <si>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</si>
  <si>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</si>
  <si>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</si>
  <si>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</si>
  <si>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</si>
  <si>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</si>
  <si>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</si>
  <si>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</si>
  <si>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</si>
  <si>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</si>
  <si>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</si>
  <si>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</si>
  <si>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</si>
  <si>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</si>
  <si>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</si>
  <si>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</si>
  <si>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</si>
  <si>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</si>
  <si>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</si>
  <si>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</si>
  <si>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</si>
  <si>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</si>
  <si>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</si>
  <si>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</si>
  <si>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</si>
  <si>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</si>
  <si>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</si>
  <si>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</si>
  <si>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</si>
  <si>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</si>
  <si>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</si>
  <si>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</si>
  <si>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</si>
  <si>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</si>
  <si>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</si>
  <si>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</si>
  <si>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</si>
  <si>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</si>
  <si>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</si>
  <si>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</si>
  <si>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</si>
  <si>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</si>
  <si>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</si>
  <si>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</si>
  <si>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</si>
  <si>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</si>
  <si>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</si>
  <si>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</si>
  <si>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</si>
  <si>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</si>
  <si>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</si>
  <si>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</si>
  <si>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</si>
  <si>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</si>
  <si>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</si>
  <si>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</si>
  <si>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</si>
  <si>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</si>
  <si>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</si>
  <si>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</si>
  <si>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</si>
  <si>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</si>
  <si>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</si>
  <si>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</si>
  <si>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</si>
  <si>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</si>
  <si>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</si>
  <si>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</si>
  <si>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</si>
  <si>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</si>
  <si>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</si>
  <si>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</si>
  <si>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</si>
  <si>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</si>
  <si>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</si>
  <si>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</si>
  <si>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</si>
  <si>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</si>
  <si>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</si>
  <si>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</si>
  <si>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</si>
  <si>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</si>
  <si>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</si>
  <si>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</si>
  <si>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</si>
  <si>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</si>
  <si>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</si>
  <si>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</si>
  <si>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</si>
  <si>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</si>
  <si>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</si>
  <si>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</si>
  <si>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</si>
  <si>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</si>
  <si>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</si>
  <si>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</si>
  <si>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</si>
  <si>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</si>
  <si>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</si>
  <si>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</si>
  <si>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</si>
  <si>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</si>
  <si>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</si>
  <si>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</si>
  <si>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</si>
  <si>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</si>
  <si>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</si>
  <si>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</si>
  <si>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</si>
  <si>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</si>
  <si>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</si>
  <si>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</si>
  <si>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</si>
  <si>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</si>
  <si>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</si>
  <si>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</si>
  <si>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</si>
  <si>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</si>
  <si>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</si>
  <si>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</si>
  <si>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</si>
  <si>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</si>
  <si>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</si>
  <si>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</si>
  <si>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</si>
  <si>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</si>
  <si>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</si>
  <si>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</si>
  <si>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</si>
  <si>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</si>
  <si>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</si>
  <si>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</si>
  <si>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</si>
  <si>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</si>
  <si>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</si>
  <si>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</si>
  <si>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</si>
  <si>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</si>
  <si>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</si>
  <si>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</si>
  <si>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</si>
  <si>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</si>
  <si>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</si>
  <si>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</si>
  <si>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</si>
  <si>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</si>
  <si>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</si>
  <si>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</si>
  <si>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</si>
  <si>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</si>
  <si>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</si>
  <si>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</si>
  <si>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</si>
  <si>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</si>
  <si>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</si>
  <si>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</si>
  <si>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</si>
  <si>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</si>
  <si>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</si>
  <si>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</si>
  <si>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</si>
  <si>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</si>
  <si>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</si>
  <si>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</si>
  <si>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</si>
  <si>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</si>
  <si>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</si>
  <si>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</si>
  <si>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</si>
  <si>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</si>
  <si>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</si>
  <si>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</si>
  <si>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</si>
  <si>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</si>
  <si>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</si>
  <si>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</si>
  <si>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</si>
  <si>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</si>
  <si>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</si>
  <si>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</si>
  <si>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</si>
  <si>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</si>
  <si>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</si>
  <si>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</si>
  <si>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</si>
  <si>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</si>
  <si>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</si>
  <si>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</si>
  <si>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</si>
  <si>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</si>
  <si>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</si>
  <si>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</si>
  <si>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</si>
  <si>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</si>
  <si>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</si>
  <si>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</si>
  <si>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</si>
  <si>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</si>
  <si>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</si>
  <si>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</si>
  <si>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</si>
  <si>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</si>
  <si>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</si>
  <si>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</si>
  <si>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</si>
  <si>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</si>
  <si>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</si>
  <si>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</si>
  <si>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</si>
  <si>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</si>
  <si>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</si>
  <si>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</si>
  <si>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</si>
  <si>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</si>
  <si>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</si>
  <si>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</si>
  <si>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</si>
  <si>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</si>
  <si>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</si>
  <si>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</si>
  <si>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</si>
  <si>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</si>
  <si>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</si>
  <si>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</si>
  <si>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</si>
  <si>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</si>
  <si>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</si>
  <si>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</si>
  <si>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</si>
  <si>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</si>
  <si>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</si>
  <si>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</si>
  <si>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</si>
  <si>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</si>
  <si>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</si>
  <si>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</si>
  <si>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</si>
  <si>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</si>
  <si>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</si>
  <si>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</si>
  <si>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</si>
  <si>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</si>
  <si>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</si>
  <si>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</si>
  <si>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</si>
  <si>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</si>
  <si>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</si>
  <si>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</si>
  <si>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</si>
  <si>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</si>
  <si>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</si>
  <si>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</si>
  <si>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</si>
  <si>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</si>
  <si>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</si>
  <si>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</si>
  <si>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</si>
  <si>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</si>
  <si>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</si>
  <si>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</si>
  <si>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</si>
  <si>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</si>
  <si>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</si>
  <si>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</si>
  <si>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</si>
  <si>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</si>
  <si>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</si>
  <si>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</si>
  <si>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</si>
  <si>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</si>
  <si>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</si>
  <si>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</si>
  <si>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</si>
  <si>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</si>
  <si>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</si>
  <si>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</si>
  <si>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</si>
  <si>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</si>
  <si>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</si>
  <si>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</si>
  <si>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</si>
  <si>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</si>
  <si>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</si>
  <si>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</si>
  <si>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</si>
  <si>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</si>
  <si>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</si>
  <si>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</si>
  <si>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</si>
  <si>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</si>
  <si>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</si>
  <si>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</si>
  <si>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</si>
  <si>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</si>
  <si>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</si>
  <si>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</si>
  <si>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</si>
  <si>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</si>
  <si>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</si>
  <si>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</si>
  <si>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</si>
  <si>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</si>
  <si>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</si>
  <si>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</si>
  <si>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</si>
  <si>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</si>
  <si>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</si>
  <si>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</si>
  <si>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</si>
  <si>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</si>
  <si>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</si>
  <si>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</si>
  <si>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</si>
  <si>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</si>
  <si>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</si>
  <si>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</si>
  <si>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</si>
  <si>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</si>
  <si>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</si>
  <si>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</si>
  <si>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</si>
  <si>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</si>
  <si>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</si>
  <si>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</si>
  <si>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</si>
  <si>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</si>
  <si>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</si>
  <si>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</si>
  <si>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</si>
  <si>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</si>
  <si>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</si>
  <si>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</si>
  <si>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</si>
  <si>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</si>
  <si>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</si>
  <si>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</si>
  <si>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</si>
  <si>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</si>
  <si>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</si>
  <si>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</si>
  <si>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</si>
  <si>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</si>
  <si>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</si>
  <si>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</si>
  <si>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</si>
  <si>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</si>
  <si>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</si>
  <si>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</si>
  <si>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</si>
  <si>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</si>
  <si>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</si>
  <si>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</si>
  <si>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</si>
  <si>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</si>
  <si>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</si>
  <si>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</si>
  <si>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</si>
  <si>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</si>
  <si>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</si>
  <si>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</si>
  <si>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</si>
  <si>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</si>
  <si>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</si>
  <si>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</si>
  <si>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</si>
  <si>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</si>
  <si>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</si>
  <si>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</si>
  <si>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</si>
  <si>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</si>
  <si>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</si>
  <si>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</si>
  <si>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</si>
  <si>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</si>
  <si>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</si>
  <si>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</si>
  <si>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</si>
  <si>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</si>
  <si>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</si>
  <si>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</si>
  <si>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</si>
  <si>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</si>
  <si>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</si>
  <si>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</si>
  <si>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</si>
  <si>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</si>
  <si>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</si>
  <si>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</si>
  <si>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</si>
  <si>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</si>
  <si>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</si>
  <si>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</si>
  <si>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</si>
  <si>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</si>
  <si>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</si>
  <si>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</si>
  <si>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</si>
  <si>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</si>
  <si>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</si>
  <si>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</si>
  <si>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</si>
  <si>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</si>
  <si>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</si>
  <si>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</si>
  <si>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</si>
  <si>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</si>
  <si>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</si>
  <si>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</si>
  <si>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</si>
  <si>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</si>
  <si>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</si>
  <si>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</si>
  <si>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</si>
  <si>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</si>
  <si>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</si>
  <si>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</si>
  <si>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</si>
  <si>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</si>
  <si>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</si>
  <si>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</si>
  <si>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</si>
  <si>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</si>
  <si>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</si>
  <si>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</si>
  <si>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</si>
  <si>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</si>
  <si>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</si>
  <si>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</si>
  <si>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</si>
  <si>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</si>
  <si>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</si>
  <si>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</si>
  <si>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</si>
  <si>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</si>
  <si>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</si>
  <si>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</si>
  <si>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</si>
  <si>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</si>
  <si>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</si>
  <si>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</si>
  <si>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</si>
  <si>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</si>
  <si>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</si>
  <si>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</si>
  <si>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</si>
  <si>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</si>
  <si>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</si>
  <si>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</si>
  <si>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</si>
  <si>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</si>
  <si>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</si>
  <si>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</si>
  <si>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</si>
  <si>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</si>
  <si>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</si>
  <si>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</si>
  <si>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</si>
  <si>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</si>
  <si>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</si>
  <si>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</si>
  <si>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</si>
  <si>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</si>
  <si>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</si>
  <si>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</si>
  <si>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</si>
  <si>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</si>
  <si>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</si>
  <si>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</si>
  <si>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</si>
  <si>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</si>
  <si>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</si>
  <si>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</si>
  <si>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</si>
  <si>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</si>
  <si>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</si>
  <si>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</si>
  <si>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</si>
  <si>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</si>
  <si>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</si>
  <si>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</si>
  <si>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</si>
  <si>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</si>
  <si>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</si>
  <si>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</si>
  <si>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</si>
  <si>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</si>
  <si>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</si>
  <si>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</si>
  <si>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</si>
  <si>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</si>
  <si>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</si>
  <si>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</si>
  <si>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</si>
  <si>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</si>
  <si>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</si>
  <si>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</si>
  <si>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</si>
  <si>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</si>
  <si>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</si>
  <si>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</si>
  <si>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</si>
  <si>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</si>
  <si>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</si>
  <si>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</si>
  <si>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</si>
  <si>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</si>
  <si>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</si>
  <si>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</si>
  <si>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</si>
  <si>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</si>
  <si>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</si>
  <si>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</si>
  <si>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</si>
  <si>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</si>
  <si>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</si>
  <si>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</si>
  <si>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</si>
  <si>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</si>
  <si>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</si>
  <si>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</si>
  <si>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</si>
  <si>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</si>
  <si>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</si>
  <si>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</si>
  <si>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</si>
  <si>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</si>
  <si>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</si>
  <si>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</si>
  <si>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</si>
  <si>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</si>
  <si>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</si>
  <si>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</si>
  <si>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</si>
  <si>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</si>
  <si>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</si>
  <si>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</si>
  <si>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</si>
  <si>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</si>
  <si>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</si>
  <si>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</si>
  <si>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</si>
  <si>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</si>
  <si>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</si>
  <si>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</si>
  <si>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</si>
  <si>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</si>
  <si>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</si>
  <si>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</si>
  <si>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</si>
  <si>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</si>
  <si>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</si>
  <si>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</si>
  <si>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</si>
  <si>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</si>
  <si>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</si>
  <si>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</si>
  <si>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</si>
  <si>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</si>
  <si>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</si>
  <si>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</si>
  <si>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</si>
  <si>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</si>
  <si>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</si>
  <si>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</si>
  <si>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</si>
  <si>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</si>
  <si>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</si>
  <si>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</si>
  <si>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</si>
  <si>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</si>
  <si>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</si>
  <si>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</si>
  <si>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</si>
  <si>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</si>
  <si>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</si>
  <si>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</si>
  <si>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</si>
  <si>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</si>
  <si>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</si>
  <si>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</si>
  <si>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</si>
  <si>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</si>
  <si>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</si>
  <si>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</si>
  <si>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</si>
  <si>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</si>
  <si>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</si>
  <si>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</si>
  <si>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</si>
  <si>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</si>
  <si>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</si>
  <si>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</si>
  <si>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</si>
  <si>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</si>
  <si>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</si>
  <si>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</si>
  <si>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</si>
  <si>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</si>
  <si>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</si>
  <si>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</si>
  <si>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</si>
  <si>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</si>
  <si>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</si>
  <si>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</si>
  <si>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</si>
  <si>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</si>
  <si>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</si>
  <si>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</si>
  <si>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</si>
  <si>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</si>
  <si>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</si>
  <si>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</si>
  <si>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</si>
  <si>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</si>
  <si>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</si>
  <si>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</si>
  <si>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</si>
  <si>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</si>
  <si>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</si>
  <si>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</si>
  <si>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</si>
  <si>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</si>
  <si>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</si>
  <si>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</si>
  <si>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</si>
  <si>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</si>
  <si>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</si>
  <si>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</si>
  <si>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</si>
  <si>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</si>
  <si>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</si>
  <si>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</si>
  <si>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</si>
  <si>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</si>
  <si>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</si>
  <si>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</si>
  <si>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</si>
  <si>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</si>
  <si>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</si>
  <si>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</si>
  <si>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</si>
  <si>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</si>
  <si>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</si>
  <si>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</si>
  <si>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</si>
  <si>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</si>
  <si>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</si>
  <si>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</si>
  <si>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</si>
  <si>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</si>
  <si>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</si>
  <si>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</si>
  <si>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</si>
  <si>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</si>
  <si>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</si>
  <si>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</si>
  <si>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</si>
  <si>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</si>
  <si>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</si>
  <si>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</si>
  <si>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</si>
  <si>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</si>
  <si>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</si>
  <si>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</si>
  <si>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</si>
  <si>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</si>
  <si>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</si>
  <si>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</si>
  <si>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</si>
  <si>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</si>
  <si>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</si>
  <si>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</si>
  <si>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</si>
  <si>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</si>
  <si>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</si>
  <si>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</si>
  <si>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</si>
  <si>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</si>
  <si>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</si>
  <si>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</si>
  <si>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</si>
  <si>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</si>
  <si>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</si>
  <si>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</si>
  <si>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</si>
  <si>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</si>
  <si>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</si>
  <si>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</si>
  <si>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</si>
  <si>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</si>
  <si>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</si>
  <si>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</si>
  <si>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</si>
  <si>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</si>
  <si>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</si>
  <si>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</si>
  <si>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</si>
  <si>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</si>
  <si>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</si>
  <si>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</si>
  <si>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</si>
  <si>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</si>
  <si>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</si>
  <si>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</si>
  <si>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</si>
  <si>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</si>
  <si>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</si>
  <si>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</si>
  <si>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</si>
  <si>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</si>
  <si>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</si>
  <si>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</si>
  <si>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</si>
  <si>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</si>
  <si>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</si>
  <si>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</si>
  <si>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</si>
  <si>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</si>
  <si>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</si>
  <si>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</si>
  <si>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</si>
  <si>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</si>
  <si>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</si>
  <si>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</si>
  <si>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</si>
  <si>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</si>
  <si>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</si>
  <si>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</si>
  <si>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</si>
  <si>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</si>
  <si>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</si>
  <si>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</si>
  <si>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</si>
  <si>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</si>
  <si>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</si>
  <si>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</si>
  <si>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</si>
  <si>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</si>
  <si>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</si>
  <si>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</si>
  <si>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</si>
  <si>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</si>
  <si>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</si>
  <si>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</si>
  <si>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</si>
  <si>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</si>
  <si>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</si>
  <si>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</si>
  <si>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</si>
  <si>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</si>
  <si>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</si>
  <si>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</si>
  <si>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</si>
  <si>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</si>
  <si>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</si>
  <si>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</si>
  <si>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</si>
  <si>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</si>
  <si>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</si>
  <si>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</si>
  <si>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</si>
  <si>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</si>
  <si>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</si>
  <si>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</si>
  <si>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</si>
  <si>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</si>
  <si>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</si>
  <si>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</si>
  <si>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</si>
  <si>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</si>
  <si>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</si>
  <si>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</si>
  <si>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</si>
  <si>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</si>
  <si>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</si>
  <si>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</si>
  <si>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</si>
  <si>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</si>
  <si>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</si>
  <si>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</si>
  <si>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</si>
  <si>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</si>
  <si>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</si>
  <si>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</si>
  <si>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</si>
  <si>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</si>
  <si>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</si>
  <si>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</si>
  <si>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</si>
  <si>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</si>
  <si>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</si>
  <si>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</si>
  <si>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</si>
  <si>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</si>
  <si>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</si>
  <si>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</si>
  <si>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</si>
  <si>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</si>
  <si>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</si>
  <si>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</si>
  <si>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</si>
  <si>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</si>
  <si>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</si>
  <si>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</si>
  <si>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</si>
  <si>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</si>
  <si>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</si>
  <si>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</si>
  <si>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</si>
  <si>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</si>
  <si>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</si>
  <si>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</si>
  <si>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</si>
  <si>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</si>
  <si>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</si>
  <si>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</si>
  <si>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</si>
  <si>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</si>
  <si>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</si>
  <si>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</si>
  <si>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</si>
  <si>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</si>
  <si>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</si>
  <si>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</si>
  <si>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</si>
  <si>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</si>
  <si>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</si>
  <si>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</si>
  <si>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</si>
  <si>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</si>
  <si>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</si>
  <si>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</si>
  <si>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</si>
  <si>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</si>
  <si>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</si>
  <si>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</si>
  <si>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</si>
  <si>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</si>
  <si>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</si>
  <si>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</si>
  <si>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</si>
  <si>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</si>
  <si>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</si>
  <si>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</si>
  <si>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</si>
  <si>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</si>
  <si>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</si>
  <si>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</si>
  <si>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</si>
  <si>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</si>
  <si>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</si>
  <si>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</si>
  <si>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</si>
  <si>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</si>
  <si>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</si>
  <si>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</si>
  <si>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</si>
  <si>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</si>
  <si>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</si>
  <si>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</si>
  <si>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</si>
  <si>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</si>
  <si>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</si>
  <si>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</si>
  <si>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</si>
  <si>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</si>
  <si>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</si>
  <si>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</si>
  <si>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</si>
  <si>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</si>
  <si>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</si>
  <si>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</si>
  <si>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</si>
  <si>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</si>
  <si>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</si>
  <si>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</si>
  <si>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</si>
  <si>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</si>
  <si>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</si>
  <si>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</si>
  <si>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</si>
  <si>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</si>
  <si>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</si>
  <si>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</si>
  <si>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</si>
  <si>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</si>
  <si>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</si>
  <si>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</si>
  <si>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</si>
  <si>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</si>
  <si>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</si>
  <si>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</si>
  <si>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</si>
  <si>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</si>
  <si>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</si>
  <si>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</si>
  <si>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</si>
  <si>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</si>
  <si>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</si>
  <si>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</si>
  <si>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</si>
  <si>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</si>
  <si>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</si>
  <si>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</si>
  <si>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</si>
  <si>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</si>
  <si>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</si>
  <si>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</si>
  <si>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</si>
  <si>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</si>
  <si>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</si>
  <si>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</si>
  <si>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</si>
  <si>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</si>
  <si>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</si>
  <si>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</si>
  <si>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</si>
  <si>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</si>
  <si>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</si>
  <si>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</si>
  <si>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</si>
  <si>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</si>
  <si>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</si>
  <si>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</si>
  <si>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</si>
  <si>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</si>
  <si>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</si>
  <si>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</si>
  <si>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</si>
  <si>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</si>
  <si>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</si>
  <si>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</si>
  <si>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</si>
  <si>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</si>
  <si>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</si>
  <si>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</si>
  <si>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</si>
  <si>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</si>
  <si>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</si>
  <si>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</si>
  <si>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</si>
  <si>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</si>
  <si>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</si>
  <si>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</si>
  <si>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</si>
  <si>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</si>
  <si>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</si>
  <si>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</si>
  <si>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</si>
  <si>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</si>
  <si>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</si>
  <si>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</si>
  <si>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</si>
  <si>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</si>
  <si>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</si>
  <si>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</si>
  <si>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</si>
  <si>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</si>
  <si>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</si>
  <si>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</si>
  <si>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</si>
  <si>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</si>
  <si>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</si>
  <si>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</si>
  <si>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</si>
  <si>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</si>
  <si>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</si>
  <si>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</si>
  <si>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</si>
  <si>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</si>
  <si>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</si>
  <si>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</si>
  <si>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</si>
  <si>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</si>
  <si>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</si>
  <si>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</si>
  <si>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</si>
  <si>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</si>
  <si>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</si>
  <si>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</si>
  <si>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</si>
  <si>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</si>
  <si>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</si>
  <si>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</si>
  <si>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</si>
  <si>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</si>
  <si>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</si>
  <si>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</si>
  <si>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</si>
  <si>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</si>
  <si>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</si>
  <si>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</si>
  <si>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</si>
  <si>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</si>
  <si>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</si>
  <si>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</si>
  <si>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</si>
  <si>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</si>
  <si>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</si>
  <si>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</si>
  <si>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</si>
  <si>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</si>
  <si>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</si>
  <si>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</si>
  <si>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</si>
  <si>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</si>
  <si>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</si>
  <si>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</si>
  <si>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</si>
  <si>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</si>
  <si>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</si>
  <si>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</si>
  <si>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</si>
  <si>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</si>
  <si>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</si>
  <si>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</si>
  <si>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</si>
  <si>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</si>
  <si>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</si>
  <si>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</si>
  <si>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</si>
  <si>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</si>
  <si>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</si>
  <si>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</si>
  <si>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</si>
  <si>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</si>
  <si>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</si>
  <si>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</si>
  <si>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</si>
  <si>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</si>
  <si>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</si>
  <si>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</si>
  <si>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</si>
  <si>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</si>
  <si>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</si>
  <si>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</si>
  <si>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</si>
  <si>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</si>
  <si>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</si>
  <si>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</si>
  <si>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</si>
  <si>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</si>
  <si>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</si>
  <si>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</si>
  <si>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</si>
  <si>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</si>
  <si>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</si>
  <si>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</si>
  <si>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</si>
  <si>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</si>
  <si>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</si>
  <si>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</si>
  <si>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</si>
  <si>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</si>
  <si>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</si>
  <si>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</si>
  <si>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</si>
  <si>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</si>
  <si>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</si>
  <si>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</si>
  <si>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</si>
  <si>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</si>
  <si>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</si>
  <si>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</si>
  <si>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</si>
  <si>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</si>
  <si>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</si>
  <si>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</si>
  <si>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</si>
  <si>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</si>
  <si>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</si>
  <si>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</si>
  <si>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</si>
  <si>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</si>
  <si>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</si>
  <si>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</si>
  <si>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</si>
  <si>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</si>
  <si>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</si>
  <si>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</si>
  <si>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</si>
  <si>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</si>
  <si>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</si>
  <si>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</si>
  <si>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</si>
  <si>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</si>
  <si>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</si>
  <si>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</si>
  <si>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</si>
  <si>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</si>
  <si>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</si>
  <si>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</si>
  <si>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</si>
  <si>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</si>
  <si>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</si>
  <si>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</si>
  <si>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</si>
  <si>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</si>
  <si>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</si>
  <si>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</si>
  <si>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</si>
  <si>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</si>
  <si>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</si>
  <si>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</si>
  <si>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</si>
  <si>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</si>
  <si>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</si>
  <si>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</si>
  <si>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</si>
  <si>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</si>
  <si>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</si>
  <si>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</si>
  <si>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</si>
  <si>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</si>
  <si>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</si>
  <si>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</si>
  <si>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</si>
  <si>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</si>
  <si>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</si>
  <si>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</si>
  <si>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</si>
  <si>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</si>
  <si>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</si>
  <si>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</si>
  <si>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</si>
  <si>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</si>
  <si>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</si>
  <si>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</si>
  <si>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</si>
  <si>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</si>
  <si>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</si>
  <si>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</si>
  <si>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</si>
  <si>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</si>
  <si>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</si>
  <si>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</si>
  <si>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</si>
  <si>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</si>
  <si>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</si>
  <si>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</si>
  <si>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</si>
  <si>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</si>
  <si>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</si>
  <si>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</si>
  <si>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</si>
  <si>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</si>
  <si>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</si>
  <si>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</si>
  <si>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</si>
  <si>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</si>
  <si>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</si>
  <si>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</si>
  <si>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</si>
  <si>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</si>
  <si>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</si>
  <si>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</si>
  <si>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</si>
  <si>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</si>
  <si>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</si>
  <si>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</si>
  <si>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</si>
  <si>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</si>
  <si>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</si>
  <si>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</si>
  <si>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</si>
  <si>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</si>
  <si>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</si>
  <si>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</si>
  <si>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</si>
  <si>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</si>
  <si>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</si>
  <si>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</si>
  <si>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</si>
  <si>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</si>
  <si>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</si>
  <si>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</si>
  <si>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</si>
  <si>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</si>
  <si>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</si>
  <si>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</si>
  <si>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</si>
  <si>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</si>
  <si>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</si>
  <si>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</si>
  <si>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</si>
  <si>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</si>
  <si>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</si>
  <si>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</si>
  <si>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</si>
  <si>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</si>
  <si>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</si>
  <si>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</si>
  <si>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</si>
  <si>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</si>
  <si>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</si>
  <si>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</si>
  <si>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</si>
  <si>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</si>
  <si>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</si>
  <si>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</si>
  <si>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</si>
  <si>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</si>
  <si>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</si>
  <si>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</si>
  <si>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</si>
  <si>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</si>
  <si>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</si>
  <si>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</si>
  <si>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</si>
  <si>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</si>
  <si>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</si>
  <si>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</si>
  <si>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</si>
  <si>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</si>
  <si>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</si>
  <si>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</si>
  <si>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</si>
  <si>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</si>
  <si>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</si>
  <si>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</si>
  <si>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</si>
  <si>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</si>
  <si>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</si>
  <si>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</si>
  <si>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</si>
  <si>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</si>
  <si>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</si>
  <si>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</si>
  <si>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</si>
  <si>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</si>
  <si>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</si>
  <si>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</si>
  <si>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</si>
  <si>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</si>
  <si>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</si>
  <si>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</si>
  <si>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</si>
  <si>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</si>
  <si>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</si>
  <si>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</si>
  <si>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</si>
  <si>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</si>
  <si>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</si>
  <si>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</si>
  <si>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</si>
  <si>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</si>
  <si>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</si>
  <si>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</si>
  <si>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</si>
  <si>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</si>
  <si>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</si>
  <si>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</si>
  <si>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</si>
  <si>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</si>
  <si>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</si>
  <si>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</si>
  <si>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</si>
  <si>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</si>
  <si>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</si>
  <si>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</si>
  <si>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</si>
  <si>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</si>
  <si>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</si>
  <si>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</si>
  <si>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</si>
  <si>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</si>
  <si>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</si>
  <si>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</si>
  <si>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</si>
  <si>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</si>
  <si>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</si>
  <si>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</si>
  <si>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</si>
  <si>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</si>
  <si>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</si>
  <si>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</si>
  <si>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</si>
  <si>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</si>
  <si>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</si>
  <si>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</si>
  <si>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</si>
  <si>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</si>
  <si>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</si>
  <si>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</si>
  <si>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</si>
  <si>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</si>
  <si>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</si>
  <si>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</si>
  <si>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</si>
  <si>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</si>
  <si>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</si>
  <si>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</si>
  <si>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</si>
  <si>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</si>
  <si>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</si>
  <si>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</si>
  <si>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</si>
  <si>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</si>
  <si>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</si>
  <si>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</si>
  <si>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</si>
  <si>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</si>
  <si>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</si>
  <si>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</si>
  <si>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</si>
  <si>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</si>
  <si>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</si>
  <si>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</si>
  <si>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</si>
  <si>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</si>
  <si>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</si>
  <si>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</si>
  <si>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</si>
  <si>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</si>
  <si>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</si>
  <si>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</si>
  <si>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</si>
  <si>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</si>
  <si>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</si>
  <si>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</si>
  <si>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</si>
  <si>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</si>
  <si>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</si>
  <si>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</si>
  <si>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</si>
  <si>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</si>
  <si>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</si>
  <si>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</si>
  <si>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</si>
  <si>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</si>
  <si>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</si>
  <si>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</si>
  <si>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</si>
  <si>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</si>
  <si>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</si>
  <si>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</si>
  <si>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</si>
  <si>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</si>
  <si>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</si>
  <si>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</si>
  <si>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</si>
  <si>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</si>
  <si>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</si>
  <si>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</si>
  <si>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</si>
  <si>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</si>
  <si>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</si>
  <si>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</si>
  <si>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</si>
  <si>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</si>
  <si>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</si>
  <si>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</si>
  <si>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</si>
  <si>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</si>
  <si>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</si>
  <si>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</si>
  <si>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</si>
  <si>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</si>
  <si>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</si>
  <si>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</si>
  <si>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</si>
  <si>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</si>
  <si>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</si>
  <si>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</si>
  <si>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</si>
  <si>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</si>
  <si>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</si>
  <si>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</si>
  <si>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</si>
  <si>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</si>
  <si>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</si>
  <si>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</si>
  <si>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</si>
  <si>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</si>
  <si>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</si>
  <si>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</si>
  <si>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</si>
  <si>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</si>
  <si>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</si>
  <si>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</si>
  <si>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</si>
  <si>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</si>
  <si>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</si>
  <si>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</si>
  <si>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</si>
  <si>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</si>
  <si>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</si>
  <si>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</si>
  <si>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</si>
  <si>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</si>
  <si>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</si>
  <si>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</si>
  <si>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</si>
  <si>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</si>
  <si>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</si>
  <si>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</si>
  <si>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</si>
  <si>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</si>
  <si>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</si>
  <si>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</si>
  <si>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</si>
  <si>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</si>
  <si>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</si>
  <si>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</si>
  <si>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</si>
  <si>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</si>
  <si>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</si>
  <si>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</si>
  <si>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</si>
  <si>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</si>
  <si>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</si>
  <si>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</si>
  <si>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</si>
  <si>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</si>
  <si>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</si>
  <si>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</si>
  <si>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</si>
  <si>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</si>
  <si>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</si>
  <si>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</si>
  <si>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</si>
  <si>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</si>
  <si>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</si>
  <si>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</si>
  <si>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</si>
  <si>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</si>
  <si>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</si>
  <si>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</si>
  <si>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</si>
  <si>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</si>
  <si>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</si>
  <si>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</si>
  <si>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</si>
  <si>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</si>
  <si>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</si>
  <si>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</si>
  <si>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</si>
  <si>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</si>
  <si>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</si>
  <si>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</si>
  <si>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</si>
  <si>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</si>
  <si>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</si>
  <si>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</si>
  <si>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</si>
  <si>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</si>
  <si>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</si>
  <si>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</si>
  <si>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</si>
  <si>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</si>
  <si>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</si>
  <si>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</si>
  <si>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</si>
  <si>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</si>
  <si>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</si>
  <si>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</si>
  <si>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</si>
  <si>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</si>
  <si>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</si>
  <si>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</si>
  <si>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</si>
  <si>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</si>
  <si>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</si>
  <si>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</si>
  <si>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</si>
  <si>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</si>
  <si>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</si>
  <si>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</si>
  <si>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</si>
  <si>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</si>
  <si>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</si>
  <si>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</si>
  <si>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</si>
  <si>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</si>
  <si>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</si>
  <si>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</si>
  <si>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</si>
  <si>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</si>
  <si>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</si>
  <si>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</si>
  <si>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</si>
  <si>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</si>
  <si>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</si>
  <si>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</si>
  <si>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</si>
  <si>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</si>
  <si>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</si>
  <si>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</si>
  <si>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</si>
  <si>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</si>
  <si>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</si>
  <si>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</si>
  <si>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</si>
  <si>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</si>
  <si>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</si>
  <si>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</si>
  <si>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</si>
  <si>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</si>
  <si>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</si>
  <si>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</si>
  <si>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</si>
  <si>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</si>
  <si>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</si>
  <si>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</si>
  <si>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</si>
  <si>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</si>
  <si>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</si>
  <si>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</si>
  <si>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</si>
  <si>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</si>
  <si>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</si>
  <si>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</si>
  <si>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</si>
  <si>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</si>
  <si>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</si>
  <si>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</si>
  <si>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</si>
  <si>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</si>
  <si>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</si>
  <si>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</si>
  <si>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</si>
  <si>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</si>
  <si>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</si>
  <si>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</si>
  <si>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</si>
  <si>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</si>
  <si>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</si>
  <si>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</si>
  <si>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</si>
  <si>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</si>
  <si>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</si>
  <si>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</si>
  <si>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</si>
  <si>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</si>
  <si>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</si>
  <si>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</si>
  <si>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</si>
  <si>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</si>
  <si>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</si>
  <si>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</si>
  <si>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</si>
  <si>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</si>
  <si>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</si>
  <si>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</si>
  <si>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</si>
  <si>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</si>
  <si>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</si>
  <si>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</si>
  <si>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</si>
  <si>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</si>
  <si>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</si>
  <si>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</si>
  <si>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</si>
  <si>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</si>
  <si>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</si>
  <si>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</si>
  <si>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</si>
  <si>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</si>
  <si>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</si>
  <si>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</si>
  <si>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</si>
  <si>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</si>
  <si>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</si>
  <si>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</si>
  <si>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</si>
  <si>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</si>
  <si>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</si>
  <si>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</si>
  <si>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</si>
  <si>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</si>
  <si>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</si>
  <si>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</si>
  <si>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</si>
  <si>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</si>
  <si>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</si>
  <si>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</si>
  <si>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</si>
  <si>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</si>
  <si>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</si>
  <si>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</si>
  <si>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</si>
  <si>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</si>
  <si>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</si>
  <si>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</si>
  <si>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</si>
  <si>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</si>
  <si>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</si>
  <si>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</si>
  <si>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</si>
  <si>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</si>
  <si>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</si>
  <si>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</si>
  <si>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</si>
  <si>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</si>
  <si>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</si>
  <si>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</si>
  <si>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</si>
  <si>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</si>
  <si>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</si>
  <si>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</si>
  <si>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</si>
  <si>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</si>
  <si>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</si>
  <si>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</si>
  <si>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</si>
  <si>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</si>
  <si>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</si>
  <si>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</si>
  <si>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</si>
  <si>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</si>
  <si>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</si>
  <si>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</si>
  <si>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</si>
  <si>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</si>
  <si>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</si>
  <si>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</si>
  <si>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</si>
  <si>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</si>
  <si>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</si>
  <si>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</si>
  <si>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</si>
  <si>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</si>
  <si>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</si>
  <si>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</si>
  <si>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</si>
  <si>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</si>
  <si>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</si>
  <si>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</si>
  <si>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</si>
  <si>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</si>
  <si>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</si>
  <si>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</si>
  <si>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</si>
  <si>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</si>
  <si>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</si>
  <si>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</si>
  <si>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</si>
  <si>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</si>
  <si>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</si>
  <si>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</si>
  <si>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</si>
  <si>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</si>
  <si>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</si>
  <si>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</si>
  <si>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</si>
  <si>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</si>
  <si>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</si>
  <si>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</si>
  <si>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</si>
  <si>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</si>
  <si>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</si>
  <si>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</si>
  <si>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</si>
  <si>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</si>
  <si>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</si>
  <si>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</si>
  <si>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</si>
  <si>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</si>
  <si>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</si>
  <si>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</si>
  <si>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</si>
  <si>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</si>
  <si>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</si>
  <si>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</si>
  <si>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</si>
  <si>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</si>
  <si>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</si>
  <si>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</si>
  <si>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</si>
  <si>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</si>
  <si>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</si>
  <si>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</si>
  <si>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</si>
  <si>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</si>
  <si>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</si>
  <si>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</si>
  <si>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</si>
  <si>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</si>
  <si>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</si>
  <si>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</si>
  <si>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</si>
  <si>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</si>
  <si>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</si>
  <si>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</si>
  <si>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</si>
  <si>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</si>
  <si>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</si>
  <si>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</si>
  <si>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</si>
  <si>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</si>
  <si>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</si>
  <si>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</si>
  <si>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</si>
  <si>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</si>
  <si>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</si>
  <si>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</si>
  <si>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</si>
  <si>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</si>
  <si>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</si>
  <si>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</si>
  <si>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</si>
  <si>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</si>
  <si>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</si>
  <si>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</si>
  <si>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</si>
  <si>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</si>
  <si>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</si>
  <si>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</si>
  <si>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</si>
  <si>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</si>
  <si>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</si>
  <si>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</si>
  <si>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</si>
  <si>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</si>
  <si>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</si>
  <si>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</si>
  <si>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</si>
  <si>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</si>
  <si>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</si>
  <si>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</si>
  <si>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</si>
  <si>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</si>
  <si>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</si>
  <si>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</si>
  <si>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</si>
  <si>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</si>
  <si>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</si>
  <si>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</si>
  <si>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</si>
  <si>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</si>
  <si>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</si>
  <si>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</si>
  <si>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</si>
  <si>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</si>
  <si>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</si>
  <si>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</si>
  <si>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</si>
  <si>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</si>
  <si>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</si>
  <si>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</si>
  <si>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</si>
  <si>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</si>
  <si>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</si>
  <si>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</si>
  <si>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</si>
  <si>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</si>
  <si>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</si>
  <si>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</si>
  <si>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</si>
  <si>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</si>
  <si>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</si>
  <si>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</si>
  <si>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</si>
  <si>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</si>
  <si>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</si>
  <si>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</si>
  <si>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</si>
  <si>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</si>
  <si>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</si>
  <si>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</si>
  <si>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</si>
  <si>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</si>
  <si>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</si>
  <si>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</si>
  <si>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</si>
  <si>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</si>
  <si>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</si>
  <si>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</si>
  <si>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</si>
  <si>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</si>
  <si>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</si>
  <si>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</si>
  <si>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</si>
  <si>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</si>
  <si>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</si>
  <si>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</si>
  <si>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</si>
  <si>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</si>
  <si>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</si>
  <si>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</si>
  <si>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</si>
  <si>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</si>
  <si>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</si>
  <si>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</si>
  <si>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</si>
  <si>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</si>
  <si>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</si>
  <si>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</si>
  <si>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</si>
  <si>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</si>
  <si>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</si>
  <si>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</si>
  <si>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</si>
  <si>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</si>
  <si>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</si>
  <si>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</si>
  <si>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</si>
  <si>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</si>
  <si>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</si>
  <si>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</si>
  <si>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</si>
  <si>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</si>
  <si>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</si>
  <si>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</si>
  <si>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</si>
  <si>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</si>
  <si>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</si>
  <si>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</si>
  <si>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</si>
  <si>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</si>
  <si>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</si>
  <si>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</si>
  <si>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</si>
  <si>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</si>
  <si>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</si>
  <si>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</si>
  <si>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</si>
  <si>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</si>
  <si>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</si>
  <si>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</si>
  <si>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</si>
  <si>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</si>
  <si>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</si>
  <si>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</si>
  <si>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</si>
  <si>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</si>
  <si>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</si>
  <si>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</si>
  <si>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</si>
  <si>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</si>
  <si>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</si>
  <si>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</si>
  <si>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</si>
  <si>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</si>
  <si>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</si>
  <si>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</si>
  <si>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</si>
  <si>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</si>
  <si>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</si>
  <si>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</si>
  <si>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</si>
  <si>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</si>
  <si>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</si>
  <si>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</si>
  <si>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</si>
  <si>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</si>
  <si>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</si>
  <si>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</si>
  <si>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</si>
  <si>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</si>
  <si>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</si>
  <si>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</si>
  <si>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</si>
  <si>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</si>
  <si>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</si>
  <si>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</si>
  <si>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</si>
  <si>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</si>
  <si>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</si>
  <si>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</si>
  <si>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</si>
  <si>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</si>
  <si>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</si>
  <si>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</si>
  <si>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</si>
  <si>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</si>
  <si>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</si>
  <si>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</si>
  <si>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</si>
  <si>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</si>
  <si>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</si>
  <si>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</si>
  <si>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</si>
  <si>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</si>
  <si>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</si>
  <si>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</si>
  <si>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</si>
  <si>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</si>
  <si>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</si>
  <si>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</si>
  <si>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</si>
  <si>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</si>
  <si>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</si>
  <si>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</si>
  <si>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</si>
  <si>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</si>
  <si>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</si>
  <si>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</si>
  <si>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</si>
  <si>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</si>
  <si>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</si>
  <si>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</si>
  <si>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</si>
  <si>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</si>
  <si>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</si>
  <si>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</si>
  <si>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</si>
  <si>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</si>
  <si>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</si>
  <si>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</si>
  <si>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</si>
  <si>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</si>
  <si>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</si>
  <si>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</si>
  <si>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</si>
  <si>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</si>
  <si>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</si>
  <si>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</si>
  <si>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</si>
  <si>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</si>
  <si>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</si>
  <si>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</si>
  <si>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</si>
  <si>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</si>
  <si>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</si>
  <si>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</si>
  <si>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</si>
  <si>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</si>
  <si>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</si>
  <si>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</si>
  <si>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</si>
  <si>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</si>
  <si>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</si>
  <si>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</si>
  <si>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</si>
  <si>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</si>
  <si>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</si>
  <si>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</si>
  <si>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</si>
  <si>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</si>
  <si>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</si>
  <si>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</si>
  <si>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</si>
  <si>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</si>
  <si>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</si>
  <si>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</si>
  <si>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</si>
  <si>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</si>
  <si>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</si>
  <si>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</si>
  <si>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</si>
  <si>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</si>
  <si>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</si>
  <si>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</si>
  <si>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</si>
  <si>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</si>
  <si>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</si>
  <si>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</si>
  <si>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</si>
  <si>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</si>
  <si>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</si>
  <si>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</si>
  <si>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</si>
  <si>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</si>
  <si>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</si>
  <si>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</si>
  <si>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</si>
  <si>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</si>
  <si>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</si>
  <si>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</si>
  <si>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</si>
  <si>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</si>
  <si>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</si>
  <si>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</si>
  <si>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</si>
  <si>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</si>
  <si>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</si>
  <si>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</si>
  <si>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</si>
  <si>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</si>
  <si>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</si>
  <si>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</si>
  <si>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</si>
  <si>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</si>
  <si>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</si>
  <si>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</si>
  <si>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</si>
  <si>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</si>
  <si>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</si>
  <si>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</si>
  <si>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</si>
  <si>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</si>
  <si>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</si>
  <si>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</si>
  <si>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</si>
  <si>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</si>
  <si>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</si>
  <si>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</si>
  <si>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</si>
  <si>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</si>
  <si>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</si>
  <si>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</si>
  <si>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</si>
  <si>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</si>
  <si>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</si>
  <si>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</si>
  <si>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</si>
  <si>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</si>
  <si>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</si>
  <si>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</si>
  <si>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</si>
  <si>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</si>
  <si>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</si>
  <si>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</si>
  <si>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</si>
  <si>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</si>
  <si>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</si>
  <si>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</si>
  <si>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</si>
  <si>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</si>
  <si>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</si>
  <si>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</si>
  <si>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</si>
  <si>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</si>
  <si>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</si>
  <si>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</si>
  <si>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</si>
  <si>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</si>
  <si>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</si>
  <si>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</si>
  <si>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</si>
  <si>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</si>
  <si>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</si>
  <si>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</si>
  <si>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</si>
  <si>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</si>
  <si>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</si>
  <si>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</si>
  <si>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</si>
  <si>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</si>
  <si>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</si>
  <si>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</si>
  <si>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</si>
  <si>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</si>
  <si>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</si>
  <si>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</si>
  <si>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</si>
  <si>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</si>
  <si>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</si>
  <si>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</si>
  <si>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</si>
  <si>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</si>
  <si>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</si>
  <si>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</si>
  <si>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</si>
  <si>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</si>
  <si>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</si>
  <si>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</si>
  <si>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</si>
  <si>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</si>
  <si>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</si>
  <si>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</si>
  <si>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</si>
  <si>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</si>
  <si>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</si>
  <si>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</si>
  <si>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</si>
  <si>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</si>
  <si>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</si>
  <si>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</si>
  <si>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</si>
  <si>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</si>
  <si>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</si>
  <si>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</si>
  <si>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</si>
  <si>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</si>
  <si>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</si>
  <si>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</si>
  <si>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</si>
  <si>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</si>
  <si>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</si>
  <si>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</si>
  <si>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</si>
  <si>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</si>
  <si>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</si>
  <si>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</si>
  <si>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</si>
  <si>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</si>
  <si>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</si>
  <si>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</si>
  <si>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</si>
  <si>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</si>
  <si>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</si>
  <si>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</si>
  <si>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</si>
  <si>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</si>
  <si>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</si>
  <si>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</si>
  <si>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</si>
  <si>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</si>
  <si>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</si>
  <si>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</si>
  <si>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</si>
  <si>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</si>
  <si>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</si>
  <si>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</si>
  <si>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</si>
  <si>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</si>
  <si>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</si>
  <si>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</si>
  <si>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</si>
  <si>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</si>
  <si>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</si>
  <si>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</si>
  <si>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</si>
  <si>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</si>
  <si>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</si>
  <si>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</si>
  <si>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</si>
  <si>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</si>
  <si>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</si>
  <si>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</si>
  <si>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</si>
  <si>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</si>
  <si>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</si>
  <si>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</si>
  <si>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</si>
  <si>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</si>
  <si>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</si>
  <si>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</si>
  <si>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</si>
  <si>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</si>
  <si>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</si>
  <si>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</si>
  <si>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</si>
  <si>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</si>
  <si>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</si>
  <si>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</si>
  <si>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</si>
  <si>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</si>
  <si>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</si>
  <si>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</si>
  <si>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</si>
  <si>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</si>
  <si>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</si>
  <si>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</si>
  <si>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</si>
  <si>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</si>
  <si>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</si>
  <si>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</si>
  <si>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</si>
  <si>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</si>
  <si>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</si>
  <si>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</si>
  <si>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</si>
  <si>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</si>
  <si>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</si>
  <si>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</si>
  <si>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</si>
  <si>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</si>
  <si>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</si>
  <si>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</si>
  <si>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</si>
  <si>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</si>
  <si>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</si>
  <si>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</si>
  <si>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</si>
  <si>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</si>
  <si>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</si>
  <si>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</si>
  <si>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</si>
  <si>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</si>
  <si>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</si>
  <si>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</si>
  <si>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</si>
  <si>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</si>
  <si>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</si>
  <si>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</si>
  <si>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</si>
  <si>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</si>
  <si>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</si>
  <si>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</si>
  <si>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</si>
  <si>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</si>
  <si>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</si>
  <si>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</si>
  <si>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</si>
  <si>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</si>
  <si>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</si>
  <si>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</si>
  <si>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</si>
  <si>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</si>
  <si>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</si>
  <si>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</si>
  <si>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</si>
  <si>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</si>
  <si>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</si>
  <si>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</si>
  <si>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</si>
  <si>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</si>
  <si>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</si>
  <si>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</si>
  <si>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</si>
  <si>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</si>
  <si>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</si>
  <si>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</si>
  <si>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</si>
  <si>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</si>
  <si>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</si>
  <si>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</si>
  <si>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</si>
  <si>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</si>
  <si>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</si>
  <si>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</si>
  <si>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</si>
  <si>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</si>
  <si>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</si>
  <si>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</si>
  <si>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</si>
  <si>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</si>
  <si>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</si>
  <si>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</si>
  <si>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</si>
  <si>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</si>
  <si>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</si>
  <si>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</si>
  <si>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</si>
  <si>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</si>
  <si>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</si>
  <si>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</si>
  <si>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</si>
  <si>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</si>
  <si>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</si>
  <si>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</si>
  <si>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</si>
  <si>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</si>
  <si>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</si>
  <si>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</si>
  <si>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</si>
  <si>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</si>
  <si>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</si>
  <si>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</si>
  <si>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</si>
  <si>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</si>
  <si>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</si>
  <si>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</si>
  <si>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</si>
  <si>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</si>
  <si>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</si>
  <si>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</si>
  <si>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</si>
  <si>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</si>
  <si>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</si>
  <si>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</si>
  <si>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</si>
  <si>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</si>
  <si>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</si>
  <si>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</si>
  <si>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</si>
  <si>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</si>
  <si>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</si>
  <si>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</si>
  <si>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</si>
  <si>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</si>
  <si>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</si>
  <si>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</si>
  <si>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</si>
  <si>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</si>
  <si>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</si>
  <si>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</si>
  <si>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</si>
  <si>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</si>
  <si>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</si>
  <si>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</si>
  <si>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</si>
  <si>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</si>
  <si>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</si>
  <si>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</si>
  <si>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</si>
  <si>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</si>
  <si>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</si>
  <si>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</si>
  <si>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</si>
  <si>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</si>
  <si>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</si>
  <si>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</si>
  <si>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</si>
  <si>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</si>
  <si>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</si>
  <si>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</si>
  <si>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</si>
  <si>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</si>
  <si>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</si>
  <si>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</si>
  <si>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</si>
  <si>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</si>
  <si>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</si>
  <si>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</si>
  <si>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</si>
  <si>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</si>
  <si>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</si>
  <si>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</si>
  <si>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</si>
  <si>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</si>
  <si>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</si>
  <si>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</si>
  <si>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</si>
  <si>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</si>
  <si>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</si>
  <si>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</si>
  <si>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</si>
  <si>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</si>
  <si>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</si>
  <si>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</si>
  <si>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</si>
  <si>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</si>
  <si>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</si>
  <si>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</si>
  <si>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</si>
  <si>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</si>
  <si>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</si>
  <si>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</si>
  <si>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</si>
  <si>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</si>
  <si>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</si>
  <si>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</si>
  <si>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</si>
  <si>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</si>
  <si>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</si>
  <si>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</si>
  <si>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</si>
  <si>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</si>
  <si>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</si>
  <si>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</si>
  <si>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</si>
  <si>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</si>
  <si>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</si>
  <si>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</si>
  <si>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</si>
  <si>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</si>
  <si>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</si>
  <si>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</si>
  <si>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</si>
  <si>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</si>
  <si>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</si>
  <si>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</si>
  <si>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</si>
  <si>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</si>
  <si>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</si>
  <si>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</si>
  <si>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</si>
  <si>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</si>
  <si>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</si>
  <si>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</si>
  <si>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</si>
  <si>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</si>
  <si>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</si>
  <si>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</si>
  <si>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</si>
  <si>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</si>
  <si>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</si>
  <si>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</si>
  <si>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</si>
  <si>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</si>
  <si>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</si>
  <si>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</si>
  <si>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</si>
  <si>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</si>
  <si>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</si>
  <si>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</si>
  <si>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</si>
  <si>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</si>
  <si>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</si>
  <si>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</si>
  <si>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</si>
  <si>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</si>
  <si>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</si>
  <si>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</si>
  <si>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</si>
  <si>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</si>
  <si>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</si>
  <si>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</si>
  <si>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</si>
  <si>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</si>
  <si>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</si>
  <si>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</si>
  <si>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</si>
  <si>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</si>
  <si>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</si>
  <si>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</si>
  <si>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</si>
  <si>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</si>
  <si>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</si>
  <si>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</si>
  <si>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</si>
  <si>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</si>
  <si>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</si>
  <si>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</si>
  <si>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</si>
  <si>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</si>
  <si>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</si>
  <si>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</si>
  <si>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</si>
  <si>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</si>
  <si>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</si>
  <si>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</si>
  <si>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</si>
  <si>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</si>
  <si>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</si>
  <si>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</si>
  <si>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</si>
  <si>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</si>
  <si>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</si>
  <si>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</si>
  <si>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</si>
  <si>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</si>
  <si>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</si>
  <si>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</si>
  <si>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</si>
  <si>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</si>
  <si>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</si>
  <si>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</si>
  <si>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</si>
  <si>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</si>
  <si>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</si>
  <si>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</si>
  <si>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</si>
  <si>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</si>
  <si>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</si>
  <si>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</si>
  <si>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</si>
  <si>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</si>
  <si>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</si>
  <si>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</si>
  <si>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</si>
  <si>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</si>
  <si>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</si>
  <si>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</si>
  <si>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</si>
  <si>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</si>
  <si>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</si>
  <si>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</si>
  <si>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</si>
  <si>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</si>
  <si>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</si>
  <si>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</si>
  <si>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</si>
  <si>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</si>
  <si>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</si>
  <si>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</si>
  <si>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</si>
  <si>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</si>
  <si>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</si>
  <si>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</si>
  <si>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</si>
  <si>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</si>
  <si>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</si>
  <si>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</si>
  <si>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</si>
  <si>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</si>
  <si>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</si>
  <si>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</si>
  <si>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</si>
  <si>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</si>
  <si>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</si>
  <si>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</si>
  <si>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</si>
  <si>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</si>
  <si>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</si>
  <si>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</si>
  <si>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</si>
  <si>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</si>
  <si>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</si>
  <si>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</si>
  <si>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</si>
  <si>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</si>
  <si>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</si>
  <si>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</si>
  <si>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</si>
  <si>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</si>
  <si>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</si>
  <si>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</si>
  <si>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</si>
  <si>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</si>
  <si>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</si>
  <si>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</si>
  <si>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</si>
  <si>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</si>
  <si>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</si>
  <si>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</si>
  <si>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</si>
  <si>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</si>
  <si>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</si>
  <si>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</si>
  <si>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</si>
  <si>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</si>
  <si>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</si>
  <si>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</si>
  <si>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</si>
  <si>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</si>
  <si>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</si>
  <si>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</si>
  <si>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</si>
  <si>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</si>
  <si>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</si>
  <si>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</si>
  <si>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</si>
  <si>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</si>
  <si>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</si>
  <si>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</si>
  <si>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</si>
  <si>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</si>
  <si>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</si>
  <si>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</si>
  <si>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</si>
  <si>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</si>
  <si>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</si>
  <si>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</si>
  <si>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</si>
  <si>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</si>
  <si>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</si>
  <si>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</si>
  <si>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</si>
  <si>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</si>
  <si>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</si>
  <si>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</si>
  <si>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</si>
  <si>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</si>
  <si>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</si>
  <si>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</si>
  <si>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</si>
  <si>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</si>
  <si>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</si>
  <si>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</si>
  <si>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</si>
  <si>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</si>
  <si>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</si>
  <si>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</si>
  <si>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</si>
  <si>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</si>
  <si>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</si>
  <si>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</si>
  <si>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</si>
  <si>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</si>
  <si>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</si>
  <si>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</si>
  <si>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</si>
  <si>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</si>
  <si>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</si>
  <si>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</si>
  <si>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</si>
  <si>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</si>
  <si>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</si>
  <si>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</si>
  <si>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</si>
  <si>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</si>
  <si>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</si>
  <si>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</si>
  <si>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</si>
  <si>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</si>
  <si>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</si>
  <si>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</si>
  <si>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</si>
  <si>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</si>
  <si>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</si>
  <si>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</si>
  <si>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</si>
  <si>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</si>
  <si>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</si>
  <si>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</si>
  <si>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</si>
  <si>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</si>
  <si>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</si>
  <si>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</si>
  <si>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</si>
  <si>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</si>
  <si>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</si>
  <si>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</si>
  <si>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</si>
  <si>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</si>
  <si>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</si>
  <si>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</si>
  <si>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</si>
  <si>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</si>
  <si>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</si>
  <si>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</si>
  <si>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</si>
  <si>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</si>
  <si>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</si>
  <si>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</si>
  <si>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</si>
  <si>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</si>
  <si>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</si>
  <si>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</si>
  <si>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</si>
  <si>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</si>
  <si>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</si>
  <si>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</si>
  <si>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</si>
  <si>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</si>
  <si>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</si>
  <si>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</si>
  <si>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</si>
  <si>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</si>
  <si>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</si>
  <si>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</si>
  <si>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</si>
  <si>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</si>
  <si>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</si>
  <si>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</si>
  <si>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</si>
  <si>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</si>
  <si>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</si>
  <si>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</si>
  <si>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</si>
  <si>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</si>
  <si>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</si>
  <si>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</si>
  <si>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</si>
  <si>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</si>
  <si>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</si>
  <si>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</si>
  <si>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</si>
  <si>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</si>
  <si>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</si>
  <si>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</si>
  <si>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</si>
  <si>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</si>
  <si>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</si>
  <si>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</si>
  <si>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</si>
  <si>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</si>
  <si>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</si>
  <si>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</si>
  <si>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</si>
  <si>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</si>
  <si>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</si>
  <si>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</si>
  <si>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</si>
  <si>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</si>
  <si>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</si>
  <si>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</si>
  <si>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</si>
  <si>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</si>
  <si>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</si>
  <si>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</si>
  <si>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</si>
  <si>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</si>
  <si>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</si>
  <si>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</si>
  <si>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</si>
  <si>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</si>
  <si>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</si>
  <si>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</si>
  <si>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</si>
  <si>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</si>
  <si>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</si>
  <si>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</si>
  <si>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</si>
  <si>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</si>
  <si>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</si>
  <si>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</si>
  <si>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</si>
  <si>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</si>
  <si>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</si>
  <si>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</si>
  <si>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</si>
  <si>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</si>
  <si>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</si>
  <si>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</si>
  <si>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</si>
  <si>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</si>
  <si>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</si>
  <si>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</si>
  <si>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</si>
  <si>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</si>
  <si>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</si>
  <si>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</si>
  <si>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</si>
  <si>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</si>
  <si>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</si>
  <si>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</si>
  <si>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</si>
  <si>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</si>
  <si>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</si>
  <si>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</si>
  <si>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</si>
  <si>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</si>
  <si>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</si>
  <si>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</si>
  <si>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</si>
  <si>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</si>
  <si>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</si>
  <si>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</si>
  <si>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</si>
  <si>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</si>
  <si>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</si>
  <si>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</si>
  <si>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</si>
  <si>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</si>
  <si>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</si>
  <si>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</si>
  <si>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</si>
  <si>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</si>
  <si>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</si>
  <si>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</si>
  <si>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</si>
  <si>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</si>
  <si>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</si>
  <si>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</si>
  <si>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</si>
  <si>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</si>
  <si>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</si>
  <si>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</si>
  <si>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</si>
  <si>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</si>
  <si>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</si>
  <si>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</si>
  <si>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</si>
  <si>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</si>
  <si>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</si>
  <si>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</si>
  <si>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</si>
  <si>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</si>
  <si>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</si>
  <si>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</si>
  <si>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</si>
  <si>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</si>
  <si>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</si>
  <si>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</si>
  <si>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</si>
  <si>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</si>
  <si>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</si>
  <si>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</si>
  <si>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</si>
  <si>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</si>
  <si>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</si>
  <si>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</si>
  <si>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</si>
  <si>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</si>
  <si>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</si>
  <si>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</si>
  <si>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</si>
  <si>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</si>
  <si>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</si>
  <si>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</si>
  <si>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</si>
  <si>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</si>
  <si>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</si>
  <si>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</si>
  <si>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</si>
  <si>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</si>
  <si>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</si>
  <si>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</si>
  <si>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</si>
  <si>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</si>
  <si>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</si>
  <si>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</si>
  <si>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</si>
  <si>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</si>
  <si>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</si>
  <si>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</si>
  <si>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</si>
  <si>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</si>
  <si>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</si>
  <si>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</si>
  <si>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</si>
  <si>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</si>
  <si>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</si>
  <si>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</si>
  <si>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</si>
  <si>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</si>
  <si>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</si>
  <si>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</si>
  <si>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</si>
  <si>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</si>
  <si>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</si>
  <si>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</si>
  <si>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</si>
  <si>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</si>
  <si>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</si>
  <si>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</si>
  <si>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</si>
  <si>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</si>
  <si>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</si>
  <si>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</si>
  <si>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</si>
  <si>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</si>
  <si>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</si>
  <si>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</si>
  <si>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</si>
  <si>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</si>
  <si>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</si>
  <si>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</si>
  <si>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</si>
  <si>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</si>
  <si>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</si>
  <si>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</si>
  <si>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</si>
  <si>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</si>
  <si>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</si>
  <si>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</si>
  <si>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</si>
  <si>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</si>
  <si>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</si>
  <si>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</si>
  <si>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</si>
  <si>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</si>
  <si>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</si>
  <si>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</si>
  <si>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</si>
  <si>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</si>
  <si>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</si>
  <si>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</si>
  <si>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</si>
  <si>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</si>
  <si>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</si>
  <si>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</si>
  <si>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</si>
  <si>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</si>
  <si>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</si>
  <si>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</si>
  <si>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</si>
  <si>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</si>
  <si>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</si>
  <si>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</si>
  <si>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</si>
  <si>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</si>
  <si>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</si>
  <si>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</si>
  <si>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</si>
  <si>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</si>
  <si>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</si>
  <si>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</si>
  <si>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</si>
  <si>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</si>
  <si>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</si>
  <si>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</si>
  <si>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</si>
  <si>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</si>
  <si>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</si>
  <si>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</si>
  <si>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</si>
  <si>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</si>
  <si>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</si>
  <si>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</si>
  <si>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</si>
  <si>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</si>
  <si>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</si>
  <si>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</si>
  <si>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</si>
  <si>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</si>
  <si>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</si>
  <si>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</si>
  <si>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</si>
  <si>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</si>
  <si>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</si>
  <si>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</si>
  <si>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</si>
  <si>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</si>
  <si>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</si>
  <si>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</si>
  <si>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</si>
  <si>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</si>
  <si>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</si>
  <si>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</si>
  <si>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</si>
  <si>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</si>
  <si>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</si>
  <si>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</si>
  <si>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</si>
  <si>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</si>
  <si>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</si>
  <si>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</si>
  <si>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</si>
  <si>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</si>
  <si>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</si>
  <si>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</si>
  <si>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</si>
  <si>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</si>
  <si>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</si>
  <si>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</si>
  <si>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</si>
  <si>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</si>
  <si>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</si>
  <si>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</si>
  <si>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</si>
  <si>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</si>
  <si>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</si>
  <si>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</si>
  <si>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</si>
  <si>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</si>
  <si>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</si>
  <si>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</si>
  <si>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</si>
  <si>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</si>
  <si>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</si>
  <si>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</si>
  <si>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</si>
  <si>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</si>
  <si>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</si>
  <si>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</si>
  <si>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</si>
  <si>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</si>
  <si>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</si>
  <si>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</si>
  <si>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</si>
  <si>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</si>
  <si>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</si>
  <si>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</si>
  <si>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</si>
  <si>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</si>
  <si>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</si>
  <si>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</si>
  <si>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</si>
  <si>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</si>
  <si>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</si>
  <si>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</si>
  <si>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</si>
  <si>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</si>
  <si>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</si>
  <si>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</si>
  <si>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</si>
  <si>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</si>
  <si>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</si>
  <si>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</si>
  <si>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</si>
  <si>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</si>
  <si>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</si>
  <si>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</si>
  <si>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</si>
  <si>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</si>
  <si>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</si>
  <si>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</si>
  <si>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</si>
  <si>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</si>
  <si>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</si>
  <si>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</si>
  <si>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</si>
  <si>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</si>
  <si>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</si>
  <si>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</si>
  <si>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</si>
  <si>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</si>
  <si>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</si>
  <si>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</si>
  <si>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</si>
  <si>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</si>
  <si>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</si>
  <si>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</si>
  <si>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</si>
  <si>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</si>
  <si>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</si>
  <si>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</si>
  <si>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</si>
  <si>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</si>
  <si>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</si>
  <si>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</si>
  <si>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</si>
  <si>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</si>
  <si>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</si>
  <si>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</si>
  <si>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</si>
  <si>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</si>
  <si>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</si>
  <si>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</si>
  <si>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</si>
  <si>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</si>
  <si>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</si>
  <si>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</si>
  <si>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</si>
  <si>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</si>
  <si>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</si>
  <si>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</si>
  <si>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</si>
  <si>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</si>
  <si>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</si>
  <si>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</si>
  <si>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</si>
  <si>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</si>
  <si>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</si>
  <si>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</si>
  <si>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</si>
  <si>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</si>
  <si>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</si>
  <si>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</si>
  <si>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</si>
  <si>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</si>
  <si>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</si>
  <si>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</si>
  <si>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</si>
  <si>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</si>
  <si>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</si>
  <si>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</si>
  <si>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</si>
  <si>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</si>
  <si>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</si>
  <si>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</si>
  <si>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</si>
  <si>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</si>
  <si>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</si>
  <si>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</si>
  <si>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</si>
  <si>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</si>
  <si>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</si>
  <si>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</si>
  <si>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</si>
  <si>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</si>
  <si>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</si>
  <si>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</si>
  <si>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</si>
  <si>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</si>
  <si>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</si>
  <si>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</si>
  <si>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</si>
  <si>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</si>
  <si>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</si>
  <si>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</si>
  <si>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</si>
  <si>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</si>
  <si>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</si>
  <si>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</si>
  <si>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</si>
  <si>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</si>
  <si>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</si>
  <si>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</si>
  <si>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</si>
  <si>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</si>
  <si>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</si>
  <si>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</si>
  <si>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</si>
  <si>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</si>
  <si>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</si>
  <si>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</si>
  <si>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</si>
  <si>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</si>
  <si>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</si>
  <si>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</si>
  <si>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</si>
  <si>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</si>
  <si>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</si>
  <si>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</si>
  <si>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</si>
  <si>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</si>
  <si>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</si>
  <si>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</si>
  <si>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</si>
  <si>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</si>
  <si>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</si>
  <si>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</si>
  <si>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</si>
  <si>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</si>
  <si>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</si>
  <si>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</si>
  <si>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</si>
  <si>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</si>
  <si>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</si>
  <si>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</si>
  <si>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</si>
  <si>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</si>
  <si>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</si>
  <si>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</si>
  <si>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</si>
  <si>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</si>
  <si>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</si>
  <si>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</si>
  <si>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</si>
  <si>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</si>
  <si>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</si>
  <si>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</si>
  <si>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</si>
  <si>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</si>
  <si>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</si>
  <si>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</si>
  <si>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</si>
  <si>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</si>
  <si>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</si>
  <si>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</si>
  <si>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</si>
  <si>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</si>
  <si>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</si>
  <si>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</si>
  <si>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</si>
  <si>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</si>
  <si>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</si>
  <si>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</si>
  <si>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</si>
  <si>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</si>
  <si>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</si>
  <si>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</si>
  <si>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</si>
  <si>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</si>
  <si>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</si>
  <si>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</si>
  <si>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</si>
  <si>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</si>
  <si>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</si>
  <si>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</si>
  <si>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</si>
  <si>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</si>
  <si>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</si>
  <si>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</si>
  <si>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</si>
  <si>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</si>
  <si>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</si>
  <si>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</si>
  <si>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</si>
  <si>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</si>
  <si>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</si>
  <si>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</si>
  <si>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</si>
  <si>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</si>
  <si>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</si>
  <si>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</si>
  <si>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</si>
  <si>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</si>
  <si>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</si>
  <si>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</si>
  <si>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</si>
  <si>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</si>
  <si>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</si>
  <si>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</si>
  <si>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</si>
  <si>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</si>
  <si>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</si>
  <si>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</si>
  <si>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</si>
  <si>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</si>
  <si>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</si>
  <si>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</si>
  <si>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</si>
  <si>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</si>
  <si>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</si>
  <si>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</si>
  <si>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</si>
  <si>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</si>
  <si>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</si>
  <si>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</si>
  <si>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</si>
  <si>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</si>
  <si>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</si>
  <si>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</si>
  <si>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</si>
  <si>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</si>
  <si>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</si>
  <si>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</si>
  <si>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</si>
  <si>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</si>
  <si>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</si>
  <si>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</si>
  <si>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</si>
  <si>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</si>
  <si>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</si>
  <si>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</si>
  <si>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</si>
  <si>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</si>
  <si>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</si>
  <si>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</si>
  <si>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</si>
  <si>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</si>
  <si>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</si>
  <si>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</si>
  <si>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</si>
  <si>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</si>
  <si>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</si>
  <si>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</si>
  <si>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</si>
  <si>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</si>
  <si>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</si>
  <si>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</si>
  <si>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</si>
  <si>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</si>
  <si>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</si>
  <si>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</si>
  <si>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</si>
  <si>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</si>
  <si>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</si>
  <si>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</si>
  <si>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</si>
  <si>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</si>
  <si>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</si>
  <si>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</si>
  <si>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</si>
  <si>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</si>
  <si>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</si>
  <si>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</si>
  <si>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</si>
  <si>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</si>
  <si>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</si>
  <si>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</si>
  <si>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</si>
  <si>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</si>
  <si>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</si>
  <si>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</si>
  <si>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</si>
  <si>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</si>
  <si>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</si>
  <si>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</si>
  <si>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</si>
  <si>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</si>
  <si>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</si>
  <si>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</si>
  <si>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</si>
  <si>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</si>
  <si>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</si>
  <si>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</si>
  <si>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</si>
  <si>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</si>
  <si>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</si>
  <si>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</si>
  <si>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</si>
  <si>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</si>
  <si>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</si>
  <si>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</si>
  <si>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</si>
  <si>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</si>
  <si>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</si>
  <si>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</si>
  <si>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</si>
  <si>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</si>
  <si>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</si>
  <si>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</si>
  <si>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</si>
  <si>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</si>
  <si>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</si>
  <si>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</si>
  <si>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</si>
  <si>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</si>
  <si>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</si>
  <si>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</si>
  <si>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</si>
  <si>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</si>
  <si>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</si>
  <si>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</si>
  <si>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</si>
  <si>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</si>
  <si>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</si>
  <si>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</si>
  <si>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</si>
  <si>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</si>
  <si>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</si>
  <si>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</si>
  <si>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</si>
  <si>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</si>
  <si>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</si>
  <si>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</si>
  <si>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</si>
  <si>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</si>
  <si>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</si>
  <si>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</si>
  <si>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</si>
  <si>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</si>
  <si>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</si>
  <si>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</si>
  <si>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</si>
  <si>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</si>
  <si>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</si>
  <si>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</si>
  <si>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</si>
  <si>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</si>
  <si>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</si>
  <si>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</si>
  <si>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</si>
  <si>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</si>
  <si>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</si>
  <si>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</si>
  <si>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</si>
  <si>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</si>
  <si>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</si>
  <si>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</si>
  <si>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</si>
  <si>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</si>
  <si>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</si>
  <si>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</si>
  <si>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</si>
  <si>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</si>
  <si>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</si>
  <si>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</si>
  <si>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</si>
  <si>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</si>
  <si>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</si>
  <si>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</si>
  <si>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</si>
  <si>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</si>
  <si>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</si>
  <si>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</si>
  <si>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</si>
  <si>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</si>
  <si>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</si>
  <si>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</si>
  <si>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</si>
  <si>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</si>
  <si>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</si>
  <si>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</si>
  <si>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</si>
  <si>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</si>
  <si>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</si>
  <si>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</si>
  <si>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</si>
  <si>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</si>
  <si>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</si>
  <si>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</si>
  <si>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</si>
  <si>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</si>
  <si>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</si>
  <si>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</si>
  <si>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</si>
  <si>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</si>
  <si>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</si>
  <si>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</si>
  <si>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</si>
  <si>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</si>
  <si>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</si>
  <si>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</si>
  <si>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</si>
  <si>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</si>
  <si>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</si>
  <si>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</si>
  <si>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</si>
  <si>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</si>
  <si>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</si>
  <si>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</si>
  <si>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</si>
  <si>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</si>
  <si>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</si>
  <si>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</si>
  <si>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</si>
  <si>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</si>
  <si>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</si>
  <si>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</si>
  <si>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</si>
  <si>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</si>
  <si>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</si>
  <si>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</si>
  <si>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</si>
  <si>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</si>
  <si>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</si>
  <si>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</si>
  <si>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</si>
  <si>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</si>
  <si>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</si>
  <si>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</si>
  <si>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</si>
  <si>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</si>
  <si>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</si>
  <si>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</si>
  <si>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</si>
  <si>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</si>
  <si>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</si>
  <si>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</si>
  <si>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</si>
  <si>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</si>
  <si>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</si>
  <si>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</si>
  <si>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</si>
  <si>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</si>
  <si>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</si>
  <si>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</si>
  <si>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</si>
  <si>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</si>
  <si>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</si>
  <si>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</si>
  <si>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</si>
  <si>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</si>
  <si>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</si>
  <si>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</si>
  <si>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</si>
  <si>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</si>
  <si>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</si>
  <si>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</si>
  <si>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</si>
  <si>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</si>
  <si>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</si>
  <si>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</si>
  <si>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</si>
  <si>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</si>
  <si>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</si>
  <si>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</si>
  <si>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</si>
  <si>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</si>
  <si>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</si>
  <si>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</si>
  <si>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</si>
  <si>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</si>
  <si>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</si>
  <si>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</si>
  <si>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</si>
  <si>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</si>
  <si>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</si>
  <si>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</si>
  <si>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</si>
  <si>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</si>
  <si>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</si>
  <si>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</si>
  <si>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</si>
  <si>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</si>
  <si>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</si>
  <si>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</si>
  <si>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</si>
  <si>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</si>
  <si>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</si>
  <si>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</si>
  <si>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</si>
  <si>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</si>
  <si>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</si>
  <si>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</si>
  <si>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</si>
  <si>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</si>
  <si>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</si>
  <si>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</si>
  <si>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</si>
  <si>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</si>
  <si>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</si>
  <si>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</si>
  <si>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</si>
  <si>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</si>
  <si>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</si>
  <si>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</si>
  <si>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</si>
  <si>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</si>
  <si>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</si>
  <si>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</si>
  <si>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</si>
  <si>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</si>
  <si>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</si>
  <si>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</si>
  <si>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</si>
  <si>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</si>
  <si>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</si>
  <si>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</si>
  <si>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</si>
  <si>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</si>
  <si>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</si>
  <si>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</si>
  <si>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</si>
  <si>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</si>
  <si>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</si>
  <si>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</si>
  <si>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</si>
  <si>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</si>
  <si>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</si>
  <si>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</si>
  <si>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</si>
  <si>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</si>
  <si>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</si>
  <si>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</si>
  <si>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</si>
  <si>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</si>
  <si>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</si>
  <si>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</si>
  <si>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</si>
  <si>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</si>
  <si>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</si>
  <si>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</si>
  <si>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</si>
  <si>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</si>
  <si>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</si>
  <si>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</si>
  <si>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</si>
  <si>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</si>
  <si>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</si>
  <si>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</si>
  <si>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</si>
  <si>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</si>
  <si>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</si>
  <si>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</si>
  <si>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</si>
  <si>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</si>
  <si>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</si>
  <si>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</si>
  <si>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</si>
  <si>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</si>
  <si>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</si>
  <si>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</si>
  <si>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</si>
  <si>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</si>
  <si>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</si>
  <si>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</si>
  <si>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</si>
  <si>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</si>
  <si>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</si>
  <si>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</si>
  <si>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</si>
  <si>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</si>
  <si>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</si>
  <si>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</si>
  <si>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</si>
  <si>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</si>
  <si>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</si>
  <si>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</si>
  <si>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</si>
  <si>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</si>
  <si>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</si>
  <si>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</si>
  <si>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</si>
  <si>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</si>
  <si>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</si>
  <si>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</si>
  <si>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</si>
  <si>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</si>
  <si>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</si>
  <si>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</si>
  <si>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</si>
  <si>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</si>
  <si>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</si>
  <si>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</si>
  <si>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</si>
  <si>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</si>
  <si>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</si>
  <si>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</si>
  <si>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</si>
  <si>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</si>
  <si>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</si>
  <si>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</si>
  <si>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</si>
  <si>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</si>
  <si>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</si>
  <si>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</si>
  <si>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</si>
  <si>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</si>
  <si>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</si>
  <si>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</si>
  <si>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</si>
  <si>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</si>
  <si>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</si>
  <si>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</si>
  <si>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</si>
  <si>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</si>
  <si>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</si>
  <si>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</si>
  <si>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</si>
  <si>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</si>
  <si>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</si>
  <si>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</si>
  <si>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</si>
  <si>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</si>
  <si>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</si>
  <si>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</si>
  <si>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</si>
  <si>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</si>
  <si>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</si>
  <si>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</si>
  <si>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</si>
  <si>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</si>
  <si>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</si>
  <si>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</si>
  <si>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</si>
  <si>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</si>
  <si>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</si>
  <si>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</si>
  <si>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</si>
  <si>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</si>
  <si>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</si>
  <si>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</si>
  <si>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</si>
  <si>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</si>
  <si>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</si>
  <si>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</si>
  <si>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</si>
  <si>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</si>
  <si>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</si>
  <si>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</si>
  <si>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</si>
  <si>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</si>
  <si>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</si>
  <si>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</si>
  <si>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</si>
  <si>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</si>
  <si>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</si>
  <si>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</si>
  <si>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</si>
  <si>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</si>
  <si>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</si>
  <si>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</si>
  <si>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</si>
  <si>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</si>
  <si>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</si>
  <si>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</si>
  <si>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</si>
  <si>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</si>
  <si>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</si>
  <si>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</si>
  <si>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</si>
  <si>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</si>
  <si>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</si>
  <si>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</si>
  <si>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</si>
  <si>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</si>
  <si>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</si>
  <si>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</si>
  <si>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</si>
  <si>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</si>
  <si>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</si>
  <si>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</si>
  <si>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</si>
  <si>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</si>
  <si>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</si>
  <si>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</si>
  <si>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</si>
  <si>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</si>
  <si>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</si>
  <si>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</si>
  <si>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</si>
  <si>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</si>
  <si>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</si>
  <si>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</si>
  <si>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</si>
  <si>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</si>
  <si>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</si>
  <si>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</si>
  <si>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</si>
  <si>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</si>
  <si>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</si>
  <si>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</si>
  <si>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</si>
  <si>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</si>
  <si>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</si>
  <si>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</si>
  <si>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</si>
  <si>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</si>
  <si>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</si>
  <si>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</si>
  <si>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</si>
  <si>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</si>
  <si>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</si>
  <si>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</si>
  <si>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</si>
  <si>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</si>
  <si>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</si>
  <si>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</si>
  <si>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</si>
  <si>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</si>
  <si>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</si>
  <si>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</si>
  <si>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</si>
  <si>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</si>
  <si>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</si>
  <si>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</si>
  <si>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</si>
  <si>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</si>
  <si>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</si>
  <si>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</si>
  <si>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</si>
  <si>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</si>
  <si>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</si>
  <si>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</si>
  <si>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</si>
  <si>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</si>
  <si>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</si>
  <si>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</si>
  <si>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</si>
  <si>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</si>
  <si>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</si>
  <si>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</si>
  <si>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</si>
  <si>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</si>
  <si>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</si>
  <si>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</si>
  <si>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</si>
  <si>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</si>
  <si>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</si>
  <si>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</si>
  <si>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</si>
  <si>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</si>
  <si>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</si>
  <si>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</si>
  <si>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</si>
  <si>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</si>
  <si>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</si>
  <si>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</si>
  <si>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</si>
  <si>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</si>
  <si>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</si>
  <si>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</si>
  <si>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</si>
  <si>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</si>
  <si>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</si>
  <si>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</si>
  <si>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</si>
  <si>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</si>
  <si>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</si>
  <si>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</si>
  <si>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</si>
  <si>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</si>
  <si>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</si>
  <si>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</si>
  <si>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</si>
  <si>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</si>
  <si>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</si>
  <si>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</si>
  <si>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</si>
  <si>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</si>
  <si>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</si>
  <si>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</si>
  <si>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</si>
  <si>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</si>
  <si>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</si>
  <si>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</si>
  <si>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</si>
  <si>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</si>
  <si>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</si>
  <si>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</si>
  <si>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</si>
  <si>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</si>
  <si>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</si>
  <si>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</si>
  <si>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</si>
  <si>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</si>
  <si>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</si>
  <si>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</si>
  <si>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</si>
  <si>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</si>
  <si>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</si>
  <si>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</si>
  <si>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</si>
  <si>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</si>
  <si>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</si>
  <si>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</si>
  <si>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</si>
  <si>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</si>
  <si>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</si>
  <si>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</si>
  <si>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</si>
  <si>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</si>
  <si>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</si>
  <si>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</si>
  <si>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</si>
  <si>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</si>
  <si>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</si>
  <si>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</si>
  <si>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</si>
  <si>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</si>
  <si>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</si>
  <si>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</si>
  <si>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</si>
  <si>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</si>
  <si>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</si>
  <si>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</si>
  <si>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</si>
  <si>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</si>
  <si>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</si>
  <si>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</si>
  <si>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</si>
  <si>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</si>
  <si>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</si>
  <si>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</si>
  <si>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</si>
  <si>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</si>
  <si>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</si>
  <si>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</si>
  <si>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</si>
  <si>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</si>
  <si>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</si>
  <si>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</si>
  <si>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</si>
  <si>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</si>
  <si>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</si>
  <si>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</si>
  <si>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</si>
  <si>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</si>
  <si>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</si>
  <si>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</si>
  <si>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</si>
  <si>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</si>
  <si>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</si>
  <si>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</si>
  <si>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</si>
  <si>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</si>
  <si>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</si>
  <si>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</si>
  <si>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</si>
  <si>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</si>
  <si>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</si>
  <si>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</si>
  <si>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</si>
  <si>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</si>
  <si>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</si>
  <si>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</si>
  <si>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</si>
  <si>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</si>
  <si>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</si>
  <si>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</si>
  <si>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</si>
  <si>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</si>
  <si>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</si>
  <si>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</si>
  <si>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</si>
  <si>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</si>
  <si>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</si>
  <si>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</si>
  <si>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</si>
  <si>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</si>
  <si>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</si>
  <si>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</si>
  <si>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</si>
  <si>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</si>
  <si>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</si>
  <si>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</si>
  <si>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</si>
  <si>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</si>
  <si>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</si>
  <si>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</si>
  <si>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</si>
  <si>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</si>
  <si>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</si>
  <si>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</si>
  <si>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</si>
  <si>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</si>
  <si>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</si>
  <si>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</si>
  <si>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</si>
  <si>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</si>
  <si>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</si>
  <si>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</si>
  <si>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</si>
  <si>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</si>
  <si>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</si>
  <si>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</si>
  <si>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</si>
  <si>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</si>
  <si>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</si>
  <si>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</si>
  <si>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</si>
  <si>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</si>
  <si>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</si>
  <si>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</si>
  <si>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</si>
  <si>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</si>
  <si>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</si>
  <si>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</si>
  <si>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</si>
  <si>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</si>
  <si>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</si>
  <si>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</si>
  <si>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</si>
  <si>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</si>
  <si>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</si>
  <si>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</si>
  <si>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</si>
  <si>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</si>
  <si>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</si>
  <si>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</si>
  <si>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</si>
  <si>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</si>
  <si>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</si>
  <si>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</si>
  <si>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</si>
  <si>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</si>
  <si>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</si>
  <si>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</si>
  <si>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</si>
  <si>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</si>
  <si>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</si>
  <si>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</si>
  <si>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</si>
  <si>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</si>
  <si>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</si>
  <si>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</si>
  <si>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</si>
  <si>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</si>
  <si>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</si>
  <si>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</si>
  <si>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</si>
  <si>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</si>
  <si>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</si>
  <si>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</si>
  <si>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</si>
  <si>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</si>
  <si>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</si>
  <si>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</si>
  <si>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</si>
  <si>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</si>
  <si>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</si>
  <si>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</si>
  <si>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</si>
  <si>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</si>
  <si>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</si>
  <si>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</si>
  <si>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</si>
  <si>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</si>
  <si>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</si>
  <si>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</si>
  <si>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</si>
  <si>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</si>
  <si>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</si>
  <si>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</si>
  <si>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</si>
  <si>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</si>
  <si>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</si>
  <si>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</si>
  <si>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</si>
  <si>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</si>
  <si>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</si>
  <si>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</si>
  <si>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</si>
  <si>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</si>
  <si>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</si>
  <si>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</si>
  <si>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</si>
  <si>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</si>
  <si>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</si>
  <si>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</si>
  <si>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</si>
  <si>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</si>
  <si>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</si>
  <si>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</si>
  <si>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</si>
  <si>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</si>
  <si>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</si>
  <si>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</si>
  <si>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</si>
  <si>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</si>
  <si>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</si>
  <si>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</si>
  <si>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</si>
  <si>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</si>
  <si>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</si>
  <si>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</si>
  <si>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</si>
  <si>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</si>
  <si>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</si>
  <si>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</si>
  <si>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</si>
  <si>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</si>
  <si>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</si>
  <si>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</si>
  <si>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</si>
  <si>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</si>
  <si>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</si>
  <si>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</si>
  <si>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</si>
  <si>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</si>
  <si>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</si>
  <si>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</si>
  <si>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</si>
  <si>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</si>
  <si>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</si>
  <si>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</si>
  <si>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</si>
  <si>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</si>
  <si>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</si>
  <si>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</si>
  <si>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</si>
  <si>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</si>
  <si>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</si>
  <si>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</si>
  <si>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</si>
  <si>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</si>
  <si>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</si>
  <si>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</si>
  <si>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</si>
  <si>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</si>
  <si>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</si>
  <si>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</si>
  <si>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</si>
  <si>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</si>
  <si>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</si>
  <si>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</si>
  <si>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</si>
  <si>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</si>
  <si>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</si>
  <si>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</si>
  <si>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</si>
  <si>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</si>
  <si>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</si>
  <si>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</si>
  <si>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</si>
  <si>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</si>
  <si>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</si>
  <si>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</si>
  <si>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</si>
  <si>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</si>
  <si>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</si>
  <si>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</si>
  <si>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</si>
  <si>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</si>
  <si>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</si>
  <si>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</si>
  <si>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</si>
  <si>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</si>
  <si>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</si>
  <si>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</si>
  <si>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</si>
  <si>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</si>
  <si>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</si>
  <si>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</si>
  <si>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</si>
  <si>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</si>
  <si>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</si>
  <si>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</si>
  <si>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</si>
  <si>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</si>
  <si>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</si>
  <si>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</si>
  <si>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</si>
  <si>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</si>
  <si>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</si>
  <si>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</si>
  <si>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</si>
  <si>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</si>
  <si>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</si>
  <si>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</si>
  <si>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</si>
  <si>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</si>
  <si>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</si>
  <si>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</si>
  <si>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</si>
  <si>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</si>
  <si>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</si>
  <si>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</si>
  <si>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</si>
  <si>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</si>
  <si>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</si>
  <si>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</si>
  <si>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</si>
  <si>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</si>
  <si>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</si>
  <si>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</si>
  <si>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</si>
  <si>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</si>
  <si>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</si>
  <si>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</si>
  <si>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</si>
  <si>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</si>
  <si>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</si>
  <si>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</si>
  <si>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</si>
  <si>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</si>
  <si>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</si>
  <si>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</si>
  <si>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</si>
  <si>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</si>
  <si>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</si>
  <si>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</si>
  <si>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</si>
  <si>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</si>
  <si>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</si>
  <si>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</si>
  <si>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</si>
  <si>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</si>
  <si>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</si>
  <si>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</si>
  <si>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</si>
  <si>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</si>
  <si>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</si>
  <si>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</si>
  <si>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</si>
  <si>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</si>
  <si>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</si>
  <si>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</si>
  <si>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</si>
  <si>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</si>
  <si>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</si>
  <si>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</si>
  <si>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</si>
  <si>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</si>
  <si>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</si>
  <si>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</si>
  <si>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</si>
  <si>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</si>
  <si>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</si>
  <si>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</si>
  <si>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</si>
  <si>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</si>
  <si>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</si>
  <si>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</si>
  <si>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</si>
  <si>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</si>
  <si>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</si>
  <si>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</si>
  <si>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</si>
  <si>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</si>
  <si>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</si>
  <si>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</si>
  <si>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</si>
  <si>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</si>
  <si>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</si>
  <si>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</si>
  <si>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</si>
  <si>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</si>
  <si>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</si>
  <si>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</si>
  <si>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</si>
  <si>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</si>
  <si>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</si>
  <si>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</si>
  <si>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</si>
  <si>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</si>
  <si>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</si>
  <si>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</si>
  <si>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</si>
  <si>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</si>
  <si>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</si>
  <si>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</si>
  <si>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</si>
  <si>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</si>
  <si>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</si>
  <si>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</si>
  <si>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</si>
  <si>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</si>
  <si>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</si>
  <si>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</si>
  <si>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</si>
  <si>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</si>
  <si>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</si>
  <si>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</si>
  <si>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</si>
  <si>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</si>
  <si>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</si>
  <si>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</si>
  <si>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</si>
  <si>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</si>
  <si>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</si>
  <si>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</si>
  <si>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</si>
  <si>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</si>
  <si>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</si>
  <si>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</si>
  <si>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</si>
  <si>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</si>
  <si>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</si>
  <si>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</si>
  <si>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</si>
  <si>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</si>
  <si>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</si>
  <si>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</si>
  <si>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</si>
  <si>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</si>
  <si>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</si>
  <si>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</si>
  <si>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</si>
  <si>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</si>
  <si>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</si>
  <si>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</si>
  <si>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</si>
  <si>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</si>
  <si>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</si>
  <si>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</si>
  <si>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</si>
  <si>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</si>
  <si>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</si>
  <si>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</si>
  <si>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</si>
  <si>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</si>
  <si>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</si>
  <si>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</si>
  <si>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</si>
  <si>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</si>
  <si>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</si>
  <si>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</si>
  <si>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</si>
  <si>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</si>
  <si>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</si>
  <si>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</si>
  <si>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</si>
  <si>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</si>
  <si>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</si>
  <si>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</si>
  <si>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</si>
  <si>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</si>
  <si>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</si>
  <si>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</si>
  <si>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</si>
  <si>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</si>
  <si>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</si>
  <si>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</si>
  <si>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</si>
  <si>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</si>
  <si>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</si>
  <si>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</si>
  <si>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</si>
  <si>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</si>
  <si>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</si>
  <si>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</si>
  <si>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</si>
  <si>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</si>
  <si>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</si>
  <si>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</si>
  <si>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</si>
  <si>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</si>
  <si>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</si>
  <si>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</si>
  <si>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</si>
  <si>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</si>
  <si>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</si>
  <si>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</si>
  <si>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</si>
  <si>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</si>
  <si>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</si>
  <si>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</si>
  <si>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</si>
  <si>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</si>
  <si>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</si>
  <si>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</si>
  <si>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</si>
  <si>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</si>
  <si>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</si>
  <si>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</si>
  <si>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</si>
  <si>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</si>
  <si>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</si>
  <si>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</si>
  <si>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</si>
  <si>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</si>
  <si>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</si>
  <si>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</si>
  <si>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</si>
  <si>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</si>
  <si>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</si>
  <si>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</si>
  <si>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</si>
  <si>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</si>
  <si>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</si>
  <si>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</si>
  <si>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</si>
  <si>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</si>
  <si>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</si>
  <si>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</si>
  <si>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</si>
  <si>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</si>
  <si>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</si>
  <si>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</si>
  <si>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</si>
  <si>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</si>
  <si>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</si>
  <si>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</si>
  <si>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</si>
  <si>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</si>
  <si>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</si>
  <si>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</si>
  <si>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</si>
  <si>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</si>
  <si>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</si>
  <si>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</si>
  <si>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</si>
  <si>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</si>
  <si>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</si>
  <si>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</si>
  <si>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</si>
  <si>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</si>
  <si>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</si>
  <si>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</si>
  <si>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</si>
  <si>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</si>
  <si>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</si>
  <si>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</si>
  <si>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</si>
  <si>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</si>
  <si>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</si>
  <si>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</si>
  <si>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</si>
  <si>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</si>
  <si>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</si>
  <si>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</si>
  <si>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</si>
  <si>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</si>
  <si>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</si>
  <si>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</si>
  <si>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</si>
  <si>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</si>
  <si>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</si>
  <si>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</si>
  <si>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</si>
  <si>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</si>
  <si>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</si>
  <si>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</si>
  <si>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</si>
  <si>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</si>
  <si>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</si>
  <si>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</si>
  <si>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</si>
  <si>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</si>
  <si>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</si>
  <si>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</si>
  <si>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</si>
  <si>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</si>
  <si>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</si>
  <si>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</si>
  <si>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</si>
  <si>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</si>
  <si>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</si>
  <si>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</si>
  <si>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</si>
  <si>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</si>
  <si>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</si>
  <si>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</si>
  <si>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</si>
  <si>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</si>
  <si>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</si>
  <si>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</si>
  <si>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</si>
  <si>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</si>
  <si>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</si>
  <si>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</si>
  <si>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</si>
  <si>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</si>
  <si>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</si>
  <si>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</si>
  <si>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</si>
  <si>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</si>
  <si>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</si>
  <si>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</si>
  <si>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</si>
  <si>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</si>
  <si>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</si>
  <si>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</si>
  <si>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</si>
  <si>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</si>
  <si>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</si>
  <si>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</si>
  <si>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</si>
  <si>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</si>
  <si>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</si>
  <si>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</si>
  <si>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</si>
  <si>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</si>
  <si>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</si>
  <si>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</si>
  <si>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</si>
  <si>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</si>
  <si>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</si>
  <si>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</si>
  <si>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</si>
  <si>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</si>
  <si>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</si>
  <si>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</si>
  <si>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</si>
  <si>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</si>
  <si>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</si>
  <si>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</si>
  <si>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</si>
  <si>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</si>
  <si>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</si>
  <si>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</si>
  <si>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</si>
  <si>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</si>
  <si>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</si>
  <si>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</si>
  <si>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</si>
  <si>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</si>
  <si>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</si>
  <si>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</si>
  <si>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</si>
  <si>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</si>
  <si>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</si>
  <si>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</si>
  <si>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</si>
  <si>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</si>
  <si>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</si>
  <si>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</si>
  <si>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</si>
  <si>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</si>
  <si>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</si>
  <si>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</si>
  <si>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</si>
  <si>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</si>
  <si>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</si>
  <si>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</si>
  <si>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</si>
  <si>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</si>
  <si>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</si>
  <si>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</si>
  <si>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</si>
  <si>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</si>
  <si>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</si>
  <si>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</si>
  <si>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</si>
  <si>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</si>
  <si>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</si>
  <si>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</si>
  <si>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</si>
  <si>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</si>
  <si>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</si>
  <si>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</si>
  <si>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</si>
  <si>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</si>
  <si>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</si>
  <si>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</si>
  <si>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</si>
  <si>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</si>
  <si>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</si>
  <si>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</si>
  <si>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</si>
  <si>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</si>
  <si>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</si>
  <si>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</si>
  <si>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</si>
  <si>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</si>
  <si>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</si>
  <si>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</si>
  <si>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</si>
  <si>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</si>
  <si>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</si>
  <si>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</si>
  <si>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</si>
  <si>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</si>
  <si>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</si>
  <si>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</si>
  <si>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</si>
  <si>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</si>
  <si>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</si>
  <si>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</si>
  <si>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</si>
  <si>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</si>
  <si>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</si>
  <si>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</si>
  <si>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</si>
  <si>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</si>
  <si>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</si>
  <si>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</si>
  <si>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</si>
  <si>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</si>
  <si>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</si>
  <si>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</si>
  <si>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</si>
  <si>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</si>
  <si>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</si>
  <si>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</si>
  <si>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</si>
  <si>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</si>
  <si>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</si>
  <si>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</si>
  <si>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</si>
  <si>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</si>
  <si>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</si>
  <si>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</si>
  <si>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</si>
  <si>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</si>
  <si>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</si>
  <si>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</si>
  <si>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</si>
  <si>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</si>
  <si>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</si>
  <si>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</si>
  <si>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</si>
  <si>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</si>
  <si>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</si>
  <si>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</si>
  <si>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</si>
  <si>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</si>
  <si>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</si>
  <si>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</si>
  <si>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</si>
  <si>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</si>
  <si>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</si>
  <si>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</si>
  <si>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</si>
  <si>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</si>
  <si>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</si>
  <si>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</si>
  <si>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</si>
  <si>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</si>
  <si>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</si>
  <si>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</si>
  <si>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</si>
  <si>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</si>
  <si>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</si>
  <si>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</si>
  <si>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</si>
  <si>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</si>
  <si>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</si>
  <si>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</si>
  <si>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</si>
  <si>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</si>
  <si>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</si>
  <si>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</si>
  <si>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</si>
  <si>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</si>
  <si>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</si>
  <si>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</si>
  <si>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</si>
  <si>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</si>
  <si>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</si>
  <si>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</si>
  <si>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</si>
  <si>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</si>
  <si>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</si>
  <si>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</si>
  <si>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</si>
  <si>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</si>
  <si>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</si>
  <si>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</si>
  <si>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</si>
  <si>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</si>
  <si>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</si>
  <si>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</si>
  <si>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</si>
  <si>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</si>
  <si>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</si>
  <si>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</si>
  <si>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</si>
  <si>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</si>
  <si>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</si>
  <si>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</si>
  <si>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</si>
  <si>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</si>
  <si>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</si>
  <si>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</si>
  <si>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</si>
  <si>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</si>
  <si>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</si>
  <si>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</si>
  <si>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</si>
  <si>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</si>
  <si>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</si>
  <si>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</si>
  <si>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</si>
  <si>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</si>
  <si>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</si>
  <si>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</si>
  <si>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</si>
  <si>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</si>
  <si>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</si>
  <si>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</si>
  <si>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</si>
  <si>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</si>
  <si>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</si>
  <si>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</si>
  <si>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</si>
  <si>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</si>
  <si>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</si>
  <si>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</si>
  <si>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</si>
  <si>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</si>
  <si>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</si>
  <si>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</si>
  <si>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</si>
  <si>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</si>
  <si>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</si>
  <si>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</si>
  <si>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</si>
  <si>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</si>
  <si>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</si>
  <si>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</si>
  <si>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</si>
  <si>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</si>
  <si>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</si>
  <si>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</si>
  <si>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</si>
  <si>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</si>
  <si>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</si>
  <si>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</si>
  <si>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</si>
  <si>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</si>
  <si>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</si>
  <si>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</si>
  <si>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</si>
  <si>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</si>
  <si>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</si>
  <si>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</si>
  <si>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</si>
  <si>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</si>
  <si>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</si>
  <si>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</si>
  <si>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</si>
  <si>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</si>
  <si>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</si>
  <si>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</si>
  <si>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</si>
  <si>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</si>
  <si>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</si>
  <si>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</si>
  <si>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</si>
  <si>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</si>
  <si>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</si>
  <si>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</si>
  <si>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</si>
  <si>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</si>
  <si>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</si>
  <si>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</si>
  <si>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</si>
  <si>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</si>
  <si>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</si>
  <si>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</si>
  <si>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</si>
  <si>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</si>
  <si>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</si>
  <si>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</si>
  <si>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</si>
  <si>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</si>
  <si>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</si>
  <si>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</si>
  <si>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</si>
  <si>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</si>
  <si>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</si>
  <si>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</si>
  <si>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</si>
  <si>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</si>
  <si>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</si>
  <si>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</si>
  <si>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</si>
  <si>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</si>
  <si>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</si>
  <si>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</si>
  <si>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</si>
  <si>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</si>
  <si>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</si>
  <si>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</si>
  <si>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</si>
  <si>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</si>
  <si>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</si>
  <si>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</si>
  <si>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</si>
  <si>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</si>
  <si>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</si>
  <si>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</si>
  <si>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</si>
  <si>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</si>
  <si>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</si>
  <si>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</si>
  <si>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</si>
  <si>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</si>
  <si>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</si>
  <si>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</si>
  <si>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</si>
  <si>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</si>
  <si>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</si>
  <si>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</si>
  <si>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</si>
  <si>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</si>
  <si>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</si>
  <si>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</si>
  <si>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</si>
  <si>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</si>
  <si>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</si>
  <si>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</si>
  <si>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</si>
  <si>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</si>
  <si>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</si>
  <si>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</si>
  <si>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</si>
  <si>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</si>
  <si>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</si>
  <si>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</si>
  <si>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</si>
  <si>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</si>
  <si>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</si>
  <si>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</si>
  <si>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</si>
  <si>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</si>
  <si>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</si>
  <si>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</si>
  <si>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</si>
  <si>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</si>
  <si>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</si>
  <si>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</si>
  <si>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</si>
  <si>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</si>
  <si>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</si>
  <si>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</si>
  <si>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</si>
  <si>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</si>
  <si>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</si>
  <si>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</si>
  <si>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</si>
  <si>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</si>
  <si>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</si>
  <si>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</si>
  <si>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</si>
  <si>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</si>
  <si>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</si>
  <si>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</si>
  <si>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</si>
  <si>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</si>
  <si>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</si>
  <si>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</si>
  <si>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</si>
  <si>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</si>
  <si>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</si>
  <si>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</si>
  <si>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</si>
  <si>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</si>
  <si>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</si>
  <si>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</si>
  <si>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</si>
  <si>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</si>
  <si>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</si>
  <si>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</si>
  <si>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</si>
  <si>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</si>
  <si>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</si>
  <si>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</si>
  <si>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</si>
  <si>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</si>
  <si>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</si>
  <si>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</si>
  <si>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</si>
  <si>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</si>
  <si>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</si>
  <si>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</si>
  <si>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</si>
  <si>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</si>
  <si>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</si>
  <si>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</si>
  <si>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</si>
  <si>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</si>
  <si>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</si>
  <si>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</si>
  <si>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</si>
  <si>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</si>
  <si>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</si>
  <si>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</si>
  <si>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</si>
  <si>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</si>
  <si>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</si>
  <si>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</si>
  <si>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</si>
  <si>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</si>
  <si>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</si>
  <si>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</si>
  <si>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</si>
  <si>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</si>
  <si>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</si>
  <si>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</si>
  <si>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</si>
  <si>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</si>
  <si>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</si>
  <si>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</si>
  <si>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</si>
  <si>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</si>
  <si>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</si>
  <si>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</si>
  <si>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</si>
  <si>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</si>
  <si>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</si>
  <si>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</si>
  <si>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</si>
  <si>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</si>
  <si>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</si>
  <si>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</si>
  <si>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</si>
  <si>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</si>
  <si>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</si>
  <si>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</si>
  <si>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</si>
  <si>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</si>
  <si>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</si>
  <si>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</si>
  <si>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</si>
  <si>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</si>
  <si>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</si>
  <si>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</si>
  <si>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</si>
  <si>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</si>
  <si>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</si>
  <si>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</si>
  <si>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</si>
  <si>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</si>
  <si>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</si>
  <si>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</si>
  <si>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</si>
  <si>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</si>
  <si>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</si>
  <si>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</si>
  <si>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</si>
  <si>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</si>
  <si>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</si>
  <si>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</si>
  <si>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</si>
  <si>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</si>
  <si>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</si>
  <si>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</si>
  <si>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</si>
  <si>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</si>
  <si>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</si>
  <si>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</si>
  <si>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</si>
  <si>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</si>
  <si>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</si>
  <si>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</si>
  <si>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</si>
  <si>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</si>
  <si>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</si>
  <si>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</si>
  <si>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</si>
  <si>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</si>
  <si>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</si>
  <si>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</si>
  <si>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</si>
  <si>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</si>
  <si>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</si>
  <si>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</si>
  <si>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</si>
  <si>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</si>
  <si>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</si>
  <si>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</si>
  <si>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</si>
  <si>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</si>
  <si>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</si>
  <si>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</si>
  <si>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</si>
  <si>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</si>
  <si>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</si>
  <si>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</si>
  <si>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</si>
  <si>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</si>
  <si>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</si>
  <si>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</si>
  <si>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</si>
  <si>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</si>
  <si>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</si>
  <si>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</si>
  <si>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</si>
  <si>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</si>
  <si>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</si>
  <si>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</si>
  <si>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</si>
  <si>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</si>
  <si>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</si>
  <si>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</si>
  <si>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</si>
  <si>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</si>
  <si>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</si>
  <si>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</si>
  <si>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</si>
  <si>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</si>
  <si>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</si>
  <si>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</si>
  <si>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</si>
  <si>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</si>
  <si>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</si>
  <si>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</si>
  <si>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</si>
  <si>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</si>
  <si>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</si>
  <si>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</si>
  <si>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</si>
  <si>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</si>
  <si>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</si>
  <si>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</si>
  <si>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</si>
  <si>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</si>
  <si>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</si>
  <si>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</si>
  <si>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</si>
  <si>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</si>
  <si>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</si>
  <si>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</si>
  <si>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</si>
  <si>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</si>
  <si>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</si>
  <si>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</si>
  <si>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</si>
  <si>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</si>
  <si>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</si>
  <si>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</si>
  <si>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</si>
  <si>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</si>
  <si>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</si>
  <si>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</si>
  <si>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</si>
  <si>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</si>
  <si>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</si>
  <si>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</si>
  <si>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</si>
  <si>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</si>
  <si>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</si>
  <si>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</si>
  <si>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</si>
  <si>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</si>
  <si>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</si>
  <si>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</si>
  <si>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</si>
  <si>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</si>
  <si>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</si>
  <si>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</si>
  <si>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</si>
  <si>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</si>
  <si>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</si>
  <si>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</si>
  <si>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</si>
  <si>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</si>
  <si>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</si>
  <si>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</si>
  <si>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</si>
  <si>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</si>
  <si>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</si>
  <si>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</si>
  <si>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</si>
  <si>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</si>
  <si>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</si>
  <si>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</si>
  <si>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</si>
  <si>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</si>
  <si>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</si>
  <si>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</si>
  <si>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</si>
  <si>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</si>
  <si>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</si>
  <si>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</si>
  <si>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</si>
  <si>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</si>
  <si>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</si>
  <si>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</si>
  <si>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</si>
  <si>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</si>
  <si>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</si>
  <si>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</si>
  <si>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</si>
  <si>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</si>
  <si>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</si>
  <si>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</si>
  <si>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</si>
  <si>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</si>
  <si>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</si>
  <si>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</si>
  <si>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</si>
  <si>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</si>
  <si>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</si>
  <si>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</si>
  <si>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</si>
  <si>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</si>
  <si>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</si>
  <si>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</si>
  <si>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</si>
  <si>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</si>
  <si>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</si>
  <si>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</si>
  <si>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</si>
  <si>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</si>
  <si>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</si>
  <si>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</si>
  <si>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</si>
  <si>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</si>
  <si>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</si>
  <si>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</si>
  <si>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</si>
  <si>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</si>
  <si>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</si>
  <si>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</si>
  <si>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</si>
  <si>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</si>
  <si>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</si>
  <si>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</si>
  <si>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</si>
  <si>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</si>
  <si>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</si>
  <si>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</si>
  <si>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</si>
  <si>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</si>
  <si>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</si>
  <si>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</si>
  <si>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</si>
  <si>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</si>
  <si>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</si>
  <si>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</si>
  <si>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</si>
  <si>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</si>
  <si>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</si>
  <si>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</si>
  <si>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</si>
  <si>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</si>
  <si>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</si>
  <si>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</si>
  <si>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</si>
  <si>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</si>
  <si>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</si>
  <si>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</si>
  <si>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</si>
  <si>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</si>
  <si>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</si>
  <si>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</si>
  <si>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</si>
  <si>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</si>
  <si>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</si>
  <si>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</si>
  <si>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</si>
  <si>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</si>
  <si>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</si>
  <si>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</si>
  <si>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</si>
  <si>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</si>
  <si>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</si>
  <si>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</si>
  <si>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</si>
  <si>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</si>
  <si>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</si>
  <si>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</si>
  <si>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</si>
  <si>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</si>
  <si>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</si>
  <si>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</si>
  <si>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</si>
  <si>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</si>
  <si>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</si>
  <si>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</si>
  <si>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</si>
  <si>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</si>
  <si>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</si>
  <si>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</si>
  <si>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</si>
  <si>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</si>
  <si>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</si>
  <si>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</si>
  <si>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</si>
  <si>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</si>
  <si>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</si>
  <si>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</si>
  <si>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</si>
  <si>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</si>
  <si>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</si>
  <si>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</si>
  <si>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</si>
  <si>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</si>
  <si>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</si>
  <si>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</si>
  <si>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</si>
  <si>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</si>
  <si>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</si>
  <si>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</si>
  <si>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</si>
  <si>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</si>
  <si>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</si>
  <si>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</si>
  <si>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</si>
  <si>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</si>
  <si>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</si>
  <si>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</si>
  <si>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</si>
  <si>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</si>
  <si>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</si>
  <si>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</si>
  <si>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</si>
  <si>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</si>
  <si>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</si>
  <si>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</si>
  <si>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</si>
  <si>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</si>
  <si>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</si>
  <si>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</si>
  <si>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</si>
  <si>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</si>
  <si>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</si>
  <si>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</si>
  <si>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</si>
  <si>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</si>
  <si>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</si>
  <si>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</si>
  <si>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</si>
  <si>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</si>
  <si>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</si>
  <si>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</si>
  <si>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</si>
  <si>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</si>
  <si>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</si>
  <si>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</si>
  <si>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</si>
  <si>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</si>
  <si>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</si>
  <si>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</si>
  <si>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</si>
  <si>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</si>
  <si>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</si>
  <si>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</si>
  <si>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</si>
  <si>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</si>
  <si>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</si>
  <si>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</si>
  <si>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</si>
  <si>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</si>
  <si>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</si>
  <si>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</si>
  <si>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</si>
  <si>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</si>
  <si>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</si>
  <si>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</si>
  <si>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</si>
  <si>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</si>
  <si>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</si>
  <si>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</si>
  <si>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</si>
  <si>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</si>
  <si>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</si>
  <si>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</si>
  <si>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</si>
  <si>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</si>
  <si>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</si>
  <si>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</si>
  <si>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</si>
  <si>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</si>
  <si>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</si>
  <si>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</si>
  <si>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</si>
  <si>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</si>
  <si>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</si>
  <si>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</si>
  <si>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</si>
  <si>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</si>
  <si>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</si>
  <si>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</si>
  <si>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</si>
  <si>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</si>
  <si>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</si>
  <si>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</si>
  <si>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</si>
  <si>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</si>
  <si>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</si>
  <si>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</si>
  <si>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</si>
  <si>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</si>
  <si>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</si>
  <si>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</si>
  <si>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</si>
  <si>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</si>
  <si>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</si>
  <si>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</si>
  <si>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</si>
  <si>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</si>
  <si>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</si>
  <si>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</si>
  <si>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</si>
  <si>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</si>
  <si>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</si>
  <si>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</si>
  <si>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</si>
  <si>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</si>
  <si>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</si>
  <si>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</si>
  <si>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</si>
  <si>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</si>
  <si>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</si>
  <si>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</si>
  <si>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</si>
  <si>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</si>
  <si>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</si>
  <si>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</si>
  <si>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</si>
  <si>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</si>
  <si>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</si>
  <si>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</si>
  <si>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</si>
  <si>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</si>
  <si>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</si>
  <si>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</si>
  <si>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</si>
  <si>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</si>
  <si>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</si>
  <si>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</si>
  <si>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</si>
  <si>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</si>
  <si>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</si>
  <si>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</si>
  <si>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</si>
  <si>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</si>
  <si>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</si>
  <si>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</si>
  <si>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</si>
  <si>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</si>
  <si>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</si>
  <si>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</si>
  <si>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</si>
  <si>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</si>
  <si>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</si>
  <si>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</si>
  <si>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</si>
  <si>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</si>
  <si>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</si>
  <si>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</si>
  <si>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</si>
  <si>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</si>
  <si>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</si>
  <si>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</si>
  <si>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</si>
  <si>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</si>
  <si>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</si>
  <si>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</si>
  <si>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</si>
  <si>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</si>
  <si>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</si>
  <si>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</si>
  <si>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</si>
  <si>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</si>
  <si>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</si>
  <si>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</si>
  <si>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</si>
  <si>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</si>
  <si>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</si>
  <si>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</si>
  <si>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</si>
  <si>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</si>
  <si>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</si>
  <si>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</si>
  <si>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</si>
  <si>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</si>
  <si>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</si>
  <si>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</si>
  <si>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</si>
  <si>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</si>
  <si>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</si>
  <si>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</si>
  <si>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</si>
  <si>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</si>
  <si>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</si>
  <si>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</si>
  <si>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</si>
  <si>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</si>
  <si>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</si>
  <si>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</si>
  <si>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</si>
  <si>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</si>
  <si>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</si>
  <si>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</si>
  <si>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</si>
  <si>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</si>
  <si>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</si>
  <si>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</si>
  <si>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</si>
  <si>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</si>
  <si>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</si>
  <si>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</si>
  <si>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</si>
  <si>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</si>
  <si>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</si>
  <si>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</si>
  <si>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</si>
  <si>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</si>
  <si>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</si>
  <si>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</si>
  <si>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</si>
  <si>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</si>
  <si>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</si>
  <si>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</si>
  <si>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</si>
  <si>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</si>
  <si>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</si>
  <si>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</si>
  <si>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</si>
  <si>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</si>
  <si>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</si>
  <si>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</si>
  <si>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</si>
  <si>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</si>
  <si>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</si>
  <si>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</si>
  <si>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</si>
  <si>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</si>
  <si>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</si>
  <si>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</si>
  <si>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</si>
  <si>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</si>
  <si>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</si>
  <si>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</si>
  <si>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</si>
  <si>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</si>
  <si>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</si>
  <si>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</si>
  <si>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</si>
  <si>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</si>
  <si>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</si>
  <si>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</si>
  <si>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</si>
  <si>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</si>
  <si>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</si>
  <si>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</si>
  <si>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</si>
  <si>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</si>
  <si>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</si>
  <si>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</si>
  <si>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</si>
  <si>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</si>
  <si>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</si>
  <si>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</si>
  <si>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</si>
  <si>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</si>
  <si>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</si>
  <si>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</si>
  <si>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</si>
  <si>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</si>
  <si>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</si>
  <si>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</si>
  <si>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</si>
  <si>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</si>
  <si>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</si>
  <si>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</si>
  <si>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</si>
  <si>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</si>
  <si>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</si>
  <si>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</si>
  <si>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</si>
  <si>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</si>
  <si>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</si>
  <si>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</si>
  <si>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</si>
  <si>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</si>
  <si>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</si>
  <si>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</si>
  <si>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</si>
  <si>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</si>
  <si>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</si>
  <si>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</si>
  <si>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</si>
  <si>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</si>
  <si>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</si>
  <si>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</si>
  <si>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</si>
  <si>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</si>
  <si>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</si>
  <si>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</si>
  <si>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</si>
  <si>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</si>
  <si>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</si>
  <si>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</si>
  <si>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</si>
  <si>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</si>
  <si>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</si>
  <si>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</si>
  <si>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</si>
  <si>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</si>
  <si>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</si>
  <si>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</si>
  <si>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</si>
  <si>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</si>
  <si>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</si>
  <si>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</si>
  <si>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</si>
  <si>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</si>
  <si>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</si>
  <si>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</si>
  <si>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</si>
  <si>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</si>
  <si>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</si>
  <si>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</si>
  <si>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</si>
  <si>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</si>
  <si>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</si>
  <si>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</si>
  <si>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</si>
  <si>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</si>
  <si>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</si>
  <si>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</si>
  <si>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</si>
  <si>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</si>
  <si>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</si>
  <si>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</si>
  <si>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</si>
  <si>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</si>
  <si>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</si>
  <si>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</si>
  <si>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</si>
  <si>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</si>
  <si>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</si>
  <si>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</si>
  <si>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</si>
  <si>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</si>
  <si>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</si>
  <si>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</si>
  <si>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</si>
  <si>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</si>
  <si>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</si>
  <si>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</si>
  <si>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</si>
  <si>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</si>
  <si>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</si>
  <si>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</si>
  <si>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</si>
  <si>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</si>
  <si>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</si>
  <si>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</si>
  <si>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</si>
  <si>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</si>
  <si>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</si>
  <si>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</si>
  <si>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</si>
  <si>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</si>
  <si>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</si>
  <si>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</si>
  <si>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</si>
  <si>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</si>
  <si>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</si>
  <si>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</si>
  <si>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</si>
  <si>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</si>
  <si>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</si>
  <si>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</si>
  <si>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</si>
  <si>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</si>
  <si>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</si>
  <si>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</si>
  <si>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</si>
  <si>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</si>
  <si>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</si>
  <si>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</si>
  <si>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</si>
  <si>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</si>
  <si>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</si>
  <si>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</si>
  <si>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</si>
  <si>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</si>
  <si>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</si>
  <si>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</si>
  <si>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</si>
  <si>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</si>
  <si>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</si>
  <si>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</si>
  <si>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</si>
  <si>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</si>
  <si>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</si>
  <si>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</si>
  <si>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</si>
  <si>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</si>
  <si>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</si>
  <si>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</si>
  <si>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</si>
  <si>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</si>
  <si>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</si>
  <si>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</si>
  <si>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</si>
  <si>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</si>
  <si>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</si>
  <si>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</si>
  <si>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</si>
  <si>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</si>
  <si>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</si>
  <si>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</si>
  <si>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</si>
  <si>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</si>
  <si>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</si>
  <si>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</si>
  <si>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</si>
  <si>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</si>
  <si>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</si>
  <si>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</si>
  <si>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</si>
  <si>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</si>
  <si>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</si>
  <si>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</si>
  <si>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</si>
  <si>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</si>
  <si>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</si>
  <si>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</si>
  <si>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</si>
  <si>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</si>
  <si>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</si>
  <si>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</si>
  <si>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</si>
  <si>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</si>
  <si>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</si>
  <si>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</si>
  <si>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</si>
  <si>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</si>
  <si>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</si>
  <si>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</si>
  <si>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</si>
  <si>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</si>
  <si>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</si>
  <si>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</si>
  <si>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</si>
  <si>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</si>
  <si>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</si>
  <si>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</si>
  <si>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</si>
  <si>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</si>
  <si>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</si>
  <si>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</si>
  <si>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</si>
  <si>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</si>
  <si>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</si>
  <si>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</si>
  <si>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</si>
  <si>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</si>
  <si>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</si>
  <si>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</si>
  <si>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</si>
  <si>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</si>
  <si>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</si>
  <si>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</si>
  <si>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</si>
  <si>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</si>
  <si>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</si>
  <si>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</si>
  <si>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</si>
  <si>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</si>
  <si>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</si>
  <si>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</si>
  <si>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</si>
  <si>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</si>
  <si>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</si>
  <si>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</si>
  <si>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</si>
  <si>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</si>
  <si>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</si>
  <si>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</si>
  <si>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</si>
  <si>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</si>
  <si>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</si>
  <si>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</si>
  <si>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</si>
  <si>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</si>
  <si>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</si>
  <si>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</si>
  <si>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</si>
  <si>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</si>
  <si>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</si>
  <si>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</si>
  <si>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</si>
  <si>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</si>
  <si>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</si>
  <si>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</si>
  <si>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</si>
  <si>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</si>
  <si>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</si>
  <si>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</si>
  <si>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</si>
  <si>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</si>
  <si>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</si>
  <si>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</si>
  <si>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</si>
  <si>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</si>
  <si>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</si>
  <si>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</si>
  <si>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</si>
  <si>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</si>
  <si>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</si>
  <si>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</si>
  <si>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</si>
  <si>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</si>
  <si>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</si>
  <si>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</si>
  <si>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</si>
  <si>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</si>
  <si>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</si>
  <si>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</si>
  <si>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</si>
  <si>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</si>
  <si>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</si>
  <si>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</si>
  <si>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</si>
  <si>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</si>
  <si>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</si>
  <si>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</si>
  <si>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</si>
  <si>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</si>
  <si>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</si>
  <si>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</si>
  <si>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</si>
  <si>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</si>
  <si>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</si>
  <si>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</si>
  <si>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</si>
  <si>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</si>
  <si>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</si>
  <si>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</si>
  <si>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</si>
  <si>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</si>
  <si>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</si>
  <si>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</si>
  <si>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</si>
  <si>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</si>
  <si>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</si>
  <si>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</si>
  <si>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</si>
  <si>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</si>
  <si>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</si>
  <si>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</si>
  <si>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</si>
  <si>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</si>
  <si>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</si>
  <si>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</si>
  <si>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</si>
  <si>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</si>
  <si>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</si>
  <si>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</si>
  <si>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</si>
  <si>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</si>
  <si>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</si>
  <si>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</si>
  <si>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</si>
  <si>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</si>
  <si>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</si>
  <si>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</si>
  <si>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</si>
  <si>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</si>
  <si>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</si>
  <si>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</si>
  <si>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</si>
  <si>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</si>
  <si>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</si>
  <si>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</si>
  <si>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</si>
  <si>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</si>
  <si>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</si>
  <si>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</si>
  <si>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</si>
  <si>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</si>
  <si>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</si>
  <si>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</si>
  <si>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</si>
  <si>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</si>
  <si>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</si>
  <si>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</si>
  <si>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</si>
  <si>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</si>
  <si>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</si>
  <si>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</si>
  <si>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</si>
  <si>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</si>
  <si>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</si>
  <si>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</si>
  <si>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</si>
  <si>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</si>
  <si>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</si>
  <si>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</si>
  <si>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</si>
  <si>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</si>
  <si>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</si>
  <si>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</si>
  <si>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</si>
  <si>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</si>
  <si>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</si>
  <si>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</si>
  <si>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</si>
  <si>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</si>
  <si>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</si>
  <si>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</si>
  <si>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</si>
  <si>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</si>
  <si>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</si>
  <si>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</si>
  <si>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</si>
  <si>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</si>
  <si>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</si>
  <si>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</si>
  <si>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</si>
  <si>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</si>
  <si>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</si>
  <si>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</si>
  <si>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</si>
  <si>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</si>
  <si>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</si>
  <si>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</si>
  <si>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</si>
  <si>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</si>
  <si>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</si>
  <si>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</si>
  <si>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</si>
  <si>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</si>
  <si>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</si>
  <si>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</si>
  <si>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</si>
  <si>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</si>
  <si>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</si>
  <si>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</si>
  <si>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</si>
  <si>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</si>
  <si>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</si>
  <si>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</si>
  <si>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</si>
  <si>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</si>
  <si>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</si>
  <si>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</si>
  <si>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</si>
  <si>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</si>
  <si>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</si>
  <si>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</si>
  <si>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</si>
  <si>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</si>
  <si>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</si>
  <si>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</si>
  <si>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</si>
  <si>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</si>
  <si>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</si>
  <si>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</si>
  <si>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</si>
  <si>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</si>
  <si>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</si>
  <si>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</si>
  <si>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</si>
  <si>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</si>
  <si>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</si>
  <si>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</si>
  <si>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</si>
  <si>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</si>
  <si>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</si>
  <si>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</si>
  <si>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</si>
  <si>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</si>
  <si>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</si>
  <si>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</si>
  <si>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</si>
  <si>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</si>
  <si>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</si>
  <si>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</si>
  <si>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</si>
  <si>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</si>
  <si>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</si>
  <si>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</si>
  <si>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</si>
  <si>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</si>
  <si>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</si>
  <si>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</si>
  <si>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</si>
  <si>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</si>
  <si>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</si>
  <si>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</si>
  <si>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</si>
  <si>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</si>
  <si>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</si>
  <si>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</si>
  <si>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</si>
  <si>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</si>
  <si>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</si>
  <si>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</si>
  <si>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</si>
  <si>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</si>
  <si>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</si>
  <si>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</si>
  <si>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</si>
  <si>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</si>
  <si>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</si>
  <si>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</si>
  <si>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</si>
  <si>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</si>
  <si>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</si>
  <si>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</si>
  <si>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</si>
  <si>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</si>
  <si>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</si>
  <si>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</si>
  <si>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</si>
  <si>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</si>
  <si>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</si>
  <si>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</si>
  <si>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</si>
  <si>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</si>
  <si>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</si>
  <si>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</si>
  <si>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</si>
  <si>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</si>
  <si>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</si>
  <si>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</si>
  <si>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</si>
  <si>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</si>
  <si>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</si>
  <si>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</si>
  <si>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</si>
  <si>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</si>
  <si>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</si>
  <si>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</si>
  <si>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</si>
  <si>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</si>
  <si>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</si>
  <si>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</si>
  <si>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</si>
  <si>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</si>
  <si>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</si>
  <si>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</si>
  <si>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</si>
  <si>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</si>
  <si>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</si>
  <si>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</si>
  <si>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</si>
  <si>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</si>
  <si>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</si>
  <si>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</si>
  <si>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</si>
  <si>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</si>
  <si>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</si>
  <si>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</si>
  <si>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</si>
  <si>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</si>
  <si>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</si>
  <si>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</si>
  <si>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</si>
  <si>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</si>
  <si>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</si>
  <si>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</si>
  <si>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</si>
  <si>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</si>
  <si>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</si>
  <si>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</si>
  <si>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</si>
  <si>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</si>
  <si>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</si>
  <si>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</si>
  <si>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</si>
  <si>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</si>
  <si>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</si>
  <si>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</si>
  <si>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</si>
  <si>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</si>
  <si>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</si>
  <si>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</si>
  <si>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</si>
  <si>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</si>
  <si>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</si>
  <si>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</si>
  <si>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</si>
  <si>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</si>
  <si>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</si>
  <si>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</si>
  <si>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</si>
  <si>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</si>
  <si>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</si>
  <si>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</si>
  <si>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</si>
  <si>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</si>
  <si>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</si>
  <si>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</si>
  <si>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</si>
  <si>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</si>
  <si>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</si>
  <si>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</si>
  <si>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</si>
  <si>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</si>
  <si>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</si>
  <si>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</si>
  <si>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</si>
  <si>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</si>
  <si>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</si>
  <si>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</si>
  <si>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</si>
  <si>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</si>
  <si>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</si>
  <si>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</si>
  <si>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</si>
  <si>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</si>
  <si>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</si>
  <si>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</si>
  <si>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</si>
  <si>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</si>
  <si>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</si>
  <si>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</si>
  <si>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</si>
  <si>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</si>
  <si>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</si>
  <si>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</si>
  <si>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</si>
  <si>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</si>
  <si>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</si>
  <si>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</si>
  <si>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</si>
  <si>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</si>
  <si>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</si>
  <si>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</si>
  <si>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</si>
  <si>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</si>
  <si>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</si>
  <si>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</si>
  <si>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</si>
  <si>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</si>
  <si>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</si>
  <si>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</si>
  <si>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</si>
  <si>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</si>
  <si>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</si>
  <si>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</si>
  <si>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</si>
  <si>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</si>
  <si>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</si>
  <si>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</si>
  <si>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</si>
  <si>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</si>
  <si>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</si>
  <si>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</si>
  <si>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</si>
  <si>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</si>
  <si>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</si>
  <si>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</si>
  <si>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</si>
  <si>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</si>
  <si>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</si>
  <si>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</si>
  <si>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</si>
  <si>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</si>
  <si>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</si>
  <si>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</si>
  <si>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</si>
  <si>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</si>
  <si>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</si>
  <si>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</si>
  <si>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</si>
  <si>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</si>
  <si>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</si>
  <si>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</si>
  <si>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</si>
  <si>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</si>
  <si>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</si>
  <si>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</si>
  <si>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</si>
  <si>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</si>
  <si>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</si>
  <si>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</si>
  <si>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</si>
  <si>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</si>
  <si>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</si>
  <si>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</si>
  <si>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</si>
  <si>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</si>
  <si>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</si>
  <si>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</si>
  <si>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</si>
  <si>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</si>
  <si>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</si>
  <si>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</si>
  <si>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</si>
  <si>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</si>
  <si>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</si>
  <si>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</si>
  <si>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</si>
  <si>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</si>
  <si>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</si>
  <si>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</si>
  <si>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</si>
  <si>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</si>
  <si>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</si>
  <si>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</si>
  <si>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</si>
  <si>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</si>
  <si>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</si>
  <si>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</si>
  <si>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</si>
  <si>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</si>
  <si>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</si>
  <si>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</si>
  <si>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</si>
  <si>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</si>
  <si>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</si>
  <si>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</si>
  <si>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</si>
  <si>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</si>
  <si>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</si>
  <si>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</si>
  <si>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</si>
  <si>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</si>
  <si>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</si>
  <si>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</si>
  <si>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</si>
  <si>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</si>
  <si>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</si>
  <si>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</si>
  <si>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</si>
  <si>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</si>
  <si>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</si>
  <si>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</si>
  <si>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</si>
  <si>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</si>
  <si>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</si>
  <si>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</si>
  <si>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</si>
  <si>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</si>
  <si>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</si>
  <si>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</si>
  <si>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</si>
  <si>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</si>
  <si>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</si>
  <si>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</si>
  <si>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</si>
  <si>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</si>
  <si>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</si>
  <si>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</si>
  <si>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</si>
  <si>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</si>
  <si>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</si>
  <si>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</si>
  <si>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</si>
  <si>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</si>
  <si>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</si>
  <si>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</si>
  <si>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</si>
  <si>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</si>
  <si>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</si>
  <si>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</si>
  <si>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</si>
  <si>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</si>
  <si>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</si>
  <si>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</si>
  <si>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</si>
  <si>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</si>
  <si>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</si>
  <si>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</si>
  <si>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</si>
  <si>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</si>
  <si>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</si>
  <si>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</si>
  <si>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</si>
  <si>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</si>
  <si>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</si>
  <si>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</si>
  <si>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</si>
  <si>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</si>
  <si>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</si>
  <si>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</si>
  <si>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</si>
  <si>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</si>
  <si>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</si>
  <si>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</si>
  <si>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</si>
  <si>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</si>
  <si>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</si>
  <si>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</si>
  <si>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</si>
  <si>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</si>
  <si>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</si>
  <si>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</si>
  <si>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</si>
  <si>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</si>
  <si>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</si>
  <si>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</si>
  <si>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</si>
  <si>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</si>
  <si>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</si>
  <si>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</si>
  <si>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</si>
  <si>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</si>
  <si>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</si>
  <si>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</si>
  <si>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</si>
  <si>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</si>
  <si>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</si>
  <si>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</si>
  <si>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</si>
  <si>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</si>
  <si>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</si>
  <si>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</si>
  <si>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</si>
  <si>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</si>
  <si>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</si>
  <si>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</si>
  <si>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</si>
  <si>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</si>
  <si>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</si>
  <si>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</si>
  <si>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</si>
  <si>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</si>
  <si>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</si>
  <si>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</si>
  <si>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</si>
  <si>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</si>
  <si>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</si>
  <si>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</si>
  <si>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</si>
  <si>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</si>
  <si>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</si>
  <si>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</si>
  <si>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</si>
  <si>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</si>
  <si>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</si>
  <si>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</si>
  <si>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</si>
  <si>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</si>
  <si>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</si>
  <si>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</si>
  <si>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</si>
  <si>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</si>
  <si>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</si>
  <si>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</si>
  <si>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</si>
  <si>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</si>
  <si>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</si>
  <si>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</si>
  <si>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</si>
  <si>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</si>
  <si>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MERCEDES GALARZA</t>
  </si>
  <si>
    <t>VIRGINIA GONZÁLEZ ORFILA</t>
  </si>
  <si>
    <t>Vieytes 2621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</si>
  <si>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</si>
  <si>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</si>
  <si>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</si>
  <si>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</si>
  <si>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</si>
  <si>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</si>
  <si>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</si>
  <si>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</si>
  <si>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</si>
  <si>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</si>
  <si>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</si>
  <si>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 xml:space="preserve">SALTA </t>
  </si>
  <si>
    <t>SALTA CAPITAL</t>
  </si>
  <si>
    <t>PASAJE LETT 4059 ,BARRIO ALVEAR</t>
  </si>
  <si>
    <t xml:space="preserve">SANTA FE </t>
  </si>
  <si>
    <t>09. Negro</t>
  </si>
  <si>
    <t>MANUEL BELGRANO 495 (SUCURSAL CORREO )</t>
  </si>
  <si>
    <t xml:space="preserve">ALDERETES </t>
  </si>
  <si>
    <t>GO CUOTAS</t>
  </si>
  <si>
    <t xml:space="preserve">SAN MARTIN DE LOS ANDES </t>
  </si>
  <si>
    <t xml:space="preserve">NEUQUEN </t>
  </si>
  <si>
    <t>ELE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</si>
  <si>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</si>
  <si>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</si>
  <si>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</si>
  <si>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</si>
  <si>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</si>
  <si>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</si>
  <si>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</si>
  <si>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</si>
  <si>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</si>
  <si>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</si>
  <si>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</si>
  <si>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Abrojo</t>
  </si>
  <si>
    <t>Estampado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</si>
  <si>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</si>
  <si>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</si>
  <si>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</si>
  <si>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</si>
  <si>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</si>
  <si>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</si>
  <si>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</si>
  <si>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</si>
  <si>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</si>
  <si>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</si>
  <si>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</si>
  <si>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</si>
  <si>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</si>
  <si>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</si>
  <si>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</si>
  <si>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</si>
  <si>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</si>
  <si>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</si>
  <si>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</si>
  <si>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</si>
  <si>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ABR. Abrojo</t>
  </si>
  <si>
    <t>ESTAMP. Estampado</t>
  </si>
  <si>
    <t>CBU</t>
  </si>
  <si>
    <t>N° CUENTA</t>
  </si>
  <si>
    <t>CUOTAS</t>
  </si>
  <si>
    <t>30-44455</t>
  </si>
  <si>
    <t>30-7895</t>
  </si>
  <si>
    <t>30-44456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</si>
</sst>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left" vertical="center" wrapText="1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0</xdr:row>
          <xdr:rowOff>57150</xdr:rowOff>
        </xdr:from>
        <xdr:to>
          <xdr:col>15</xdr:col>
          <xdr:colOff>1514475</xdr:colOff>
          <xdr:row>0</xdr:row>
          <xdr:rowOff>342900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Cta.Cte.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I1" zoomScaleNormal="100" workbookViewId="0">
      <pane ySplit="1" topLeftCell="A2" activePane="bottomLeft" state="frozen"/>
      <selection pane="bottomLeft" activeCell="Q10" sqref="Q10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41.85546875" customWidth="1"/>
  </cols>
  <sheetData>
    <row r="1" spans="1:23" ht="30" customHeight="1" thickBot="1" x14ac:dyDescent="0.3">
      <c r="A1" s="221" t="s">
        <v>7925</v>
      </c>
      <c r="B1" s="221" t="s">
        <v>14146</v>
      </c>
      <c r="C1" s="221" t="s">
        <v>14144</v>
      </c>
      <c r="D1" s="222" t="s">
        <v>14202</v>
      </c>
      <c r="E1" s="221" t="s">
        <v>14198</v>
      </c>
      <c r="F1" s="221" t="s">
        <v>7696</v>
      </c>
      <c r="G1" s="221" t="s">
        <v>14199</v>
      </c>
      <c r="H1" s="221" t="s">
        <v>14201</v>
      </c>
      <c r="I1" s="221" t="s">
        <v>14200</v>
      </c>
      <c r="J1" s="221" t="s">
        <v>14203</v>
      </c>
      <c r="K1" s="221" t="s">
        <v>14204</v>
      </c>
      <c r="L1" s="221" t="s">
        <v>14205</v>
      </c>
      <c r="M1" s="221" t="s">
        <v>14206</v>
      </c>
      <c r="N1" s="171" t="s">
        <v>14211</v>
      </c>
      <c r="O1" s="171" t="s">
        <v>14210</v>
      </c>
      <c r="P1" s="218" t="s">
        <v>14209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14152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/>
      <c r="I2" s="126">
        <v>1815</v>
      </c>
      <c r="J2" s="113">
        <v>61830126369</v>
      </c>
      <c r="K2" s="196" t="s">
        <v>14213</v>
      </c>
      <c r="L2" s="118">
        <v>27571260</v>
      </c>
      <c r="M2" s="113" t="s">
        <v>13405</v>
      </c>
      <c r="N2" s="113">
        <v>3</v>
      </c>
      <c r="O2" s="219" t="s">
        <v>14191</v>
      </c>
      <c r="P2" s="219" t="s">
        <v>14190</v>
      </c>
      <c r="Q2" s="113" t="s">
        <v>14163</v>
      </c>
      <c r="R2" s="196">
        <v>3874062789</v>
      </c>
      <c r="S2" s="119">
        <v>4400</v>
      </c>
      <c r="T2" s="119" t="s">
        <v>14164</v>
      </c>
      <c r="U2" s="113" t="s">
        <v>7947</v>
      </c>
      <c r="V2" s="135" t="s">
        <v>7930</v>
      </c>
      <c r="W2" s="134" t="s">
        <v>14173</v>
      </c>
    </row>
    <row r="3" spans="1:23" x14ac:dyDescent="0.25">
      <c r="A3" s="193">
        <v>45167</v>
      </c>
      <c r="B3" s="117" t="s">
        <v>14153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/>
      <c r="I3" s="126"/>
      <c r="J3" s="113">
        <v>62189539358</v>
      </c>
      <c r="K3" s="113"/>
      <c r="L3" s="118">
        <v>35907367</v>
      </c>
      <c r="M3" s="113" t="s">
        <v>13407</v>
      </c>
      <c r="N3" s="113"/>
      <c r="O3" s="219"/>
      <c r="P3" s="219"/>
      <c r="Q3" s="113" t="s">
        <v>14165</v>
      </c>
      <c r="R3" s="113">
        <v>3413535007</v>
      </c>
      <c r="S3" s="119">
        <v>2000</v>
      </c>
      <c r="T3" s="119" t="s">
        <v>14166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14154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/>
      <c r="I4" s="126">
        <v>45900</v>
      </c>
      <c r="J4" s="113"/>
      <c r="K4" s="196"/>
      <c r="L4" s="118">
        <v>35781600</v>
      </c>
      <c r="M4" s="113" t="s">
        <v>13406</v>
      </c>
      <c r="N4" s="113"/>
      <c r="O4" s="219"/>
      <c r="P4" s="219"/>
      <c r="Q4" s="113" t="s">
        <v>14163</v>
      </c>
      <c r="R4" s="113">
        <v>3878641652</v>
      </c>
      <c r="S4" s="119">
        <v>4400</v>
      </c>
      <c r="T4" s="119" t="s">
        <v>14164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14167</v>
      </c>
      <c r="G5" s="116">
        <v>1</v>
      </c>
      <c r="H5" s="126"/>
      <c r="I5" s="126"/>
      <c r="J5" s="113"/>
      <c r="K5" s="113"/>
      <c r="L5" s="118"/>
      <c r="M5" s="113"/>
      <c r="N5" s="113"/>
      <c r="O5" s="219"/>
      <c r="P5" s="219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14155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v>6549875</v>
      </c>
      <c r="J6" s="113"/>
      <c r="K6" s="113" t="s">
        <v>14214</v>
      </c>
      <c r="L6" s="118">
        <v>33105934</v>
      </c>
      <c r="M6" s="113" t="s">
        <v>13405</v>
      </c>
      <c r="N6" s="113">
        <v>2</v>
      </c>
      <c r="O6" s="219" t="s">
        <v>14192</v>
      </c>
      <c r="P6" s="219" t="s">
        <v>14193</v>
      </c>
      <c r="Q6" s="113" t="s">
        <v>12797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7930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14207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9"/>
      <c r="P7" s="219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14208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9"/>
      <c r="P8" s="219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9"/>
      <c r="P9" s="219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14156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v>9876542</v>
      </c>
      <c r="J10" s="113">
        <v>62846263636</v>
      </c>
      <c r="K10" s="113"/>
      <c r="L10" s="118">
        <v>42288678</v>
      </c>
      <c r="M10" s="113" t="s">
        <v>13405</v>
      </c>
      <c r="N10" s="113">
        <v>4</v>
      </c>
      <c r="O10" s="219" t="s">
        <v>14195</v>
      </c>
      <c r="P10" s="219" t="s">
        <v>14194</v>
      </c>
      <c r="Q10" s="113" t="s">
        <v>14168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7930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9"/>
      <c r="P11" s="219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14157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/>
      <c r="I12" s="126">
        <v>23200</v>
      </c>
      <c r="J12" s="113">
        <v>62845147920</v>
      </c>
      <c r="K12" s="113"/>
      <c r="L12" s="118">
        <v>31030340</v>
      </c>
      <c r="M12" s="113" t="s">
        <v>13407</v>
      </c>
      <c r="N12" s="113"/>
      <c r="O12" s="219"/>
      <c r="P12" s="219"/>
      <c r="Q12" s="113" t="s">
        <v>14169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/>
      <c r="I13" s="126"/>
      <c r="J13" s="113"/>
      <c r="K13" s="113"/>
      <c r="L13" s="118"/>
      <c r="M13" s="113"/>
      <c r="N13" s="113"/>
      <c r="O13" s="219"/>
      <c r="P13" s="219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14158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/>
      <c r="G14" s="116">
        <v>1</v>
      </c>
      <c r="H14" s="126"/>
      <c r="I14" s="126">
        <v>72760</v>
      </c>
      <c r="J14" s="113">
        <v>62840205530</v>
      </c>
      <c r="K14" s="113"/>
      <c r="L14" s="118">
        <v>37642888</v>
      </c>
      <c r="M14" s="113" t="s">
        <v>13407</v>
      </c>
      <c r="N14" s="113"/>
      <c r="O14" s="219"/>
      <c r="P14" s="219"/>
      <c r="Q14" s="113" t="s">
        <v>9718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7930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/>
      <c r="I15" s="126"/>
      <c r="J15" s="113"/>
      <c r="K15" s="113"/>
      <c r="L15" s="118"/>
      <c r="M15" s="113"/>
      <c r="N15" s="113"/>
      <c r="O15" s="219"/>
      <c r="P15" s="219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2103050</v>
      </c>
      <c r="D16" s="115" t="str">
        <f>IFERROR(VLOOKUP(C16,LINCE!$A$1:$C$12000,3,FALSE),"")</f>
        <v>REMERA MC COMBAT AZUL</v>
      </c>
      <c r="E16" s="116" t="s">
        <v>7728</v>
      </c>
      <c r="F16" s="117"/>
      <c r="G16" s="116">
        <v>1</v>
      </c>
      <c r="H16" s="126"/>
      <c r="I16" s="126"/>
      <c r="J16" s="113"/>
      <c r="K16" s="113"/>
      <c r="L16" s="118"/>
      <c r="M16" s="113"/>
      <c r="N16" s="113"/>
      <c r="O16" s="219"/>
      <c r="P16" s="219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/>
      <c r="I17" s="126"/>
      <c r="J17" s="113"/>
      <c r="K17" s="113"/>
      <c r="L17" s="118"/>
      <c r="M17" s="113"/>
      <c r="N17" s="113"/>
      <c r="O17" s="219"/>
      <c r="P17" s="219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14159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14167</v>
      </c>
      <c r="G18" s="116">
        <v>1</v>
      </c>
      <c r="H18" s="126">
        <v>12456</v>
      </c>
      <c r="I18" s="126">
        <v>20900</v>
      </c>
      <c r="J18" s="113">
        <v>2162511</v>
      </c>
      <c r="K18" s="113" t="s">
        <v>14212</v>
      </c>
      <c r="L18" s="118">
        <v>42795241</v>
      </c>
      <c r="M18" s="113" t="s">
        <v>13405</v>
      </c>
      <c r="N18" s="113">
        <v>6</v>
      </c>
      <c r="O18" s="219" t="s">
        <v>14196</v>
      </c>
      <c r="P18" s="219" t="s">
        <v>14197</v>
      </c>
      <c r="Q18" s="113" t="s">
        <v>11496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7930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 t="s">
        <v>14170</v>
      </c>
      <c r="K19" s="113"/>
      <c r="L19" s="118"/>
      <c r="M19" s="113"/>
      <c r="N19" s="113"/>
      <c r="O19" s="219"/>
      <c r="P19" s="219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9"/>
      <c r="P20" s="219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14160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/>
      <c r="I21" s="126">
        <v>41900</v>
      </c>
      <c r="J21" s="113">
        <v>62831103610</v>
      </c>
      <c r="K21" s="113"/>
      <c r="L21" s="118">
        <v>40415012</v>
      </c>
      <c r="M21" s="113" t="s">
        <v>13407</v>
      </c>
      <c r="N21" s="113"/>
      <c r="O21" s="219"/>
      <c r="P21" s="219"/>
      <c r="Q21" s="113" t="s">
        <v>14171</v>
      </c>
      <c r="R21" s="113">
        <v>3764849587</v>
      </c>
      <c r="S21" s="119">
        <v>8370</v>
      </c>
      <c r="T21" s="119" t="s">
        <v>14172</v>
      </c>
      <c r="U21" s="113" t="s">
        <v>7945</v>
      </c>
      <c r="V21" s="113" t="s">
        <v>7930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/>
      <c r="I22" s="126"/>
      <c r="J22" s="113"/>
      <c r="K22" s="113"/>
      <c r="L22" s="118"/>
      <c r="M22" s="113"/>
      <c r="N22" s="113"/>
      <c r="O22" s="219"/>
      <c r="P22" s="219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14161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/>
      <c r="I23" s="126">
        <v>48400</v>
      </c>
      <c r="J23" s="113"/>
      <c r="K23" s="113"/>
      <c r="L23" s="118">
        <v>33077739</v>
      </c>
      <c r="M23" s="113" t="s">
        <v>13406</v>
      </c>
      <c r="N23" s="113"/>
      <c r="O23" s="219"/>
      <c r="P23" s="219"/>
      <c r="Q23" s="113" t="s">
        <v>14166</v>
      </c>
      <c r="R23" s="113">
        <v>3425161443</v>
      </c>
      <c r="S23" s="119">
        <v>3000</v>
      </c>
      <c r="T23" s="119" t="s">
        <v>14166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/>
      <c r="I24" s="126"/>
      <c r="J24" s="113"/>
      <c r="K24" s="113"/>
      <c r="L24" s="118"/>
      <c r="M24" s="113"/>
      <c r="N24" s="113"/>
      <c r="O24" s="219"/>
      <c r="P24" s="219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14162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1</v>
      </c>
      <c r="H25" s="126"/>
      <c r="I25" s="126">
        <v>900</v>
      </c>
      <c r="J25" s="113">
        <v>62834061768</v>
      </c>
      <c r="K25" s="113"/>
      <c r="L25" s="118">
        <v>21571863</v>
      </c>
      <c r="M25" s="113" t="s">
        <v>13407</v>
      </c>
      <c r="N25" s="113"/>
      <c r="O25" s="219"/>
      <c r="P25" s="219"/>
      <c r="Q25" s="113" t="s">
        <v>8511</v>
      </c>
      <c r="R25" s="113">
        <v>1140589810</v>
      </c>
      <c r="S25" s="119"/>
      <c r="T25" s="119" t="s">
        <v>8511</v>
      </c>
      <c r="U25" s="113" t="s">
        <v>7932</v>
      </c>
      <c r="V25" s="113" t="s">
        <v>7930</v>
      </c>
    </row>
    <row r="26" spans="1:22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26"/>
      <c r="I26" s="126">
        <v>69000</v>
      </c>
      <c r="J26" s="113">
        <v>62832515946</v>
      </c>
      <c r="K26" s="113"/>
      <c r="L26" s="118"/>
      <c r="M26" s="113"/>
      <c r="N26" s="113"/>
      <c r="O26" s="219"/>
      <c r="P26" s="219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9"/>
      <c r="P27" s="219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9"/>
      <c r="P28" s="219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9"/>
      <c r="P29" s="219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9"/>
      <c r="P30" s="219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9"/>
      <c r="P31" s="219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9"/>
      <c r="P32" s="219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9"/>
      <c r="P33" s="219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20"/>
      <c r="P34" s="220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43</v>
      </c>
      <c r="H35" s="173"/>
      <c r="I35" s="174">
        <f>IF(SUM(I2:I34)&gt;0,SUM(I2:I34),"")</f>
        <v>16751192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9" name="Button 60">
              <controlPr defaultSize="0" print="0" autoFill="0" autoPict="0" macro="[0]!Botón60_Haga_clic_en">
                <anchor moveWithCells="1" sizeWithCells="1">
                  <from>
                    <xdr:col>15</xdr:col>
                    <xdr:colOff>590550</xdr:colOff>
                    <xdr:row>0</xdr:row>
                    <xdr:rowOff>57150</xdr:rowOff>
                  </from>
                  <to>
                    <xdr:col>15</xdr:col>
                    <xdr:colOff>1514475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2" sqref="A2:G21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/>
      <c r="B2" s="208"/>
      <c r="C2" s="208"/>
      <c r="D2" s="208"/>
      <c r="E2" s="208"/>
      <c r="F2" s="208"/>
      <c r="G2" s="208"/>
    </row>
    <row r="3" spans="1:7" x14ac:dyDescent="0.25">
      <c r="A3" s="208"/>
      <c r="B3" s="208"/>
      <c r="C3" s="208"/>
      <c r="D3" s="208"/>
      <c r="E3" s="208"/>
      <c r="F3" s="208"/>
      <c r="G3" s="208"/>
    </row>
    <row r="4" spans="1:7" x14ac:dyDescent="0.25">
      <c r="A4" s="208"/>
      <c r="B4" s="208"/>
      <c r="C4" s="208"/>
      <c r="D4" s="208"/>
      <c r="E4" s="208"/>
      <c r="F4" s="208"/>
      <c r="G4" s="208"/>
    </row>
    <row r="5" spans="1:7" x14ac:dyDescent="0.25">
      <c r="A5" s="208"/>
      <c r="B5" s="208"/>
      <c r="C5" s="208"/>
      <c r="D5" s="208"/>
      <c r="E5" s="208"/>
      <c r="F5" s="208"/>
      <c r="G5" s="208"/>
    </row>
    <row r="6" spans="1:7" x14ac:dyDescent="0.25">
      <c r="A6" s="208"/>
      <c r="B6" s="208"/>
      <c r="C6" s="208"/>
      <c r="D6" s="208"/>
      <c r="E6" s="208"/>
      <c r="F6" s="208"/>
      <c r="G6" s="208"/>
    </row>
    <row r="7" spans="1:7" x14ac:dyDescent="0.25">
      <c r="A7" s="208"/>
      <c r="B7" s="208"/>
      <c r="C7" s="208"/>
      <c r="D7" s="208"/>
      <c r="E7" s="208"/>
      <c r="F7" s="208"/>
      <c r="G7" s="208"/>
    </row>
    <row r="8" spans="1:7" x14ac:dyDescent="0.25">
      <c r="A8" s="208"/>
      <c r="B8" s="208"/>
      <c r="C8" s="208"/>
      <c r="D8" s="208"/>
      <c r="E8" s="208"/>
      <c r="F8" s="208"/>
      <c r="G8" s="208"/>
    </row>
    <row r="9" spans="1:7" x14ac:dyDescent="0.25">
      <c r="A9" s="208"/>
      <c r="B9" s="208"/>
      <c r="C9" s="208"/>
      <c r="D9" s="208"/>
      <c r="E9" s="208"/>
      <c r="F9" s="208"/>
      <c r="G9" s="208"/>
    </row>
    <row r="10" spans="1:7" x14ac:dyDescent="0.25">
      <c r="A10" s="208"/>
      <c r="B10" s="208"/>
      <c r="C10" s="208"/>
      <c r="D10" s="208"/>
      <c r="E10" s="208"/>
      <c r="F10" s="208"/>
      <c r="G10" s="208"/>
    </row>
    <row r="11" spans="1:7" x14ac:dyDescent="0.25">
      <c r="A11" s="208"/>
      <c r="B11" s="208"/>
      <c r="C11" s="208"/>
      <c r="D11" s="208"/>
      <c r="E11" s="208"/>
      <c r="F11" s="208"/>
      <c r="G11" s="208"/>
    </row>
    <row r="12" spans="1:7" x14ac:dyDescent="0.25">
      <c r="A12" s="208"/>
      <c r="B12" s="208"/>
      <c r="C12" s="208"/>
      <c r="D12" s="208"/>
      <c r="E12" s="208"/>
      <c r="F12" s="208"/>
      <c r="G12" s="208"/>
    </row>
    <row r="13" spans="1:7" x14ac:dyDescent="0.25">
      <c r="A13" s="208"/>
      <c r="B13" s="208"/>
      <c r="C13" s="208"/>
      <c r="D13" s="208"/>
      <c r="E13" s="208"/>
      <c r="F13" s="208"/>
      <c r="G13" s="208"/>
    </row>
    <row r="14" spans="1:7" x14ac:dyDescent="0.25">
      <c r="A14" s="208"/>
      <c r="B14" s="208"/>
      <c r="C14" s="208"/>
      <c r="D14" s="208"/>
      <c r="E14" s="208"/>
      <c r="F14" s="208"/>
      <c r="G14" s="208"/>
    </row>
    <row r="15" spans="1:7" x14ac:dyDescent="0.25">
      <c r="A15" s="208"/>
      <c r="B15" s="208"/>
      <c r="C15" s="208"/>
      <c r="D15" s="208"/>
      <c r="E15" s="208"/>
      <c r="F15" s="208"/>
      <c r="G15" s="208"/>
    </row>
    <row r="16" spans="1:7" x14ac:dyDescent="0.25">
      <c r="A16" s="208"/>
      <c r="B16" s="208"/>
      <c r="C16" s="208"/>
      <c r="D16" s="208"/>
      <c r="E16" s="208"/>
      <c r="F16" s="208"/>
      <c r="G16" s="208"/>
    </row>
    <row r="17" spans="1:7" x14ac:dyDescent="0.25">
      <c r="A17" s="208"/>
      <c r="B17" s="208"/>
      <c r="C17" s="208"/>
      <c r="D17" s="208"/>
      <c r="E17" s="208"/>
      <c r="F17" s="208"/>
      <c r="G17" s="208"/>
    </row>
    <row r="18" spans="1:7" x14ac:dyDescent="0.25">
      <c r="A18" s="208"/>
      <c r="B18" s="208"/>
      <c r="C18" s="208"/>
      <c r="D18" s="208"/>
      <c r="E18" s="208"/>
      <c r="F18" s="208"/>
      <c r="G18" s="208"/>
    </row>
    <row r="19" spans="1:7" x14ac:dyDescent="0.25">
      <c r="A19" s="208"/>
      <c r="B19" s="208"/>
      <c r="C19" s="208"/>
      <c r="D19" s="208"/>
      <c r="E19" s="208"/>
      <c r="F19" s="208"/>
      <c r="G19" s="208"/>
    </row>
    <row r="20" spans="1:7" x14ac:dyDescent="0.25">
      <c r="A20" s="208"/>
      <c r="B20" s="208"/>
      <c r="C20" s="208"/>
      <c r="D20" s="208"/>
      <c r="E20" s="208"/>
      <c r="F20" s="208"/>
      <c r="G20" s="208"/>
    </row>
    <row r="21" spans="1:7" x14ac:dyDescent="0.25">
      <c r="A21" s="208"/>
      <c r="B21" s="208"/>
      <c r="C21" s="208"/>
      <c r="D21" s="208"/>
      <c r="E21" s="208"/>
      <c r="F21" s="208"/>
      <c r="G21" s="208"/>
    </row>
    <row r="22" spans="1:7" x14ac:dyDescent="0.25">
      <c r="A22" s="208"/>
      <c r="B22" s="208" t="str">
        <f>IFERROR(VLOOKUP(C22,LINCE!$A$1:$C$12000,3,FALSE),"")</f>
        <v/>
      </c>
      <c r="C22" s="208"/>
      <c r="D22" s="208"/>
      <c r="E22" s="208"/>
      <c r="F22" s="208"/>
      <c r="G22" s="208"/>
    </row>
    <row r="23" spans="1:7" x14ac:dyDescent="0.25">
      <c r="A23" s="208"/>
      <c r="B23" s="208" t="str">
        <f>IFERROR(VLOOKUP(C23,LINCE!$A$1:$C$12000,3,FALSE),"")</f>
        <v/>
      </c>
      <c r="C23" s="208"/>
      <c r="D23" s="208"/>
      <c r="E23" s="208"/>
      <c r="F23" s="208"/>
      <c r="G23" s="208"/>
    </row>
    <row r="24" spans="1:7" x14ac:dyDescent="0.25">
      <c r="A24" s="208"/>
      <c r="B24" s="208" t="str">
        <f>IFERROR(VLOOKUP(C24,LINCE!$A$1:$C$12000,3,FALSE),"")</f>
        <v/>
      </c>
      <c r="C24" s="208"/>
      <c r="D24" s="208"/>
      <c r="E24" s="208"/>
      <c r="F24" s="208"/>
      <c r="G24" s="208"/>
    </row>
    <row r="25" spans="1:7" x14ac:dyDescent="0.25">
      <c r="A25" s="208"/>
      <c r="B25" s="208" t="str">
        <f>IFERROR(VLOOKUP(C25,LINCE!$A$1:$C$12000,3,FALSE),"")</f>
        <v/>
      </c>
      <c r="C25" s="208"/>
      <c r="D25" s="208"/>
      <c r="E25" s="208"/>
      <c r="F25" s="208"/>
      <c r="G25" s="208"/>
    </row>
    <row r="26" spans="1:7" x14ac:dyDescent="0.25">
      <c r="A26" s="208"/>
      <c r="B26" s="208" t="str">
        <f>IFERROR(VLOOKUP(C26,LINCE!$A$1:$C$12000,3,FALSE),"")</f>
        <v/>
      </c>
      <c r="C26" s="208"/>
      <c r="D26" s="208"/>
      <c r="E26" s="208"/>
      <c r="F26" s="208"/>
      <c r="G26" s="208"/>
    </row>
    <row r="27" spans="1:7" x14ac:dyDescent="0.25">
      <c r="A27" s="208"/>
      <c r="B27" s="208" t="str">
        <f>IFERROR(VLOOKUP(C27,LINCE!$A$1:$C$12000,3,FALSE),"")</f>
        <v/>
      </c>
      <c r="C27" s="208"/>
      <c r="D27" s="208"/>
      <c r="E27" s="208"/>
      <c r="F27" s="208"/>
      <c r="G27" s="208"/>
    </row>
    <row r="28" spans="1:7" x14ac:dyDescent="0.25">
      <c r="A28" s="208"/>
      <c r="B28" s="208" t="str">
        <f>IFERROR(VLOOKUP(C28,LINCE!$A$1:$C$12000,3,FALSE),"")</f>
        <v/>
      </c>
      <c r="C28" s="208"/>
      <c r="D28" s="208"/>
      <c r="E28" s="208"/>
      <c r="F28" s="208"/>
      <c r="G28" s="208"/>
    </row>
    <row r="29" spans="1:7" x14ac:dyDescent="0.25">
      <c r="A29" s="208"/>
      <c r="B29" s="208" t="str">
        <f>IFERROR(VLOOKUP(C29,LINCE!$A$1:$C$12000,3,FALSE),"")</f>
        <v/>
      </c>
      <c r="C29" s="208"/>
      <c r="D29" s="208"/>
      <c r="E29" s="208"/>
      <c r="F29" s="208"/>
      <c r="G29" s="208"/>
    </row>
    <row r="30" spans="1:7" x14ac:dyDescent="0.25">
      <c r="A30" s="208"/>
      <c r="B30" s="208" t="str">
        <f>IFERROR(VLOOKUP(C30,LINCE!$A$1:$C$12000,3,FALSE),"")</f>
        <v/>
      </c>
      <c r="C30" s="208"/>
      <c r="D30" s="208"/>
      <c r="E30" s="208"/>
      <c r="F30" s="208"/>
      <c r="G30" s="208"/>
    </row>
    <row r="31" spans="1:7" x14ac:dyDescent="0.25">
      <c r="A31" s="208"/>
      <c r="B31" s="208" t="str">
        <f>IFERROR(VLOOKUP(C31,LINCE!$A$1:$C$12000,3,FALSE),"")</f>
        <v/>
      </c>
      <c r="C31" s="208"/>
      <c r="D31" s="208"/>
      <c r="E31" s="208"/>
      <c r="F31" s="208"/>
      <c r="G31" s="208"/>
    </row>
    <row r="32" spans="1:7" x14ac:dyDescent="0.25">
      <c r="A32" s="208"/>
      <c r="B32" s="208" t="str">
        <f>IFERROR(VLOOKUP(C32,LINCE!$A$1:$C$12000,3,FALSE),"")</f>
        <v/>
      </c>
      <c r="C32" s="208"/>
      <c r="D32" s="208"/>
      <c r="E32" s="208"/>
      <c r="F32" s="208"/>
      <c r="G32" s="208"/>
    </row>
    <row r="33" spans="1:7" x14ac:dyDescent="0.25">
      <c r="A33" s="208"/>
      <c r="B33" s="208" t="str">
        <f>IFERROR(VLOOKUP(C33,LINCE!$A$1:$C$12000,3,FALSE),"")</f>
        <v/>
      </c>
      <c r="C33" s="208"/>
      <c r="D33" s="208"/>
      <c r="E33" s="208"/>
      <c r="F33" s="208"/>
      <c r="G33" s="208"/>
    </row>
    <row r="34" spans="1:7" x14ac:dyDescent="0.25">
      <c r="A34" s="208"/>
      <c r="B34" s="208" t="str">
        <f>IFERROR(VLOOKUP(C34,LINCE!$A$1:$C$12000,3,FALSE),"")</f>
        <v/>
      </c>
      <c r="C34" s="208"/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0</v>
      </c>
      <c r="D35" s="208"/>
      <c r="E35" s="209" t="s">
        <v>13997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7"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9" t="s">
        <v>13908</v>
      </c>
      <c r="B2" s="250"/>
      <c r="C2" s="250"/>
      <c r="D2" s="250"/>
      <c r="E2" s="250"/>
      <c r="F2" s="250"/>
      <c r="G2" s="250"/>
      <c r="H2" s="250"/>
      <c r="I2" s="25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1" t="s">
        <v>13909</v>
      </c>
      <c r="B4" s="252"/>
      <c r="C4" s="252"/>
      <c r="D4" s="252"/>
      <c r="E4" s="252"/>
      <c r="F4" s="177"/>
      <c r="G4" s="257" t="s">
        <v>13910</v>
      </c>
      <c r="H4" s="258"/>
      <c r="I4" s="189">
        <f ca="1">TODAY()</f>
        <v>45182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3" t="s">
        <v>13911</v>
      </c>
      <c r="B6" s="250"/>
      <c r="C6" s="250"/>
      <c r="D6" s="250"/>
      <c r="E6" s="250"/>
      <c r="F6" s="250"/>
      <c r="G6" s="253" t="s">
        <v>13912</v>
      </c>
      <c r="H6" s="250"/>
      <c r="I6" s="254"/>
    </row>
    <row r="7" spans="1:9" ht="15" customHeight="1" x14ac:dyDescent="0.25">
      <c r="A7" s="224" t="s">
        <v>13913</v>
      </c>
      <c r="B7" s="225"/>
      <c r="C7" s="225"/>
      <c r="D7" s="225"/>
      <c r="E7" s="228" t="str">
        <f>Datos!B4 &amp; " "</f>
        <v xml:space="preserve">RERDA S.A. </v>
      </c>
      <c r="F7" s="229"/>
      <c r="G7" s="224" t="s">
        <v>13913</v>
      </c>
      <c r="H7" s="225"/>
      <c r="I7" s="255"/>
    </row>
    <row r="8" spans="1:9" ht="15" customHeight="1" x14ac:dyDescent="0.25">
      <c r="A8" s="226" t="s">
        <v>13914</v>
      </c>
      <c r="B8" s="227"/>
      <c r="C8" s="227"/>
      <c r="D8" s="227"/>
      <c r="E8" s="230"/>
      <c r="F8" s="231"/>
      <c r="G8" s="226" t="s">
        <v>13914</v>
      </c>
      <c r="H8" s="227"/>
      <c r="I8" s="256"/>
    </row>
    <row r="9" spans="1:9" ht="15" customHeight="1" x14ac:dyDescent="0.25">
      <c r="A9" s="224" t="s">
        <v>13915</v>
      </c>
      <c r="B9" s="225"/>
      <c r="C9" s="225"/>
      <c r="D9" s="225"/>
      <c r="E9" s="228" t="str">
        <f>Datos!B6 &amp; " " &amp; Datos!B7 &amp; " "</f>
        <v xml:space="preserve">San Martín 1665 </v>
      </c>
      <c r="F9" s="229"/>
      <c r="G9" s="224" t="s">
        <v>13915</v>
      </c>
      <c r="H9" s="225"/>
      <c r="I9" s="247"/>
    </row>
    <row r="10" spans="1:9" ht="15" customHeight="1" x14ac:dyDescent="0.25">
      <c r="A10" s="226" t="s">
        <v>13916</v>
      </c>
      <c r="B10" s="227"/>
      <c r="C10" s="227"/>
      <c r="D10" s="227"/>
      <c r="E10" s="230"/>
      <c r="F10" s="231"/>
      <c r="G10" s="226" t="s">
        <v>13916</v>
      </c>
      <c r="H10" s="227"/>
      <c r="I10" s="248"/>
    </row>
    <row r="11" spans="1:9" ht="18.75" x14ac:dyDescent="0.25">
      <c r="A11" s="224" t="s">
        <v>13931</v>
      </c>
      <c r="B11" s="225"/>
      <c r="C11" s="225"/>
      <c r="D11" s="225"/>
      <c r="E11" s="259" t="str">
        <f>Datos!B8 &amp; " "</f>
        <v xml:space="preserve">Mendoza </v>
      </c>
      <c r="F11" s="260"/>
      <c r="G11" s="224" t="s">
        <v>13931</v>
      </c>
      <c r="H11" s="225"/>
      <c r="I11" s="184"/>
    </row>
    <row r="12" spans="1:9" ht="15.75" x14ac:dyDescent="0.25">
      <c r="A12" s="226" t="s">
        <v>13932</v>
      </c>
      <c r="B12" s="227"/>
      <c r="C12" s="227"/>
      <c r="D12" s="227"/>
      <c r="E12" s="261" t="str">
        <f>Datos!B5 &amp; " "</f>
        <v xml:space="preserve">30535195869 </v>
      </c>
      <c r="F12" s="262"/>
      <c r="G12" s="226" t="s">
        <v>13932</v>
      </c>
      <c r="H12" s="227"/>
      <c r="I12" s="197"/>
    </row>
    <row r="13" spans="1:9" ht="19.5" customHeight="1" x14ac:dyDescent="0.25">
      <c r="A13" s="224" t="s">
        <v>13917</v>
      </c>
      <c r="B13" s="225"/>
      <c r="C13" s="225"/>
      <c r="D13" s="225"/>
      <c r="E13" s="228" t="str">
        <f>Datos!B9 &amp; " "</f>
        <v xml:space="preserve">Mendoza </v>
      </c>
      <c r="F13" s="229"/>
      <c r="G13" s="224" t="s">
        <v>13917</v>
      </c>
      <c r="H13" s="225"/>
      <c r="I13" s="239"/>
    </row>
    <row r="14" spans="1:9" ht="15" customHeight="1" x14ac:dyDescent="0.25">
      <c r="A14" s="226" t="s">
        <v>13918</v>
      </c>
      <c r="B14" s="227"/>
      <c r="C14" s="227"/>
      <c r="D14" s="227"/>
      <c r="E14" s="230"/>
      <c r="F14" s="231"/>
      <c r="G14" s="226" t="s">
        <v>13918</v>
      </c>
      <c r="H14" s="227"/>
      <c r="I14" s="240"/>
    </row>
    <row r="15" spans="1:9" ht="15" customHeight="1" x14ac:dyDescent="0.25">
      <c r="A15" s="224" t="s">
        <v>13919</v>
      </c>
      <c r="B15" s="225"/>
      <c r="C15" s="225"/>
      <c r="D15" s="225"/>
      <c r="E15" s="228" t="s">
        <v>13920</v>
      </c>
      <c r="F15" s="229"/>
      <c r="G15" s="224" t="s">
        <v>13919</v>
      </c>
      <c r="H15" s="225"/>
      <c r="I15" s="229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30"/>
      <c r="F16" s="231"/>
      <c r="G16" s="226" t="s">
        <v>13921</v>
      </c>
      <c r="H16" s="227"/>
      <c r="I16" s="231"/>
    </row>
    <row r="17" spans="1:9" ht="20.100000000000001" customHeight="1" x14ac:dyDescent="0.25">
      <c r="A17" s="224" t="s">
        <v>13922</v>
      </c>
      <c r="B17" s="225"/>
      <c r="C17" s="225"/>
      <c r="D17" s="225"/>
      <c r="E17" s="241" t="str">
        <f>Datos!B12 &amp; " "</f>
        <v xml:space="preserve">0261-4256567 | +549 2615117948 </v>
      </c>
      <c r="F17" s="242"/>
      <c r="G17" s="224" t="s">
        <v>13922</v>
      </c>
      <c r="H17" s="225"/>
      <c r="I17" s="245"/>
    </row>
    <row r="18" spans="1:9" ht="20.100000000000001" customHeight="1" x14ac:dyDescent="0.25">
      <c r="A18" s="226" t="s">
        <v>13923</v>
      </c>
      <c r="B18" s="227"/>
      <c r="C18" s="227"/>
      <c r="D18" s="227"/>
      <c r="E18" s="243"/>
      <c r="F18" s="244"/>
      <c r="G18" s="226" t="s">
        <v>13923</v>
      </c>
      <c r="H18" s="227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8" t="s">
        <v>13926</v>
      </c>
      <c r="F20" s="238"/>
      <c r="G20" s="238"/>
      <c r="H20" s="185" t="s">
        <v>14187</v>
      </c>
      <c r="I20" s="185" t="s">
        <v>14188</v>
      </c>
    </row>
    <row r="21" spans="1:9" x14ac:dyDescent="0.25">
      <c r="A21" s="198"/>
      <c r="B21" s="198"/>
      <c r="C21" s="202"/>
      <c r="D21" s="202"/>
      <c r="E21" s="232" t="str">
        <f>IFERROR(VLOOKUP(B21,LINCE!$A$1:$F$12000,3,FALSE),"")</f>
        <v/>
      </c>
      <c r="F21" s="233"/>
      <c r="G21" s="234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2" t="str">
        <f>IFERROR(VLOOKUP(B22,LINCE!$A$1:$F$12000,3,FALSE),"")</f>
        <v/>
      </c>
      <c r="F22" s="233"/>
      <c r="G22" s="234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2" t="str">
        <f>IFERROR(VLOOKUP(B23,LINCE!$A$1:$F$12000,3,FALSE),"")</f>
        <v/>
      </c>
      <c r="F23" s="233"/>
      <c r="G23" s="234"/>
      <c r="H23" s="201"/>
      <c r="I23" s="186"/>
    </row>
    <row r="24" spans="1:9" x14ac:dyDescent="0.25">
      <c r="A24" s="199"/>
      <c r="B24" s="199"/>
      <c r="C24" s="203"/>
      <c r="D24" s="203"/>
      <c r="E24" s="232" t="str">
        <f>IFERROR(VLOOKUP(B24,LINCE!$A$1:$F$12000,3,FALSE),"")</f>
        <v/>
      </c>
      <c r="F24" s="233"/>
      <c r="G24" s="234"/>
      <c r="H24" s="201"/>
      <c r="I24" s="186"/>
    </row>
    <row r="25" spans="1:9" x14ac:dyDescent="0.25">
      <c r="A25" s="199"/>
      <c r="B25" s="199"/>
      <c r="C25" s="203"/>
      <c r="D25" s="203"/>
      <c r="E25" s="232" t="str">
        <f>IFERROR(VLOOKUP(B25,LINCE!$A$1:$F$12000,3,FALSE),"")</f>
        <v/>
      </c>
      <c r="F25" s="233"/>
      <c r="G25" s="234"/>
      <c r="H25" s="201"/>
      <c r="I25" s="186"/>
    </row>
    <row r="26" spans="1:9" x14ac:dyDescent="0.25">
      <c r="A26" s="199"/>
      <c r="B26" s="199"/>
      <c r="C26" s="203"/>
      <c r="D26" s="203"/>
      <c r="E26" s="232" t="str">
        <f>IFERROR(VLOOKUP(B26,LINCE!$A$1:$F$12000,3,FALSE),"")</f>
        <v/>
      </c>
      <c r="F26" s="233"/>
      <c r="G26" s="234"/>
      <c r="H26" s="201"/>
      <c r="I26" s="186"/>
    </row>
    <row r="27" spans="1:9" x14ac:dyDescent="0.25">
      <c r="A27" s="199"/>
      <c r="B27" s="199"/>
      <c r="C27" s="203"/>
      <c r="D27" s="203"/>
      <c r="E27" s="232" t="str">
        <f>IFERROR(VLOOKUP(B27,LINCE!$A$1:$F$12000,3,FALSE),"")</f>
        <v/>
      </c>
      <c r="F27" s="233"/>
      <c r="G27" s="234"/>
      <c r="H27" s="201"/>
      <c r="I27" s="186"/>
    </row>
    <row r="28" spans="1:9" x14ac:dyDescent="0.25">
      <c r="A28" s="199"/>
      <c r="B28" s="199"/>
      <c r="C28" s="203"/>
      <c r="D28" s="203"/>
      <c r="E28" s="232" t="str">
        <f>IFERROR(VLOOKUP(B28,LINCE!$A$1:$F$12000,3,FALSE),"")</f>
        <v/>
      </c>
      <c r="F28" s="233"/>
      <c r="G28" s="234"/>
      <c r="H28" s="201"/>
      <c r="I28" s="186"/>
    </row>
    <row r="29" spans="1:9" x14ac:dyDescent="0.25">
      <c r="A29" s="199"/>
      <c r="B29" s="199"/>
      <c r="C29" s="203"/>
      <c r="D29" s="203"/>
      <c r="E29" s="232" t="str">
        <f>IFERROR(VLOOKUP(B29,LINCE!$A$1:$F$12000,3,FALSE),"")</f>
        <v/>
      </c>
      <c r="F29" s="233"/>
      <c r="G29" s="234"/>
      <c r="H29" s="201"/>
      <c r="I29" s="186"/>
    </row>
    <row r="30" spans="1:9" x14ac:dyDescent="0.25">
      <c r="A30" s="199"/>
      <c r="B30" s="199"/>
      <c r="C30" s="203"/>
      <c r="D30" s="203"/>
      <c r="E30" s="232" t="str">
        <f>IFERROR(VLOOKUP(B30,LINCE!$A$1:$F$12000,3,FALSE),"")</f>
        <v/>
      </c>
      <c r="F30" s="233"/>
      <c r="G30" s="234"/>
      <c r="H30" s="201"/>
      <c r="I30" s="186"/>
    </row>
    <row r="31" spans="1:9" x14ac:dyDescent="0.25">
      <c r="A31" s="199"/>
      <c r="B31" s="199"/>
      <c r="C31" s="203"/>
      <c r="D31" s="203"/>
      <c r="E31" s="232" t="str">
        <f>IFERROR(VLOOKUP(B31,LINCE!$A$1:$F$12000,3,FALSE),"")</f>
        <v/>
      </c>
      <c r="F31" s="233"/>
      <c r="G31" s="234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2" t="str">
        <f>IFERROR(VLOOKUP(B32,LINCE!$A$1:$F$12000,3,FALSE),"")</f>
        <v/>
      </c>
      <c r="F32" s="233"/>
      <c r="G32" s="234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2" t="str">
        <f>IFERROR(VLOOKUP(B33,LINCE!$A$1:$F$12000,3,FALSE),"")</f>
        <v/>
      </c>
      <c r="F33" s="233"/>
      <c r="G33" s="234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2" t="str">
        <f>IFERROR(VLOOKUP(B34,LINCE!$A$1:$F$12000,3,FALSE),"")</f>
        <v/>
      </c>
      <c r="F34" s="233"/>
      <c r="G34" s="234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2" t="str">
        <f>IFERROR(VLOOKUP(B35,LINCE!$A$1:$F$12000,3,FALSE),"")</f>
        <v/>
      </c>
      <c r="F35" s="233"/>
      <c r="G35" s="234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2" t="str">
        <f>IFERROR(VLOOKUP(B36,LINCE!$A$1:$F$12000,3,FALSE),"")</f>
        <v/>
      </c>
      <c r="F36" s="233"/>
      <c r="G36" s="234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2" t="str">
        <f>IFERROR(VLOOKUP(B37,LINCE!$A$1:$F$12000,3,FALSE),"")</f>
        <v/>
      </c>
      <c r="F37" s="233"/>
      <c r="G37" s="234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2" t="str">
        <f>IFERROR(VLOOKUP(B38,LINCE!$A$1:$F$12000,3,FALSE),"")</f>
        <v/>
      </c>
      <c r="F38" s="233"/>
      <c r="G38" s="234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2" t="str">
        <f>IFERROR(VLOOKUP(B39,LINCE!$A$1:$F$12000,3,FALSE),"")</f>
        <v/>
      </c>
      <c r="F39" s="233"/>
      <c r="G39" s="234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2" t="str">
        <f>IFERROR(VLOOKUP(B40,LINCE!$A$1:$F$12000,3,FALSE),"")</f>
        <v/>
      </c>
      <c r="F40" s="233"/>
      <c r="G40" s="234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2" t="str">
        <f>IFERROR(VLOOKUP(B41,LINCE!$A$1:$F$12000,3,FALSE),"")</f>
        <v/>
      </c>
      <c r="F41" s="233"/>
      <c r="G41" s="234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2" t="str">
        <f>IFERROR(VLOOKUP(B42,LINCE!$A$1:$F$12000,3,FALSE),"")</f>
        <v/>
      </c>
      <c r="F42" s="233"/>
      <c r="G42" s="234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2" t="str">
        <f>IFERROR(VLOOKUP(B43,LINCE!$A$1:$F$12000,3,FALSE),"")</f>
        <v/>
      </c>
      <c r="F43" s="233"/>
      <c r="G43" s="234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2" t="str">
        <f>IFERROR(VLOOKUP(B44,LINCE!$A$1:$F$12000,3,FALSE),"")</f>
        <v/>
      </c>
      <c r="F44" s="233"/>
      <c r="G44" s="234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2" t="str">
        <f>IFERROR(VLOOKUP(B45,LINCE!$A$1:$F$12000,3,FALSE),"")</f>
        <v/>
      </c>
      <c r="F45" s="233"/>
      <c r="G45" s="234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2" t="str">
        <f>IFERROR(VLOOKUP(B46,LINCE!$A$1:$F$12000,3,FALSE),"")</f>
        <v/>
      </c>
      <c r="F46" s="233"/>
      <c r="G46" s="234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2" t="str">
        <f>IFERROR(VLOOKUP(B47,LINCE!$A$1:$F$12000,3,FALSE),"")</f>
        <v/>
      </c>
      <c r="F47" s="233"/>
      <c r="G47" s="234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2" t="str">
        <f>IFERROR(VLOOKUP(B48,LINCE!$A$1:$F$12000,3,FALSE),"")</f>
        <v/>
      </c>
      <c r="F48" s="233"/>
      <c r="G48" s="234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2" t="str">
        <f>IFERROR(VLOOKUP(B49,LINCE!$A$1:$F$12000,3,FALSE),"")</f>
        <v/>
      </c>
      <c r="F49" s="233"/>
      <c r="G49" s="234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14189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5"/>
      <c r="B52" s="235"/>
      <c r="C52" s="235"/>
      <c r="D52" s="235"/>
      <c r="E52" s="235"/>
      <c r="F52" s="183"/>
      <c r="G52" s="183"/>
      <c r="H52" s="183"/>
      <c r="I52" s="183"/>
    </row>
    <row r="53" spans="1:9" ht="30" customHeight="1" x14ac:dyDescent="0.3">
      <c r="A53" s="235" t="s">
        <v>13928</v>
      </c>
      <c r="B53" s="235"/>
      <c r="C53" s="235"/>
      <c r="D53" s="235"/>
      <c r="E53" s="235"/>
      <c r="F53" s="237"/>
      <c r="G53" s="237"/>
      <c r="H53" s="237"/>
      <c r="I53" s="237"/>
    </row>
    <row r="54" spans="1:9" ht="30" customHeight="1" x14ac:dyDescent="0.3">
      <c r="A54" s="235" t="s">
        <v>13929</v>
      </c>
      <c r="B54" s="235"/>
      <c r="C54" s="235"/>
      <c r="D54" s="235"/>
      <c r="E54" s="235"/>
      <c r="F54" s="236"/>
      <c r="G54" s="236"/>
      <c r="H54" s="236"/>
      <c r="I54" s="236"/>
    </row>
    <row r="55" spans="1:9" ht="30" customHeight="1" x14ac:dyDescent="0.3">
      <c r="A55" s="235" t="s">
        <v>13930</v>
      </c>
      <c r="B55" s="235"/>
      <c r="C55" s="235"/>
      <c r="D55" s="235"/>
      <c r="E55" s="235"/>
      <c r="F55" s="236"/>
      <c r="G55" s="236"/>
      <c r="H55" s="236"/>
      <c r="I55" s="236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3" t="s">
        <v>13127</v>
      </c>
      <c r="B2" s="296" t="str">
        <f>+Datos!B4</f>
        <v>RERDA S.A.</v>
      </c>
      <c r="C2" s="297"/>
      <c r="D2" s="297"/>
      <c r="E2" s="297"/>
      <c r="F2" s="297"/>
      <c r="G2" s="297"/>
      <c r="H2" s="297"/>
      <c r="I2" s="4"/>
      <c r="J2" s="4"/>
      <c r="K2" s="4"/>
      <c r="L2" s="4"/>
      <c r="M2" s="4"/>
      <c r="N2" s="4"/>
      <c r="O2" s="5"/>
      <c r="P2" s="298"/>
      <c r="Q2" s="299"/>
      <c r="R2" s="299"/>
      <c r="S2" s="299"/>
      <c r="T2" s="299"/>
      <c r="U2" s="300"/>
    </row>
    <row r="3" spans="1:21" ht="14.1" customHeight="1" x14ac:dyDescent="0.25">
      <c r="A3" s="294"/>
      <c r="B3" s="307" t="str">
        <f>+Datos!B6</f>
        <v>San Martín</v>
      </c>
      <c r="C3" s="308"/>
      <c r="D3" s="308"/>
      <c r="E3" s="308"/>
      <c r="F3" s="308"/>
      <c r="G3" s="308">
        <f>+Datos!B7</f>
        <v>1665</v>
      </c>
      <c r="H3" s="308"/>
      <c r="I3" s="308"/>
      <c r="J3" s="6"/>
      <c r="K3" s="7"/>
      <c r="L3" s="8"/>
      <c r="M3" s="309" t="str">
        <f>+Datos!B8</f>
        <v>Mendoza</v>
      </c>
      <c r="N3" s="309"/>
      <c r="O3" s="310"/>
      <c r="P3" s="301"/>
      <c r="Q3" s="302"/>
      <c r="R3" s="302"/>
      <c r="S3" s="302"/>
      <c r="T3" s="302"/>
      <c r="U3" s="303"/>
    </row>
    <row r="4" spans="1:21" ht="14.1" customHeight="1" x14ac:dyDescent="0.25">
      <c r="A4" s="294"/>
      <c r="B4" s="311" t="str">
        <f>+Datos!B9</f>
        <v>Mendoza</v>
      </c>
      <c r="C4" s="309"/>
      <c r="D4" s="309"/>
      <c r="E4" s="309"/>
      <c r="F4" s="309"/>
      <c r="G4" s="309">
        <f>+Datos!B10</f>
        <v>5500</v>
      </c>
      <c r="H4" s="309"/>
      <c r="I4" s="309"/>
      <c r="J4" s="6"/>
      <c r="K4" s="6"/>
      <c r="L4" s="6"/>
      <c r="M4" s="6"/>
      <c r="N4" s="6"/>
      <c r="O4" s="9"/>
      <c r="P4" s="301"/>
      <c r="Q4" s="302"/>
      <c r="R4" s="302"/>
      <c r="S4" s="302"/>
      <c r="T4" s="302"/>
      <c r="U4" s="303"/>
    </row>
    <row r="5" spans="1:21" ht="14.1" customHeight="1" x14ac:dyDescent="0.25">
      <c r="A5" s="294"/>
      <c r="B5" s="312" t="str">
        <f>+Datos!B11</f>
        <v>ventas@rerda.com</v>
      </c>
      <c r="C5" s="313"/>
      <c r="D5" s="313"/>
      <c r="E5" s="313"/>
      <c r="F5" s="313"/>
      <c r="G5" s="313"/>
      <c r="H5" s="313"/>
      <c r="I5" s="10"/>
      <c r="J5" s="10"/>
      <c r="K5" s="11" t="s">
        <v>13128</v>
      </c>
      <c r="L5" s="314">
        <f>+Datos!B5</f>
        <v>30535195869</v>
      </c>
      <c r="M5" s="314"/>
      <c r="N5" s="314"/>
      <c r="O5" s="315"/>
      <c r="P5" s="301"/>
      <c r="Q5" s="302"/>
      <c r="R5" s="302"/>
      <c r="S5" s="302"/>
      <c r="T5" s="302"/>
      <c r="U5" s="303"/>
    </row>
    <row r="6" spans="1:21" ht="14.1" customHeight="1" x14ac:dyDescent="0.25">
      <c r="A6" s="295"/>
      <c r="B6" s="278" t="str">
        <f>+Datos!B12</f>
        <v>0261-4256567 | +549 2615117948</v>
      </c>
      <c r="C6" s="279"/>
      <c r="D6" s="279"/>
      <c r="E6" s="279"/>
      <c r="F6" s="279"/>
      <c r="G6" s="279"/>
      <c r="H6" s="279"/>
      <c r="I6" s="12"/>
      <c r="J6" s="12"/>
      <c r="K6" s="13" t="s">
        <v>13129</v>
      </c>
      <c r="L6" s="280">
        <f>+Datos!B3</f>
        <v>20355</v>
      </c>
      <c r="M6" s="280"/>
      <c r="N6" s="280"/>
      <c r="O6" s="281"/>
      <c r="P6" s="304"/>
      <c r="Q6" s="305"/>
      <c r="R6" s="305"/>
      <c r="S6" s="305"/>
      <c r="T6" s="305"/>
      <c r="U6" s="306"/>
    </row>
    <row r="7" spans="1:21" ht="14.1" customHeight="1" x14ac:dyDescent="0.25">
      <c r="A7" s="14"/>
      <c r="B7" s="282" t="s">
        <v>13130</v>
      </c>
      <c r="C7" s="282"/>
      <c r="D7" s="283" t="str">
        <f>IF(Planilla!W2="","¿…?",Planilla!W2)</f>
        <v>ELE</v>
      </c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15"/>
    </row>
    <row r="8" spans="1:21" ht="14.1" customHeight="1" x14ac:dyDescent="0.25">
      <c r="A8" s="284" t="s">
        <v>13131</v>
      </c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6"/>
    </row>
    <row r="9" spans="1:21" ht="14.1" customHeight="1" x14ac:dyDescent="0.25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9"/>
    </row>
    <row r="10" spans="1:21" ht="14.1" customHeight="1" x14ac:dyDescent="0.25">
      <c r="A10" s="290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3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3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5" t="s">
        <v>13133</v>
      </c>
      <c r="M15" s="265"/>
      <c r="N15" s="265"/>
      <c r="O15" s="265"/>
      <c r="P15" s="266">
        <v>36011978</v>
      </c>
      <c r="Q15" s="267"/>
      <c r="R15" s="267"/>
      <c r="S15" s="267"/>
      <c r="T15" s="267"/>
      <c r="U15" s="25"/>
    </row>
    <row r="16" spans="1:21" ht="18.95" customHeight="1" x14ac:dyDescent="0.25">
      <c r="A16" s="263"/>
      <c r="B16" s="28"/>
      <c r="C16" s="268" t="s">
        <v>14149</v>
      </c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15"/>
    </row>
    <row r="17" spans="1:21" ht="18.95" customHeight="1" x14ac:dyDescent="0.25">
      <c r="A17" s="263"/>
      <c r="B17" s="28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15"/>
    </row>
    <row r="18" spans="1:21" ht="14.1" customHeight="1" x14ac:dyDescent="0.25">
      <c r="A18" s="263"/>
      <c r="B18" s="22"/>
      <c r="C18" s="270" t="s">
        <v>14151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15"/>
    </row>
    <row r="19" spans="1:21" ht="14.1" customHeight="1" x14ac:dyDescent="0.25">
      <c r="A19" s="263"/>
      <c r="B19" s="22"/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70"/>
      <c r="Q19" s="270"/>
      <c r="R19" s="270"/>
      <c r="S19" s="270"/>
      <c r="T19" s="270"/>
      <c r="U19" s="15"/>
    </row>
    <row r="20" spans="1:21" ht="14.1" customHeight="1" x14ac:dyDescent="0.25">
      <c r="A20" s="263"/>
      <c r="B20" s="22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15"/>
    </row>
    <row r="21" spans="1:21" ht="14.1" customHeight="1" x14ac:dyDescent="0.25">
      <c r="A21" s="263"/>
      <c r="B21" s="29"/>
      <c r="C21" s="271" t="s">
        <v>13134</v>
      </c>
      <c r="D21" s="271"/>
      <c r="E21" s="272">
        <v>3000</v>
      </c>
      <c r="F21" s="273"/>
      <c r="G21" s="274" t="s">
        <v>8738</v>
      </c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15"/>
    </row>
    <row r="22" spans="1:21" ht="14.1" customHeight="1" x14ac:dyDescent="0.25">
      <c r="A22" s="263"/>
      <c r="B22" s="29"/>
      <c r="C22" s="271"/>
      <c r="D22" s="271"/>
      <c r="E22" s="273"/>
      <c r="F22" s="273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15"/>
    </row>
    <row r="23" spans="1:21" ht="14.1" customHeight="1" x14ac:dyDescent="0.25">
      <c r="A23" s="263"/>
      <c r="B23" s="30"/>
      <c r="C23" s="275" t="s">
        <v>8738</v>
      </c>
      <c r="D23" s="275"/>
      <c r="E23" s="275"/>
      <c r="F23" s="275"/>
      <c r="G23" s="275"/>
      <c r="H23" s="275"/>
      <c r="I23" s="275"/>
      <c r="J23" s="275"/>
      <c r="K23" s="31"/>
      <c r="L23" s="276" t="s">
        <v>13135</v>
      </c>
      <c r="M23" s="276"/>
      <c r="N23" s="276"/>
      <c r="O23" s="276"/>
      <c r="P23" s="277">
        <v>3425118055</v>
      </c>
      <c r="Q23" s="277"/>
      <c r="R23" s="277"/>
      <c r="S23" s="277"/>
      <c r="T23" s="277"/>
      <c r="U23" s="15"/>
    </row>
    <row r="24" spans="1:21" ht="14.1" customHeight="1" x14ac:dyDescent="0.25">
      <c r="A24" s="263"/>
      <c r="B24" s="30"/>
      <c r="C24" s="275"/>
      <c r="D24" s="275"/>
      <c r="E24" s="275"/>
      <c r="F24" s="275"/>
      <c r="G24" s="275"/>
      <c r="H24" s="275"/>
      <c r="I24" s="275"/>
      <c r="J24" s="275"/>
      <c r="K24" s="31"/>
      <c r="L24" s="276"/>
      <c r="M24" s="276"/>
      <c r="N24" s="276"/>
      <c r="O24" s="276"/>
      <c r="P24" s="277"/>
      <c r="Q24" s="277"/>
      <c r="R24" s="277"/>
      <c r="S24" s="277"/>
      <c r="T24" s="277"/>
      <c r="U24" s="15"/>
    </row>
    <row r="25" spans="1:21" ht="14.1" customHeight="1" thickBot="1" x14ac:dyDescent="0.3">
      <c r="A25" s="264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30" t="str">
        <f>+Datos!B4</f>
        <v>RERDA S.A.</v>
      </c>
      <c r="D2" s="331"/>
      <c r="E2" s="331"/>
      <c r="F2" s="331"/>
      <c r="G2" s="331"/>
      <c r="H2" s="331"/>
      <c r="I2" s="331"/>
      <c r="J2" s="41"/>
      <c r="K2" s="41"/>
      <c r="L2" s="41"/>
      <c r="M2" s="41"/>
      <c r="N2" s="41"/>
      <c r="O2" s="41"/>
      <c r="P2" s="42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317" t="str">
        <f>IF(Planilla!W2="","¿…?",Planilla!W2)</f>
        <v>ELE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54"/>
    </row>
    <row r="8" spans="1:22" ht="14.1" customHeight="1" x14ac:dyDescent="0.25">
      <c r="A8" s="318" t="s">
        <v>13150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20"/>
    </row>
    <row r="9" spans="1:22" ht="14.1" customHeight="1" x14ac:dyDescent="0.25">
      <c r="A9" s="321"/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3"/>
    </row>
    <row r="10" spans="1:22" ht="14.1" customHeight="1" x14ac:dyDescent="0.25">
      <c r="A10" s="324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2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5" t="s">
        <v>13151</v>
      </c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63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66"/>
      <c r="B13" s="67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68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4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5"/>
      <c r="B16" s="75"/>
      <c r="C16" s="357" t="s">
        <v>14150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61" t="s">
        <v>13133</v>
      </c>
      <c r="P16" s="361"/>
      <c r="Q16" s="361"/>
      <c r="R16" s="362">
        <v>29469192</v>
      </c>
      <c r="S16" s="363"/>
      <c r="T16" s="363"/>
      <c r="U16" s="364"/>
      <c r="V16" s="78"/>
    </row>
    <row r="17" spans="1:22" ht="14.1" customHeight="1" x14ac:dyDescent="0.25">
      <c r="A17" s="355"/>
      <c r="B17" s="75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5"/>
      <c r="B18" s="75"/>
      <c r="C18" s="365" t="s">
        <v>13153</v>
      </c>
      <c r="D18" s="366"/>
      <c r="E18" s="366"/>
      <c r="F18" s="367" t="str">
        <f>VLOOKUP(S18,Sucursales!A:B,2,FALSE)</f>
        <v>PASO DEL REY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8330</v>
      </c>
      <c r="T18" s="369"/>
      <c r="U18" s="370"/>
      <c r="V18" s="78"/>
    </row>
    <row r="19" spans="1:22" ht="14.1" customHeight="1" x14ac:dyDescent="0.25">
      <c r="A19" s="355"/>
      <c r="B19" s="75"/>
      <c r="C19" s="371" t="s">
        <v>13154</v>
      </c>
      <c r="D19" s="372"/>
      <c r="E19" s="372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78"/>
    </row>
    <row r="20" spans="1:22" ht="14.1" customHeight="1" x14ac:dyDescent="0.25">
      <c r="A20" s="355"/>
      <c r="B20" s="75"/>
      <c r="C20" s="373" t="str">
        <f>VLOOKUP(S18,Sucursales!A:G,6,FALSE)</f>
        <v>B1742ZAA</v>
      </c>
      <c r="D20" s="374"/>
      <c r="E20" s="374"/>
      <c r="F20" s="374"/>
      <c r="H20" s="377" t="str">
        <f>VLOOKUP(S18,Sucursales!A:H,7,FALSE)</f>
        <v>PASO DEL REY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78"/>
    </row>
    <row r="21" spans="1:22" ht="14.1" customHeight="1" x14ac:dyDescent="0.25">
      <c r="A21" s="355"/>
      <c r="B21" s="75"/>
      <c r="C21" s="379" t="str">
        <f>VLOOKUP(S18,Sucursales!A:H,8,FALSE)</f>
        <v>BUENOS AIRES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5"/>
      <c r="B22" s="75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383">
        <v>1164980741</v>
      </c>
      <c r="S22" s="384"/>
      <c r="T22" s="384"/>
      <c r="U22" s="385"/>
      <c r="V22" s="78"/>
    </row>
    <row r="23" spans="1:22" ht="14.1" customHeight="1" thickBot="1" x14ac:dyDescent="0.3">
      <c r="A23" s="356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13156</v>
      </c>
      <c r="I2" s="398"/>
      <c r="J2" s="398"/>
      <c r="K2" s="398"/>
      <c r="L2" s="398"/>
      <c r="M2" s="398"/>
      <c r="N2" s="398"/>
      <c r="O2" s="398"/>
      <c r="P2" s="399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283" t="str">
        <f>IF(Planilla!W2="","¿…?",Planilla!W2)</f>
        <v>ELE</v>
      </c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54"/>
    </row>
    <row r="8" spans="1:22" ht="14.1" customHeight="1" x14ac:dyDescent="0.25">
      <c r="A8" s="387" t="s">
        <v>13157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0" t="s">
        <v>13158</v>
      </c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91"/>
      <c r="B13" s="9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4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5"/>
      <c r="B16" s="93"/>
      <c r="C16" s="407"/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361" t="s">
        <v>13133</v>
      </c>
      <c r="P16" s="361"/>
      <c r="Q16" s="361"/>
      <c r="R16" s="411">
        <v>32456987</v>
      </c>
      <c r="S16" s="363"/>
      <c r="T16" s="363"/>
      <c r="U16" s="364"/>
      <c r="V16" s="96"/>
    </row>
    <row r="17" spans="1:22" ht="14.1" customHeight="1" x14ac:dyDescent="0.25">
      <c r="A17" s="405"/>
      <c r="B17" s="93"/>
      <c r="C17" s="409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5"/>
      <c r="B18" s="93"/>
      <c r="C18" s="379" t="s">
        <v>13159</v>
      </c>
      <c r="D18" s="367"/>
      <c r="E18" s="367"/>
      <c r="F18" s="367" t="str">
        <f>VLOOKUP(S18,Sucursales!A:B,2,FALSE)</f>
        <v>RIO GRANDE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12982</v>
      </c>
      <c r="T18" s="369"/>
      <c r="U18" s="370"/>
      <c r="V18" s="96"/>
    </row>
    <row r="19" spans="1:22" ht="14.1" customHeight="1" x14ac:dyDescent="0.25">
      <c r="A19" s="405"/>
      <c r="B19" s="93"/>
      <c r="C19" s="379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96"/>
    </row>
    <row r="20" spans="1:22" ht="14.1" customHeight="1" x14ac:dyDescent="0.25">
      <c r="A20" s="405"/>
      <c r="B20" s="93"/>
      <c r="C20" s="373" t="str">
        <f>VLOOKUP(S18,Sucursales!A:G,6,FALSE)</f>
        <v>V9420ZAA</v>
      </c>
      <c r="D20" s="374"/>
      <c r="E20" s="374"/>
      <c r="F20" s="374"/>
      <c r="H20" s="377" t="str">
        <f>VLOOKUP(S18,Sucursales!A:H,7,FALSE)</f>
        <v>RIO GRANDE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96"/>
    </row>
    <row r="21" spans="1:22" ht="14.1" customHeight="1" x14ac:dyDescent="0.25">
      <c r="A21" s="405"/>
      <c r="B21" s="93"/>
      <c r="C21" s="379" t="str">
        <f>VLOOKUP(S18,Sucursales!A:H,8,FALSE)</f>
        <v>TIERRA DEL FUEGO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5"/>
      <c r="B22" s="93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412">
        <v>5493514882213</v>
      </c>
      <c r="S22" s="384"/>
      <c r="T22" s="384"/>
      <c r="U22" s="385"/>
      <c r="V22" s="96"/>
    </row>
    <row r="23" spans="1:22" ht="14.1" customHeight="1" thickBot="1" x14ac:dyDescent="0.3">
      <c r="A23" s="40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17" t="s">
        <v>13130</v>
      </c>
      <c r="D7" s="317"/>
      <c r="E7" s="317" t="str">
        <f>IF(Planilla!W2="","¿…?",Planilla!W2)</f>
        <v>ELE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57" t="s">
        <v>13937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425" t="s">
        <v>13133</v>
      </c>
      <c r="P16" s="425"/>
      <c r="Q16" s="425"/>
      <c r="R16" s="362">
        <v>38476336</v>
      </c>
      <c r="S16" s="363"/>
      <c r="T16" s="363"/>
      <c r="U16" s="364"/>
      <c r="V16" s="164"/>
    </row>
    <row r="17" spans="1:22" ht="14.1" customHeight="1" x14ac:dyDescent="0.25">
      <c r="A17" s="423"/>
      <c r="B17" s="168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45182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83">
        <v>2613157782</v>
      </c>
      <c r="S22" s="384"/>
      <c r="T22" s="384"/>
      <c r="U22" s="385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280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28" workbookViewId="0">
      <selection activeCell="L43" sqref="L43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14180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14176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14177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14181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14178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14179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14182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14183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14184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 t="s">
        <v>14185</v>
      </c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>ABR. Abrojo</v>
      </c>
      <c r="L34" s="104">
        <v>3</v>
      </c>
    </row>
    <row r="35" spans="1:12" x14ac:dyDescent="0.25">
      <c r="A35" s="105" t="s">
        <v>13907</v>
      </c>
      <c r="B35" s="104" t="s">
        <v>14186</v>
      </c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>ESTAMP. Estampado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14174</v>
      </c>
    </row>
    <row r="6" spans="1:3" x14ac:dyDescent="0.25">
      <c r="A6" s="102"/>
      <c r="B6" s="102" t="s">
        <v>7935</v>
      </c>
      <c r="C6" s="102" t="s">
        <v>14175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2023-08-25T13:27:05Z</cp:lastPrinted>
  <dcterms:created xsi:type="dcterms:W3CDTF">2020-05-12T14:02:24Z</dcterms:created>
  <dcterms:modified xsi:type="dcterms:W3CDTF">2023-09-13T18:18:12Z</dcterms:modified>
</cp:coreProperties>
</file>