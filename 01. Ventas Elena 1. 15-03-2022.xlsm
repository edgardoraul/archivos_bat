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<sst xmlns="http://schemas.openxmlformats.org/spreadsheetml/2006/main" count="22482" uniqueCount="14225">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</sst>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D2" sqref="D2:D34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45187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ELENA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35907367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14150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14215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2000</v>
      </c>
      <c r="F21" s="273"/>
      <c r="G21" s="274" t="s">
        <v>14161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3413535007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14151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35781600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SALTA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11862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A4400ZAA</v>
      </c>
      <c r="D20" s="374"/>
      <c r="E20" s="374"/>
      <c r="F20" s="374"/>
      <c r="H20" s="377" t="str">
        <f>VLOOKUP(S18,Sucursales!A:H,7,FALSE)</f>
        <v>SALTA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SALTA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3878641652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ELENA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 t="s">
        <v>14153</v>
      </c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42288678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LIB. GRAL. SAN MARTIN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11129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Y4512ZAB</v>
      </c>
      <c r="D20" s="374"/>
      <c r="E20" s="374"/>
      <c r="F20" s="374"/>
      <c r="H20" s="377" t="str">
        <f>VLOOKUP(S18,Sucursales!A:H,7,FALSE)</f>
        <v>LIB GRAL SAN MARTIN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JUJUY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3886447862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9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1"/>
    </row>
    <row r="3" spans="1:22" ht="14.1" customHeight="1" x14ac:dyDescent="0.25">
      <c r="A3" s="422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4"/>
    </row>
    <row r="4" spans="1:22" ht="14.1" customHeight="1" x14ac:dyDescent="0.25">
      <c r="A4" s="422"/>
      <c r="B4" s="423"/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4"/>
    </row>
    <row r="5" spans="1:22" ht="14.1" customHeight="1" x14ac:dyDescent="0.2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4"/>
    </row>
    <row r="6" spans="1:22" ht="14.1" customHeight="1" x14ac:dyDescent="0.25">
      <c r="A6" s="425"/>
      <c r="B6" s="426"/>
      <c r="C6" s="426"/>
      <c r="D6" s="426"/>
      <c r="E6" s="426"/>
      <c r="F6" s="426"/>
      <c r="G6" s="426"/>
      <c r="H6" s="426"/>
      <c r="I6" s="426"/>
      <c r="J6" s="426"/>
      <c r="K6" s="426"/>
      <c r="L6" s="426"/>
      <c r="M6" s="426"/>
      <c r="N6" s="426"/>
      <c r="O6" s="426"/>
      <c r="P6" s="426"/>
      <c r="Q6" s="426"/>
      <c r="R6" s="426"/>
      <c r="S6" s="426"/>
      <c r="T6" s="426"/>
      <c r="U6" s="426"/>
      <c r="V6" s="427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35" t="s">
        <v>13404</v>
      </c>
      <c r="B8" s="436"/>
      <c r="C8" s="436"/>
      <c r="D8" s="436"/>
      <c r="E8" s="436"/>
      <c r="F8" s="436"/>
      <c r="G8" s="436"/>
      <c r="H8" s="436"/>
      <c r="I8" s="436"/>
      <c r="J8" s="436"/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7"/>
    </row>
    <row r="9" spans="1:22" ht="14.1" customHeight="1" x14ac:dyDescent="0.25">
      <c r="A9" s="438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40"/>
    </row>
    <row r="10" spans="1:22" ht="14.1" customHeight="1" x14ac:dyDescent="0.25">
      <c r="A10" s="441"/>
      <c r="B10" s="442"/>
      <c r="C10" s="442"/>
      <c r="D10" s="442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3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4"/>
      <c r="D12" s="444"/>
      <c r="E12" s="444"/>
      <c r="F12" s="444"/>
      <c r="G12" s="444"/>
      <c r="H12" s="444"/>
      <c r="I12" s="444"/>
      <c r="J12" s="444"/>
      <c r="K12" s="444"/>
      <c r="L12" s="444"/>
      <c r="M12" s="444"/>
      <c r="N12" s="444"/>
      <c r="O12" s="160"/>
      <c r="P12" s="445"/>
      <c r="Q12" s="445"/>
      <c r="R12" s="445"/>
      <c r="S12" s="445"/>
      <c r="T12" s="445"/>
      <c r="U12" s="445"/>
      <c r="V12" s="159"/>
    </row>
    <row r="13" spans="1:22" ht="4.5" customHeight="1" x14ac:dyDescent="0.25">
      <c r="A13" s="163"/>
      <c r="B13" s="161"/>
      <c r="C13" s="444"/>
      <c r="D13" s="444"/>
      <c r="E13" s="444"/>
      <c r="F13" s="444"/>
      <c r="G13" s="444"/>
      <c r="H13" s="444"/>
      <c r="I13" s="444"/>
      <c r="J13" s="444"/>
      <c r="K13" s="444"/>
      <c r="L13" s="444"/>
      <c r="M13" s="444"/>
      <c r="N13" s="444"/>
      <c r="O13" s="160"/>
      <c r="P13" s="445"/>
      <c r="Q13" s="445"/>
      <c r="R13" s="445"/>
      <c r="S13" s="445"/>
      <c r="T13" s="445"/>
      <c r="U13" s="445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8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9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31" t="s">
        <v>13133</v>
      </c>
      <c r="P16" s="431"/>
      <c r="Q16" s="431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9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9"/>
      <c r="B18" s="168"/>
      <c r="C18" s="432" t="s">
        <v>13403</v>
      </c>
      <c r="D18" s="433"/>
      <c r="E18" s="433"/>
      <c r="F18" s="434">
        <f ca="1">TODAY()</f>
        <v>45187</v>
      </c>
      <c r="G18" s="433"/>
      <c r="H18" s="433"/>
      <c r="I18" s="433"/>
      <c r="J18" s="433"/>
      <c r="K18" s="433"/>
      <c r="L18" s="433"/>
      <c r="M18" s="433"/>
      <c r="N18" s="152"/>
      <c r="O18" s="449"/>
      <c r="P18" s="449"/>
      <c r="Q18" s="449"/>
      <c r="R18" s="449"/>
      <c r="S18" s="413"/>
      <c r="T18" s="413"/>
      <c r="U18" s="414"/>
      <c r="V18" s="164"/>
    </row>
    <row r="19" spans="1:22" ht="14.1" customHeight="1" x14ac:dyDescent="0.25">
      <c r="A19" s="429"/>
      <c r="B19" s="168"/>
      <c r="C19" s="432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155"/>
      <c r="O19" s="449"/>
      <c r="P19" s="449"/>
      <c r="Q19" s="449"/>
      <c r="R19" s="449"/>
      <c r="S19" s="413"/>
      <c r="T19" s="413"/>
      <c r="U19" s="414"/>
      <c r="V19" s="164"/>
    </row>
    <row r="20" spans="1:22" ht="14.1" customHeight="1" x14ac:dyDescent="0.25">
      <c r="A20" s="429"/>
      <c r="B20" s="168"/>
      <c r="C20" s="415"/>
      <c r="D20" s="416"/>
      <c r="E20" s="416"/>
      <c r="F20" s="416"/>
      <c r="H20" s="417"/>
      <c r="I20" s="417"/>
      <c r="J20" s="417"/>
      <c r="K20" s="417"/>
      <c r="L20" s="417"/>
      <c r="M20" s="417"/>
      <c r="N20" s="417"/>
      <c r="O20" s="417"/>
      <c r="P20" s="417"/>
      <c r="Q20" s="417"/>
      <c r="R20" s="417"/>
      <c r="S20" s="417"/>
      <c r="T20" s="417"/>
      <c r="U20" s="418"/>
      <c r="V20" s="164"/>
    </row>
    <row r="21" spans="1:22" ht="14.1" customHeight="1" x14ac:dyDescent="0.25">
      <c r="A21" s="429"/>
      <c r="B21" s="168"/>
      <c r="C21" s="432" t="s">
        <v>13402</v>
      </c>
      <c r="D21" s="433"/>
      <c r="E21" s="433"/>
      <c r="F21" s="433"/>
      <c r="G21" s="433"/>
      <c r="H21" s="433"/>
      <c r="I21" s="433"/>
      <c r="J21" s="433"/>
      <c r="K21" s="433"/>
      <c r="L21" s="433"/>
      <c r="M21" s="433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9"/>
      <c r="B22" s="168"/>
      <c r="C22" s="446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8" t="s">
        <v>13155</v>
      </c>
      <c r="O22" s="448"/>
      <c r="P22" s="448"/>
      <c r="Q22" s="448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30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2023-09-18T15:59:06Z</dcterms:modified>
</cp:coreProperties>
</file>