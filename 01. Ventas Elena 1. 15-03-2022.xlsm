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workbookProtection lockStructure="1"/>
  <bookViews>
    <workbookView xWindow="240" yWindow="30" windowWidth="20115" windowHeight="7755"/>
  </bookViews>
  <sheets>
    <sheet name="Planilla" sheetId="1" r:id="rId1"/>
    <sheet name="A Domicilio" sheetId="7" r:id="rId2"/>
    <sheet name="A Sucursal" sheetId="8" r:id="rId3"/>
    <sheet name="Pago en Destino" sheetId="9" r:id="rId4"/>
    <sheet name="Sucursales" sheetId="6" r:id="rId5"/>
    <sheet name="Capturas" sheetId="12" r:id="rId6"/>
    <sheet name="Talles y Colores" sheetId="3" state="hidden" r:id="rId7"/>
    <sheet name="Opciones" sheetId="4" state="hidden" r:id="rId8"/>
    <sheet name="Datos" sheetId="10" state="hidden" r:id="rId9"/>
    <sheet name="LINCE" sheetId="2" state="hidden" r:id="rId10"/>
  </sheets>
  <definedNames>
    <definedName name="_xlnm._FilterDatabase" localSheetId="0" hidden="1">Planilla!$A$1:$I$35</definedName>
    <definedName name="_xlnm.Extract" localSheetId="0">Planilla!$F$2</definedName>
    <definedName name="_xlnm.Print_Area" localSheetId="0">Planilla!$A$1:$I$35</definedName>
  </definedNames>
  <calcPr calcId="162913"/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A6000" i="2" l="1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5" i="1" l="1"/>
  <c r="D10" i="1"/>
  <c r="D34" i="1"/>
  <c r="D6" i="1"/>
  <c r="D7" i="1"/>
  <c r="D4" i="1"/>
  <c r="D3" i="1"/>
  <c r="D8" i="1"/>
  <c r="D9" i="1"/>
  <c r="D2" i="1"/>
  <c r="G35" i="1"/>
</calcChain>
</file>

<file path=xl/sharedStrings.xml><?xml version="1.0" encoding="utf-8"?>
<sst xmlns="http://schemas.openxmlformats.org/spreadsheetml/2006/main" count="27286" uniqueCount="15511">
  <si>
    <t>Formato número</t>
  </si>
  <si>
    <t>artcod</t>
  </si>
  <si>
    <t>DESCRIPCION</t>
  </si>
  <si>
    <t>PRECIO</t>
  </si>
  <si>
    <t>AGENCIA</t>
  </si>
  <si>
    <t>STOCK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</si>
  <si>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</si>
  <si>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</si>
  <si>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</si>
  <si>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</si>
  <si>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</si>
  <si>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</si>
  <si>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</si>
  <si>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</si>
  <si>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</si>
  <si>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</si>
  <si>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</si>
  <si>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</si>
  <si>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</si>
  <si>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</si>
  <si>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</si>
  <si>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</si>
  <si>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</si>
  <si>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</si>
  <si>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</si>
  <si>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</si>
  <si>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</si>
  <si>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</si>
  <si>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</si>
  <si>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</si>
  <si>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	VTC B</t>
  </si>
  <si>
    <t>0000120</t>
  </si>
  <si>
    <t>VTC BORCEGUI</t>
  </si>
  <si>
    <t>0000123	CASQ</t>
  </si>
  <si>
    <t>0000123</t>
  </si>
  <si>
    <t>CASQ VTC</t>
  </si>
  <si>
    <t>0000124	VTC C</t>
  </si>
  <si>
    <t>0000124</t>
  </si>
  <si>
    <t>VTC CHOMBA BICOLOR</t>
  </si>
  <si>
    <t>0000125</t>
  </si>
  <si>
    <t>VTC TRICOTA NEGRA C/POLERA</t>
  </si>
  <si>
    <t>15</t>
  </si>
  <si>
    <t>0000126	VTC C</t>
  </si>
  <si>
    <t>0000126</t>
  </si>
  <si>
    <t>VTC CINTURON AMERICANO</t>
  </si>
  <si>
    <t>0000127	VTC B</t>
  </si>
  <si>
    <t>0000127</t>
  </si>
  <si>
    <t>VTC BOMB AMERICANA NEGRA</t>
  </si>
  <si>
    <t>0000128	VTC C</t>
  </si>
  <si>
    <t>0000128</t>
  </si>
  <si>
    <t>VTC CAMPERA PALMAJ</t>
  </si>
  <si>
    <t>0000129	VTC B</t>
  </si>
  <si>
    <t>0000129</t>
  </si>
  <si>
    <t>VTC BORCEGUI OFERTA 39/44</t>
  </si>
  <si>
    <t>01	01 CENTAVO</t>
  </si>
  <si>
    <t>01</t>
  </si>
  <si>
    <t>01 CENTAVO</t>
  </si>
  <si>
    <t>1</t>
  </si>
  <si>
    <t>PARA ANULAR FCS</t>
  </si>
  <si>
    <t>10	RECARGO PO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</si>
  <si>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</si>
  <si>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</si>
  <si>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</si>
  <si>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</si>
  <si>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</si>
  <si>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</si>
  <si>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</si>
  <si>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</si>
  <si>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	AGEN</t>
  </si>
  <si>
    <t>1000195</t>
  </si>
  <si>
    <t>AGEN ENO ESC CHICO RER</t>
  </si>
  <si>
    <t>1000198	AGEN</t>
  </si>
  <si>
    <t>1000198</t>
  </si>
  <si>
    <t>AGEN ENO BANDERA RER</t>
  </si>
  <si>
    <t>1000256</t>
  </si>
  <si>
    <t>MORRAL LMGE AZUL RER</t>
  </si>
  <si>
    <t>16</t>
  </si>
  <si>
    <t>1000257	MORRA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</si>
  <si>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</si>
  <si>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</si>
  <si>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</si>
  <si>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</si>
  <si>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</si>
  <si>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</si>
  <si>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</si>
  <si>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</si>
  <si>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</si>
  <si>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</si>
  <si>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</si>
  <si>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</si>
  <si>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</si>
  <si>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</si>
  <si>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</si>
  <si>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</si>
  <si>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</si>
  <si>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</si>
  <si>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	AGEN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</si>
  <si>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</si>
  <si>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</si>
  <si>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</si>
  <si>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</si>
  <si>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</si>
  <si>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</si>
  <si>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1000888	AGEN</t>
  </si>
  <si>
    <t>1000888</t>
  </si>
  <si>
    <t>AGEN OSS ESCUDO BORDADO RER</t>
  </si>
  <si>
    <t>1000950	UNIFO</t>
  </si>
  <si>
    <t>1000950</t>
  </si>
  <si>
    <t>UNIFORME IUSP COMPLETO</t>
  </si>
  <si>
    <t>1000960	UNIFO</t>
  </si>
  <si>
    <t>1000960</t>
  </si>
  <si>
    <t>UNIFORME GALA LMGE RER</t>
  </si>
  <si>
    <t>1000970	KIT U</t>
  </si>
  <si>
    <t>1000970</t>
  </si>
  <si>
    <t>KIT UNIFORME COMPLETO RER</t>
  </si>
  <si>
    <t>1000984	AGEN.</t>
  </si>
  <si>
    <t>1000984</t>
  </si>
  <si>
    <t>AGEN. PULENTA CAMP CORT BORDA RER</t>
  </si>
  <si>
    <t>1000985	AGEN.</t>
  </si>
  <si>
    <t>1000985</t>
  </si>
  <si>
    <t>AGEN. PULENTA CAMISA M7LARGA BORDAD RER</t>
  </si>
  <si>
    <t>1000988	AGEN.</t>
  </si>
  <si>
    <t>1000988</t>
  </si>
  <si>
    <t>AGEN. GORRA PULENTA RER</t>
  </si>
  <si>
    <t>10BOMBACHA</t>
  </si>
  <si>
    <t>BOMB CLAS GAB NEGRA1</t>
  </si>
  <si>
    <t>10BOMBACHA CL</t>
  </si>
  <si>
    <t>10BOMBACHA2</t>
  </si>
  <si>
    <t>BOMB CLAS GAB NEGRA DARIO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</si>
  <si>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</si>
  <si>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</si>
  <si>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</si>
  <si>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</si>
  <si>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</si>
  <si>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</si>
  <si>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</si>
  <si>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</si>
  <si>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</si>
  <si>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</si>
  <si>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</si>
  <si>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</si>
  <si>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</si>
  <si>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10SILVA</t>
  </si>
  <si>
    <t>10TICOT	TRICO</t>
  </si>
  <si>
    <t>10TICOT</t>
  </si>
  <si>
    <t>TRICOTA CON POLERA NEGRA</t>
  </si>
  <si>
    <t>10TONFAYP</t>
  </si>
  <si>
    <t>TONFA Y PORTA TONFA</t>
  </si>
  <si>
    <t>1110000</t>
  </si>
  <si>
    <t>PANT NINIA 2/12 RER</t>
  </si>
  <si>
    <t>GABARDINA</t>
  </si>
  <si>
    <t>1120000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</si>
  <si>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</si>
  <si>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</si>
  <si>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</si>
  <si>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</si>
  <si>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</si>
  <si>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</si>
  <si>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</si>
  <si>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</si>
  <si>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</si>
  <si>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</si>
  <si>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</si>
  <si>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</si>
  <si>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</si>
  <si>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</si>
  <si>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	BOMB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</si>
  <si>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</si>
  <si>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</si>
  <si>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</si>
  <si>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</si>
  <si>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</si>
  <si>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</si>
  <si>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	BOMB</t>
  </si>
  <si>
    <t>1120011</t>
  </si>
  <si>
    <t>1120012</t>
  </si>
  <si>
    <t>1120013	BOMB</t>
  </si>
  <si>
    <t>1120013</t>
  </si>
  <si>
    <t>BOMB AMER GAB AZUL 68/72 RER</t>
  </si>
  <si>
    <t>1120014	BOMB</t>
  </si>
  <si>
    <t>1120014</t>
  </si>
  <si>
    <t>BOMB CONDOR RIP MULTICAM 34/48 RER</t>
  </si>
  <si>
    <t>1120015	BOMB</t>
  </si>
  <si>
    <t>1120015</t>
  </si>
  <si>
    <t>BOMB CONDOR RIP MULTICAM 50/54 RER</t>
  </si>
  <si>
    <t>1120016	BOMB</t>
  </si>
  <si>
    <t>1120016</t>
  </si>
  <si>
    <t>BOMB CONDOR RIP MULTICAM 56/60 RER</t>
  </si>
  <si>
    <t>1120017	BOMB</t>
  </si>
  <si>
    <t>1120017</t>
  </si>
  <si>
    <t>BOMB CONDOR RIP MULTICAM 62/66 RER</t>
  </si>
  <si>
    <t>1120020</t>
  </si>
  <si>
    <t>BOMB NINO RIP MIMETICA</t>
  </si>
  <si>
    <t>21</t>
  </si>
  <si>
    <t>1120024	BOMB</t>
  </si>
  <si>
    <t>1120024</t>
  </si>
  <si>
    <t>BOMB AMER GAB PETREO 56/60</t>
  </si>
  <si>
    <t>1120025	BOMB</t>
  </si>
  <si>
    <t>1120025</t>
  </si>
  <si>
    <t>BOMB AMER GAB PETREO 62/66 RER</t>
  </si>
  <si>
    <t>1120050</t>
  </si>
  <si>
    <t>BOMB JAZAK RIP REQUISA 34/48 RER</t>
  </si>
  <si>
    <t>1120051	BOMB</t>
  </si>
  <si>
    <t>1120051</t>
  </si>
  <si>
    <t>BOMB JAZAK RIP REQUISA 50/54 RER</t>
  </si>
  <si>
    <t>1120052	BOMB</t>
  </si>
  <si>
    <t>1120052</t>
  </si>
  <si>
    <t>BOMB JAZAK RIP REQUISA 56/60 RER</t>
  </si>
  <si>
    <t>1120053	BOMB</t>
  </si>
  <si>
    <t>1120053</t>
  </si>
  <si>
    <t>BOMB JAZAK RIP REQUISA 62/66 RER</t>
  </si>
  <si>
    <t>1120055	BOMB</t>
  </si>
  <si>
    <t>1120055</t>
  </si>
  <si>
    <t>BOMB JAZAK RIP BEIGE 34/48 RER</t>
  </si>
  <si>
    <t>1120056</t>
  </si>
  <si>
    <t>BOMB JAZAK RIP BEIGE 50/54 RER</t>
  </si>
  <si>
    <t>1120057	BOMB</t>
  </si>
  <si>
    <t>1120057</t>
  </si>
  <si>
    <t>BOMB JAZAK RIP BEIGE 56/60 RER</t>
  </si>
  <si>
    <t>1120058	BOMB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</si>
  <si>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</si>
  <si>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</si>
  <si>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</si>
  <si>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</si>
  <si>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</si>
  <si>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</si>
  <si>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</si>
  <si>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</si>
  <si>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	BOMB</t>
  </si>
  <si>
    <t>1120063</t>
  </si>
  <si>
    <t>BOMB JAZAK RIP GRIS 62/64 RER</t>
  </si>
  <si>
    <t>1120064	BOMB</t>
  </si>
  <si>
    <t>1120064</t>
  </si>
  <si>
    <t>BOMB JAZAK RIP DESERTICO 34/38 RER</t>
  </si>
  <si>
    <t>1120065	BOMB</t>
  </si>
  <si>
    <t>1120065</t>
  </si>
  <si>
    <t>BOMB JAZAK RIP DESERTICO 50/54 RER</t>
  </si>
  <si>
    <t>1120066	BOMB</t>
  </si>
  <si>
    <t>1120066</t>
  </si>
  <si>
    <t>BOMB JAZAK RIP DESERTICO 56/60 RER</t>
  </si>
  <si>
    <t>1120067	BOMB</t>
  </si>
  <si>
    <t>1120067</t>
  </si>
  <si>
    <t>BOMB JAZAK RIP DESERTICO 62/66 RER</t>
  </si>
  <si>
    <t>1120068	BOMB</t>
  </si>
  <si>
    <t>1120068</t>
  </si>
  <si>
    <t>BOMB JAZAK RIP DIGITAL BEIGE 34/48 RER</t>
  </si>
  <si>
    <t>1120069	BOMB</t>
  </si>
  <si>
    <t>1120069</t>
  </si>
  <si>
    <t>BOMB JAZAK RIP DIGITAL BEIGE 50/54 RER</t>
  </si>
  <si>
    <t>1120070	BOMB</t>
  </si>
  <si>
    <t>1120070</t>
  </si>
  <si>
    <t>BOMB JAZAK RIP DIGITAL BEIGE 56/60 RER</t>
  </si>
  <si>
    <t>1120071	BOMB</t>
  </si>
  <si>
    <t>1120071</t>
  </si>
  <si>
    <t>BOMB JAZAK RIP DIGITAL BEIGE 62/66 RER</t>
  </si>
  <si>
    <t>1120072</t>
  </si>
  <si>
    <t>BOMB JAZAK RIP PITON 34/48</t>
  </si>
  <si>
    <t>1120073	BOMB</t>
  </si>
  <si>
    <t>1120073</t>
  </si>
  <si>
    <t>BOMB JAZAK RIP PITON 50/54</t>
  </si>
  <si>
    <t>1120074	BOMB</t>
  </si>
  <si>
    <t>1120074</t>
  </si>
  <si>
    <t>BOMB JAZAK RIP PITON 56/60</t>
  </si>
  <si>
    <t>1120075	BOMB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</si>
  <si>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</si>
  <si>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</si>
  <si>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</si>
  <si>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</si>
  <si>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</si>
  <si>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</si>
  <si>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</si>
  <si>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</si>
  <si>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</si>
  <si>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</si>
  <si>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</si>
  <si>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</si>
  <si>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</si>
  <si>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</si>
  <si>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</si>
  <si>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</si>
  <si>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</si>
  <si>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</si>
  <si>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	BOMB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</si>
  <si>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</si>
  <si>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</si>
  <si>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</si>
  <si>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</si>
  <si>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</si>
  <si>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</si>
  <si>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	BOMB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</si>
  <si>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</si>
  <si>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</si>
  <si>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</si>
  <si>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</si>
  <si>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</si>
  <si>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</si>
  <si>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	BOMB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</si>
  <si>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</si>
  <si>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</si>
  <si>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</si>
  <si>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</si>
  <si>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</si>
  <si>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</si>
  <si>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	BOMB</t>
  </si>
  <si>
    <t>1120147</t>
  </si>
  <si>
    <t>BOMB JAZAK RIP TIGER VERDE 34/48 RER</t>
  </si>
  <si>
    <t>1120148	BOMB</t>
  </si>
  <si>
    <t>1120148</t>
  </si>
  <si>
    <t>BOMB JAZAK RIP TIGER VERDE 50/54 RER</t>
  </si>
  <si>
    <t>1120149	BOMB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</si>
  <si>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</si>
  <si>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</si>
  <si>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</si>
  <si>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</si>
  <si>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</si>
  <si>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</si>
  <si>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</si>
  <si>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</si>
  <si>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</si>
  <si>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</si>
  <si>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</si>
  <si>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</si>
  <si>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</si>
  <si>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</si>
  <si>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</si>
  <si>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</si>
  <si>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</si>
  <si>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</si>
  <si>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</si>
  <si>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</si>
  <si>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</si>
  <si>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	BOMB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</si>
  <si>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</si>
  <si>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</si>
  <si>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</si>
  <si>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</si>
  <si>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</si>
  <si>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</si>
  <si>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</si>
  <si>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</si>
  <si>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</si>
  <si>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</si>
  <si>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</si>
  <si>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</si>
  <si>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</si>
  <si>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</si>
  <si>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</si>
  <si>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</si>
  <si>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</si>
  <si>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</si>
  <si>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</si>
  <si>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</si>
  <si>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	BOMB</t>
  </si>
  <si>
    <t>1120177</t>
  </si>
  <si>
    <t>BOMB TERMICA AZUL 62/66 RER</t>
  </si>
  <si>
    <t>1120180</t>
  </si>
  <si>
    <t>BOMB CLAS GAB NEGRA 50/54 RER</t>
  </si>
  <si>
    <t>1120182	BOMB</t>
  </si>
  <si>
    <t>1120182</t>
  </si>
  <si>
    <t>BOMB CLAS RIP AZUL NEUQUEN 34/48 RER</t>
  </si>
  <si>
    <t>1120183	BOMB</t>
  </si>
  <si>
    <t>1120183</t>
  </si>
  <si>
    <t>BOMB CLAS RIP AZUL NEUQUEN 50/54 RER</t>
  </si>
  <si>
    <t>1120184	BOMB</t>
  </si>
  <si>
    <t>1120184</t>
  </si>
  <si>
    <t>BOMB CLAS RIP AZUL NEUQUEN 56/60 RER</t>
  </si>
  <si>
    <t>1120185	BOMB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</si>
  <si>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</si>
  <si>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</si>
  <si>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</si>
  <si>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</si>
  <si>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</si>
  <si>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</si>
  <si>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</si>
  <si>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</si>
  <si>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</si>
  <si>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</si>
  <si>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</si>
  <si>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</si>
  <si>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	BOMB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</si>
  <si>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</si>
  <si>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</si>
  <si>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</si>
  <si>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</si>
  <si>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</si>
  <si>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</si>
  <si>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</si>
  <si>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</si>
  <si>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	BOMB</t>
  </si>
  <si>
    <t>1120199</t>
  </si>
  <si>
    <t>BOMB JAZAK RIP TIGER VERDE 62/66 RER</t>
  </si>
  <si>
    <t>1120200	BOMB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</si>
  <si>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</si>
  <si>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</si>
  <si>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</si>
  <si>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</si>
  <si>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</si>
  <si>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</si>
  <si>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</si>
  <si>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</si>
  <si>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	BOMB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</si>
  <si>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</si>
  <si>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</si>
  <si>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</si>
  <si>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</si>
  <si>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</si>
  <si>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</si>
  <si>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</si>
  <si>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</si>
  <si>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</si>
  <si>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</si>
  <si>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	BOMB</t>
  </si>
  <si>
    <t>1120210</t>
  </si>
  <si>
    <t>BOMB JAZAK RIP DIG INFANTERIA 34/48 RER</t>
  </si>
  <si>
    <t>1120211	BOMB</t>
  </si>
  <si>
    <t>1120211</t>
  </si>
  <si>
    <t>BOMB JAZAK RIP DIG INFANTERIA 50/54 RER</t>
  </si>
  <si>
    <t>1120212	BOMB</t>
  </si>
  <si>
    <t>1120212</t>
  </si>
  <si>
    <t>BOMB JAZAK RIP DIG INFANTERIA 56/60 RER</t>
  </si>
  <si>
    <t>1120213	BOMB</t>
  </si>
  <si>
    <t>1120213</t>
  </si>
  <si>
    <t>BOMB JAZAK RIP DIG INFANTERIA 62/66 RER</t>
  </si>
  <si>
    <t>1120214</t>
  </si>
  <si>
    <t>BOMB JAZAK RIP DIG GRIS 34/48 RER</t>
  </si>
  <si>
    <t>1120215	BOMB</t>
  </si>
  <si>
    <t>1120215</t>
  </si>
  <si>
    <t>BOMB JAZAK RIP DIG GRIS 50/54 RER</t>
  </si>
  <si>
    <t>1120216	BOMB</t>
  </si>
  <si>
    <t>1120216</t>
  </si>
  <si>
    <t>BOMB JAZAK RIP DIG GRIS 56/60 RER</t>
  </si>
  <si>
    <t>1120217	BOMB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</si>
  <si>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</si>
  <si>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</si>
  <si>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</si>
  <si>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</si>
  <si>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</si>
  <si>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</si>
  <si>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</si>
  <si>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</si>
  <si>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	BOMB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</si>
  <si>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</si>
  <si>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</si>
  <si>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</si>
  <si>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</si>
  <si>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</si>
  <si>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</si>
  <si>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</si>
  <si>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</si>
  <si>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</si>
  <si>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</si>
  <si>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	BOMB</t>
  </si>
  <si>
    <t>1120234</t>
  </si>
  <si>
    <t>BOMB JAZAK RIP MULTICAM BLACK 50/54</t>
  </si>
  <si>
    <t>1120235	BOMB</t>
  </si>
  <si>
    <t>1120235</t>
  </si>
  <si>
    <t>BOMB JAZAK RIP MULTICAM BLACK 56/60</t>
  </si>
  <si>
    <t>1120236	BOMB</t>
  </si>
  <si>
    <t>1120236</t>
  </si>
  <si>
    <t>BOMB JAZAK RIP MULTICAM BLACK 62/66</t>
  </si>
  <si>
    <t>1120238</t>
  </si>
  <si>
    <t>PANT NEGRO TROPICAL 34/48 RER</t>
  </si>
  <si>
    <t>1120239	PANT</t>
  </si>
  <si>
    <t>1120239</t>
  </si>
  <si>
    <t>PANT AZUL FRIZA DEPORTIVA</t>
  </si>
  <si>
    <t>1120240	PANT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</si>
  <si>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</si>
  <si>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</si>
  <si>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</si>
  <si>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</si>
  <si>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</si>
  <si>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</si>
  <si>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	BOMB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</si>
  <si>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</si>
  <si>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</si>
  <si>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</si>
  <si>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</si>
  <si>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</si>
  <si>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</si>
  <si>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</si>
  <si>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</si>
  <si>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</si>
  <si>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</si>
  <si>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</si>
  <si>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</si>
  <si>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</si>
  <si>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</si>
  <si>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</si>
  <si>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</si>
  <si>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</si>
  <si>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</si>
  <si>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</si>
  <si>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</si>
  <si>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</si>
  <si>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</si>
  <si>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</si>
  <si>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</si>
  <si>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</si>
  <si>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</si>
  <si>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	BOMB</t>
  </si>
  <si>
    <t>1120265</t>
  </si>
  <si>
    <t>BOMB HAGANA RIP MULTICAM EJERC 56/60 RER</t>
  </si>
  <si>
    <t>1120266	BOMB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</si>
  <si>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</si>
  <si>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</si>
  <si>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</si>
  <si>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</si>
  <si>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</si>
  <si>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</si>
  <si>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	BOMB</t>
  </si>
  <si>
    <t>1120269</t>
  </si>
  <si>
    <t>BOMB HAGANA RIP AZUL 56/60 RER</t>
  </si>
  <si>
    <t>1120270	BOMB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</si>
  <si>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</si>
  <si>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</si>
  <si>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</si>
  <si>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</si>
  <si>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</si>
  <si>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</si>
  <si>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	BOMB</t>
  </si>
  <si>
    <t>1120273</t>
  </si>
  <si>
    <t>BOMB HAGANA RIP NEGRA 56/60 RER</t>
  </si>
  <si>
    <t>1120274	BOMB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</si>
  <si>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</si>
  <si>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</si>
  <si>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</si>
  <si>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</si>
  <si>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</si>
  <si>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</si>
  <si>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	BOMB</t>
  </si>
  <si>
    <t>1120277</t>
  </si>
  <si>
    <t>BOMB HAGANA RIP DIGITAL VERDE 56/60 RER</t>
  </si>
  <si>
    <t>1120278	BOMB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</si>
  <si>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</si>
  <si>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</si>
  <si>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</si>
  <si>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</si>
  <si>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</si>
  <si>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</si>
  <si>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</si>
  <si>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</si>
  <si>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</si>
  <si>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</si>
  <si>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</si>
  <si>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</si>
  <si>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</si>
  <si>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</si>
  <si>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</si>
  <si>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</si>
  <si>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	BOMB</t>
  </si>
  <si>
    <t>1120290</t>
  </si>
  <si>
    <t>BOMB CLAS GAB BEIGE 34/48 RER</t>
  </si>
  <si>
    <t>1120291	BOMB</t>
  </si>
  <si>
    <t>1120291</t>
  </si>
  <si>
    <t>BOMB CLAS GAB BEIGE 50/54 RER</t>
  </si>
  <si>
    <t>1120292	BOMB</t>
  </si>
  <si>
    <t>1120292</t>
  </si>
  <si>
    <t>BOMB CLAS GAB BEIGE 56/60 RER</t>
  </si>
  <si>
    <t>1120293	BOMB</t>
  </si>
  <si>
    <t>1120293</t>
  </si>
  <si>
    <t>BOMB CLAS GAB BEIGE 62/66 RER</t>
  </si>
  <si>
    <t>1120299	BOMB</t>
  </si>
  <si>
    <t>1120299</t>
  </si>
  <si>
    <t>BOMB CONDOR GAB BEIGE</t>
  </si>
  <si>
    <t>1120300	BOMB</t>
  </si>
  <si>
    <t>1120300</t>
  </si>
  <si>
    <t>BOMB CLAS RIP PETREO 34/48 RER</t>
  </si>
  <si>
    <t>1120301	BOMB</t>
  </si>
  <si>
    <t>1120301</t>
  </si>
  <si>
    <t>BOMB CLAS RIP PETREO 50/54 RER</t>
  </si>
  <si>
    <t>1120302	BOMB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</si>
  <si>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</si>
  <si>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</si>
  <si>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</si>
  <si>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</si>
  <si>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</si>
  <si>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</si>
  <si>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</si>
  <si>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	BOMB</t>
  </si>
  <si>
    <t>1120310</t>
  </si>
  <si>
    <t>BOMB CLAS RIP PETREO DAMA 34/48 RER</t>
  </si>
  <si>
    <t>1120311	BOMB</t>
  </si>
  <si>
    <t>1120311</t>
  </si>
  <si>
    <t>BOMB CLAS RIP PETREO DAMA 50/54</t>
  </si>
  <si>
    <t>1120312	BOMB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</si>
  <si>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</si>
  <si>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</si>
  <si>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</si>
  <si>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</si>
  <si>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</si>
  <si>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</si>
  <si>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</si>
  <si>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	BOMB</t>
  </si>
  <si>
    <t>1120317</t>
  </si>
  <si>
    <t>BOMB CLAS RIP DESERTICO 56/60 RER</t>
  </si>
  <si>
    <t>1120318	BOMB</t>
  </si>
  <si>
    <t>1120318</t>
  </si>
  <si>
    <t>BOMB CLAS RIP DESERTICO 62/66 RER</t>
  </si>
  <si>
    <t>1120319	BOMB</t>
  </si>
  <si>
    <t>1120319</t>
  </si>
  <si>
    <t>BOMB AMER RIP DESERTICO 34/48 RER</t>
  </si>
  <si>
    <t>1120320	BOMB</t>
  </si>
  <si>
    <t>1120320</t>
  </si>
  <si>
    <t>BOMB AMER RIP DESERTICO 50/54 RER</t>
  </si>
  <si>
    <t>1120321	BOMB</t>
  </si>
  <si>
    <t>1120321</t>
  </si>
  <si>
    <t>BOMB AMER RIP DESERTICO 56/60 RER</t>
  </si>
  <si>
    <t>1120322	BOMB</t>
  </si>
  <si>
    <t>1120322</t>
  </si>
  <si>
    <t>BOMB AMER RIP DESERTICO 62/66 RER</t>
  </si>
  <si>
    <t>1120323</t>
  </si>
  <si>
    <t>BOMB CLAS RIP MULTICAM 34/48 RER</t>
  </si>
  <si>
    <t>1120324	BOMB</t>
  </si>
  <si>
    <t>1120324</t>
  </si>
  <si>
    <t>BOMB CLAS RIP MULTICAM 50/54 RER</t>
  </si>
  <si>
    <t>1120325</t>
  </si>
  <si>
    <t>BOMB CLAS RIP MULTICAM 56/60 RER</t>
  </si>
  <si>
    <t>1120326	BOMB</t>
  </si>
  <si>
    <t>1120326</t>
  </si>
  <si>
    <t>BOMB CLAS RIP MULTICAM 62/66 RER</t>
  </si>
  <si>
    <t>1120327	BOMB</t>
  </si>
  <si>
    <t>1120327</t>
  </si>
  <si>
    <t>BOMB CLAS RIP MULTICAM 68/70 RER</t>
  </si>
  <si>
    <t>1120330	BOMB</t>
  </si>
  <si>
    <t>1120330</t>
  </si>
  <si>
    <t>BOMB CLAS RIP GN VERDE 34/48 EM</t>
  </si>
  <si>
    <t>1120331	BOMB</t>
  </si>
  <si>
    <t>1120331</t>
  </si>
  <si>
    <t>BOMB CLAS RIP GN VERDE 50/54 EM</t>
  </si>
  <si>
    <t>1120332	BOMB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</si>
  <si>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</si>
  <si>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</si>
  <si>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</si>
  <si>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</si>
  <si>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</si>
  <si>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</si>
  <si>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</si>
  <si>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</si>
  <si>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	BOMB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</si>
  <si>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</si>
  <si>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</si>
  <si>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</si>
  <si>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</si>
  <si>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</si>
  <si>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</si>
  <si>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</si>
  <si>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</si>
  <si>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</si>
  <si>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</si>
  <si>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</si>
  <si>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</si>
  <si>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</si>
  <si>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</si>
  <si>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</si>
  <si>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</si>
  <si>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	BOMB</t>
  </si>
  <si>
    <t>1120367</t>
  </si>
  <si>
    <t>BOMB CLAS RIP TIGER CELESTE 56/60 RER</t>
  </si>
  <si>
    <t>1120368	BOMB</t>
  </si>
  <si>
    <t>1120368</t>
  </si>
  <si>
    <t>BOMB CLAS RIP TIGER CELESTE 50/54 RER</t>
  </si>
  <si>
    <t>1120369</t>
  </si>
  <si>
    <t>BOMB CLAS RIP TIGER CELESTE 34/48 RER</t>
  </si>
  <si>
    <t>1120400	BOMB</t>
  </si>
  <si>
    <t>1120400</t>
  </si>
  <si>
    <t>BOMB CLAS RIP AZUL CIENTIF 34/48 RER</t>
  </si>
  <si>
    <t>1120401	BOMB</t>
  </si>
  <si>
    <t>1120401</t>
  </si>
  <si>
    <t>BOMB CLAS RIP AZUL CIENTIF 50/54 RER</t>
  </si>
  <si>
    <t>1120402	BOMB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</si>
  <si>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</si>
  <si>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</si>
  <si>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</si>
  <si>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</si>
  <si>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</si>
  <si>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</si>
  <si>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</si>
  <si>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</si>
  <si>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	BOMB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</si>
  <si>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</si>
  <si>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</si>
  <si>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</si>
  <si>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</si>
  <si>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</si>
  <si>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</si>
  <si>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</si>
  <si>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</si>
  <si>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	BREEC</t>
  </si>
  <si>
    <t>1120431</t>
  </si>
  <si>
    <t>BREECHES AZUL 62/66 RER</t>
  </si>
  <si>
    <t>1120433</t>
  </si>
  <si>
    <t>BOMB AMER RIP AZUL NOCHE 56/60 RER</t>
  </si>
  <si>
    <t>1120434	BOMB</t>
  </si>
  <si>
    <t>1120434</t>
  </si>
  <si>
    <t>BOMB AMER RIP AZUL NOCHE 62/66 RER</t>
  </si>
  <si>
    <t>1120442	BOMB</t>
  </si>
  <si>
    <t>1120442</t>
  </si>
  <si>
    <t>BOMB CLAS RIP VERANO SJ 34/48</t>
  </si>
  <si>
    <t>1120443	BOMB</t>
  </si>
  <si>
    <t>1120443</t>
  </si>
  <si>
    <t>BOMB CLAS RIP VERANO SJ 50/54</t>
  </si>
  <si>
    <t>1120444	BOMB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</si>
  <si>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</si>
  <si>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</si>
  <si>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</si>
  <si>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</si>
  <si>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</si>
  <si>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</si>
  <si>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	BREEC</t>
  </si>
  <si>
    <t>1120447</t>
  </si>
  <si>
    <t>BREECHES NEGRO 62/66 RER</t>
  </si>
  <si>
    <t>1120448	BREEC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</si>
  <si>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</si>
  <si>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</si>
  <si>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</si>
  <si>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</si>
  <si>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</si>
  <si>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</si>
  <si>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</si>
  <si>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</si>
  <si>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	BOMB</t>
  </si>
  <si>
    <t>1120452</t>
  </si>
  <si>
    <t>BOMB BOMBER GRIS 50/54 RER</t>
  </si>
  <si>
    <t>1120453	BOMB</t>
  </si>
  <si>
    <t>1120453</t>
  </si>
  <si>
    <t>BOMB BOMBER GRIS 56/60 RER</t>
  </si>
  <si>
    <t>1120454	BOMB</t>
  </si>
  <si>
    <t>1120454</t>
  </si>
  <si>
    <t>BOMB BOMBER GRIS 62/66 RER</t>
  </si>
  <si>
    <t>1120455</t>
  </si>
  <si>
    <t>BOMB BOMBER AZUL 34/48 RER</t>
  </si>
  <si>
    <t>1120457	BOMB</t>
  </si>
  <si>
    <t>1120457</t>
  </si>
  <si>
    <t>BOMB BOMBER NEGRA 56/60 RER</t>
  </si>
  <si>
    <t>1120458</t>
  </si>
  <si>
    <t>BOMB BOMBER NEGRA 34/48 RER</t>
  </si>
  <si>
    <t>1120459	BOMB</t>
  </si>
  <si>
    <t>1120459</t>
  </si>
  <si>
    <t>BOMB BOMBER NEGRA 50/54 RER</t>
  </si>
  <si>
    <t>1120460	BOMB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</si>
  <si>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</si>
  <si>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</si>
  <si>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</si>
  <si>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</si>
  <si>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</si>
  <si>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</si>
  <si>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</si>
  <si>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</si>
  <si>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	BOMB</t>
  </si>
  <si>
    <t>1120470</t>
  </si>
  <si>
    <t>BOMB JAZAK RIP TIGER CELESTE 34/48 RER</t>
  </si>
  <si>
    <t>1120471	BOMB</t>
  </si>
  <si>
    <t>1120471</t>
  </si>
  <si>
    <t>BOMB JAZAK RIP TIGER CELESTE 50/54 RER</t>
  </si>
  <si>
    <t>1120472	BOMB</t>
  </si>
  <si>
    <t>1120472</t>
  </si>
  <si>
    <t>BOMB JAZAK RIP TIGER CELESTE 56/60 RER</t>
  </si>
  <si>
    <t>1120473	BOMB</t>
  </si>
  <si>
    <t>1120473</t>
  </si>
  <si>
    <t>BOMB JAZAK RIP VIAL TUCUMAN  34/48 RER</t>
  </si>
  <si>
    <t>1120474	BOMB</t>
  </si>
  <si>
    <t>1120474</t>
  </si>
  <si>
    <t>BOMB JAZAK RIP VIAL TUCUMAN 50/54 RER</t>
  </si>
  <si>
    <t>1120475	BOMB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</si>
  <si>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</si>
  <si>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</si>
  <si>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</si>
  <si>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</si>
  <si>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</si>
  <si>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</si>
  <si>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</si>
  <si>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</si>
  <si>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</si>
  <si>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</si>
  <si>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	PANT</t>
  </si>
  <si>
    <t>1120486</t>
  </si>
  <si>
    <t>PANT NEGRO GABARDINA 62/66 RER</t>
  </si>
  <si>
    <t>1120490	BOMB</t>
  </si>
  <si>
    <t>1120490</t>
  </si>
  <si>
    <t>BOMB CLAS RIP REQUISA 36/48</t>
  </si>
  <si>
    <t>112049044</t>
  </si>
  <si>
    <t>BOMB CLAS RIP REQUISA 44</t>
  </si>
  <si>
    <t>1120495	BOMB</t>
  </si>
  <si>
    <t>1120495</t>
  </si>
  <si>
    <t>BOMB CLAS RIP AZUL 68/72</t>
  </si>
  <si>
    <t>1120496	BOMB</t>
  </si>
  <si>
    <t>1120496</t>
  </si>
  <si>
    <t>BOMB CLAS RIP AZUL 50/54 RER</t>
  </si>
  <si>
    <t>1120497	BOMB</t>
  </si>
  <si>
    <t>1120497</t>
  </si>
  <si>
    <t>BOMB CLAS RIP AZUL 56/60 RER</t>
  </si>
  <si>
    <t>1120498	BOMB</t>
  </si>
  <si>
    <t>1120498</t>
  </si>
  <si>
    <t>BOMB CLAS RIP AZUL 62/66 RER</t>
  </si>
  <si>
    <t>1120499	BOMB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</si>
  <si>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</si>
  <si>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</si>
  <si>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</si>
  <si>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</si>
  <si>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</si>
  <si>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</si>
  <si>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</si>
  <si>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</si>
  <si>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	BOMB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</si>
  <si>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</si>
  <si>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</si>
  <si>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</si>
  <si>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</si>
  <si>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</si>
  <si>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</si>
  <si>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</si>
  <si>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</si>
  <si>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</si>
  <si>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</si>
  <si>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</si>
  <si>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</si>
  <si>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	BOMB</t>
  </si>
  <si>
    <t>1120520</t>
  </si>
  <si>
    <t>BOMB AMER RIP EJERCITO 34/48 RER</t>
  </si>
  <si>
    <t>1120530	BOMB</t>
  </si>
  <si>
    <t>1120530</t>
  </si>
  <si>
    <t>BOMB JAZAK RIP EJERCITO 34/48 RER</t>
  </si>
  <si>
    <t>1120555	BOMB</t>
  </si>
  <si>
    <t>1120555</t>
  </si>
  <si>
    <t>BOMB JAZAK RIP ACU 34/48 RER</t>
  </si>
  <si>
    <t>1120556	BOMB</t>
  </si>
  <si>
    <t>1120556</t>
  </si>
  <si>
    <t>BOMB JAZAK RIP ACU 50/54</t>
  </si>
  <si>
    <t>1120557	BOMB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</si>
  <si>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</si>
  <si>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</si>
  <si>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</si>
  <si>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</si>
  <si>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</si>
  <si>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</si>
  <si>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</si>
  <si>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</si>
  <si>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</si>
  <si>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</si>
  <si>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</si>
  <si>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</si>
  <si>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</si>
  <si>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</si>
  <si>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</si>
  <si>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</si>
  <si>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</si>
  <si>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</si>
  <si>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</si>
  <si>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	BOMB</t>
  </si>
  <si>
    <t>1120615</t>
  </si>
  <si>
    <t>BOMB AMER RIP BEIGE 36/48 RER</t>
  </si>
  <si>
    <t>1120616	BOMB</t>
  </si>
  <si>
    <t>1120616</t>
  </si>
  <si>
    <t>BOMB AMER RIP BEIGE 50/54 RER</t>
  </si>
  <si>
    <t>1120617	BOMB</t>
  </si>
  <si>
    <t>1120617</t>
  </si>
  <si>
    <t>BOMB AMER RIP BEIGE 56/60 RER</t>
  </si>
  <si>
    <t>1120618	BOMB</t>
  </si>
  <si>
    <t>1120618</t>
  </si>
  <si>
    <t>BOMB AMER RIP BEIGE 62/66 RER</t>
  </si>
  <si>
    <t>1120619	BOMB</t>
  </si>
  <si>
    <t>1120619</t>
  </si>
  <si>
    <t>BOMB AMER GAB BEIGE 34/48 RER</t>
  </si>
  <si>
    <t>1120620	BOMB</t>
  </si>
  <si>
    <t>1120620</t>
  </si>
  <si>
    <t>BOMB AMER GAB BEIGE 50/54 RER</t>
  </si>
  <si>
    <t>22</t>
  </si>
  <si>
    <t>1120621	BOMB</t>
  </si>
  <si>
    <t>1120621</t>
  </si>
  <si>
    <t>BOMB AMER GAB BEIGE 56/60 RER</t>
  </si>
  <si>
    <t>1120622	BOMB</t>
  </si>
  <si>
    <t>1120622</t>
  </si>
  <si>
    <t>BOMB AMER GAB BEIGE 62/66 RER</t>
  </si>
  <si>
    <t>1120623</t>
  </si>
  <si>
    <t>BOMB AMER RIP GRIS 34/48 RER</t>
  </si>
  <si>
    <t>1120624	BOMB</t>
  </si>
  <si>
    <t>1120624</t>
  </si>
  <si>
    <t>BOMB AMER RIP GRIS 50/54 RER</t>
  </si>
  <si>
    <t>1120625	BOMB</t>
  </si>
  <si>
    <t>1120625</t>
  </si>
  <si>
    <t>BOMB AMER RIP GRIS 56/60 RER</t>
  </si>
  <si>
    <t>1120626	BOMB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</si>
  <si>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</si>
  <si>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</si>
  <si>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</si>
  <si>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</si>
  <si>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</si>
  <si>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</si>
  <si>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</si>
  <si>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</si>
  <si>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</si>
  <si>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</si>
  <si>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</si>
  <si>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</si>
  <si>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</si>
  <si>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</si>
  <si>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	BOMB</t>
  </si>
  <si>
    <t>1120652</t>
  </si>
  <si>
    <t>BOMB AMER RIP TIGER CELESTE 56/60 RER</t>
  </si>
  <si>
    <t>1120653	BOMB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</si>
  <si>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</si>
  <si>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</si>
  <si>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</si>
  <si>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</si>
  <si>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</si>
  <si>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</si>
  <si>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</si>
  <si>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</si>
  <si>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</si>
  <si>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</si>
  <si>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	PANT</t>
  </si>
  <si>
    <t>1120680</t>
  </si>
  <si>
    <t>PANT GABARDINA MARRON C GALON 34/48 RER</t>
  </si>
  <si>
    <t>1120681	PANT</t>
  </si>
  <si>
    <t>1120681</t>
  </si>
  <si>
    <t>PANT GABARDINA MARRON C GALON 50/54 RER</t>
  </si>
  <si>
    <t>1120682	PANT</t>
  </si>
  <si>
    <t>1120682</t>
  </si>
  <si>
    <t>PANT GABARDINA MARRON C GALON 56/60 RER</t>
  </si>
  <si>
    <t>1120700</t>
  </si>
  <si>
    <t>PANT NEGRO GABARDINA 50/54 RER</t>
  </si>
  <si>
    <t>112071305</t>
  </si>
  <si>
    <t>OVERALL MULTIBOL. GRIS XL</t>
  </si>
  <si>
    <t>1120720</t>
  </si>
  <si>
    <t>BOMB KADIMA GAB AZUL 34/48 RER</t>
  </si>
  <si>
    <t>1120721</t>
  </si>
  <si>
    <t>BOMB KADIMA GAB AZUL 50/54 RER</t>
  </si>
  <si>
    <t>1120722	BOMB</t>
  </si>
  <si>
    <t>1120722</t>
  </si>
  <si>
    <t>BOMB KADIMA GAB AZUL 56/60 RER</t>
  </si>
  <si>
    <t>1120723	BOMB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</si>
  <si>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</si>
  <si>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</si>
  <si>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</si>
  <si>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</si>
  <si>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</si>
  <si>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</si>
  <si>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</si>
  <si>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</si>
  <si>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	BOMB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</si>
  <si>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</si>
  <si>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</si>
  <si>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</si>
  <si>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</si>
  <si>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</si>
  <si>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</si>
  <si>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</si>
  <si>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</si>
  <si>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	BOMB</t>
  </si>
  <si>
    <t>1120731</t>
  </si>
  <si>
    <t>BOMB KADIMA EXPAND GAB NEGRA 62/66 RER</t>
  </si>
  <si>
    <t>1120732	BOMB</t>
  </si>
  <si>
    <t>1120732</t>
  </si>
  <si>
    <t>BOMB KADIMA GAB BEIGE 34/48 RER</t>
  </si>
  <si>
    <t>1120733	BOMB</t>
  </si>
  <si>
    <t>1120733</t>
  </si>
  <si>
    <t>BOMB KADIMA GAB BEIGE 50/54 RER</t>
  </si>
  <si>
    <t>1120734	BOMB</t>
  </si>
  <si>
    <t>1120734</t>
  </si>
  <si>
    <t>BOMB KADIMA GAB BEIGE 56/60 RER</t>
  </si>
  <si>
    <t>1120735	BOMB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</si>
  <si>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</si>
  <si>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</si>
  <si>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</si>
  <si>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</si>
  <si>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</si>
  <si>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</si>
  <si>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</si>
  <si>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</si>
  <si>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	BOMB</t>
  </si>
  <si>
    <t>1120739</t>
  </si>
  <si>
    <t>BOMB KADIMA EXPAND GAB AZUL 62/66 RER</t>
  </si>
  <si>
    <t>1120741	BOMB</t>
  </si>
  <si>
    <t>1120741</t>
  </si>
  <si>
    <t>BOMB CLAS RIP BEIGE 56/60 RER</t>
  </si>
  <si>
    <t>1120750	BOMB</t>
  </si>
  <si>
    <t>1120750</t>
  </si>
  <si>
    <t>BOMB CLAS RIP GRIS 34/48 RER</t>
  </si>
  <si>
    <t>1120751	BOMB</t>
  </si>
  <si>
    <t>1120751</t>
  </si>
  <si>
    <t>BOMB CLAS RIP GRIS 50/54 RER</t>
  </si>
  <si>
    <t>1120752	BOMB</t>
  </si>
  <si>
    <t>1120752</t>
  </si>
  <si>
    <t>BOMB CLAS RIP GRIS 56/60 RER</t>
  </si>
  <si>
    <t>1120753	BOMB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</si>
  <si>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</si>
  <si>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</si>
  <si>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</si>
  <si>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</si>
  <si>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</si>
  <si>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</si>
  <si>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</si>
  <si>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</si>
  <si>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</si>
  <si>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</si>
  <si>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	PANT</t>
  </si>
  <si>
    <t>1120768</t>
  </si>
  <si>
    <t>PANT AZUL C/CINTA LAUREA NEGRA 62/66 RER</t>
  </si>
  <si>
    <t>1120770	PANT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</si>
  <si>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</si>
  <si>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</si>
  <si>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</si>
  <si>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</si>
  <si>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</si>
  <si>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</si>
  <si>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</si>
  <si>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</si>
  <si>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	PANT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</si>
  <si>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</si>
  <si>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</si>
  <si>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</si>
  <si>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</si>
  <si>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</si>
  <si>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</si>
  <si>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	PANT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</si>
  <si>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</si>
  <si>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</si>
  <si>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</si>
  <si>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</si>
  <si>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</si>
  <si>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</si>
  <si>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	PANT</t>
  </si>
  <si>
    <t>1120782</t>
  </si>
  <si>
    <t>PANT NEGRO DE POLICIA DAMA 36/48 RER</t>
  </si>
  <si>
    <t>1120783	PANT</t>
  </si>
  <si>
    <t>1120783</t>
  </si>
  <si>
    <t>PANT NEGRO DE POLICIA DAMA 50/56 RER</t>
  </si>
  <si>
    <t>1120784	PANT</t>
  </si>
  <si>
    <t>1120784</t>
  </si>
  <si>
    <t>PANT NEGRO DE POLICIA DAMA 58/66 RER</t>
  </si>
  <si>
    <t>1120785</t>
  </si>
  <si>
    <t>PANT AZUL DAMA S/BOLSILLO TRAS 34/48 RER</t>
  </si>
  <si>
    <t>1120786	PANT</t>
  </si>
  <si>
    <t>1120786</t>
  </si>
  <si>
    <t>PANT AZUL DAMA S/BOLSILLO TRAS 50/54 RER</t>
  </si>
  <si>
    <t>1120787	PANT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</si>
  <si>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</si>
  <si>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</si>
  <si>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</si>
  <si>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</si>
  <si>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</si>
  <si>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</si>
  <si>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</si>
  <si>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</si>
  <si>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	BOMB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</si>
  <si>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</si>
  <si>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</si>
  <si>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</si>
  <si>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</si>
  <si>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</si>
  <si>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</si>
  <si>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	PANT</t>
  </si>
  <si>
    <t>1120797</t>
  </si>
  <si>
    <t>PANT NEGRO C/CINTA LAUR NEGRA 56/60 RER</t>
  </si>
  <si>
    <t>1120798	PANT</t>
  </si>
  <si>
    <t>1120798</t>
  </si>
  <si>
    <t>PANT NEGRO C/CINTA LAUR NEGRA 62/66 RER</t>
  </si>
  <si>
    <t>1120799	BOMB</t>
  </si>
  <si>
    <t>1120799</t>
  </si>
  <si>
    <t>BOMB CONDOR RIP BEIGE 34/48 RER</t>
  </si>
  <si>
    <t>1120800	BOMB</t>
  </si>
  <si>
    <t>1120800</t>
  </si>
  <si>
    <t>BOMB CLAS RIP BEIGE 34/48 RER</t>
  </si>
  <si>
    <t>1120801	BOMB</t>
  </si>
  <si>
    <t>1120801</t>
  </si>
  <si>
    <t>BOMB CLAS RIP BEIGE 50/54 RER</t>
  </si>
  <si>
    <t>1120802	BOMB</t>
  </si>
  <si>
    <t>1120802</t>
  </si>
  <si>
    <t>1120803	BOMB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</si>
  <si>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</si>
  <si>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</si>
  <si>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</si>
  <si>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</si>
  <si>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</si>
  <si>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</si>
  <si>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</si>
  <si>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</si>
  <si>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	PANT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</si>
  <si>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</si>
  <si>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</si>
  <si>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</si>
  <si>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</si>
  <si>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</si>
  <si>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</si>
  <si>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</si>
  <si>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</si>
  <si>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	BOMB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</si>
  <si>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</si>
  <si>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</si>
  <si>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</si>
  <si>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</si>
  <si>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</si>
  <si>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</si>
  <si>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</si>
  <si>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</si>
  <si>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</si>
  <si>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</si>
  <si>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</si>
  <si>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</si>
  <si>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</si>
  <si>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</si>
  <si>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</si>
  <si>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</si>
  <si>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</si>
  <si>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</si>
  <si>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	BOMB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</si>
  <si>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</si>
  <si>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</si>
  <si>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</si>
  <si>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</si>
  <si>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</si>
  <si>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</si>
  <si>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</si>
  <si>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</si>
  <si>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</si>
  <si>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</si>
  <si>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</si>
  <si>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</si>
  <si>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</si>
  <si>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</si>
  <si>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	BOMB</t>
  </si>
  <si>
    <t>1120881</t>
  </si>
  <si>
    <t>BOMB CLAS RIP DIGITAL GRIS 50/54 RER</t>
  </si>
  <si>
    <t>1120882	BOMB</t>
  </si>
  <si>
    <t>1120882</t>
  </si>
  <si>
    <t>BOMB CLAS RIP DIGITAL GRIS 56/60 RER</t>
  </si>
  <si>
    <t>1120883	BOMB</t>
  </si>
  <si>
    <t>1120883</t>
  </si>
  <si>
    <t>BOMB CLAS RIP PREMIUM INF 34/48</t>
  </si>
  <si>
    <t>1120884	BOMB</t>
  </si>
  <si>
    <t>1120884</t>
  </si>
  <si>
    <t>BOMB CLAS RIP PREMIUM INF 50/54</t>
  </si>
  <si>
    <t>1120885	BOMB</t>
  </si>
  <si>
    <t>1120885</t>
  </si>
  <si>
    <t>BOMB CLAS RIP PREMIUM INF 56/60</t>
  </si>
  <si>
    <t>1120886	BOMB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</si>
  <si>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</si>
  <si>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</si>
  <si>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</si>
  <si>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</si>
  <si>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</si>
  <si>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</si>
  <si>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	BOMB</t>
  </si>
  <si>
    <t>1120900</t>
  </si>
  <si>
    <t>BOMB CLAS RIP NEGRA 34/48 RER</t>
  </si>
  <si>
    <t>1120901	BOMB</t>
  </si>
  <si>
    <t>1120901</t>
  </si>
  <si>
    <t>BOMB CLAS RIP NEGRA 50/54 RER</t>
  </si>
  <si>
    <t>1120902	BOMB</t>
  </si>
  <si>
    <t>1120902</t>
  </si>
  <si>
    <t>BOMB CLAS RIP NEGRA 56/60 RER</t>
  </si>
  <si>
    <t>1120903</t>
  </si>
  <si>
    <t>BOMB CLAS RIP NEGRA 62/66 RER</t>
  </si>
  <si>
    <t>1120904	BOMB</t>
  </si>
  <si>
    <t>1120904</t>
  </si>
  <si>
    <t>BOMB CLAS RIP NEGRA 68/70 RER</t>
  </si>
  <si>
    <t>1120940</t>
  </si>
  <si>
    <t>BOMB CLAS RIP REQUISA 34/48 RER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</si>
  <si>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</si>
  <si>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</si>
  <si>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</si>
  <si>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</si>
  <si>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</si>
  <si>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</si>
  <si>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</si>
  <si>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</si>
  <si>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</si>
  <si>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</si>
  <si>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</si>
  <si>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</si>
  <si>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</si>
  <si>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</si>
  <si>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</si>
  <si>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</si>
  <si>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</si>
  <si>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</si>
  <si>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</si>
  <si>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</si>
  <si>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</si>
  <si>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</si>
  <si>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</si>
  <si>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</t>
  </si>
  <si>
    <t>BOMB CLAS RIP REQUISA 50/54 RER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</si>
  <si>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</si>
  <si>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</si>
  <si>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</si>
  <si>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</si>
  <si>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</si>
  <si>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</si>
  <si>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</si>
  <si>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</si>
  <si>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</si>
  <si>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</si>
  <si>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</t>
  </si>
  <si>
    <t>BOMB CLAS RIP REQUISA 56/60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</si>
  <si>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</si>
  <si>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</si>
  <si>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</si>
  <si>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</si>
  <si>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</si>
  <si>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</si>
  <si>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</si>
  <si>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</si>
  <si>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</si>
  <si>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</si>
  <si>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1120943</t>
  </si>
  <si>
    <t>BOMB CLAS RIP REQUISA 62/68 RER</t>
  </si>
  <si>
    <t>1120946	BOMB</t>
  </si>
  <si>
    <t>1120946</t>
  </si>
  <si>
    <t>BOMB CLAS RIP VERDE 36/48 RER</t>
  </si>
  <si>
    <t>1120947	BOMB</t>
  </si>
  <si>
    <t>1120947</t>
  </si>
  <si>
    <t>BOMB CLAS RIP VERDE 50/54 RER</t>
  </si>
  <si>
    <t>1120948	BOMB</t>
  </si>
  <si>
    <t>1120948</t>
  </si>
  <si>
    <t>BOMB CLAS RIP VERDE 56/60 RER</t>
  </si>
  <si>
    <t>1120949	BOMB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</si>
  <si>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</si>
  <si>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</si>
  <si>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</si>
  <si>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</si>
  <si>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</si>
  <si>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</si>
  <si>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</si>
  <si>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</si>
  <si>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	BOMB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</si>
  <si>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</si>
  <si>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</si>
  <si>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</si>
  <si>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</si>
  <si>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</si>
  <si>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</si>
  <si>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	BOMB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</si>
  <si>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</si>
  <si>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</si>
  <si>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</si>
  <si>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</si>
  <si>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</si>
  <si>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</si>
  <si>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	BOMB</t>
  </si>
  <si>
    <t>1123458</t>
  </si>
  <si>
    <t>BOMB BOMBER AZUL 62/66 RER</t>
  </si>
  <si>
    <t>1129001</t>
  </si>
  <si>
    <t>BOMB NO USAR</t>
  </si>
  <si>
    <t>1130001	MANT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</si>
  <si>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</si>
  <si>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</si>
  <si>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</si>
  <si>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</si>
  <si>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</si>
  <si>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</si>
  <si>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</si>
  <si>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</si>
  <si>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</si>
  <si>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</si>
  <si>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</si>
  <si>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</si>
  <si>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</si>
  <si>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</si>
  <si>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</si>
  <si>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</si>
  <si>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</si>
  <si>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</si>
  <si>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</si>
  <si>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	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</si>
  <si>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</si>
  <si>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</si>
  <si>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</si>
  <si>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</si>
  <si>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</si>
  <si>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</si>
  <si>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</si>
  <si>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</si>
  <si>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	PANT</t>
  </si>
  <si>
    <t>1130555</t>
  </si>
  <si>
    <t>PANT BEIGE OFICIAL LMGE 50/54 RER</t>
  </si>
  <si>
    <t>1130713</t>
  </si>
  <si>
    <t>OVERALL MULTIBOL GAB GRIS</t>
  </si>
  <si>
    <t>113071302</t>
  </si>
  <si>
    <t>OVERALL MULTIBOL. GRIS 3XS/XL</t>
  </si>
  <si>
    <t>113071304</t>
  </si>
  <si>
    <t>OVERALL MULTIBOL. GRIS L</t>
  </si>
  <si>
    <t>1130745</t>
  </si>
  <si>
    <t>OVERALL MULTIBOLS. INFANTERIA RER</t>
  </si>
  <si>
    <t>1130750</t>
  </si>
  <si>
    <t>MAMELUCO TERMICO GRIS S/XL RER</t>
  </si>
  <si>
    <t>1130751	MAMEL</t>
  </si>
  <si>
    <t>1130751</t>
  </si>
  <si>
    <t>MAMELUCO TERMICO GRIS 2XL/6XL RER</t>
  </si>
  <si>
    <t>1130894	PANT</t>
  </si>
  <si>
    <t>1130894</t>
  </si>
  <si>
    <t>PANT BEIGE OFICIAL LMGE 56/60 RER</t>
  </si>
  <si>
    <t>1130900	OVERA</t>
  </si>
  <si>
    <t>1130900</t>
  </si>
  <si>
    <t>OVERALL MULTIBOL RIP NEGRO RER</t>
  </si>
  <si>
    <t>1130965	OVERA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</si>
  <si>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</si>
  <si>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</si>
  <si>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</si>
  <si>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</si>
  <si>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</si>
  <si>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</si>
  <si>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</si>
  <si>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</si>
  <si>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</si>
  <si>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</si>
  <si>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</si>
  <si>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</si>
  <si>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</si>
  <si>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</si>
  <si>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</si>
  <si>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</si>
  <si>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</si>
  <si>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</si>
  <si>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</si>
  <si>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</si>
  <si>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</si>
  <si>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</si>
  <si>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</si>
  <si>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</si>
  <si>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</si>
  <si>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</si>
  <si>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</si>
  <si>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</si>
  <si>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	BOMB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</si>
  <si>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</si>
  <si>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</si>
  <si>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</si>
  <si>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</si>
  <si>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</si>
  <si>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</si>
  <si>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</si>
  <si>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</si>
  <si>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</si>
  <si>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</si>
  <si>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</si>
  <si>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</si>
  <si>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</si>
  <si>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</si>
  <si>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</si>
  <si>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</si>
  <si>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</si>
  <si>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</si>
  <si>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</si>
  <si>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</si>
  <si>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</si>
  <si>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</si>
  <si>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</si>
  <si>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</si>
  <si>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</si>
  <si>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</si>
  <si>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</si>
  <si>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	ADORN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</si>
  <si>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</si>
  <si>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</si>
  <si>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</si>
  <si>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</si>
  <si>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</si>
  <si>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</si>
  <si>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</si>
  <si>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</si>
  <si>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</si>
  <si>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</si>
  <si>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</si>
  <si>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</si>
  <si>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</si>
  <si>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</si>
  <si>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</si>
  <si>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</si>
  <si>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	POLAR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</si>
  <si>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</si>
  <si>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</si>
  <si>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</si>
  <si>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</si>
  <si>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</si>
  <si>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</si>
  <si>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</si>
  <si>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</si>
  <si>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</si>
  <si>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	CHOMB</t>
  </si>
  <si>
    <t>2101003</t>
  </si>
  <si>
    <t>CHOMBA MC POLO NEGRA ESTAMP 3XL/4XL RER</t>
  </si>
  <si>
    <t>2101004</t>
  </si>
  <si>
    <t>REMERA MC SIN CIERRE BLANCA 3XS/2XL RER</t>
  </si>
  <si>
    <t>2101005	REMER</t>
  </si>
  <si>
    <t>2101005</t>
  </si>
  <si>
    <t>REMERA MC SIN CIERRE BLANCA 3XL/5XL RER</t>
  </si>
  <si>
    <t>2101006	REMER</t>
  </si>
  <si>
    <t>2101006</t>
  </si>
  <si>
    <t>REMERA ML SIN CIERRE BLANCA 3XS/2XL RER</t>
  </si>
  <si>
    <t>2101007	REMER</t>
  </si>
  <si>
    <t>2101007</t>
  </si>
  <si>
    <t>REMERA MC SIN CIER AZ V ROJO 3XS/2XL RER</t>
  </si>
  <si>
    <t>2101008	REMER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</si>
  <si>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</si>
  <si>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</si>
  <si>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</si>
  <si>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</si>
  <si>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</si>
  <si>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</si>
  <si>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	CHOMB</t>
  </si>
  <si>
    <t>2101012</t>
  </si>
  <si>
    <t>CHOMBA MC POLO ROJA 3XL/5XL RER</t>
  </si>
  <si>
    <t>2101013	CHOMB</t>
  </si>
  <si>
    <t>2101013</t>
  </si>
  <si>
    <t>CHOMBA ML POLO ROJA 3XS/2XL RER</t>
  </si>
  <si>
    <t>2101014	CHOMB</t>
  </si>
  <si>
    <t>2101014</t>
  </si>
  <si>
    <t>CHOMBA ML POLO ROJA 3XL 5XL RER</t>
  </si>
  <si>
    <t>2101015	CHOMB</t>
  </si>
  <si>
    <t>2101015</t>
  </si>
  <si>
    <t>CHOMBA ML CIERRE COMB CAMUF 3XS/2XL RER</t>
  </si>
  <si>
    <t>2101016	CHOMB</t>
  </si>
  <si>
    <t>2101016</t>
  </si>
  <si>
    <t>CHOMBA ML CIERRE COMB CAMUF 3XL/6XL RER</t>
  </si>
  <si>
    <t>2101060	CHOMB</t>
  </si>
  <si>
    <t>2101060</t>
  </si>
  <si>
    <t>CHOMBA MC SIN CIERRE NEGRA RER</t>
  </si>
  <si>
    <t>2101098	CHOMB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</si>
  <si>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</si>
  <si>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</si>
  <si>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</si>
  <si>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</si>
  <si>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</si>
  <si>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</si>
  <si>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	CHOMB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</si>
  <si>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</si>
  <si>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</si>
  <si>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</si>
  <si>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</si>
  <si>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</si>
  <si>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</si>
  <si>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</si>
  <si>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</si>
  <si>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</si>
  <si>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</si>
  <si>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</si>
  <si>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</si>
  <si>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	CHOMB</t>
  </si>
  <si>
    <t>2101113</t>
  </si>
  <si>
    <t>CHOMBA MC POLO NEGRA PSA 2XS/2XL RER</t>
  </si>
  <si>
    <t>2101114	CHOMB</t>
  </si>
  <si>
    <t>2101114</t>
  </si>
  <si>
    <t>CHOMBA MC POLO NEGRA PSA 3XL/5XL RER</t>
  </si>
  <si>
    <t>2101115</t>
  </si>
  <si>
    <t>CHOMBA MC POLO BLANCA PSA 2XS/2XL RER</t>
  </si>
  <si>
    <t>2101116	CHOMB</t>
  </si>
  <si>
    <t>2101116</t>
  </si>
  <si>
    <t>CHOMBA MC POLO BLANCA PSA 3XL/5XL RER</t>
  </si>
  <si>
    <t>2101117	CHOMB</t>
  </si>
  <si>
    <t>2101117</t>
  </si>
  <si>
    <t>CHOMBA MC CIERRE BLANCA 3XL/5XL RER</t>
  </si>
  <si>
    <t>2101158	CHOMB</t>
  </si>
  <si>
    <t>2101158</t>
  </si>
  <si>
    <t>CHOMBA INFANTERIA RER</t>
  </si>
  <si>
    <t>2101200</t>
  </si>
  <si>
    <t>CHOMBA MC POLO BLANCA + ESTAMP 3XS/2XL R</t>
  </si>
  <si>
    <t>2101201	CHOMB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</si>
  <si>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</si>
  <si>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</si>
  <si>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</si>
  <si>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</si>
  <si>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</si>
  <si>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</si>
  <si>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	CHOMB</t>
  </si>
  <si>
    <t>2101210</t>
  </si>
  <si>
    <t>CHOMBA ML CIERRE AZUL FRA LA RIOJA RER</t>
  </si>
  <si>
    <t>2101211	CHOMB</t>
  </si>
  <si>
    <t>2101211</t>
  </si>
  <si>
    <t>CHOMBA MC POLO AZUL FRA C/LOGOS RER</t>
  </si>
  <si>
    <t>2101220	CHOMB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</si>
  <si>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</si>
  <si>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</si>
  <si>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</si>
  <si>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</si>
  <si>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</si>
  <si>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</si>
  <si>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</si>
  <si>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</si>
  <si>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</si>
  <si>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</si>
  <si>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</si>
  <si>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	CHOMB</t>
  </si>
  <si>
    <t>2101322</t>
  </si>
  <si>
    <t>CHOMBA MC POLO ROJA INSTRUCT 3XL/6XL RER</t>
  </si>
  <si>
    <t>2101333	CHOMB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</si>
  <si>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</si>
  <si>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</si>
  <si>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</si>
  <si>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</si>
  <si>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</si>
  <si>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</si>
  <si>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	CHOMB</t>
  </si>
  <si>
    <t>2101369</t>
  </si>
  <si>
    <t>CHOMBA MC POLO LAS PIRCAS RER</t>
  </si>
  <si>
    <t>2101395</t>
  </si>
  <si>
    <t>CHOMBA MC CIERRE AZ + ESTAM 3XS/2XL RER</t>
  </si>
  <si>
    <t>2101396	CHOMB</t>
  </si>
  <si>
    <t>2101396</t>
  </si>
  <si>
    <t>CHOMBA MC CIERRE AZ + ESTAM 3XL/5XL RER</t>
  </si>
  <si>
    <t>2101397	CHOMB</t>
  </si>
  <si>
    <t>2101397</t>
  </si>
  <si>
    <t>CHOMBA MC CIERRE AZ + ESTAMPA 6XL RER</t>
  </si>
  <si>
    <t>2101493</t>
  </si>
  <si>
    <t>CHOMBA ML CIERRE AZ 3XL/5XL RER</t>
  </si>
  <si>
    <t>2101494	CHOMB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</si>
  <si>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</si>
  <si>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</si>
  <si>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</si>
  <si>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</si>
  <si>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</si>
  <si>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</si>
  <si>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</si>
  <si>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	CHOMB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</si>
  <si>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</si>
  <si>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</si>
  <si>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</si>
  <si>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</si>
  <si>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</si>
  <si>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</si>
  <si>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	CHOMB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</si>
  <si>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</si>
  <si>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</si>
  <si>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</si>
  <si>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</si>
  <si>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</si>
  <si>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</si>
  <si>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</si>
  <si>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</si>
  <si>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	REMER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</si>
  <si>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</si>
  <si>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</si>
  <si>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</si>
  <si>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</si>
  <si>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</si>
  <si>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</si>
  <si>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	REMER</t>
  </si>
  <si>
    <t>2101557</t>
  </si>
  <si>
    <t>REMERA MC SIN CIE NE HIDRO R 2XS/2XL RER</t>
  </si>
  <si>
    <t>2101558	REMER</t>
  </si>
  <si>
    <t>2101558</t>
  </si>
  <si>
    <t>REMERA MC SIN CIE NE HIDRO R 3XL/6XL RER</t>
  </si>
  <si>
    <t>2101559	REMER</t>
  </si>
  <si>
    <t>2101559</t>
  </si>
  <si>
    <t>REMERA MC NEG ESC POL STA FE 2XS/2XL RER</t>
  </si>
  <si>
    <t>2101560	REMER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</si>
  <si>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</si>
  <si>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</si>
  <si>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</si>
  <si>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</si>
  <si>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</si>
  <si>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</si>
  <si>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</si>
  <si>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</si>
  <si>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</si>
  <si>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</si>
  <si>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</si>
  <si>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</si>
  <si>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</si>
  <si>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</si>
  <si>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</si>
  <si>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</si>
  <si>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</si>
  <si>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</si>
  <si>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</si>
  <si>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</si>
  <si>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</si>
  <si>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</si>
  <si>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</si>
  <si>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</si>
  <si>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</si>
  <si>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</si>
  <si>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</si>
  <si>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</si>
  <si>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</si>
  <si>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</si>
  <si>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	CHOMB</t>
  </si>
  <si>
    <t>2101743</t>
  </si>
  <si>
    <t>CHOMBA ML POLO NEGRO 3XS/2XL RER</t>
  </si>
  <si>
    <t>2101744	CHOMB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</si>
  <si>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</si>
  <si>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</si>
  <si>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</si>
  <si>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</si>
  <si>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</si>
  <si>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</si>
  <si>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</si>
  <si>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</si>
  <si>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</si>
  <si>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</si>
  <si>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</si>
  <si>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</si>
  <si>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</si>
  <si>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</si>
  <si>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</si>
  <si>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</si>
  <si>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</si>
  <si>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</si>
  <si>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	CHOMB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</si>
  <si>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</si>
  <si>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</si>
  <si>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</si>
  <si>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</si>
  <si>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</si>
  <si>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</si>
  <si>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</si>
  <si>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</si>
  <si>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</si>
  <si>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</si>
  <si>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</si>
  <si>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</si>
  <si>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</si>
  <si>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</si>
  <si>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</si>
  <si>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	CHOMB</t>
  </si>
  <si>
    <t>2101951</t>
  </si>
  <si>
    <t>CHOMBA MC CIERRE NE + ESTAM 3XL/5XL RER</t>
  </si>
  <si>
    <t>2101987	CHOMB</t>
  </si>
  <si>
    <t>2101987</t>
  </si>
  <si>
    <t>CHOMBA MC CIERRE ROJA 3XS/2XL RER</t>
  </si>
  <si>
    <t>2101999</t>
  </si>
  <si>
    <t>CHOMBA MC CIERRE NE 3XL/5XL RER</t>
  </si>
  <si>
    <t>2103005	CHOMB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</si>
  <si>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</si>
  <si>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</si>
  <si>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</si>
  <si>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</si>
  <si>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</si>
  <si>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</si>
  <si>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	CHOMB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</si>
  <si>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</si>
  <si>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</si>
  <si>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</si>
  <si>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</si>
  <si>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</si>
  <si>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</si>
  <si>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</si>
  <si>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</si>
  <si>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210306807	CHO</t>
  </si>
  <si>
    <t>210306807</t>
  </si>
  <si>
    <t>CHOMBA MC POLO AZ + BAND XXXL</t>
  </si>
  <si>
    <t>2103069</t>
  </si>
  <si>
    <t>CHOMBA MC POLO GRIS + BAND 3XS/2XL RER</t>
  </si>
  <si>
    <t>2103070	CHOMB</t>
  </si>
  <si>
    <t>2103070</t>
  </si>
  <si>
    <t>CHOMBA ML POLO ESCUE POLICIA 3XS/2XL RER</t>
  </si>
  <si>
    <t>2103071	CHOMB</t>
  </si>
  <si>
    <t>2103071</t>
  </si>
  <si>
    <t>CHOMBA ML POLO ESCUE POLICIA 3XL/5XL RER</t>
  </si>
  <si>
    <t>2103072	CHOMB</t>
  </si>
  <si>
    <t>2103072</t>
  </si>
  <si>
    <t>CHOMBA MC POLO ESCUE POLICIA 3XS/2XL RER</t>
  </si>
  <si>
    <t>2103073	CHOMB</t>
  </si>
  <si>
    <t>2103073</t>
  </si>
  <si>
    <t>CHOMBA MC POLO ESCUE POLICIA 3XL/5XL RER</t>
  </si>
  <si>
    <t>2103090</t>
  </si>
  <si>
    <t>REMERA MC COMBAT NEGRA</t>
  </si>
  <si>
    <t>2103135	CHOMB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</si>
  <si>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</si>
  <si>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</si>
  <si>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</si>
  <si>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</si>
  <si>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</si>
  <si>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</si>
  <si>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</si>
  <si>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</si>
  <si>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</si>
  <si>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</si>
  <si>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</si>
  <si>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</si>
  <si>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</si>
  <si>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</si>
  <si>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</si>
  <si>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</si>
  <si>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</si>
  <si>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</si>
  <si>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	CHOMB</t>
  </si>
  <si>
    <t>2103785</t>
  </si>
  <si>
    <t>CHOMBA MC POLO ECO ESC+ BANDER RER</t>
  </si>
  <si>
    <t>2103888</t>
  </si>
  <si>
    <t>NO USAR CHOMBA MC POLO AZ + BAND 3XL/5XL</t>
  </si>
  <si>
    <t>210388808	CHO</t>
  </si>
  <si>
    <t>210388808</t>
  </si>
  <si>
    <t>CHOMBA MC POLO AZ + BAND XXXXL RER</t>
  </si>
  <si>
    <t>2105007	REMER</t>
  </si>
  <si>
    <t>2105007</t>
  </si>
  <si>
    <t>REMERA ML SIN CIERRE BLANCA 3XL/5XL RER</t>
  </si>
  <si>
    <t>2105008</t>
  </si>
  <si>
    <t>REMERA ML SIN CIERRE NEGRA 3XS/2XL RER</t>
  </si>
  <si>
    <t>2105009	REMER</t>
  </si>
  <si>
    <t>2105009</t>
  </si>
  <si>
    <t>REMERA ML SIN CIERRE NEGRA 3XL/5XL RER</t>
  </si>
  <si>
    <t>2105352</t>
  </si>
  <si>
    <t>REMERA ML SIN CIERRE GRIS 3XS/2XL RER</t>
  </si>
  <si>
    <t>2105353	REMER</t>
  </si>
  <si>
    <t>2105353</t>
  </si>
  <si>
    <t>REMERA ML SIN CIERRE GRIS 3XL/5XL RER</t>
  </si>
  <si>
    <t>2105552</t>
  </si>
  <si>
    <t>REMERA ML SIN CIERRE AZUL 3XS/2XL RER</t>
  </si>
  <si>
    <t>2105553	REMER</t>
  </si>
  <si>
    <t>2105553</t>
  </si>
  <si>
    <t>REMERA ML SIN CIERRE AZUL 3XL/5XL RER</t>
  </si>
  <si>
    <t>2105999</t>
  </si>
  <si>
    <t>REMERA ML ARMY NEGRA RER</t>
  </si>
  <si>
    <t>220090</t>
  </si>
  <si>
    <t>REMERA MC BLANCA IUSP</t>
  </si>
  <si>
    <t>2203072	REMER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</si>
  <si>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</si>
  <si>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</si>
  <si>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</si>
  <si>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</si>
  <si>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</si>
  <si>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</si>
  <si>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</si>
  <si>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</si>
  <si>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</si>
  <si>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</si>
  <si>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</si>
  <si>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</si>
  <si>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</si>
  <si>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</si>
  <si>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</si>
  <si>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</si>
  <si>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</si>
  <si>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</si>
  <si>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</si>
  <si>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</si>
  <si>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</si>
  <si>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</si>
  <si>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</si>
  <si>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</si>
  <si>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</si>
  <si>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</si>
  <si>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</si>
  <si>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</si>
  <si>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</si>
  <si>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</si>
  <si>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</si>
  <si>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</si>
  <si>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</si>
  <si>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</si>
  <si>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</si>
  <si>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</si>
  <si>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</si>
  <si>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</si>
  <si>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</si>
  <si>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</si>
  <si>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</si>
  <si>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</si>
  <si>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</si>
  <si>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</si>
  <si>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</si>
  <si>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</si>
  <si>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</si>
  <si>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</si>
  <si>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</si>
  <si>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</si>
  <si>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</si>
  <si>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</si>
  <si>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</si>
  <si>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</si>
  <si>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</si>
  <si>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	REMER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</si>
  <si>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</si>
  <si>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</si>
  <si>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</si>
  <si>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</si>
  <si>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</si>
  <si>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</si>
  <si>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	REMER</t>
  </si>
  <si>
    <t>2220335</t>
  </si>
  <si>
    <t>REMERA MC CAMUFLADA GEI</t>
  </si>
  <si>
    <t>2220336	REMER</t>
  </si>
  <si>
    <t>2220336</t>
  </si>
  <si>
    <t>REMERA MC GRIS BORDADA EJERCITO GEI</t>
  </si>
  <si>
    <t>2220345</t>
  </si>
  <si>
    <t>REMERA MC JAZAK NEGRA GEI</t>
  </si>
  <si>
    <t>2220389	REMER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</si>
  <si>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</si>
  <si>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</si>
  <si>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</si>
  <si>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</si>
  <si>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</si>
  <si>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</si>
  <si>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	REMER</t>
  </si>
  <si>
    <t>2220450</t>
  </si>
  <si>
    <t>REMERA MC NEGRA ESC POL STA FE 2XS/2XL</t>
  </si>
  <si>
    <t>2220451	REMER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</si>
  <si>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</si>
  <si>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</si>
  <si>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</si>
  <si>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</si>
  <si>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</si>
  <si>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</si>
  <si>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	REMER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</si>
  <si>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</si>
  <si>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</si>
  <si>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</si>
  <si>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</si>
  <si>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</si>
  <si>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</si>
  <si>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</si>
  <si>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</si>
  <si>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</si>
  <si>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</si>
  <si>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</si>
  <si>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</si>
  <si>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</si>
  <si>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</si>
  <si>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</si>
  <si>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	REMER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</si>
  <si>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</si>
  <si>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</si>
  <si>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</si>
  <si>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</si>
  <si>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</si>
  <si>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</si>
  <si>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</si>
  <si>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</si>
  <si>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</si>
  <si>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</si>
  <si>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</si>
  <si>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</si>
  <si>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</si>
  <si>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</si>
  <si>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</si>
  <si>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</si>
  <si>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</si>
  <si>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</si>
  <si>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	TRICO</t>
  </si>
  <si>
    <t>2301001</t>
  </si>
  <si>
    <t>TRICOTA C/POL AZUL NQN</t>
  </si>
  <si>
    <t>2301002	TRICO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</si>
  <si>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</si>
  <si>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</si>
  <si>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</si>
  <si>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</si>
  <si>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</si>
  <si>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</si>
  <si>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</si>
  <si>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</si>
  <si>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</si>
  <si>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</si>
  <si>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</si>
  <si>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</si>
  <si>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</si>
  <si>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</si>
  <si>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</si>
  <si>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</si>
  <si>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</si>
  <si>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</si>
  <si>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</si>
  <si>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</si>
  <si>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	TRICO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</si>
  <si>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</si>
  <si>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</si>
  <si>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</si>
  <si>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</si>
  <si>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</si>
  <si>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</si>
  <si>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</si>
  <si>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</si>
  <si>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</si>
  <si>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</si>
  <si>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</si>
  <si>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</si>
  <si>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</si>
  <si>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</si>
  <si>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	CHALE</t>
  </si>
  <si>
    <t>2401012</t>
  </si>
  <si>
    <t>CHALECO DE TRANSP. GOLANI RER</t>
  </si>
  <si>
    <t>2401021	CHALE</t>
  </si>
  <si>
    <t>2401021</t>
  </si>
  <si>
    <t>CHALECO TRANSPORTE MRG RER</t>
  </si>
  <si>
    <t>2401022</t>
  </si>
  <si>
    <t>CHALECO DE TRANSPORTE RIV / RRD5 RER</t>
  </si>
  <si>
    <t>2401023	CHALE</t>
  </si>
  <si>
    <t>2401023</t>
  </si>
  <si>
    <t>CHALECO DE TRANSPORTE RIO GALL XXS</t>
  </si>
  <si>
    <t>2401100</t>
  </si>
  <si>
    <t>CHALECO TACTICO RRD3 BLK</t>
  </si>
  <si>
    <t>2401101	CHALE</t>
  </si>
  <si>
    <t>2401101</t>
  </si>
  <si>
    <t>CHALECO ARNES ISARELI C/REFLACTARIORRD2B</t>
  </si>
  <si>
    <t>2401103</t>
  </si>
  <si>
    <t>CHALECO FUNDA BALIST MOLLE RRD4 BLK</t>
  </si>
  <si>
    <t>2401123	CHALE</t>
  </si>
  <si>
    <t>2401123</t>
  </si>
  <si>
    <t>CHALECO DE TRANSPORTE MAZ / RRD5</t>
  </si>
  <si>
    <t>2401200	CHALE</t>
  </si>
  <si>
    <t>2401200</t>
  </si>
  <si>
    <t>CHALECO CARRIER ARMOUR FULL</t>
  </si>
  <si>
    <t>2401201	CHALE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</si>
  <si>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</si>
  <si>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</si>
  <si>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</si>
  <si>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</si>
  <si>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</si>
  <si>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</si>
  <si>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</si>
  <si>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</si>
  <si>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</si>
  <si>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</si>
  <si>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	CHALE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</si>
  <si>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</si>
  <si>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</si>
  <si>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</si>
  <si>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</si>
  <si>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</si>
  <si>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</si>
  <si>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240135000	CHA</t>
  </si>
  <si>
    <t>240135000</t>
  </si>
  <si>
    <t>CHALECO ISRAELI CON P/CARTU MAZ T-U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</si>
  <si>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</si>
  <si>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</si>
  <si>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</si>
  <si>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</si>
  <si>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</si>
  <si>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</si>
  <si>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</si>
  <si>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</si>
  <si>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</si>
  <si>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</si>
  <si>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</si>
  <si>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</si>
  <si>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</si>
  <si>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</si>
  <si>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</si>
  <si>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</si>
  <si>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</si>
  <si>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</si>
  <si>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</si>
  <si>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</si>
  <si>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</si>
  <si>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</si>
  <si>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</si>
  <si>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	BUZO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</si>
  <si>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</si>
  <si>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</si>
  <si>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</si>
  <si>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</si>
  <si>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</si>
  <si>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</si>
  <si>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	BUZO</t>
  </si>
  <si>
    <t>2601850</t>
  </si>
  <si>
    <t>BUZO FRIZA GRIS CON CIERRE  3XS/2XL RER</t>
  </si>
  <si>
    <t>2601851	BUZO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</si>
  <si>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</si>
  <si>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</si>
  <si>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</si>
  <si>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</si>
  <si>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</si>
  <si>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</si>
  <si>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</si>
  <si>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</si>
  <si>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</si>
  <si>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</si>
  <si>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	HEBIL</t>
  </si>
  <si>
    <t>2846646</t>
  </si>
  <si>
    <t>HEBILLA METALICA COBRA 5646</t>
  </si>
  <si>
    <t>2849103	TERMI</t>
  </si>
  <si>
    <t>2849103</t>
  </si>
  <si>
    <t>TERMINALES CORREA VERDE PLASTICK BUCKLE3</t>
  </si>
  <si>
    <t>2849225	PASAD</t>
  </si>
  <si>
    <t>2849225</t>
  </si>
  <si>
    <t>PASADOR REGULABLE CHICO 6.5</t>
  </si>
  <si>
    <t>2849230	ABROJ</t>
  </si>
  <si>
    <t>2849230</t>
  </si>
  <si>
    <t>ABROJO BEIGE SUAVE 5CM 5423-1</t>
  </si>
  <si>
    <t>2849231	ABROJ</t>
  </si>
  <si>
    <t>2849231</t>
  </si>
  <si>
    <t>ABROJO BEIGE ASPERO 5CM 5423-1</t>
  </si>
  <si>
    <t>2849232	ABROJ</t>
  </si>
  <si>
    <t>2849232</t>
  </si>
  <si>
    <t>ABROJO BEIGE ASPERO 2.5</t>
  </si>
  <si>
    <t>2849233	ABROJ</t>
  </si>
  <si>
    <t>2849233</t>
  </si>
  <si>
    <t>ABROJO BEIGE SUAVE 2.5 5423-2</t>
  </si>
  <si>
    <t>2849238	PASAD</t>
  </si>
  <si>
    <t>2849238</t>
  </si>
  <si>
    <t>PASADOR REGULABLE MEDIANO 16.5</t>
  </si>
  <si>
    <t>2849250	PASAD</t>
  </si>
  <si>
    <t>2849250</t>
  </si>
  <si>
    <t>PASADOR REGULABLE GRANDE 21.5</t>
  </si>
  <si>
    <t>2849302	PASAD</t>
  </si>
  <si>
    <t>2849302</t>
  </si>
  <si>
    <t>PASADOR TIPO ANILLO EN D VERDE AC302</t>
  </si>
  <si>
    <t>2849304	PASAD</t>
  </si>
  <si>
    <t>2849304</t>
  </si>
  <si>
    <t>PASADOR RECTANGULAR VERDE PLAST BUCKLE 4</t>
  </si>
  <si>
    <t>2849361	BOLSA</t>
  </si>
  <si>
    <t>2849361</t>
  </si>
  <si>
    <t>BOLSA CIERRE A PRESION 8034-36-1</t>
  </si>
  <si>
    <t>2849425	PASAD</t>
  </si>
  <si>
    <t>2849425</t>
  </si>
  <si>
    <t>PASADOR RECTANGULAR CHICO 4.4</t>
  </si>
  <si>
    <t>2849437	CORDO</t>
  </si>
  <si>
    <t>2849437</t>
  </si>
  <si>
    <t>CORDON ELASTICO BLANCO 5437</t>
  </si>
  <si>
    <t>2849438	PASAD</t>
  </si>
  <si>
    <t>2849438</t>
  </si>
  <si>
    <t>PASADOR RECTANGULAR MEDIANO 6.2</t>
  </si>
  <si>
    <t>2849450	PASAD</t>
  </si>
  <si>
    <t>2849450</t>
  </si>
  <si>
    <t>PASADOR RECTANGULAR GRANDE 6.8</t>
  </si>
  <si>
    <t>2849505	HEBIL</t>
  </si>
  <si>
    <t>2849505</t>
  </si>
  <si>
    <t>HEBILLA DE CIERRE REGUL 5 PLAS BUCKLE 10</t>
  </si>
  <si>
    <t>2849525	HEBIL</t>
  </si>
  <si>
    <t>2849525</t>
  </si>
  <si>
    <t>HEBILLA CIERRE REGULABLE 2.5CM</t>
  </si>
  <si>
    <t>2849538	HEBIL</t>
  </si>
  <si>
    <t>2849538</t>
  </si>
  <si>
    <t>HEBILLA CIERRE REGUL PLAST BUCKLE 9 3.8</t>
  </si>
  <si>
    <t>2849612	TANCA</t>
  </si>
  <si>
    <t>2849612</t>
  </si>
  <si>
    <t>TANCA PLASTIK BUCKLE 1 PA612A</t>
  </si>
  <si>
    <t>2849646	HEBIL</t>
  </si>
  <si>
    <t>2849646</t>
  </si>
  <si>
    <t>HEBILLA METALICA COBRA CON BOTON 5646</t>
  </si>
  <si>
    <t>2849647	HEBIL</t>
  </si>
  <si>
    <t>2849647</t>
  </si>
  <si>
    <t>HEBILLA METALICA COBRA CON SEGURO 5646</t>
  </si>
  <si>
    <t>2849648</t>
  </si>
  <si>
    <t>HEBILLA TRIPLE SEG. CINTO AMERICANO</t>
  </si>
  <si>
    <t>2849736	HEBIL</t>
  </si>
  <si>
    <t>2849736</t>
  </si>
  <si>
    <t>HEBILLA METALICA PASADOR</t>
  </si>
  <si>
    <t>2849737	PASAD</t>
  </si>
  <si>
    <t>2849737</t>
  </si>
  <si>
    <t>PASADOR DE METAL</t>
  </si>
  <si>
    <t>2849738	PASAD</t>
  </si>
  <si>
    <t>2849738</t>
  </si>
  <si>
    <t>PASADOR D METAL HOOK 3</t>
  </si>
  <si>
    <t>2849907	TIRA</t>
  </si>
  <si>
    <t>2849907</t>
  </si>
  <si>
    <t>TIRA CIERRE VERDE PLAST BUCKLE 7</t>
  </si>
  <si>
    <t>3	GASTO ADMIN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</si>
  <si>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</si>
  <si>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</si>
  <si>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</si>
  <si>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</si>
  <si>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</si>
  <si>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</si>
  <si>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</si>
  <si>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</si>
  <si>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	PANT</t>
  </si>
  <si>
    <t>3101027</t>
  </si>
  <si>
    <t>PANT FRIZA AZUL IUSP 2XS/2XL</t>
  </si>
  <si>
    <t>3101028	PANT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</si>
  <si>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</si>
  <si>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</si>
  <si>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</si>
  <si>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</si>
  <si>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</si>
  <si>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</si>
  <si>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</si>
  <si>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</si>
  <si>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</si>
  <si>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</si>
  <si>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</si>
  <si>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</si>
  <si>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</si>
  <si>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</si>
  <si>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</si>
  <si>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</si>
  <si>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</si>
  <si>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</si>
  <si>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</si>
  <si>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</si>
  <si>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</si>
  <si>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</si>
  <si>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</si>
  <si>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</si>
  <si>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</si>
  <si>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</si>
  <si>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</si>
  <si>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</si>
  <si>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</si>
  <si>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</si>
  <si>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</si>
  <si>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</si>
  <si>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</si>
  <si>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</si>
  <si>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</si>
  <si>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</si>
  <si>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</si>
  <si>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</si>
  <si>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</si>
  <si>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</si>
  <si>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</si>
  <si>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</si>
  <si>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</si>
  <si>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</si>
  <si>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</si>
  <si>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</si>
  <si>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</si>
  <si>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</si>
  <si>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</si>
  <si>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	GARIB</t>
  </si>
  <si>
    <t>4101002</t>
  </si>
  <si>
    <t>GARIBALDINA RIP MAO TIGER CEL 2XS/2XL</t>
  </si>
  <si>
    <t>4101003	GARIB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</si>
  <si>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</si>
  <si>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</si>
  <si>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</si>
  <si>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</si>
  <si>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</si>
  <si>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</si>
  <si>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</si>
  <si>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</si>
  <si>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</si>
  <si>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</si>
  <si>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</si>
  <si>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</si>
  <si>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</si>
  <si>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</si>
  <si>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</si>
  <si>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</si>
  <si>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</si>
  <si>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</si>
  <si>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</si>
  <si>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</si>
  <si>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</si>
  <si>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</si>
  <si>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</si>
  <si>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</si>
  <si>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</si>
  <si>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</si>
  <si>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</si>
  <si>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</si>
  <si>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</si>
  <si>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</si>
  <si>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</si>
  <si>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</si>
  <si>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</si>
  <si>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</si>
  <si>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</si>
  <si>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</si>
  <si>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</si>
  <si>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</si>
  <si>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	CAMIS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</si>
  <si>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</si>
  <si>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</si>
  <si>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</si>
  <si>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</si>
  <si>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</si>
  <si>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</si>
  <si>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	CAMIS</t>
  </si>
  <si>
    <t>4120025</t>
  </si>
  <si>
    <t>CAMISA ML BAT CEL FORR 46/50 RER</t>
  </si>
  <si>
    <t>4120026	CAMIS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</si>
  <si>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</si>
  <si>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</si>
  <si>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</si>
  <si>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</si>
  <si>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</si>
  <si>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</si>
  <si>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	CAMIS</t>
  </si>
  <si>
    <t>4120029</t>
  </si>
  <si>
    <t>CAMISA ML BAT NEG FORR 52/56 RER</t>
  </si>
  <si>
    <t>4120030	CAMIS</t>
  </si>
  <si>
    <t>4120030</t>
  </si>
  <si>
    <t>CAMISA MC DALV ELIMINAR</t>
  </si>
  <si>
    <t>4120031	CAMIS</t>
  </si>
  <si>
    <t>4120031</t>
  </si>
  <si>
    <t>4120032</t>
  </si>
  <si>
    <t>4120033	CAMIS</t>
  </si>
  <si>
    <t>4120033</t>
  </si>
  <si>
    <t>4120035	CAMIS</t>
  </si>
  <si>
    <t>4120035</t>
  </si>
  <si>
    <t>CAMISA MC COMBINADA SARPOL/ESPER 32/44 R</t>
  </si>
  <si>
    <t>4120036	CAMIS</t>
  </si>
  <si>
    <t>4120036</t>
  </si>
  <si>
    <t>CAMISA MC COMBINADA SARPOL/ESPER 46/50 R</t>
  </si>
  <si>
    <t>4120037	CAMIS</t>
  </si>
  <si>
    <t>4120037</t>
  </si>
  <si>
    <t>CAMISA MC COMBINADA SARPOL/ESPER 52/60 R</t>
  </si>
  <si>
    <t>4120038	CAMIS</t>
  </si>
  <si>
    <t>4120038</t>
  </si>
  <si>
    <t>CAMISA MC BAT BLANCA CORBATA 34/44 RER</t>
  </si>
  <si>
    <t>4120039	CAMIS</t>
  </si>
  <si>
    <t>4120039</t>
  </si>
  <si>
    <t>CAMISA MC BAT BLANCA CORBATA 46/50 RER</t>
  </si>
  <si>
    <t>4120040	CAMIS</t>
  </si>
  <si>
    <t>4120040</t>
  </si>
  <si>
    <t>CAMISA MC BAT BLANCA CORBATA 52/56 RER</t>
  </si>
  <si>
    <t>4120041	CAMIS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</si>
  <si>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</si>
  <si>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</si>
  <si>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</si>
  <si>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</si>
  <si>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</si>
  <si>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</si>
  <si>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</si>
  <si>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</si>
  <si>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	CAMIS</t>
  </si>
  <si>
    <t>4120045</t>
  </si>
  <si>
    <t>CAMISA MC BAT GRIS TORC SOLAPA 58/62 RER</t>
  </si>
  <si>
    <t>4120046	CAMIS</t>
  </si>
  <si>
    <t>4120046</t>
  </si>
  <si>
    <t>CAMISA ML COMBINADA SARPOL/ESPERA 32/44</t>
  </si>
  <si>
    <t>4120047	CAMIS</t>
  </si>
  <si>
    <t>4120047</t>
  </si>
  <si>
    <t>CAMISA ML COMBINADA SARPOL/ESPERA 46/50</t>
  </si>
  <si>
    <t>4120048	CAMIS</t>
  </si>
  <si>
    <t>4120048</t>
  </si>
  <si>
    <t>CAMISA ML COMBINADA SARPOL 52/56 RER</t>
  </si>
  <si>
    <t>4120050	CAMIS</t>
  </si>
  <si>
    <t>4120050</t>
  </si>
  <si>
    <t>CAMISA ML TRANSITO GUAYMALLEN RER</t>
  </si>
  <si>
    <t>4120051	CAMIS</t>
  </si>
  <si>
    <t>4120051</t>
  </si>
  <si>
    <t>CAMISA ML DEFENZA CIVIL GUAYMALLEN RER</t>
  </si>
  <si>
    <t>4120052	CAMIS</t>
  </si>
  <si>
    <t>4120052</t>
  </si>
  <si>
    <t>CAMISA ML DEMARCACION VIAL GLLEN RER</t>
  </si>
  <si>
    <t>4120055	CAMIS</t>
  </si>
  <si>
    <t>4120055</t>
  </si>
  <si>
    <t>CAMISA ML GAB ROJA 34/44 RER</t>
  </si>
  <si>
    <t>4120056	CAMIS</t>
  </si>
  <si>
    <t>4120056</t>
  </si>
  <si>
    <t>CAMISA ML GAB ROJA 46/50 RER</t>
  </si>
  <si>
    <t>4120057	CAMIS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</si>
  <si>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</si>
  <si>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</si>
  <si>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</si>
  <si>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</si>
  <si>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</si>
  <si>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</si>
  <si>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</si>
  <si>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</si>
  <si>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</si>
  <si>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</si>
  <si>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</si>
  <si>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</si>
  <si>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</si>
  <si>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</si>
  <si>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</si>
  <si>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</si>
  <si>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	CAMIS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</si>
  <si>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</si>
  <si>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</si>
  <si>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</si>
  <si>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</si>
  <si>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</si>
  <si>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</si>
  <si>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</si>
  <si>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</si>
  <si>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</si>
  <si>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</si>
  <si>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</si>
  <si>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</si>
  <si>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</si>
  <si>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</si>
  <si>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</si>
  <si>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</si>
  <si>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</si>
  <si>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</si>
  <si>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</si>
  <si>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</si>
  <si>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</si>
  <si>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</si>
  <si>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</si>
  <si>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</si>
  <si>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</si>
  <si>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</si>
  <si>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</si>
  <si>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</si>
  <si>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</si>
  <si>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</si>
  <si>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</si>
  <si>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</si>
  <si>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</si>
  <si>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</si>
  <si>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</si>
  <si>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</si>
  <si>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</si>
  <si>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</si>
  <si>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</si>
  <si>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</si>
  <si>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</si>
  <si>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</si>
  <si>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</si>
  <si>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</si>
  <si>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</si>
  <si>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</si>
  <si>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</si>
  <si>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</si>
  <si>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</si>
  <si>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</si>
  <si>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</si>
  <si>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</si>
  <si>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</si>
  <si>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</si>
  <si>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</si>
  <si>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</si>
  <si>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</si>
  <si>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</si>
  <si>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</si>
  <si>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</si>
  <si>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</si>
  <si>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</si>
  <si>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</si>
  <si>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</si>
  <si>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</si>
  <si>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</si>
  <si>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</si>
  <si>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</si>
  <si>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</si>
  <si>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	CAMIS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</si>
  <si>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</si>
  <si>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</si>
  <si>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</si>
  <si>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</si>
  <si>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</si>
  <si>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</si>
  <si>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	CAMIS</t>
  </si>
  <si>
    <t>4120112</t>
  </si>
  <si>
    <t>4120113	CAMIS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</si>
  <si>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</si>
  <si>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</si>
  <si>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</si>
  <si>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</si>
  <si>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</si>
  <si>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</si>
  <si>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</si>
  <si>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</si>
  <si>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</si>
  <si>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</si>
  <si>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</si>
  <si>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	CAMIS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</si>
  <si>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</si>
  <si>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</si>
  <si>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</si>
  <si>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</si>
  <si>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</si>
  <si>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</si>
  <si>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	CAMIS</t>
  </si>
  <si>
    <t>4120138</t>
  </si>
  <si>
    <t>CAMISA MC GAB GR ACEROSPF SOL 34/44 RER</t>
  </si>
  <si>
    <t>4120139	CAMIS</t>
  </si>
  <si>
    <t>4120139</t>
  </si>
  <si>
    <t>CAMISA MC GAB GR ACEROSPF SOL 46/50 RER</t>
  </si>
  <si>
    <t>4120150	CAMIS</t>
  </si>
  <si>
    <t>4120150</t>
  </si>
  <si>
    <t>CAMISA MC BAT BLANCA C ESCUDO 34/44 RER</t>
  </si>
  <si>
    <t>4120151	CAMIS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</si>
  <si>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</si>
  <si>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</si>
  <si>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</si>
  <si>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</si>
  <si>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</si>
  <si>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</si>
  <si>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4120160B</t>
  </si>
  <si>
    <t>CAMISA ML GAB BOMBEROS CUTRAL CO 34/44</t>
  </si>
  <si>
    <t>4120161</t>
  </si>
  <si>
    <t>CAMISA ML GAB BOMBE CUTRAL CO 46/50 RER</t>
  </si>
  <si>
    <t>4120161B	CAMI</t>
  </si>
  <si>
    <t>4120161B</t>
  </si>
  <si>
    <t>CAMISA ML GAB BOMBEROS CUTAL CO 46/50</t>
  </si>
  <si>
    <t>4120162	CAMIS</t>
  </si>
  <si>
    <t>4120162</t>
  </si>
  <si>
    <t>CAMISA ML GAB BOMBE CUTRAL CO 52/56 RER</t>
  </si>
  <si>
    <t>4120200</t>
  </si>
  <si>
    <t>CAMISA MC BAT CEL SIR JONS 34/44 RER</t>
  </si>
  <si>
    <t>4120201	CAMIS</t>
  </si>
  <si>
    <t>4120201</t>
  </si>
  <si>
    <t>CAMISA MC BAT CEL SIR JONS 46/50 RER</t>
  </si>
  <si>
    <t>4120202	CAMIS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</si>
  <si>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</si>
  <si>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</si>
  <si>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</si>
  <si>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</si>
  <si>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</si>
  <si>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</si>
  <si>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</si>
  <si>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</si>
  <si>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</si>
  <si>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</si>
  <si>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</si>
  <si>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</si>
  <si>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</si>
  <si>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</si>
  <si>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</si>
  <si>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</si>
  <si>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</si>
  <si>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	CAMIS</t>
  </si>
  <si>
    <t>4120233</t>
  </si>
  <si>
    <t>CAMISA ML BAT CEL NQN C/ESC 34/44 RER</t>
  </si>
  <si>
    <t>4120234</t>
  </si>
  <si>
    <t>CAMISA ML BAT CEL NQN C/ESC 46/50 RER</t>
  </si>
  <si>
    <t>4120235	CAMIS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</si>
  <si>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</si>
  <si>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</si>
  <si>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</si>
  <si>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</si>
  <si>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</si>
  <si>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</si>
  <si>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</si>
  <si>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</si>
  <si>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</si>
  <si>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</si>
  <si>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</si>
  <si>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</si>
  <si>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</si>
  <si>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</si>
  <si>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	CAMIS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</si>
  <si>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</si>
  <si>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</si>
  <si>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</si>
  <si>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</si>
  <si>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</si>
  <si>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</si>
  <si>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</si>
  <si>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</si>
  <si>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</si>
  <si>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</si>
  <si>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</si>
  <si>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</si>
  <si>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</si>
  <si>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</si>
  <si>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</si>
  <si>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</si>
  <si>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</si>
  <si>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</si>
  <si>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</si>
  <si>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</si>
  <si>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</si>
  <si>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</si>
  <si>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</si>
  <si>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</si>
  <si>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</si>
  <si>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</si>
  <si>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</si>
  <si>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</si>
  <si>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</si>
  <si>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</si>
  <si>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</si>
  <si>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</si>
  <si>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</si>
  <si>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</si>
  <si>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</si>
  <si>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</si>
  <si>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</si>
  <si>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</si>
  <si>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</si>
  <si>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</si>
  <si>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</si>
  <si>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</si>
  <si>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</si>
  <si>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</si>
  <si>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</si>
  <si>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</si>
  <si>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	CAMIS</t>
  </si>
  <si>
    <t>4120352</t>
  </si>
  <si>
    <t>CAMISA ML RIP MIMET VIAL TMAN 52/56 RER</t>
  </si>
  <si>
    <t>4120353	CAMIS</t>
  </si>
  <si>
    <t>4120353</t>
  </si>
  <si>
    <t>CAMISA ML RIP REQUISA 34/44 RER</t>
  </si>
  <si>
    <t>4120354	CAMIS</t>
  </si>
  <si>
    <t>4120354</t>
  </si>
  <si>
    <t>CAMISA ML RIP REQUISA 46/50 RER</t>
  </si>
  <si>
    <t>4120355	CAMIS</t>
  </si>
  <si>
    <t>4120355</t>
  </si>
  <si>
    <t>CAMISA ML RIP REQUISA 52/56 RER</t>
  </si>
  <si>
    <t>4120356	CAMIS</t>
  </si>
  <si>
    <t>4120356</t>
  </si>
  <si>
    <t>CAMISA MC BAT GR TORC CESC SFE 34/44 RER</t>
  </si>
  <si>
    <t>4120357	CAMIS</t>
  </si>
  <si>
    <t>4120357</t>
  </si>
  <si>
    <t>CAMISA MC BAT GR TORC CESC SFE 46/50 RER</t>
  </si>
  <si>
    <t>4120358	CAMIS</t>
  </si>
  <si>
    <t>4120358</t>
  </si>
  <si>
    <t>CAMISA MC BAT GR TORC CESC SFE 52/56 RER</t>
  </si>
  <si>
    <t>4120359	CAMIS</t>
  </si>
  <si>
    <t>4120359</t>
  </si>
  <si>
    <t>CAMISA ML RIP REQUISA 58/62 RER</t>
  </si>
  <si>
    <t>4120400</t>
  </si>
  <si>
    <t>CAMISA MC BAT BLANCA SIR JONS 34/44 RER</t>
  </si>
  <si>
    <t>4120401	CAMIS</t>
  </si>
  <si>
    <t>4120401</t>
  </si>
  <si>
    <t>CAMISA MC BAT BLANCA SIR JONS 46/50 RER</t>
  </si>
  <si>
    <t>4120402	CAMIS</t>
  </si>
  <si>
    <t>4120402</t>
  </si>
  <si>
    <t>CAMISA MC BAT BLANCA SIR JONS 52/56 RER</t>
  </si>
  <si>
    <t>4120418	CAMIS</t>
  </si>
  <si>
    <t>4120418</t>
  </si>
  <si>
    <t>CAMISA ML BAT CELESTE PREMIUM 34/44 RER</t>
  </si>
  <si>
    <t>4120419	CAMIS</t>
  </si>
  <si>
    <t>4120419</t>
  </si>
  <si>
    <t>CAMISA ML BAT CELESTE PREMIUM 46/50 RER</t>
  </si>
  <si>
    <t>4120420	CAMIS</t>
  </si>
  <si>
    <t>4120420</t>
  </si>
  <si>
    <t>CAMISA ML BAT CELESTE PREMIUM 52/56 RER</t>
  </si>
  <si>
    <t>4120421	CAMIS</t>
  </si>
  <si>
    <t>4120421</t>
  </si>
  <si>
    <t>CAMISA ML BAT CELESTE PREMIUM 58/62 RER</t>
  </si>
  <si>
    <t>4120442	CAMIS</t>
  </si>
  <si>
    <t>4120442</t>
  </si>
  <si>
    <t>CAMISA MC RIP VERANO SJ C/ESC 34/44 RER</t>
  </si>
  <si>
    <t>4120443	CAMIS</t>
  </si>
  <si>
    <t>4120443</t>
  </si>
  <si>
    <t>CAMISA MC RIP VERANO SJ C/ESC 46/50 RER</t>
  </si>
  <si>
    <t>4120444</t>
  </si>
  <si>
    <t>CAMISA MC RIP VERANO SJ C/ESC 52/56 RER</t>
  </si>
  <si>
    <t>4120450	CAMIS</t>
  </si>
  <si>
    <t>4120450</t>
  </si>
  <si>
    <t>CAMISA ML RIP TIGER CELESTE 34/44 RER</t>
  </si>
  <si>
    <t>4120451	CAMIS</t>
  </si>
  <si>
    <t>4120451</t>
  </si>
  <si>
    <t>CAMISA ML RIP TIGER CELESTE 46/50 RER</t>
  </si>
  <si>
    <t>4120454	CAMIS</t>
  </si>
  <si>
    <t>4120454</t>
  </si>
  <si>
    <t>CAMISA MC RIP RURAL 34/44 RER</t>
  </si>
  <si>
    <t>4120455	CAMIS</t>
  </si>
  <si>
    <t>4120455</t>
  </si>
  <si>
    <t>CAMISA MC RIP RURAL 46/50 RER</t>
  </si>
  <si>
    <t>4120456	CAMIS</t>
  </si>
  <si>
    <t>4120456</t>
  </si>
  <si>
    <t>CAMISA MC RIP RURAL 52/60 RER</t>
  </si>
  <si>
    <t>4120457	CAMIS</t>
  </si>
  <si>
    <t>4120457</t>
  </si>
  <si>
    <t>CAMISA ML RIP RURAL 34/44 RER</t>
  </si>
  <si>
    <t>4120458	CAMIS</t>
  </si>
  <si>
    <t>4120458</t>
  </si>
  <si>
    <t>CAMISA ML RIP RURAL 46/50 RER</t>
  </si>
  <si>
    <t>4120459	CAMIS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</si>
  <si>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</si>
  <si>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</si>
  <si>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</si>
  <si>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</si>
  <si>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</si>
  <si>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</si>
  <si>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	CAMIS</t>
  </si>
  <si>
    <t>4120462</t>
  </si>
  <si>
    <t>CAMISA ML RIP VERDE 52/56 RER</t>
  </si>
  <si>
    <t>4120464	CAMIS</t>
  </si>
  <si>
    <t>4120464</t>
  </si>
  <si>
    <t>CAMISA MC RIP TIGER CELESTE 34/44 RER</t>
  </si>
  <si>
    <t>4120465	CAMIS</t>
  </si>
  <si>
    <t>4120465</t>
  </si>
  <si>
    <t>CAMISA MC RIP TIGER CELESTE 46/50 RER</t>
  </si>
  <si>
    <t>4120466	CAMIS</t>
  </si>
  <si>
    <t>4120466</t>
  </si>
  <si>
    <t>CAMISA MC RIP TIGER CELESTE 52/56 RER</t>
  </si>
  <si>
    <t>4120467	CAMIS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</si>
  <si>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</si>
  <si>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</si>
  <si>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</si>
  <si>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</si>
  <si>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</si>
  <si>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</si>
  <si>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</si>
  <si>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</si>
  <si>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</si>
  <si>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</si>
  <si>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</si>
  <si>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</si>
  <si>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	CAMIS</t>
  </si>
  <si>
    <t>4120546</t>
  </si>
  <si>
    <t>CAMISA MC BAT CEL SOLAPA 64/68 RER</t>
  </si>
  <si>
    <t>4120549	CAMIS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</si>
  <si>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</si>
  <si>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</si>
  <si>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</si>
  <si>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</si>
  <si>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</si>
  <si>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</si>
  <si>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</si>
  <si>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</si>
  <si>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	CAMIS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</si>
  <si>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</si>
  <si>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</si>
  <si>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</si>
  <si>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</si>
  <si>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</si>
  <si>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</si>
  <si>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</si>
  <si>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</si>
  <si>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</si>
  <si>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</si>
  <si>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</si>
  <si>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</si>
  <si>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	CAMIS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</si>
  <si>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</si>
  <si>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</si>
  <si>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</si>
  <si>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</si>
  <si>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</si>
  <si>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</si>
  <si>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	CAMIS</t>
  </si>
  <si>
    <t>4120674</t>
  </si>
  <si>
    <t>CAMISA MC BAT GRIS CORBATA 52/56 RER</t>
  </si>
  <si>
    <t>4120676	CAMIS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</si>
  <si>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</si>
  <si>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</si>
  <si>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</si>
  <si>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</si>
  <si>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</si>
  <si>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</si>
  <si>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</si>
  <si>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</si>
  <si>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	CAMIS</t>
  </si>
  <si>
    <t>4120750</t>
  </si>
  <si>
    <t>CAMISA ML RIP CAMUFLADA 34/44 RER</t>
  </si>
  <si>
    <t>4120751	CAMIS</t>
  </si>
  <si>
    <t>4120751</t>
  </si>
  <si>
    <t>CAMISA ML RIP CAMUFLADA 46/50 RER</t>
  </si>
  <si>
    <t>4120752	CAMIS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</si>
  <si>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</si>
  <si>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</si>
  <si>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</si>
  <si>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</si>
  <si>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</si>
  <si>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</si>
  <si>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</si>
  <si>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</si>
  <si>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</si>
  <si>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</si>
  <si>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</si>
  <si>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</si>
  <si>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</si>
  <si>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</si>
  <si>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</si>
  <si>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</si>
  <si>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</si>
  <si>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</si>
  <si>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</si>
  <si>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</si>
  <si>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	BOLSA</t>
  </si>
  <si>
    <t>4120813</t>
  </si>
  <si>
    <t>4120845</t>
  </si>
  <si>
    <t>GARIBALDINA RIP MAO EJERCITO 2XS/2XL</t>
  </si>
  <si>
    <t>4120846	GARIB</t>
  </si>
  <si>
    <t>4120846</t>
  </si>
  <si>
    <t>GARIBALDINA MAO RIP EJERCITO 3XL/5XL RER</t>
  </si>
  <si>
    <t>4120850</t>
  </si>
  <si>
    <t>CAMISA ML BAT CELESTE 34/44 RER</t>
  </si>
  <si>
    <t>4120851	CAMIS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</si>
  <si>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</si>
  <si>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</si>
  <si>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</si>
  <si>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</si>
  <si>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</si>
  <si>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</si>
  <si>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</si>
  <si>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</si>
  <si>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</si>
  <si>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</si>
  <si>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</si>
  <si>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</si>
  <si>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</si>
  <si>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</si>
  <si>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</si>
  <si>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</si>
  <si>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</si>
  <si>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</si>
  <si>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	CAMIS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</si>
  <si>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</si>
  <si>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</si>
  <si>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</si>
  <si>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</si>
  <si>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</si>
  <si>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</si>
  <si>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</si>
  <si>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</si>
  <si>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</si>
  <si>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</si>
  <si>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</si>
  <si>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</si>
  <si>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</si>
  <si>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</si>
  <si>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</si>
  <si>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</si>
  <si>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</si>
  <si>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</si>
  <si>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	CAMIS</t>
  </si>
  <si>
    <t>4120911</t>
  </si>
  <si>
    <t>CAMISA ML RIP NEGRA 46/50 RER</t>
  </si>
  <si>
    <t>4120912	CAMIS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</si>
  <si>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</si>
  <si>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</si>
  <si>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</si>
  <si>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</si>
  <si>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</si>
  <si>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</si>
  <si>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</si>
  <si>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</si>
  <si>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</si>
  <si>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</si>
  <si>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	CAMIS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</si>
  <si>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</si>
  <si>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</si>
  <si>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</si>
  <si>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</si>
  <si>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</si>
  <si>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</si>
  <si>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</si>
  <si>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</si>
  <si>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</si>
  <si>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</si>
  <si>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	CAMIS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</si>
  <si>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</si>
  <si>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</si>
  <si>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</si>
  <si>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</si>
  <si>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</si>
  <si>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</si>
  <si>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</si>
  <si>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</si>
  <si>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</si>
  <si>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</si>
  <si>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	CAMIS</t>
  </si>
  <si>
    <t>4120989</t>
  </si>
  <si>
    <t>CAMISA ML BAT NEGRA C/FUELLE 52/56 RER</t>
  </si>
  <si>
    <t>4129001</t>
  </si>
  <si>
    <t>CAMISA ML GAB GRIS PENIT JUJUY RER</t>
  </si>
  <si>
    <t>4130123	CAMIS</t>
  </si>
  <si>
    <t>4130123</t>
  </si>
  <si>
    <t>CAMISA MC BAT BEIGE CON GALON 34/44</t>
  </si>
  <si>
    <t>4130124	CAMIS</t>
  </si>
  <si>
    <t>4130124</t>
  </si>
  <si>
    <t>CAMISA MC BAT BEIGE CON GALON 46/50</t>
  </si>
  <si>
    <t>4130125	CAMIS</t>
  </si>
  <si>
    <t>4130125</t>
  </si>
  <si>
    <t>CAMISA MC BAT BEIGE CON GALON 52/56</t>
  </si>
  <si>
    <t>4130126	CAMIS</t>
  </si>
  <si>
    <t>4130126</t>
  </si>
  <si>
    <t>CAMISA ML BAT BEIGE CON GALON 34/44</t>
  </si>
  <si>
    <t>4130127	CAMIS</t>
  </si>
  <si>
    <t>4130127</t>
  </si>
  <si>
    <t>CAMISA ML BAT BEIGE CON GALON 46/50</t>
  </si>
  <si>
    <t>4130128	CAMIS</t>
  </si>
  <si>
    <t>4130128</t>
  </si>
  <si>
    <t>CAMISA ML BAT BEIGE CON GALON 52/56</t>
  </si>
  <si>
    <t>4130150</t>
  </si>
  <si>
    <t>CAMISA MC BAT BEIGE LMGE 46/50 RER</t>
  </si>
  <si>
    <t>4130151	CAMIS</t>
  </si>
  <si>
    <t>4130151</t>
  </si>
  <si>
    <t>CAMISA MC BAT BEIGE LMGE 52/56 RER</t>
  </si>
  <si>
    <t>4130152</t>
  </si>
  <si>
    <t>CAMISA MC BAT BEIGE LMGE 58/62 RER</t>
  </si>
  <si>
    <t>4130234	CAMIS</t>
  </si>
  <si>
    <t>4130234</t>
  </si>
  <si>
    <t>CAMISA ML GAB VERDE Y CAMUFLAD ELIMINAR</t>
  </si>
  <si>
    <t>4130771</t>
  </si>
  <si>
    <t>CAMISA ML BAT BEIGE LMGE 34/44 RER</t>
  </si>
  <si>
    <t>4130776	CAMIS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</si>
  <si>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</si>
  <si>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</si>
  <si>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</si>
  <si>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</si>
  <si>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</si>
  <si>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</si>
  <si>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	CAMIS</t>
  </si>
  <si>
    <t>4307349</t>
  </si>
  <si>
    <t>CAMISA BLANCA ESCOLAR</t>
  </si>
  <si>
    <t>4829230	ABROJ</t>
  </si>
  <si>
    <t>4829230</t>
  </si>
  <si>
    <t>5</t>
  </si>
  <si>
    <t>GASTOS ADMINISTRATIVO 5 CUOTAS</t>
  </si>
  <si>
    <t>5101001	CAMP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</si>
  <si>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</si>
  <si>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</si>
  <si>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</si>
  <si>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</si>
  <si>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</si>
  <si>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</si>
  <si>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</si>
  <si>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</si>
  <si>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</si>
  <si>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</si>
  <si>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</si>
  <si>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</si>
  <si>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	GARIB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</si>
  <si>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</si>
  <si>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</si>
  <si>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</si>
  <si>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</si>
  <si>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</si>
  <si>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</si>
  <si>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</si>
  <si>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</si>
  <si>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</si>
  <si>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</si>
  <si>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</si>
  <si>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</si>
  <si>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	CAMPE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</si>
  <si>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</si>
  <si>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</si>
  <si>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</si>
  <si>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</si>
  <si>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</si>
  <si>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</si>
  <si>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</si>
  <si>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	CAMPE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</si>
  <si>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</si>
  <si>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</si>
  <si>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</si>
  <si>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</si>
  <si>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</si>
  <si>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</si>
  <si>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	GARIB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</si>
  <si>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</si>
  <si>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</si>
  <si>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</si>
  <si>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</si>
  <si>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</si>
  <si>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</si>
  <si>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</si>
  <si>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</si>
  <si>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</si>
  <si>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</si>
  <si>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	GARIB</t>
  </si>
  <si>
    <t>5101032</t>
  </si>
  <si>
    <t>GARIBALDINA ARMY GAB GRIS 2XS/2XL RER</t>
  </si>
  <si>
    <t>5101033</t>
  </si>
  <si>
    <t>GARIBALDINA JAZAK RIP INFANT 2XS/2XL RER</t>
  </si>
  <si>
    <t>51010331</t>
  </si>
  <si>
    <t>51010332</t>
  </si>
  <si>
    <t>5101034</t>
  </si>
  <si>
    <t>GARIBALDINA JAZAK RIP INFANT 3XL/5XL RER</t>
  </si>
  <si>
    <t>51010347</t>
  </si>
  <si>
    <t>GARIBALDINA RIP JAZAK</t>
  </si>
  <si>
    <t>5101035	GARIB</t>
  </si>
  <si>
    <t>5101035</t>
  </si>
  <si>
    <t>GARIBALDINA JAZAK RIP INFANT 6XL/7XL RER</t>
  </si>
  <si>
    <t>5101036	GARIB</t>
  </si>
  <si>
    <t>5101036</t>
  </si>
  <si>
    <t>GARIBALDINA ARMY GAB AZUL 3XL/5XL RER</t>
  </si>
  <si>
    <t>5101037	GARIB</t>
  </si>
  <si>
    <t>5101037</t>
  </si>
  <si>
    <t>GARIBALDINA ARMY GAB NEGRA 3XL/5XL RER</t>
  </si>
  <si>
    <t>5101038	GARIB</t>
  </si>
  <si>
    <t>5101038</t>
  </si>
  <si>
    <t>GARIBALDINA ARMY GAB GRIS 3XL/4XL RER</t>
  </si>
  <si>
    <t>5101040	GARIB</t>
  </si>
  <si>
    <t>5101040</t>
  </si>
  <si>
    <t>GARIBALDINA JAZAK RIP VIAL T 2XS/2XL RER</t>
  </si>
  <si>
    <t>5101041	GARIB</t>
  </si>
  <si>
    <t>5101041</t>
  </si>
  <si>
    <t>GARIBALDINA JAZAK RIP VIAL T 3XL/5XL RER</t>
  </si>
  <si>
    <t>5101042	GARIB</t>
  </si>
  <si>
    <t>5101042</t>
  </si>
  <si>
    <t>GARIBALDINA JAZAK RIP VIAL T 6XL/7XL RER</t>
  </si>
  <si>
    <t>5101043</t>
  </si>
  <si>
    <t>GARIBALDINA RIP MAO VIAL TUCUMAN 3XS/2XL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</si>
  <si>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</si>
  <si>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</si>
  <si>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</si>
  <si>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</si>
  <si>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</si>
  <si>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</si>
  <si>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</si>
  <si>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</si>
  <si>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</si>
  <si>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</si>
  <si>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</si>
  <si>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</si>
  <si>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	GARIB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</si>
  <si>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</si>
  <si>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</si>
  <si>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</si>
  <si>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</si>
  <si>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</si>
  <si>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</si>
  <si>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</si>
  <si>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510108305</t>
  </si>
  <si>
    <t>CAMP INVEST GRIS XL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</si>
  <si>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</si>
  <si>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</si>
  <si>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</si>
  <si>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</si>
  <si>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</si>
  <si>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</si>
  <si>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</si>
  <si>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</si>
  <si>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</si>
  <si>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</si>
  <si>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	CAMP</t>
  </si>
  <si>
    <t>5101094</t>
  </si>
  <si>
    <t>CAMP SOFT JAYAL NEGRA 3XL/6XL</t>
  </si>
  <si>
    <t>5101100	CAMP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</si>
  <si>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</si>
  <si>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</si>
  <si>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</si>
  <si>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</si>
  <si>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</si>
  <si>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</si>
  <si>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</si>
  <si>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</si>
  <si>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</si>
  <si>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</si>
  <si>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</si>
  <si>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</si>
  <si>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</si>
  <si>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</si>
  <si>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</si>
  <si>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</si>
  <si>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</si>
  <si>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</si>
  <si>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	CAMP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</si>
  <si>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</si>
  <si>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</si>
  <si>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</si>
  <si>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</si>
  <si>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</si>
  <si>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</si>
  <si>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	CAMP</t>
  </si>
  <si>
    <t>5101116</t>
  </si>
  <si>
    <t>CAMP ALPHA MOD B-15 RER</t>
  </si>
  <si>
    <t>5101118	CAMP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</si>
  <si>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</si>
  <si>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</si>
  <si>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</si>
  <si>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</si>
  <si>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</si>
  <si>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</si>
  <si>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	CAMP</t>
  </si>
  <si>
    <t>5101132</t>
  </si>
  <si>
    <t>CAMP ALPHA MJS11132</t>
  </si>
  <si>
    <t>5101133	CAMP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</si>
  <si>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</si>
  <si>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</si>
  <si>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</si>
  <si>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</si>
  <si>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</si>
  <si>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</si>
  <si>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</si>
  <si>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</si>
  <si>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</si>
  <si>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</si>
  <si>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</si>
  <si>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</si>
  <si>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	CAMP</t>
  </si>
  <si>
    <t>5101142</t>
  </si>
  <si>
    <t>CAMP AMERICA SEGURIDAD RER</t>
  </si>
  <si>
    <t>5101145	CAMP</t>
  </si>
  <si>
    <t>5101145</t>
  </si>
  <si>
    <t>CAMP SEG SARPOL VFLUOR CINT 2XS/2XL RER</t>
  </si>
  <si>
    <t>5101146	CAMP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</si>
  <si>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</si>
  <si>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</si>
  <si>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</si>
  <si>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</si>
  <si>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</si>
  <si>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</si>
  <si>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</si>
  <si>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TUNUYAN RER</t>
  </si>
  <si>
    <t>5101150	CAMP</t>
  </si>
  <si>
    <t>5101150</t>
  </si>
  <si>
    <t>CAMP MUNICIP STA FE</t>
  </si>
  <si>
    <t>5101158	GARIB</t>
  </si>
  <si>
    <t>5101158</t>
  </si>
  <si>
    <t>GARIBALDINA ARMY RIP INFANT 2XS/2XL RER</t>
  </si>
  <si>
    <t>5101159	GARIB</t>
  </si>
  <si>
    <t>5101159</t>
  </si>
  <si>
    <t>GARIBALDINA ARMY RIP INFANT 3XL/5XL RER</t>
  </si>
  <si>
    <t>5101165</t>
  </si>
  <si>
    <t>GARIBALDINA MAO RIP DIG ACU 2XS/2XL RER</t>
  </si>
  <si>
    <t>5101166	GARIB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</si>
  <si>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</si>
  <si>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</si>
  <si>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</si>
  <si>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</si>
  <si>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</si>
  <si>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</si>
  <si>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</si>
  <si>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</si>
  <si>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</si>
  <si>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</si>
  <si>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</si>
  <si>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</si>
  <si>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</si>
  <si>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</si>
  <si>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</si>
  <si>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</si>
  <si>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</si>
  <si>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</si>
  <si>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</si>
  <si>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</si>
  <si>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</si>
  <si>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</si>
  <si>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</si>
  <si>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</si>
  <si>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</si>
  <si>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</si>
  <si>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</si>
  <si>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</si>
  <si>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</si>
  <si>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</si>
  <si>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</si>
  <si>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</si>
  <si>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</si>
  <si>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</si>
  <si>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	GARIB</t>
  </si>
  <si>
    <t>5101202</t>
  </si>
  <si>
    <t>GARIBALDINA JAZAK RIP DIGINF 2XS/2XL RER</t>
  </si>
  <si>
    <t>5101203	GARIB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</si>
  <si>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</si>
  <si>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</si>
  <si>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</si>
  <si>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</si>
  <si>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</si>
  <si>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</si>
  <si>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	GARIB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</si>
  <si>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</si>
  <si>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</si>
  <si>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</si>
  <si>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</si>
  <si>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</si>
  <si>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</si>
  <si>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</si>
  <si>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</si>
  <si>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</si>
  <si>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</si>
  <si>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</si>
  <si>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</si>
  <si>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</si>
  <si>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</si>
  <si>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</si>
  <si>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</si>
  <si>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	CAMP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</si>
  <si>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</si>
  <si>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</si>
  <si>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</si>
  <si>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</si>
  <si>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</si>
  <si>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</si>
  <si>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	CAMP.</t>
  </si>
  <si>
    <t>5101239</t>
  </si>
  <si>
    <t>CAMP. AZUL  ESTAMPADA FRIZA DEPORTIVA</t>
  </si>
  <si>
    <t>5101240	CAMP</t>
  </si>
  <si>
    <t>5101240</t>
  </si>
  <si>
    <t>CAMP AZUL FRIZA DEPORTIVA RER</t>
  </si>
  <si>
    <t>5101241	CAMP</t>
  </si>
  <si>
    <t>5101241</t>
  </si>
  <si>
    <t>CAMP ALPHA MJB24000 XXXL</t>
  </si>
  <si>
    <t>5101252	CHALE</t>
  </si>
  <si>
    <t>5101252</t>
  </si>
  <si>
    <t>CHALECO RIP CIENTIFICA RER</t>
  </si>
  <si>
    <t>5101300	CAMP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</si>
  <si>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</si>
  <si>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</si>
  <si>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</si>
  <si>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</si>
  <si>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</si>
  <si>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</si>
  <si>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	CAMP</t>
  </si>
  <si>
    <t>5101311</t>
  </si>
  <si>
    <t>CAMP ALPHA MJN31000 XXXL LUG</t>
  </si>
  <si>
    <t>5101320	CAMP</t>
  </si>
  <si>
    <t>5101320</t>
  </si>
  <si>
    <t>CAMP ALPHA MJN32000</t>
  </si>
  <si>
    <t>5101325</t>
  </si>
  <si>
    <t>CAPA  PONCHO PARA LLUVIA RER</t>
  </si>
  <si>
    <t>5101329	CAMP</t>
  </si>
  <si>
    <t>5101329</t>
  </si>
  <si>
    <t>CAMP ALPHA MJM38029C1 D-TEC 2XL</t>
  </si>
  <si>
    <t>5101330	CAMP</t>
  </si>
  <si>
    <t>5101330</t>
  </si>
  <si>
    <t>CAMP ALPHA MJM38029C1 D-TEC 3XL</t>
  </si>
  <si>
    <t>5101338	CAMP</t>
  </si>
  <si>
    <t>5101338</t>
  </si>
  <si>
    <t>CAMP ALPHA WJD38014C1 DARLA LUG</t>
  </si>
  <si>
    <t>5101340</t>
  </si>
  <si>
    <t>CAMP MJB39000 RER</t>
  </si>
  <si>
    <t>5101341	CAMP</t>
  </si>
  <si>
    <t>5101341</t>
  </si>
  <si>
    <t>CAMP MJB34000 XXL</t>
  </si>
  <si>
    <t>5101342</t>
  </si>
  <si>
    <t>CAMP ALPHA MJB34000 BUBBLE D 3XL RER</t>
  </si>
  <si>
    <t>5101350	CAMP</t>
  </si>
  <si>
    <t>5101350</t>
  </si>
  <si>
    <t>CAMP TERMICO MULTICAM/RIP CUELLO 2XS/2XL</t>
  </si>
  <si>
    <t>5101370	CAMP</t>
  </si>
  <si>
    <t>5101370</t>
  </si>
  <si>
    <t>CAMP TERMICO INFANTER/RIP CUELLO 2XS/2XL</t>
  </si>
  <si>
    <t>5101380	CAMP</t>
  </si>
  <si>
    <t>5101380</t>
  </si>
  <si>
    <t>CAMP ALPHA MJI38016 LUG</t>
  </si>
  <si>
    <t>5101381	CAMP</t>
  </si>
  <si>
    <t>5101381</t>
  </si>
  <si>
    <t>CAMP ALPHA MJI38016 XXL</t>
  </si>
  <si>
    <t>5101382	CAMP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</si>
  <si>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</si>
  <si>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</si>
  <si>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</si>
  <si>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</si>
  <si>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</si>
  <si>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</si>
  <si>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	CAMP</t>
  </si>
  <si>
    <t>5101392</t>
  </si>
  <si>
    <t>CAMP ALPHA MVF4301C1 FEROCITY 3XL</t>
  </si>
  <si>
    <t>5101410	CAMP</t>
  </si>
  <si>
    <t>5101410</t>
  </si>
  <si>
    <t>CAMP TERMICO RURAL/RIP CUELLO 2XS/2XL</t>
  </si>
  <si>
    <t>5101411	CAMP</t>
  </si>
  <si>
    <t>5101411</t>
  </si>
  <si>
    <t>CAMP TERMICO RURAL/RIP CUELLO 3XL/6XL</t>
  </si>
  <si>
    <t>5101437	CAMP</t>
  </si>
  <si>
    <t>5101437</t>
  </si>
  <si>
    <t>CAMP WJA43903C1 ADRIENNE 2XL RER</t>
  </si>
  <si>
    <t>5101438	CAMP</t>
  </si>
  <si>
    <t>5101438</t>
  </si>
  <si>
    <t>CAMP WJA43903C1 ADRIENNE XS/XL RER</t>
  </si>
  <si>
    <t>5101439</t>
  </si>
  <si>
    <t>CAMP ALPHA MJI43910C1 LUG</t>
  </si>
  <si>
    <t>5101440	CAMP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</si>
  <si>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</si>
  <si>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</si>
  <si>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</si>
  <si>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</si>
  <si>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</si>
  <si>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</si>
  <si>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	CAMP</t>
  </si>
  <si>
    <t>5101446</t>
  </si>
  <si>
    <t>CAMP ALPHA MJS44507C1 STABILIZER LUG</t>
  </si>
  <si>
    <t>5101447	CAMP</t>
  </si>
  <si>
    <t>5101447</t>
  </si>
  <si>
    <t>CAMP ALPHA MJS44507C1 STABILIZER2X LUG</t>
  </si>
  <si>
    <t>5101448	CAMP</t>
  </si>
  <si>
    <t>5101448</t>
  </si>
  <si>
    <t>CAMP ALPHA MJN441C1 N-B2 SONIC 2XL LUG</t>
  </si>
  <si>
    <t>5101456	GARIB</t>
  </si>
  <si>
    <t>5101456</t>
  </si>
  <si>
    <t>GARIBALDINA MAO RIP TIGER VE 2XS/2XL RER</t>
  </si>
  <si>
    <t>5101457	GARIB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</si>
  <si>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</si>
  <si>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</si>
  <si>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</si>
  <si>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</si>
  <si>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</si>
  <si>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</si>
  <si>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	GARIB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</si>
  <si>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</si>
  <si>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</si>
  <si>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</si>
  <si>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</si>
  <si>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</si>
  <si>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</si>
  <si>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	GARIB</t>
  </si>
  <si>
    <t>5101502</t>
  </si>
  <si>
    <t>GARIBALDINA JAZAK RIP AZUL 6XL/7XL RER</t>
  </si>
  <si>
    <t>5101503	GARIB</t>
  </si>
  <si>
    <t>5101503</t>
  </si>
  <si>
    <t>GARIBALDINA JAZAK RIP BEIGE 2XS/2XL RER</t>
  </si>
  <si>
    <t>5101504	GARIB</t>
  </si>
  <si>
    <t>5101504</t>
  </si>
  <si>
    <t>GARIBALDINA JAZAK RIP BEIGE 3XL/6XL RER</t>
  </si>
  <si>
    <t>5101505	GARIB</t>
  </si>
  <si>
    <t>5101505</t>
  </si>
  <si>
    <t>GARIBALDINA JAZAK RIP GRIS 2XS/2XL RER</t>
  </si>
  <si>
    <t>5101506	GARIB</t>
  </si>
  <si>
    <t>5101506</t>
  </si>
  <si>
    <t>GARIBALDINA JAZAK RIP GRIS 3XL/5XL RER</t>
  </si>
  <si>
    <t>5101507	GARIB</t>
  </si>
  <si>
    <t>5101507</t>
  </si>
  <si>
    <t>GARIBALDINA JAZAK RIP NEGRA 2XS/2XL RER</t>
  </si>
  <si>
    <t>5101508	GARIB</t>
  </si>
  <si>
    <t>5101508</t>
  </si>
  <si>
    <t>GARIBALDINA JAZAK RIP NEGRA 3XL/5XL RER</t>
  </si>
  <si>
    <t>5101509	GARIB</t>
  </si>
  <si>
    <t>5101509</t>
  </si>
  <si>
    <t>GARIBALDINA JAZAK RIP NEGRA 6XL/7XL RER</t>
  </si>
  <si>
    <t>5101510	GARIB</t>
  </si>
  <si>
    <t>5101510</t>
  </si>
  <si>
    <t>GARIBALDINA JAZAK RIP REQUIS 2XS/2XL RER</t>
  </si>
  <si>
    <t>5101511	GARIB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</si>
  <si>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</si>
  <si>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</si>
  <si>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</si>
  <si>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</si>
  <si>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</si>
  <si>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</si>
  <si>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</si>
  <si>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</si>
  <si>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</si>
  <si>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	CAMP</t>
  </si>
  <si>
    <t>5101560</t>
  </si>
  <si>
    <t>5101561</t>
  </si>
  <si>
    <t>5101562	CAMP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</si>
  <si>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</si>
  <si>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</si>
  <si>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</si>
  <si>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</si>
  <si>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</si>
  <si>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</si>
  <si>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</si>
  <si>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</si>
  <si>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</si>
  <si>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</si>
  <si>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</si>
  <si>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</si>
  <si>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	CAMP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</si>
  <si>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</si>
  <si>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</si>
  <si>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</si>
  <si>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</si>
  <si>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</si>
  <si>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</si>
  <si>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</si>
  <si>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</si>
  <si>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</si>
  <si>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</si>
  <si>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</si>
  <si>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</si>
  <si>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	CHALE</t>
  </si>
  <si>
    <t>5101626</t>
  </si>
  <si>
    <t>CHALECO FLUOR SARPOL RER</t>
  </si>
  <si>
    <t>5101628</t>
  </si>
  <si>
    <t>5101654</t>
  </si>
  <si>
    <t>GARIBALDINA MAO RIP REQUISA 2XS/2XL RER</t>
  </si>
  <si>
    <t>5101655	GARIB</t>
  </si>
  <si>
    <t>5101655</t>
  </si>
  <si>
    <t>GARIBALDINA MAO RIP REQUISA 3XL/5XL RER</t>
  </si>
  <si>
    <t>5101666</t>
  </si>
  <si>
    <t>CAMP PALMAJ CIENTIFICA RER</t>
  </si>
  <si>
    <t>5101680	CAMP</t>
  </si>
  <si>
    <t>5101680</t>
  </si>
  <si>
    <t>CAMP GAB MARRON CON GALON 2XS/2XL RER</t>
  </si>
  <si>
    <t>5101681	CAMP</t>
  </si>
  <si>
    <t>5101681</t>
  </si>
  <si>
    <t>CAMP GAB MARRON CON GALON 3XL/4XL</t>
  </si>
  <si>
    <t>51017300</t>
  </si>
  <si>
    <t>CHALECO CRUZAAD CON REFLECTIVO</t>
  </si>
  <si>
    <t>5101750</t>
  </si>
  <si>
    <t>CAMP CORTA CUELLO DESMONT GRIS EM</t>
  </si>
  <si>
    <t>5101753</t>
  </si>
  <si>
    <t>GARIBALDINA ARMY RIP NE ABRG 2XS/2XL RER</t>
  </si>
  <si>
    <t>5101754	GARIB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</si>
  <si>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</si>
  <si>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</si>
  <si>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</si>
  <si>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</si>
  <si>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</si>
  <si>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</si>
  <si>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</si>
  <si>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</si>
  <si>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	CAMP</t>
  </si>
  <si>
    <t>5101799</t>
  </si>
  <si>
    <t>CAMP ARMY AZUL/NEGRA RER</t>
  </si>
  <si>
    <t>5101802	CAMP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</si>
  <si>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</si>
  <si>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</si>
  <si>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</si>
  <si>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</si>
  <si>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</si>
  <si>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</si>
  <si>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</si>
  <si>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</si>
  <si>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</si>
  <si>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</si>
  <si>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</si>
  <si>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</si>
  <si>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</si>
  <si>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</si>
  <si>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</si>
  <si>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</si>
  <si>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</si>
  <si>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</si>
  <si>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</si>
  <si>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</si>
  <si>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	GARIB</t>
  </si>
  <si>
    <t>5101870</t>
  </si>
  <si>
    <t>GARIBALDINA MAO RIP MULTICAM BLACK 2XS/2</t>
  </si>
  <si>
    <t>5101871	GARIB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</si>
  <si>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</si>
  <si>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</si>
  <si>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</si>
  <si>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</si>
  <si>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</si>
  <si>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</si>
  <si>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</si>
  <si>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</si>
  <si>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</si>
  <si>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</si>
  <si>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</si>
  <si>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</si>
  <si>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</si>
  <si>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</si>
  <si>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	GARIB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</si>
  <si>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</si>
  <si>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</si>
  <si>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</si>
  <si>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</si>
  <si>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</si>
  <si>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</si>
  <si>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	GARIB</t>
  </si>
  <si>
    <t>5101882</t>
  </si>
  <si>
    <t>GARIBALDINA ARMY RIP MIME 2COL GR 3XL/5X</t>
  </si>
  <si>
    <t>5101883</t>
  </si>
  <si>
    <t>GARIBALDINA MAO RIP MIM RURA 3XL/5XL RER</t>
  </si>
  <si>
    <t>5101884	GARIB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</si>
  <si>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</si>
  <si>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</si>
  <si>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</si>
  <si>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</si>
  <si>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</si>
  <si>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</si>
  <si>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	GARIB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</si>
  <si>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</si>
  <si>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</si>
  <si>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</si>
  <si>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</si>
  <si>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</si>
  <si>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</si>
  <si>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</si>
  <si>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</si>
  <si>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</si>
  <si>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</si>
  <si>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</si>
  <si>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</si>
  <si>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</si>
  <si>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</si>
  <si>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</si>
  <si>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</si>
  <si>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</si>
  <si>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</si>
  <si>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</si>
  <si>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</si>
  <si>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</si>
  <si>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</si>
  <si>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	CAMP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</si>
  <si>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</si>
  <si>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</si>
  <si>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</si>
  <si>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</si>
  <si>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</si>
  <si>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</si>
  <si>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	CAMP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</si>
  <si>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</si>
  <si>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</si>
  <si>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</si>
  <si>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</si>
  <si>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</si>
  <si>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</si>
  <si>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</si>
  <si>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</si>
  <si>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</si>
  <si>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</si>
  <si>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	CAMP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</si>
  <si>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</si>
  <si>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</si>
  <si>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</si>
  <si>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</si>
  <si>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</si>
  <si>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</si>
  <si>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</si>
  <si>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</si>
  <si>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</si>
  <si>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</si>
  <si>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	GARIB</t>
  </si>
  <si>
    <t>5101929</t>
  </si>
  <si>
    <t>GARIBALDINA RIP MAO INFANT 2XL/5XL</t>
  </si>
  <si>
    <t>5101951</t>
  </si>
  <si>
    <t>GARIBALDINA ARMY RIP AZ ABRG 2XS/2XL RER</t>
  </si>
  <si>
    <t>5101952	GARIB</t>
  </si>
  <si>
    <t>5101952</t>
  </si>
  <si>
    <t>GARIBALDINA RIP CLA AZ OFERTA L</t>
  </si>
  <si>
    <t>5101954	GARIB</t>
  </si>
  <si>
    <t>5101954</t>
  </si>
  <si>
    <t>GARIBALDINA ARMY RIP AZ ABRG 3XL/6XL RER</t>
  </si>
  <si>
    <t>5101955	GARIB</t>
  </si>
  <si>
    <t>5101955</t>
  </si>
  <si>
    <t>GARIBALDINA RIP VIAL TUC CUELLO ARMY</t>
  </si>
  <si>
    <t>5101969	CAMP</t>
  </si>
  <si>
    <t>5101969</t>
  </si>
  <si>
    <t>CAMP SEARCH AND DESTROY HOODIE RER</t>
  </si>
  <si>
    <t>5101979	CAMP</t>
  </si>
  <si>
    <t>5101979</t>
  </si>
  <si>
    <t>5101985</t>
  </si>
  <si>
    <t>CAMP INVEST AZUL RER</t>
  </si>
  <si>
    <t>5101986</t>
  </si>
  <si>
    <t>CAMP INVEST AZUL T.E. 3XL/4XL RER</t>
  </si>
  <si>
    <t>5101989	CAMP</t>
  </si>
  <si>
    <t>5101989</t>
  </si>
  <si>
    <t>CAMP UNITED ZIP HOODIE RER</t>
  </si>
  <si>
    <t>5101990	CAMP</t>
  </si>
  <si>
    <t>5101990</t>
  </si>
  <si>
    <t>5101998</t>
  </si>
  <si>
    <t>CAMP PALMAJ AZUL 3XL/4XL RER</t>
  </si>
  <si>
    <t>5101999</t>
  </si>
  <si>
    <t>CAMP PALMAJ AZUL 3XS/2XL RER</t>
  </si>
  <si>
    <t>510199907</t>
  </si>
  <si>
    <t>CAMP PALMAJ AZUL 3XL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</si>
  <si>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</si>
  <si>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</si>
  <si>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</si>
  <si>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</si>
  <si>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</si>
  <si>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</si>
  <si>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	CHALE</t>
  </si>
  <si>
    <t>5102249</t>
  </si>
  <si>
    <t>CHALECO CARRIER CON PORTA ELEMENTOS</t>
  </si>
  <si>
    <t>5103444	CHALE</t>
  </si>
  <si>
    <t>5103444</t>
  </si>
  <si>
    <t>CHALECO GAB. NEGRA POL. INVEST. RER</t>
  </si>
  <si>
    <t>5103555	CHALE</t>
  </si>
  <si>
    <t>5103555</t>
  </si>
  <si>
    <t>CHALECO GAB. NEGRA POL. INVEST. BORDADO</t>
  </si>
  <si>
    <t>520111</t>
  </si>
  <si>
    <t>5320000	CASAC</t>
  </si>
  <si>
    <t>5320000</t>
  </si>
  <si>
    <t>CASACA DAMA PROFESIONAL RER</t>
  </si>
  <si>
    <t>5320027	CHAQU</t>
  </si>
  <si>
    <t>5320027</t>
  </si>
  <si>
    <t>CHAQUETILLA DE PAÑO AZUL LMGE</t>
  </si>
  <si>
    <t>5320151	CHAQU</t>
  </si>
  <si>
    <t>5320151</t>
  </si>
  <si>
    <t>CHAQUETILLA BLANCA RER</t>
  </si>
  <si>
    <t>5320787</t>
  </si>
  <si>
    <t>CHAQUETILLA POLICIA/PENIT 176N0110 FC</t>
  </si>
  <si>
    <t>5330000	CHAQU</t>
  </si>
  <si>
    <t>5330000</t>
  </si>
  <si>
    <t>CHAQUETILLA GN RER</t>
  </si>
  <si>
    <t>5610102</t>
  </si>
  <si>
    <t>BICI ELECTRICA ROBSTEP 4.4 BLUE E-BIKE</t>
  </si>
  <si>
    <t>5610201	BICI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</si>
  <si>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</si>
  <si>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</si>
  <si>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</si>
  <si>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</si>
  <si>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</si>
  <si>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</si>
  <si>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</si>
  <si>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</si>
  <si>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</si>
  <si>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	MANOP</t>
  </si>
  <si>
    <t>5919222</t>
  </si>
  <si>
    <t>MANOPLA NEGRA RER</t>
  </si>
  <si>
    <t>5919223	MANOP</t>
  </si>
  <si>
    <t>5919223</t>
  </si>
  <si>
    <t>MANOPLA C/ NAVAJA LUG</t>
  </si>
  <si>
    <t>5919321	PUNIA</t>
  </si>
  <si>
    <t>5919321</t>
  </si>
  <si>
    <t>PUNIAL ANTEBRAZO C ABROJO RER</t>
  </si>
  <si>
    <t>5919325</t>
  </si>
  <si>
    <t>MANOPLA ROMPEVIDRIOS RER</t>
  </si>
  <si>
    <t>6</t>
  </si>
  <si>
    <t>6000003	COMBO</t>
  </si>
  <si>
    <t>6000003</t>
  </si>
  <si>
    <t>COMBO BOMB AMER GAB AZUL + CINTO INTERNO</t>
  </si>
  <si>
    <t>6000004	COMBO</t>
  </si>
  <si>
    <t>6000004</t>
  </si>
  <si>
    <t>COMBO BOMB. AMER GAB AZUL + CINTO INTERN</t>
  </si>
  <si>
    <t>6000005	COMBO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</si>
  <si>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</si>
  <si>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</si>
  <si>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</si>
  <si>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</si>
  <si>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</si>
  <si>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</si>
  <si>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</si>
  <si>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</si>
  <si>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</si>
  <si>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</si>
  <si>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</si>
  <si>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</si>
  <si>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</si>
  <si>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</si>
  <si>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</si>
  <si>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</si>
  <si>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</si>
  <si>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</si>
  <si>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</si>
  <si>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	COMBO</t>
  </si>
  <si>
    <t>6000100</t>
  </si>
  <si>
    <t>COMBO MOCHILA PATRULLA + CARPA 3 PERSONA</t>
  </si>
  <si>
    <t>6000129	COMBO</t>
  </si>
  <si>
    <t>6000129</t>
  </si>
  <si>
    <t>COMBO QUEPI CASQ. NEGRO RIP + BANDERA AR</t>
  </si>
  <si>
    <t>6000130	COMBO</t>
  </si>
  <si>
    <t>6000130</t>
  </si>
  <si>
    <t>COMBO QUEPI CASQ. AZUL + BANDERA ARG.</t>
  </si>
  <si>
    <t>6000301	COMBO</t>
  </si>
  <si>
    <t>6000301</t>
  </si>
  <si>
    <t>COMBO NAVAJA SPIDER COL. + PORTA CARG. S</t>
  </si>
  <si>
    <t>6000551	COMBO</t>
  </si>
  <si>
    <t>6000551</t>
  </si>
  <si>
    <t>COMBO CORREAJE POLICIAL COMPLETO</t>
  </si>
  <si>
    <t>6000552	COMBO</t>
  </si>
  <si>
    <t>6000552</t>
  </si>
  <si>
    <t>COMBO PORTA ESP TERMO + ESPOSAS GANCHO</t>
  </si>
  <si>
    <t>6000852	COMBO</t>
  </si>
  <si>
    <t>6000852</t>
  </si>
  <si>
    <t>COMBO GARIBALDINA RIP MAO AZUL + PORTAES</t>
  </si>
  <si>
    <t>6000853	COMBO</t>
  </si>
  <si>
    <t>6000853</t>
  </si>
  <si>
    <t>COMBO GAR. AZUL RIP 3XL/5XL + PORTAESPOS</t>
  </si>
  <si>
    <t>6000855	COMBO</t>
  </si>
  <si>
    <t>6000855</t>
  </si>
  <si>
    <t>6000856	COMBO</t>
  </si>
  <si>
    <t>6000856</t>
  </si>
  <si>
    <t>COMBO GAR. GRIS RIP 3XL/5XL+ PORTAESP</t>
  </si>
  <si>
    <t>6000863	COMBO</t>
  </si>
  <si>
    <t>6000863</t>
  </si>
  <si>
    <t>COMBO GARIBALDINA RIP MAO NEGRA + PORTAE</t>
  </si>
  <si>
    <t>6000864	COMBO</t>
  </si>
  <si>
    <t>6000864</t>
  </si>
  <si>
    <t>COMBO GAR. NEGRA RIP 3XL/5XL+ PORTAESPOS</t>
  </si>
  <si>
    <t>6000999	COMBO</t>
  </si>
  <si>
    <t>6000999</t>
  </si>
  <si>
    <t>COMBO CHALECO MAGAL + LINTERNA A LED</t>
  </si>
  <si>
    <t>6001001	PACK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</si>
  <si>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</si>
  <si>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</si>
  <si>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</si>
  <si>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</si>
  <si>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</si>
  <si>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</si>
  <si>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</si>
  <si>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</si>
  <si>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	PACK</t>
  </si>
  <si>
    <t>6001265</t>
  </si>
  <si>
    <t>PACK LINT.X 12 A PILAS AAA LES (8520265)</t>
  </si>
  <si>
    <t>6001266	PACK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</si>
  <si>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</si>
  <si>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</si>
  <si>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</si>
  <si>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</si>
  <si>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</si>
  <si>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</si>
  <si>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	PACK</t>
  </si>
  <si>
    <t>6001946</t>
  </si>
  <si>
    <t>PACK LINT.X12 LED TACT. USB (8520946)</t>
  </si>
  <si>
    <t>6001947	PACK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</si>
  <si>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</si>
  <si>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</si>
  <si>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</si>
  <si>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</si>
  <si>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</si>
  <si>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</si>
  <si>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</si>
  <si>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</si>
  <si>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</si>
  <si>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</si>
  <si>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</si>
  <si>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</si>
  <si>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	BERMU</t>
  </si>
  <si>
    <t>6401901</t>
  </si>
  <si>
    <t>BERMUDA CARGO GAB NEGRA 50/54 RER</t>
  </si>
  <si>
    <t>6401902	BERMU</t>
  </si>
  <si>
    <t>6401902</t>
  </si>
  <si>
    <t>BERMUDA CARGO GAB NEGRA 56/60 RER</t>
  </si>
  <si>
    <t>6402000	PAÑUE</t>
  </si>
  <si>
    <t>6402000</t>
  </si>
  <si>
    <t>PAÑUELO RER</t>
  </si>
  <si>
    <t>7203001	PINTO</t>
  </si>
  <si>
    <t>7203001</t>
  </si>
  <si>
    <t>PINTORCITO LMGE AZUL RER</t>
  </si>
  <si>
    <t>7203002</t>
  </si>
  <si>
    <t>PINTORCITO LMGE VERDE RER</t>
  </si>
  <si>
    <t>7700022	METAL</t>
  </si>
  <si>
    <t>7700022</t>
  </si>
  <si>
    <t>METAL CHAPA DE INVESTIGACIONES</t>
  </si>
  <si>
    <t>7700090	INSIG</t>
  </si>
  <si>
    <t>7700090</t>
  </si>
  <si>
    <t>INSIG NEGRA CABO  P/COLGAR</t>
  </si>
  <si>
    <t>7700091	INSIG</t>
  </si>
  <si>
    <t>7700091</t>
  </si>
  <si>
    <t>INSIG NEGRA CABO 1RO P/COLGAR</t>
  </si>
  <si>
    <t>7700092	INSIG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</si>
  <si>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</si>
  <si>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</si>
  <si>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</si>
  <si>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</si>
  <si>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</si>
  <si>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</si>
  <si>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	INSIG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</si>
  <si>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</si>
  <si>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</si>
  <si>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</si>
  <si>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</si>
  <si>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</si>
  <si>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</si>
  <si>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</si>
  <si>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</si>
  <si>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</si>
  <si>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</si>
  <si>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</si>
  <si>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</si>
  <si>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</si>
  <si>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</si>
  <si>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</si>
  <si>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</si>
  <si>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</si>
  <si>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</si>
  <si>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</si>
  <si>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</si>
  <si>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</si>
  <si>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</si>
  <si>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</si>
  <si>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</si>
  <si>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</si>
  <si>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</si>
  <si>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</si>
  <si>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</si>
  <si>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</si>
  <si>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</si>
  <si>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</si>
  <si>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</si>
  <si>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	INSIG</t>
  </si>
  <si>
    <t>7700220</t>
  </si>
  <si>
    <t>INSIG BORD AZUL S OFICIAL PPAL CHAQT RER</t>
  </si>
  <si>
    <t>7700302	INSIG</t>
  </si>
  <si>
    <t>7700302</t>
  </si>
  <si>
    <t>INSIG VERDE CABO PRIMERO GN PARA COL RER</t>
  </si>
  <si>
    <t>7700303	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</si>
  <si>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</si>
  <si>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</si>
  <si>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</si>
  <si>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</si>
  <si>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</si>
  <si>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</si>
  <si>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</si>
  <si>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</si>
  <si>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</si>
  <si>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</si>
  <si>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</si>
  <si>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</si>
  <si>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</si>
  <si>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</si>
  <si>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</si>
  <si>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</si>
  <si>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</si>
  <si>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</si>
  <si>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</si>
  <si>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</si>
  <si>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</si>
  <si>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</si>
  <si>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</si>
  <si>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</si>
  <si>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</si>
  <si>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</si>
  <si>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</si>
  <si>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</si>
  <si>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	INSIG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</si>
  <si>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</si>
  <si>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</si>
  <si>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</si>
  <si>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</si>
  <si>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</si>
  <si>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</si>
  <si>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</si>
  <si>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</si>
  <si>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</si>
  <si>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</si>
  <si>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</si>
  <si>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</si>
  <si>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</si>
  <si>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</si>
  <si>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</si>
  <si>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</si>
  <si>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</si>
  <si>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</si>
  <si>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	INSIG</t>
  </si>
  <si>
    <t>7700509</t>
  </si>
  <si>
    <t>INSIG ROJA SUBOF MAY P/COLGAR</t>
  </si>
  <si>
    <t>7700601	INSIG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</si>
  <si>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</si>
  <si>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</si>
  <si>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</si>
  <si>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</si>
  <si>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</si>
  <si>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</si>
  <si>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</si>
  <si>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</si>
  <si>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</si>
  <si>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</si>
  <si>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</si>
  <si>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</si>
  <si>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</si>
  <si>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</si>
  <si>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	INSIG</t>
  </si>
  <si>
    <t>7700650</t>
  </si>
  <si>
    <t>INSIG BI SUB ADJUTOR PENIT</t>
  </si>
  <si>
    <t>7700651	INSIG</t>
  </si>
  <si>
    <t>7700651</t>
  </si>
  <si>
    <t>INSIG BI ADJUTOR PENIT</t>
  </si>
  <si>
    <t>7700652	INSIG</t>
  </si>
  <si>
    <t>7700652</t>
  </si>
  <si>
    <t>INSIG BI ADJUTOR PRINCIPAL PENIT</t>
  </si>
  <si>
    <t>7700653	INSIG</t>
  </si>
  <si>
    <t>7700653</t>
  </si>
  <si>
    <t>INSIG BI SUB ALCAIDE PENIT</t>
  </si>
  <si>
    <t>7700654	INSIG</t>
  </si>
  <si>
    <t>7700654</t>
  </si>
  <si>
    <t>INSIG BI ALCAIDE PENIT</t>
  </si>
  <si>
    <t>7700655	INSIG</t>
  </si>
  <si>
    <t>7700655</t>
  </si>
  <si>
    <t>INSIG BI ALCAIDE MAYOR PENIT</t>
  </si>
  <si>
    <t>7700656</t>
  </si>
  <si>
    <t>INSIG BI SUB PREFECTO PENIT</t>
  </si>
  <si>
    <t>7700657	INSIG</t>
  </si>
  <si>
    <t>7700657</t>
  </si>
  <si>
    <t>INSIG BI PREFECTO 2 SOLES PALM/SERR PENI</t>
  </si>
  <si>
    <t>7700658	INSIG</t>
  </si>
  <si>
    <t>7700658</t>
  </si>
  <si>
    <t>INSIG BI PREFECTO GRAL 3 SOLES PENIT</t>
  </si>
  <si>
    <t>7700700	INSIG</t>
  </si>
  <si>
    <t>7700700</t>
  </si>
  <si>
    <t>INSIG BLANCA SARGENTO P/COLGAR RER</t>
  </si>
  <si>
    <t>7700701	INSIG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</si>
  <si>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</si>
  <si>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</si>
  <si>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</si>
  <si>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</si>
  <si>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</si>
  <si>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</si>
  <si>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	INSIG</t>
  </si>
  <si>
    <t>7700901</t>
  </si>
  <si>
    <t>INSIG LMGE EL PAR DE ABROJO 2DO ANIO RER</t>
  </si>
  <si>
    <t>7700902	INSIG</t>
  </si>
  <si>
    <t>7700902</t>
  </si>
  <si>
    <t>INSIG LMGE EL PAR ABROJO 3ER ANIO RER</t>
  </si>
  <si>
    <t>7700903	INSIG</t>
  </si>
  <si>
    <t>7700903</t>
  </si>
  <si>
    <t>INSIG LMGE EL PAR DE ARBOJO 3ER ANIO RER</t>
  </si>
  <si>
    <t>7700904	INSIG</t>
  </si>
  <si>
    <t>7700904</t>
  </si>
  <si>
    <t>INSIG LMGE EL PAR DE ABROJO 4TO ANIO RER</t>
  </si>
  <si>
    <t>7700905	INSIG</t>
  </si>
  <si>
    <t>7700905</t>
  </si>
  <si>
    <t>INSIG LMGE EL PAR DE ABROJO 5TO ANIO RER</t>
  </si>
  <si>
    <t>7700906	INSIG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</si>
  <si>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</si>
  <si>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</si>
  <si>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</si>
  <si>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</si>
  <si>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</si>
  <si>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</si>
  <si>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	CINTA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</si>
  <si>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</si>
  <si>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</si>
  <si>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</si>
  <si>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</si>
  <si>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</si>
  <si>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</si>
  <si>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	CINTA</t>
  </si>
  <si>
    <t>7701100</t>
  </si>
  <si>
    <t>CINTA DE EMBALAR IMP</t>
  </si>
  <si>
    <t>7701101	CINTA</t>
  </si>
  <si>
    <t>7701101</t>
  </si>
  <si>
    <t>CINTA CAMUFLAJE P ENMASCARAR RER</t>
  </si>
  <si>
    <t>7701102	INSIG</t>
  </si>
  <si>
    <t>7701102</t>
  </si>
  <si>
    <t>INSIG GOMA NEGRA CABO 1RO COLGAR RER</t>
  </si>
  <si>
    <t>7701103	INSIG</t>
  </si>
  <si>
    <t>7701103</t>
  </si>
  <si>
    <t>INSIG GOMA NEGRA SARGENTO COLGAR RER</t>
  </si>
  <si>
    <t>7701104</t>
  </si>
  <si>
    <t>INSIG GOMA NEGRA CABO RER</t>
  </si>
  <si>
    <t>7701105	CINTA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</si>
  <si>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</si>
  <si>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</si>
  <si>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</si>
  <si>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</si>
  <si>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</si>
  <si>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</si>
  <si>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	CINTA</t>
  </si>
  <si>
    <t>7701200</t>
  </si>
  <si>
    <t>CINTA REFLECTIVA</t>
  </si>
  <si>
    <t>7701201	CINTA</t>
  </si>
  <si>
    <t>7701201</t>
  </si>
  <si>
    <t>CINTA REFLECTIVA 655</t>
  </si>
  <si>
    <t>7701202	CINTA</t>
  </si>
  <si>
    <t>7701202</t>
  </si>
  <si>
    <t>CINTA REFLECTIVA RAYADO DIAGONAL</t>
  </si>
  <si>
    <t>7701203	CINTA</t>
  </si>
  <si>
    <t>7701203</t>
  </si>
  <si>
    <t>CINTA CUADRICULADA AZ/BL</t>
  </si>
  <si>
    <t>7701394	CINTA</t>
  </si>
  <si>
    <t xml:space="preserve">5 IMP	0		</t>
  </si>
  <si>
    <t>7701394</t>
  </si>
  <si>
    <t>CINTA REFLECT TEXTIL CUADROS 5CM10,5 IMP</t>
  </si>
  <si>
    <t>7701397	CINTA</t>
  </si>
  <si>
    <t>7701397</t>
  </si>
  <si>
    <t>CINTA REFLECT TEXTIL TRANFER BAS PLA IMP</t>
  </si>
  <si>
    <t>7701655	CINTA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</si>
  <si>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</si>
  <si>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</si>
  <si>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</si>
  <si>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</si>
  <si>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</si>
  <si>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</si>
  <si>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	HOMB</t>
  </si>
  <si>
    <t>7703003</t>
  </si>
  <si>
    <t>HOMB PENITENCIARIA NEGRA</t>
  </si>
  <si>
    <t>7703004	HOMB</t>
  </si>
  <si>
    <t>7703004</t>
  </si>
  <si>
    <t>HOMB ORO SERRETA SIN ROMBO DG</t>
  </si>
  <si>
    <t>7703005	HOMB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</si>
  <si>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</si>
  <si>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</si>
  <si>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</si>
  <si>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</si>
  <si>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</si>
  <si>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</si>
  <si>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</si>
  <si>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</si>
  <si>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</si>
  <si>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</si>
  <si>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</si>
  <si>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</si>
  <si>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</si>
  <si>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</si>
  <si>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	HOMBR</t>
  </si>
  <si>
    <t>7703025</t>
  </si>
  <si>
    <t>HOMBRERA GRIS TOPO PENIT SUB OF MAY RER</t>
  </si>
  <si>
    <t>7703026	HOMBR</t>
  </si>
  <si>
    <t>7703026</t>
  </si>
  <si>
    <t>HOMBRERA GRIS TOPO PENIT 3 ESTRELLAS NE</t>
  </si>
  <si>
    <t>7703029	HOMB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</si>
  <si>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</si>
  <si>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</si>
  <si>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</si>
  <si>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</si>
  <si>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</si>
  <si>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</si>
  <si>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	HOMB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</si>
  <si>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</si>
  <si>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</si>
  <si>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</si>
  <si>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</si>
  <si>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</si>
  <si>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</si>
  <si>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</si>
  <si>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</si>
  <si>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</si>
  <si>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</si>
  <si>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</si>
  <si>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</si>
  <si>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</si>
  <si>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</si>
  <si>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</si>
  <si>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</si>
  <si>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	HOMB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</si>
  <si>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</si>
  <si>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</si>
  <si>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</si>
  <si>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</si>
  <si>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</si>
  <si>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</si>
  <si>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</si>
  <si>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</si>
  <si>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	HOMB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</si>
  <si>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</si>
  <si>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</si>
  <si>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</si>
  <si>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</si>
  <si>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</si>
  <si>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</si>
  <si>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</si>
  <si>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</si>
  <si>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</si>
  <si>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</si>
  <si>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</si>
  <si>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</si>
  <si>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</si>
  <si>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</si>
  <si>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</si>
  <si>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</si>
  <si>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</si>
  <si>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</si>
  <si>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</si>
  <si>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</si>
  <si>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	HOMB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</si>
  <si>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</si>
  <si>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</si>
  <si>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</si>
  <si>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</si>
  <si>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</si>
  <si>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</si>
  <si>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</si>
  <si>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</si>
  <si>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</si>
  <si>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	HOMB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</si>
  <si>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</si>
  <si>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</si>
  <si>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</si>
  <si>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</si>
  <si>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</si>
  <si>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</si>
  <si>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</si>
  <si>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</si>
  <si>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</si>
  <si>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</si>
  <si>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</si>
  <si>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</si>
  <si>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</si>
  <si>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</si>
  <si>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</si>
  <si>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</si>
  <si>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</si>
  <si>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</si>
  <si>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</si>
  <si>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</si>
  <si>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</si>
  <si>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</si>
  <si>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</si>
  <si>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</si>
  <si>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</si>
  <si>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</si>
  <si>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</si>
  <si>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</si>
  <si>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</si>
  <si>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</si>
  <si>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</si>
  <si>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</si>
  <si>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</si>
  <si>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</si>
  <si>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</si>
  <si>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</si>
  <si>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	HOMB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</si>
  <si>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</si>
  <si>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</si>
  <si>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</si>
  <si>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</si>
  <si>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</si>
  <si>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</si>
  <si>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</si>
  <si>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</si>
  <si>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</si>
  <si>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</si>
  <si>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	HOMB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</si>
  <si>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</si>
  <si>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</si>
  <si>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</si>
  <si>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</si>
  <si>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</si>
  <si>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</si>
  <si>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</si>
  <si>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</si>
  <si>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</si>
  <si>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</si>
  <si>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</si>
  <si>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</si>
  <si>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</si>
  <si>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</si>
  <si>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</si>
  <si>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</si>
  <si>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</si>
  <si>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</si>
  <si>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</si>
  <si>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</si>
  <si>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</si>
  <si>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</si>
  <si>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</si>
  <si>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</si>
  <si>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</si>
  <si>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</si>
  <si>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</si>
  <si>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</si>
  <si>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</si>
  <si>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</si>
  <si>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</si>
  <si>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</si>
  <si>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</si>
  <si>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</si>
  <si>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</si>
  <si>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</si>
  <si>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</si>
  <si>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</si>
  <si>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</si>
  <si>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</si>
  <si>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</si>
  <si>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</si>
  <si>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</si>
  <si>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</si>
  <si>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</si>
  <si>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</si>
  <si>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</si>
  <si>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</si>
  <si>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</si>
  <si>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</si>
  <si>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</si>
  <si>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</si>
  <si>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</si>
  <si>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</si>
  <si>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</si>
  <si>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</si>
  <si>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</si>
  <si>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</si>
  <si>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</si>
  <si>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</si>
  <si>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</si>
  <si>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</si>
  <si>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</si>
  <si>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</si>
  <si>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</si>
  <si>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</si>
  <si>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</si>
  <si>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</si>
  <si>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</si>
  <si>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</si>
  <si>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</si>
  <si>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</si>
  <si>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</si>
  <si>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</si>
  <si>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</si>
  <si>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</si>
  <si>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</si>
  <si>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</si>
  <si>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</si>
  <si>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</si>
  <si>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</si>
  <si>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</si>
  <si>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</si>
  <si>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</si>
  <si>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</si>
  <si>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</si>
  <si>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</si>
  <si>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</si>
  <si>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</si>
  <si>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</si>
  <si>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</si>
  <si>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</si>
  <si>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</si>
  <si>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</si>
  <si>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</si>
  <si>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</si>
  <si>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</si>
  <si>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</si>
  <si>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</si>
  <si>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</si>
  <si>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</si>
  <si>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</si>
  <si>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</si>
  <si>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</si>
  <si>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</si>
  <si>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</si>
  <si>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</si>
  <si>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</si>
  <si>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</si>
  <si>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</si>
  <si>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</si>
  <si>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</si>
  <si>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</si>
  <si>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</si>
  <si>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</si>
  <si>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</si>
  <si>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</si>
  <si>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</si>
  <si>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</si>
  <si>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</si>
  <si>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</si>
  <si>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</si>
  <si>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</si>
  <si>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</si>
  <si>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</si>
  <si>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</si>
  <si>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</si>
  <si>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</si>
  <si>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</si>
  <si>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</si>
  <si>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</si>
  <si>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</si>
  <si>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</si>
  <si>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</si>
  <si>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</si>
  <si>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</si>
  <si>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</si>
  <si>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</si>
  <si>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</si>
  <si>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</si>
  <si>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</si>
  <si>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</si>
  <si>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</si>
  <si>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</si>
  <si>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</si>
  <si>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</si>
  <si>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</si>
  <si>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</si>
  <si>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</si>
  <si>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</si>
  <si>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</si>
  <si>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</si>
  <si>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</si>
  <si>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</si>
  <si>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</si>
  <si>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</si>
  <si>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</si>
  <si>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</si>
  <si>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</si>
  <si>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</si>
  <si>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</si>
  <si>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</si>
  <si>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</si>
  <si>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</si>
  <si>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</si>
  <si>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</si>
  <si>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</si>
  <si>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</si>
  <si>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</si>
  <si>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</si>
  <si>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</si>
  <si>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</si>
  <si>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</si>
  <si>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</si>
  <si>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</si>
  <si>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</si>
  <si>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</si>
  <si>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</si>
  <si>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</si>
  <si>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</si>
  <si>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</si>
  <si>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</si>
  <si>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</si>
  <si>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</si>
  <si>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</si>
  <si>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</si>
  <si>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</si>
  <si>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</si>
  <si>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</si>
  <si>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</si>
  <si>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</si>
  <si>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</si>
  <si>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</si>
  <si>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</si>
  <si>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</si>
  <si>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</si>
  <si>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</si>
  <si>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</si>
  <si>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</si>
  <si>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</si>
  <si>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</si>
  <si>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</si>
  <si>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</si>
  <si>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</si>
  <si>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</si>
  <si>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</si>
  <si>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</si>
  <si>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</si>
  <si>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</si>
  <si>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</si>
  <si>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</si>
  <si>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</si>
  <si>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</si>
  <si>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</si>
  <si>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</si>
  <si>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</si>
  <si>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</si>
  <si>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</si>
  <si>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</si>
  <si>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</si>
  <si>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</si>
  <si>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</si>
  <si>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</si>
  <si>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</si>
  <si>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</si>
  <si>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</si>
  <si>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</si>
  <si>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</si>
  <si>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</si>
  <si>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</si>
  <si>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</si>
  <si>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</si>
  <si>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</si>
  <si>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</si>
  <si>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</si>
  <si>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</si>
  <si>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</si>
  <si>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</si>
  <si>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</si>
  <si>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</si>
  <si>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</si>
  <si>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</si>
  <si>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</si>
  <si>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</si>
  <si>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</si>
  <si>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</si>
  <si>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</si>
  <si>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</si>
  <si>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</si>
  <si>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</si>
  <si>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</si>
  <si>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</si>
  <si>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</si>
  <si>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</si>
  <si>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</si>
  <si>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</si>
  <si>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</si>
  <si>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</si>
  <si>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</si>
  <si>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</si>
  <si>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</si>
  <si>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</si>
  <si>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</si>
  <si>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</si>
  <si>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</si>
  <si>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</si>
  <si>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</si>
  <si>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</si>
  <si>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</si>
  <si>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</si>
  <si>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</si>
  <si>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</si>
  <si>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</si>
  <si>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</si>
  <si>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</si>
  <si>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</si>
  <si>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</si>
  <si>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</si>
  <si>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</si>
  <si>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</si>
  <si>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</si>
  <si>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</si>
  <si>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</si>
  <si>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</si>
  <si>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</si>
  <si>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</si>
  <si>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</si>
  <si>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</si>
  <si>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</si>
  <si>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</si>
  <si>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</si>
  <si>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</si>
  <si>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</si>
  <si>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</si>
  <si>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</si>
  <si>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</si>
  <si>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</si>
  <si>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</si>
  <si>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</si>
  <si>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</si>
  <si>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</si>
  <si>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</si>
  <si>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</si>
  <si>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</si>
  <si>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</si>
  <si>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</si>
  <si>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</si>
  <si>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</si>
  <si>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</si>
  <si>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</si>
  <si>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</si>
  <si>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</si>
  <si>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</si>
  <si>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</si>
  <si>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</si>
  <si>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</si>
  <si>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</si>
  <si>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</si>
  <si>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</si>
  <si>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</si>
  <si>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</si>
  <si>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</si>
  <si>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</si>
  <si>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</si>
  <si>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</si>
  <si>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</si>
  <si>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</si>
  <si>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</si>
  <si>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</si>
  <si>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</si>
  <si>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</si>
  <si>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</si>
  <si>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</si>
  <si>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</si>
  <si>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</si>
  <si>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</si>
  <si>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</si>
  <si>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</si>
  <si>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</si>
  <si>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</si>
  <si>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</si>
  <si>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</si>
  <si>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</si>
  <si>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</si>
  <si>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</si>
  <si>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</si>
  <si>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</si>
  <si>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</si>
  <si>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</si>
  <si>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</si>
  <si>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</si>
  <si>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</si>
  <si>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</si>
  <si>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</si>
  <si>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</si>
  <si>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</si>
  <si>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</si>
  <si>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</si>
  <si>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</si>
  <si>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</si>
  <si>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</si>
  <si>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</si>
  <si>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</si>
  <si>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</si>
  <si>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</si>
  <si>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</si>
  <si>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</si>
  <si>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</si>
  <si>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</si>
  <si>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</si>
  <si>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</si>
  <si>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</si>
  <si>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</si>
  <si>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</si>
  <si>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</si>
  <si>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</si>
  <si>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</si>
  <si>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</si>
  <si>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</si>
  <si>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</si>
  <si>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</si>
  <si>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</si>
  <si>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</si>
  <si>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</si>
  <si>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</si>
  <si>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</si>
  <si>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</si>
  <si>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</si>
  <si>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</si>
  <si>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</si>
  <si>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</si>
  <si>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</si>
  <si>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</si>
  <si>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</si>
  <si>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</si>
  <si>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</si>
  <si>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</si>
  <si>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</si>
  <si>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</si>
  <si>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</si>
  <si>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</si>
  <si>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</si>
  <si>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</si>
  <si>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</si>
  <si>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</si>
  <si>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</si>
  <si>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</si>
  <si>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</si>
  <si>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</si>
  <si>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</si>
  <si>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</si>
  <si>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</si>
  <si>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</si>
  <si>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</si>
  <si>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</si>
  <si>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</si>
  <si>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</si>
  <si>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</si>
  <si>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</si>
  <si>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</si>
  <si>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</si>
  <si>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</si>
  <si>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</si>
  <si>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</si>
  <si>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</si>
  <si>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</si>
  <si>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</si>
  <si>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</si>
  <si>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</si>
  <si>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</si>
  <si>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</si>
  <si>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</si>
  <si>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</si>
  <si>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</si>
  <si>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</si>
  <si>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</si>
  <si>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</si>
  <si>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</si>
  <si>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</si>
  <si>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</si>
  <si>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</si>
  <si>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</si>
  <si>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</si>
  <si>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</si>
  <si>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</si>
  <si>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</si>
  <si>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</si>
  <si>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</si>
  <si>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</si>
  <si>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</si>
  <si>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</si>
  <si>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</si>
  <si>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</si>
  <si>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</si>
  <si>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</si>
  <si>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</si>
  <si>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</si>
  <si>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</si>
  <si>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</si>
  <si>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</si>
  <si>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</si>
  <si>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</si>
  <si>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</si>
  <si>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</si>
  <si>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</si>
  <si>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</si>
  <si>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</si>
  <si>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</si>
  <si>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</si>
  <si>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</si>
  <si>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</si>
  <si>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</si>
  <si>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</si>
  <si>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</si>
  <si>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</si>
  <si>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</si>
  <si>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</si>
  <si>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</si>
  <si>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</si>
  <si>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</si>
  <si>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</si>
  <si>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</si>
  <si>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</si>
  <si>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</si>
  <si>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</si>
  <si>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</si>
  <si>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</si>
  <si>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</si>
  <si>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</si>
  <si>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</si>
  <si>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</si>
  <si>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</si>
  <si>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</si>
  <si>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</si>
  <si>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</si>
  <si>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</si>
  <si>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</si>
  <si>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</si>
  <si>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</si>
  <si>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</si>
  <si>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</si>
  <si>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</si>
  <si>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</si>
  <si>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</si>
  <si>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</si>
  <si>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</si>
  <si>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</si>
  <si>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</si>
  <si>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</si>
  <si>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</si>
  <si>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</si>
  <si>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</si>
  <si>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</si>
  <si>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</si>
  <si>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</si>
  <si>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</si>
  <si>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</si>
  <si>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</si>
  <si>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</si>
  <si>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</si>
  <si>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</si>
  <si>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</si>
  <si>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</si>
  <si>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</si>
  <si>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</si>
  <si>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</si>
  <si>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</si>
  <si>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</si>
  <si>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</si>
  <si>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</si>
  <si>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</si>
  <si>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</si>
  <si>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</si>
  <si>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</si>
  <si>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</si>
  <si>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</si>
  <si>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</si>
  <si>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</si>
  <si>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</si>
  <si>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</si>
  <si>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</si>
  <si>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</si>
  <si>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</si>
  <si>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</si>
  <si>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</si>
  <si>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</si>
  <si>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</si>
  <si>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</si>
  <si>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</si>
  <si>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</si>
  <si>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</si>
  <si>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</si>
  <si>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</si>
  <si>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</si>
  <si>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</si>
  <si>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</si>
  <si>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</si>
  <si>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</si>
  <si>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</si>
  <si>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</si>
  <si>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</si>
  <si>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</si>
  <si>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</si>
  <si>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</si>
  <si>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</si>
  <si>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</si>
  <si>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</si>
  <si>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</si>
  <si>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</si>
  <si>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</si>
  <si>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</si>
  <si>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</si>
  <si>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</si>
  <si>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</si>
  <si>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</si>
  <si>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</si>
  <si>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</si>
  <si>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</si>
  <si>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</si>
  <si>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</si>
  <si>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</si>
  <si>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</si>
  <si>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</si>
  <si>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</si>
  <si>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</si>
  <si>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</si>
  <si>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</si>
  <si>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</si>
  <si>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</si>
  <si>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</si>
  <si>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</si>
  <si>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</si>
  <si>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</si>
  <si>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</si>
  <si>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</si>
  <si>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</si>
  <si>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</si>
  <si>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</si>
  <si>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</si>
  <si>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</si>
  <si>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</si>
  <si>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</si>
  <si>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</si>
  <si>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</si>
  <si>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</si>
  <si>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</si>
  <si>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</si>
  <si>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</si>
  <si>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</si>
  <si>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</si>
  <si>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</si>
  <si>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</si>
  <si>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</si>
  <si>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</si>
  <si>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</si>
  <si>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</si>
  <si>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</si>
  <si>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</si>
  <si>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</si>
  <si>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</si>
  <si>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</si>
  <si>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</si>
  <si>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</si>
  <si>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</si>
  <si>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</si>
  <si>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</si>
  <si>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</si>
  <si>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</si>
  <si>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</si>
  <si>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</si>
  <si>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</si>
  <si>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</si>
  <si>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</si>
  <si>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</si>
  <si>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</si>
  <si>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</si>
  <si>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</si>
  <si>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</si>
  <si>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</si>
  <si>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</si>
  <si>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</si>
  <si>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</si>
  <si>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</si>
  <si>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</si>
  <si>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</si>
  <si>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</si>
  <si>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</si>
  <si>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</si>
  <si>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</si>
  <si>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</si>
  <si>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</si>
  <si>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</si>
  <si>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</si>
  <si>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</si>
  <si>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</si>
  <si>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</si>
  <si>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</si>
  <si>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</si>
  <si>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</si>
  <si>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</si>
  <si>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</si>
  <si>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</si>
  <si>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</si>
  <si>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</si>
  <si>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</si>
  <si>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</si>
  <si>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</si>
  <si>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</si>
  <si>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</si>
  <si>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</si>
  <si>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</si>
  <si>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</si>
  <si>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</si>
  <si>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</si>
  <si>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</si>
  <si>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</si>
  <si>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</si>
  <si>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</si>
  <si>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</si>
  <si>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</si>
  <si>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</si>
  <si>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</si>
  <si>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</si>
  <si>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</si>
  <si>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</si>
  <si>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</si>
  <si>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</si>
  <si>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</si>
  <si>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</si>
  <si>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</si>
  <si>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</si>
  <si>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</si>
  <si>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</si>
  <si>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</si>
  <si>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</si>
  <si>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</si>
  <si>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</si>
  <si>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</si>
  <si>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</si>
  <si>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</si>
  <si>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</si>
  <si>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</si>
  <si>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</si>
  <si>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</si>
  <si>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</si>
  <si>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</si>
  <si>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</si>
  <si>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</si>
  <si>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</si>
  <si>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</si>
  <si>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</si>
  <si>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</si>
  <si>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</si>
  <si>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</si>
  <si>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</si>
  <si>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</si>
  <si>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</si>
  <si>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</si>
  <si>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</si>
  <si>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</si>
  <si>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</si>
  <si>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</si>
  <si>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</si>
  <si>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</si>
  <si>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</si>
  <si>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</si>
  <si>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</si>
  <si>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</si>
  <si>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</si>
  <si>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</si>
  <si>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</si>
  <si>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</si>
  <si>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</si>
  <si>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</si>
  <si>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</si>
  <si>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</si>
  <si>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</si>
  <si>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</si>
  <si>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</si>
  <si>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</si>
  <si>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</si>
  <si>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</si>
  <si>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</si>
  <si>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</si>
  <si>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</si>
  <si>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</si>
  <si>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</si>
  <si>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</si>
  <si>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</si>
  <si>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</si>
  <si>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</si>
  <si>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</si>
  <si>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</si>
  <si>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</si>
  <si>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</si>
  <si>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</si>
  <si>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</si>
  <si>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</si>
  <si>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</si>
  <si>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</si>
  <si>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</si>
  <si>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</si>
  <si>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</si>
  <si>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</si>
  <si>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</si>
  <si>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</si>
  <si>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</si>
  <si>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</si>
  <si>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</si>
  <si>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</si>
  <si>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</si>
  <si>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</si>
  <si>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</si>
  <si>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</si>
  <si>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</si>
  <si>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</si>
  <si>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</si>
  <si>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</si>
  <si>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</si>
  <si>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</si>
  <si>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</si>
  <si>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</si>
  <si>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</si>
  <si>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</si>
  <si>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</si>
  <si>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</si>
  <si>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</si>
  <si>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</si>
  <si>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</si>
  <si>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</si>
  <si>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</si>
  <si>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</si>
  <si>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</si>
  <si>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</si>
  <si>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</si>
  <si>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</si>
  <si>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</si>
  <si>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</si>
  <si>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</si>
  <si>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</si>
  <si>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</si>
  <si>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</si>
  <si>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</si>
  <si>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</si>
  <si>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</si>
  <si>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</si>
  <si>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</si>
  <si>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</si>
  <si>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</si>
  <si>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</si>
  <si>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</si>
  <si>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</si>
  <si>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</si>
  <si>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</si>
  <si>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</si>
  <si>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</si>
  <si>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</si>
  <si>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</si>
  <si>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</si>
  <si>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</si>
  <si>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</si>
  <si>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</si>
  <si>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</si>
  <si>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</si>
  <si>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</si>
  <si>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</si>
  <si>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</si>
  <si>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</si>
  <si>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</si>
  <si>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</si>
  <si>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</si>
  <si>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</si>
  <si>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</si>
  <si>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</si>
  <si>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</si>
  <si>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</si>
  <si>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</si>
  <si>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</si>
  <si>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</si>
  <si>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</si>
  <si>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</si>
  <si>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</si>
  <si>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</si>
  <si>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</si>
  <si>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</si>
  <si>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</si>
  <si>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</si>
  <si>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</si>
  <si>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</si>
  <si>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</si>
  <si>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</si>
  <si>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</si>
  <si>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</si>
  <si>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</si>
  <si>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</si>
  <si>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</si>
  <si>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</si>
  <si>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</si>
  <si>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</si>
  <si>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</si>
  <si>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</si>
  <si>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</si>
  <si>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</si>
  <si>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</si>
  <si>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</si>
  <si>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</si>
  <si>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</si>
  <si>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</si>
  <si>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</si>
  <si>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</si>
  <si>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</si>
  <si>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</si>
  <si>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</si>
  <si>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</si>
  <si>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</si>
  <si>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</si>
  <si>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</si>
  <si>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</si>
  <si>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</si>
  <si>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</si>
  <si>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</si>
  <si>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</si>
  <si>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</si>
  <si>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</si>
  <si>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</si>
  <si>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</si>
  <si>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</si>
  <si>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</si>
  <si>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</si>
  <si>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</si>
  <si>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</si>
  <si>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</si>
  <si>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</si>
  <si>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</si>
  <si>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</si>
  <si>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</si>
  <si>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</si>
  <si>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</si>
  <si>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</si>
  <si>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</si>
  <si>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</si>
  <si>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</si>
  <si>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</si>
  <si>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</si>
  <si>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</si>
  <si>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</si>
  <si>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</si>
  <si>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</si>
  <si>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</si>
  <si>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</si>
  <si>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</si>
  <si>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</si>
  <si>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</si>
  <si>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</si>
  <si>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</si>
  <si>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</si>
  <si>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</si>
  <si>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</si>
  <si>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</si>
  <si>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</si>
  <si>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</si>
  <si>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</si>
  <si>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</si>
  <si>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</si>
  <si>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</si>
  <si>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</si>
  <si>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</si>
  <si>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</si>
  <si>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</si>
  <si>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</si>
  <si>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</si>
  <si>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</si>
  <si>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</si>
  <si>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</si>
  <si>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</si>
  <si>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</si>
  <si>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</si>
  <si>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</si>
  <si>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</si>
  <si>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</si>
  <si>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</si>
  <si>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</si>
  <si>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</si>
  <si>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</si>
  <si>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</si>
  <si>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</si>
  <si>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</si>
  <si>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</si>
  <si>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</si>
  <si>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</si>
  <si>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</si>
  <si>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</si>
  <si>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</si>
  <si>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</si>
  <si>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</si>
  <si>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</si>
  <si>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</si>
  <si>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</si>
  <si>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</si>
  <si>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</si>
  <si>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</si>
  <si>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</si>
  <si>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</si>
  <si>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</si>
  <si>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</si>
  <si>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</si>
  <si>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</si>
  <si>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</si>
  <si>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</si>
  <si>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</si>
  <si>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</si>
  <si>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</si>
  <si>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</si>
  <si>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</si>
  <si>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</si>
  <si>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</si>
  <si>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</si>
  <si>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</si>
  <si>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</si>
  <si>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</si>
  <si>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</si>
  <si>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</si>
  <si>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</si>
  <si>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</si>
  <si>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</si>
  <si>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</si>
  <si>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</si>
  <si>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</si>
  <si>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</si>
  <si>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</si>
  <si>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</si>
  <si>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</si>
  <si>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</si>
  <si>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</si>
  <si>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</si>
  <si>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</si>
  <si>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</si>
  <si>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</si>
  <si>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</si>
  <si>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</si>
  <si>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</si>
  <si>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</si>
  <si>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</si>
  <si>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</si>
  <si>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</si>
  <si>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</si>
  <si>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</si>
  <si>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</si>
  <si>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</si>
  <si>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</si>
  <si>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</si>
  <si>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</si>
  <si>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</si>
  <si>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</si>
  <si>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</si>
  <si>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</si>
  <si>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</si>
  <si>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</si>
  <si>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</si>
  <si>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</si>
  <si>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</si>
  <si>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</si>
  <si>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</si>
  <si>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</si>
  <si>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</si>
  <si>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</si>
  <si>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</si>
  <si>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</si>
  <si>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</si>
  <si>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</si>
  <si>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</si>
  <si>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</si>
  <si>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</si>
  <si>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</si>
  <si>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</si>
  <si>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</si>
  <si>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</si>
  <si>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</si>
  <si>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</si>
  <si>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</si>
  <si>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</si>
  <si>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</si>
  <si>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</si>
  <si>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</si>
  <si>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</si>
  <si>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</si>
  <si>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</si>
  <si>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</si>
  <si>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</si>
  <si>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</si>
  <si>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</si>
  <si>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</si>
  <si>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</si>
  <si>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</si>
  <si>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</si>
  <si>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</si>
  <si>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</si>
  <si>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</si>
  <si>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</si>
  <si>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</si>
  <si>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</si>
  <si>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</si>
  <si>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</si>
  <si>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</si>
  <si>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</si>
  <si>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</si>
  <si>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</si>
  <si>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</si>
  <si>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</si>
  <si>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</si>
  <si>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</si>
  <si>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</si>
  <si>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</si>
  <si>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</si>
  <si>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</si>
  <si>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</si>
  <si>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</si>
  <si>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</si>
  <si>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</si>
  <si>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</si>
  <si>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</si>
  <si>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</si>
  <si>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</si>
  <si>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</si>
  <si>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</si>
  <si>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</si>
  <si>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</si>
  <si>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</si>
  <si>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</si>
  <si>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</si>
  <si>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</si>
  <si>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</si>
  <si>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</si>
  <si>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</si>
  <si>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</si>
  <si>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</si>
  <si>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</si>
  <si>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</si>
  <si>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</si>
  <si>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</si>
  <si>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</si>
  <si>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</si>
  <si>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</si>
  <si>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</si>
  <si>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</si>
  <si>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</si>
  <si>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</si>
  <si>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</si>
  <si>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</si>
  <si>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</si>
  <si>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</si>
  <si>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</si>
  <si>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</si>
  <si>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</si>
  <si>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</si>
  <si>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</si>
  <si>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</si>
  <si>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</si>
  <si>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</si>
  <si>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</si>
  <si>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</si>
  <si>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</si>
  <si>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</si>
  <si>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</si>
  <si>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</si>
  <si>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</si>
  <si>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</si>
  <si>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</si>
  <si>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</si>
  <si>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</si>
  <si>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</si>
  <si>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</si>
  <si>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</si>
  <si>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</si>
  <si>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</si>
  <si>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</si>
  <si>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</si>
  <si>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</si>
  <si>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</si>
  <si>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</si>
  <si>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</si>
  <si>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</si>
  <si>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</si>
  <si>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</si>
  <si>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</si>
  <si>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</si>
  <si>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</si>
  <si>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</si>
  <si>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</si>
  <si>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</si>
  <si>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</si>
  <si>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</si>
  <si>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</si>
  <si>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</si>
  <si>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</si>
  <si>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</si>
  <si>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</si>
  <si>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</si>
  <si>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</si>
  <si>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</si>
  <si>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</si>
  <si>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</si>
  <si>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</si>
  <si>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</si>
  <si>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</si>
  <si>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</si>
  <si>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</si>
  <si>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</si>
  <si>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</si>
  <si>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</si>
  <si>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</si>
  <si>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</si>
  <si>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</si>
  <si>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</si>
  <si>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</si>
  <si>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</si>
  <si>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</si>
  <si>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</si>
  <si>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</si>
  <si>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</si>
  <si>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</si>
  <si>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</si>
  <si>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</si>
  <si>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</si>
  <si>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</si>
  <si>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</si>
  <si>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</si>
  <si>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</si>
  <si>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</si>
  <si>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</si>
  <si>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</si>
  <si>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</si>
  <si>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</si>
  <si>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</si>
  <si>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</si>
  <si>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</si>
  <si>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</si>
  <si>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</si>
  <si>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</si>
  <si>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</si>
  <si>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</si>
  <si>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</si>
  <si>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</si>
  <si>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</si>
  <si>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</si>
  <si>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</si>
  <si>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</si>
  <si>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</si>
  <si>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</si>
  <si>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</si>
  <si>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</si>
  <si>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</si>
  <si>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</si>
  <si>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</si>
  <si>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</si>
  <si>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</si>
  <si>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</si>
  <si>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</si>
  <si>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</si>
  <si>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</si>
  <si>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</si>
  <si>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</si>
  <si>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</si>
  <si>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</si>
  <si>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</si>
  <si>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</si>
  <si>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</si>
  <si>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</si>
  <si>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</si>
  <si>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</si>
  <si>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</si>
  <si>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</si>
  <si>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</si>
  <si>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</si>
  <si>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</si>
  <si>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</si>
  <si>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</si>
  <si>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</si>
  <si>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</si>
  <si>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</si>
  <si>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</si>
  <si>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</si>
  <si>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</si>
  <si>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</si>
  <si>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</si>
  <si>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</si>
  <si>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</si>
  <si>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</si>
  <si>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</si>
  <si>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</si>
  <si>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</si>
  <si>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</si>
  <si>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</si>
  <si>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</si>
  <si>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</si>
  <si>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</si>
  <si>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</si>
  <si>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</si>
  <si>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</si>
  <si>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</si>
  <si>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</si>
  <si>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</si>
  <si>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</si>
  <si>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</si>
  <si>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</si>
  <si>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</si>
  <si>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</si>
  <si>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</si>
  <si>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</si>
  <si>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</si>
  <si>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</si>
  <si>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</si>
  <si>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</si>
  <si>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</si>
  <si>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</si>
  <si>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</si>
  <si>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BORCEGUI TACTICO CUERO RER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</si>
  <si>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</si>
  <si>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</si>
  <si>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</si>
  <si>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</si>
  <si>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</si>
  <si>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</si>
  <si>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</si>
  <si>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</si>
  <si>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</si>
  <si>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</si>
  <si>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</si>
  <si>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</si>
  <si>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</si>
  <si>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</si>
  <si>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</si>
  <si>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</si>
  <si>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</si>
  <si>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</si>
  <si>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</si>
  <si>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</si>
  <si>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</si>
  <si>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</si>
  <si>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</si>
  <si>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</si>
  <si>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</si>
  <si>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</si>
  <si>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</si>
  <si>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</si>
  <si>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</si>
  <si>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</si>
  <si>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</si>
  <si>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</si>
  <si>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</si>
  <si>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</si>
  <si>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</si>
  <si>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</si>
  <si>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</si>
  <si>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</si>
  <si>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</si>
  <si>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</si>
  <si>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</si>
  <si>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</si>
  <si>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</si>
  <si>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</si>
  <si>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</si>
  <si>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</si>
  <si>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</si>
  <si>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</si>
  <si>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</si>
  <si>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</si>
  <si>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</si>
  <si>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</si>
  <si>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</si>
  <si>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</si>
  <si>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</si>
  <si>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</si>
  <si>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</si>
  <si>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</si>
  <si>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</si>
  <si>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</si>
  <si>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</si>
  <si>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</si>
  <si>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</si>
  <si>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</si>
  <si>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</si>
  <si>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</si>
  <si>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</si>
  <si>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</si>
  <si>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</si>
  <si>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</si>
  <si>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</si>
  <si>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</si>
  <si>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</si>
  <si>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</si>
  <si>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</si>
  <si>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</si>
  <si>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</si>
  <si>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</si>
  <si>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</si>
  <si>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</si>
  <si>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</si>
  <si>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</si>
  <si>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</si>
  <si>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</si>
  <si>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</si>
  <si>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</si>
  <si>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</si>
  <si>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</si>
  <si>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</si>
  <si>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</si>
  <si>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</si>
  <si>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</si>
  <si>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</si>
  <si>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</si>
  <si>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</si>
  <si>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</si>
  <si>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</si>
  <si>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</si>
  <si>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</si>
  <si>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</si>
  <si>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</si>
  <si>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</si>
  <si>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</si>
  <si>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</si>
  <si>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</si>
  <si>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</si>
  <si>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</si>
  <si>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</si>
  <si>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</si>
  <si>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</si>
  <si>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</si>
  <si>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</si>
  <si>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</si>
  <si>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</si>
  <si>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</si>
  <si>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</si>
  <si>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</si>
  <si>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</si>
  <si>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</si>
  <si>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</si>
  <si>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</si>
  <si>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</si>
  <si>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</si>
  <si>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</si>
  <si>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</si>
  <si>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</si>
  <si>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</si>
  <si>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</si>
  <si>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</si>
  <si>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</si>
  <si>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</si>
  <si>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</si>
  <si>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</si>
  <si>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</si>
  <si>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</si>
  <si>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</si>
  <si>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</si>
  <si>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</si>
  <si>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</si>
  <si>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</si>
  <si>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</si>
  <si>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</si>
  <si>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</si>
  <si>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</si>
  <si>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</si>
  <si>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</si>
  <si>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</si>
  <si>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</si>
  <si>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</si>
  <si>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</si>
  <si>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</si>
  <si>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</si>
  <si>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</si>
  <si>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</si>
  <si>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</si>
  <si>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</si>
  <si>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</si>
  <si>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</si>
  <si>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</si>
  <si>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</si>
  <si>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</si>
  <si>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</si>
  <si>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</si>
  <si>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</si>
  <si>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</si>
  <si>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</si>
  <si>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</si>
  <si>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</si>
  <si>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</si>
  <si>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</si>
  <si>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</si>
  <si>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</si>
  <si>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</si>
  <si>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</si>
  <si>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</si>
  <si>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</si>
  <si>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</si>
  <si>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</si>
  <si>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</si>
  <si>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</si>
  <si>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</si>
  <si>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</si>
  <si>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</si>
  <si>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</si>
  <si>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</si>
  <si>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</si>
  <si>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</si>
  <si>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</si>
  <si>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</si>
  <si>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</si>
  <si>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</si>
  <si>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</si>
  <si>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</si>
  <si>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</si>
  <si>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</si>
  <si>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</si>
  <si>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</si>
  <si>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</si>
  <si>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</si>
  <si>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</si>
  <si>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</si>
  <si>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</si>
  <si>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</si>
  <si>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</si>
  <si>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</si>
  <si>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</si>
  <si>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</si>
  <si>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</si>
  <si>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</si>
  <si>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</si>
  <si>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</si>
  <si>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</si>
  <si>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</si>
  <si>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</si>
  <si>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</si>
  <si>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</si>
  <si>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</si>
  <si>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</si>
  <si>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</si>
  <si>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</si>
  <si>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</si>
  <si>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</si>
  <si>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</si>
  <si>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</si>
  <si>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</si>
  <si>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</si>
  <si>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</si>
  <si>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</si>
  <si>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</si>
  <si>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</si>
  <si>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</si>
  <si>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</si>
  <si>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</si>
  <si>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</si>
  <si>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</si>
  <si>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</si>
  <si>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</si>
  <si>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</si>
  <si>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</si>
  <si>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</si>
  <si>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</si>
  <si>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</si>
  <si>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</si>
  <si>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</si>
  <si>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</si>
  <si>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</si>
  <si>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</si>
  <si>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</si>
  <si>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</si>
  <si>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</si>
  <si>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</si>
  <si>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</si>
  <si>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</si>
  <si>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</si>
  <si>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</si>
  <si>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</si>
  <si>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</si>
  <si>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</si>
  <si>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</si>
  <si>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</si>
  <si>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</si>
  <si>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</si>
  <si>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</si>
  <si>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</si>
  <si>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</si>
  <si>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</si>
  <si>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</si>
  <si>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</si>
  <si>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</si>
  <si>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</si>
  <si>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</si>
  <si>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</si>
  <si>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</si>
  <si>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</si>
  <si>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</si>
  <si>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</si>
  <si>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</si>
  <si>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</si>
  <si>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</si>
  <si>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</si>
  <si>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</si>
  <si>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</si>
  <si>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</si>
  <si>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</si>
  <si>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</si>
  <si>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</si>
  <si>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</si>
  <si>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</si>
  <si>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</si>
  <si>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</si>
  <si>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</si>
  <si>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</si>
  <si>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</si>
  <si>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</si>
  <si>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</si>
  <si>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</si>
  <si>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</si>
  <si>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</si>
  <si>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GORRITA CAP 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</si>
  <si>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</si>
  <si>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</si>
  <si>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</si>
  <si>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</si>
  <si>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</si>
  <si>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</si>
  <si>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</si>
  <si>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</si>
  <si>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</si>
  <si>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</si>
  <si>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</si>
  <si>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</si>
  <si>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</si>
  <si>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</si>
  <si>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</si>
  <si>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</si>
  <si>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</si>
  <si>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</si>
  <si>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</si>
  <si>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</si>
  <si>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</si>
  <si>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</si>
  <si>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</si>
  <si>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</si>
  <si>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</si>
  <si>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</si>
  <si>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</si>
  <si>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</si>
  <si>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</si>
  <si>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</si>
  <si>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</si>
  <si>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</si>
  <si>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</si>
  <si>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</si>
  <si>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</si>
  <si>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</si>
  <si>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</si>
  <si>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</si>
  <si>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</si>
  <si>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</si>
  <si>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</si>
  <si>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</si>
  <si>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</si>
  <si>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</si>
  <si>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</si>
  <si>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</si>
  <si>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</si>
  <si>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</si>
  <si>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</si>
  <si>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</si>
  <si>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</si>
  <si>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</si>
  <si>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</si>
  <si>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</si>
  <si>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</si>
  <si>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</si>
  <si>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</si>
  <si>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</si>
  <si>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</si>
  <si>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</si>
  <si>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</si>
  <si>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</si>
  <si>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</si>
  <si>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</si>
  <si>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</si>
  <si>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</si>
  <si>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</si>
  <si>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</si>
  <si>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</si>
  <si>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</si>
  <si>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</si>
  <si>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</si>
  <si>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</si>
  <si>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</si>
  <si>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</si>
  <si>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</si>
  <si>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</si>
  <si>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</si>
  <si>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</si>
  <si>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</si>
  <si>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</si>
  <si>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</si>
  <si>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</si>
  <si>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</si>
  <si>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</si>
  <si>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</si>
  <si>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</si>
  <si>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</si>
  <si>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</si>
  <si>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</si>
  <si>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</si>
  <si>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</si>
  <si>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</si>
  <si>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</si>
  <si>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</si>
  <si>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</si>
  <si>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</si>
  <si>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</si>
  <si>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</si>
  <si>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</si>
  <si>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</si>
  <si>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</si>
  <si>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</si>
  <si>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</si>
  <si>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</si>
  <si>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</si>
  <si>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</si>
  <si>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</si>
  <si>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</si>
  <si>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</si>
  <si>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</si>
  <si>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</si>
  <si>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</si>
  <si>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</si>
  <si>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</si>
  <si>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</si>
  <si>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</si>
  <si>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</si>
  <si>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</si>
  <si>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</si>
  <si>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</si>
  <si>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</si>
  <si>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</si>
  <si>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</si>
  <si>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</si>
  <si>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</si>
  <si>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</si>
  <si>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</si>
  <si>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</si>
  <si>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</si>
  <si>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</si>
  <si>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</si>
  <si>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</si>
  <si>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</si>
  <si>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</si>
  <si>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</si>
  <si>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</si>
  <si>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</si>
  <si>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</si>
  <si>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</si>
  <si>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</si>
  <si>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</si>
  <si>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</si>
  <si>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</si>
  <si>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</si>
  <si>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</si>
  <si>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</si>
  <si>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</si>
  <si>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</si>
  <si>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</si>
  <si>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</si>
  <si>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</si>
  <si>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</si>
  <si>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</si>
  <si>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</si>
  <si>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</si>
  <si>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</si>
  <si>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</si>
  <si>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</si>
  <si>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</si>
  <si>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</si>
  <si>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</si>
  <si>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</si>
  <si>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</si>
  <si>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</si>
  <si>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</si>
  <si>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</si>
  <si>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</si>
  <si>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</si>
  <si>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</si>
  <si>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</si>
  <si>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</si>
  <si>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</si>
  <si>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</si>
  <si>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</si>
  <si>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</si>
  <si>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</si>
  <si>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</si>
  <si>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</si>
  <si>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</si>
  <si>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</si>
  <si>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</si>
  <si>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</si>
  <si>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</si>
  <si>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</si>
  <si>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</si>
  <si>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</si>
  <si>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</si>
  <si>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</si>
  <si>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</si>
  <si>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</si>
  <si>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</si>
  <si>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</si>
  <si>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</si>
  <si>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</si>
  <si>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</si>
  <si>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</si>
  <si>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</si>
  <si>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</si>
  <si>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</si>
  <si>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</si>
  <si>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</si>
  <si>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</si>
  <si>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</si>
  <si>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</si>
  <si>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</si>
  <si>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</si>
  <si>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</si>
  <si>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</si>
  <si>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</si>
  <si>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</si>
  <si>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</si>
  <si>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</si>
  <si>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</si>
  <si>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</si>
  <si>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</si>
  <si>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</si>
  <si>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</si>
  <si>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</si>
  <si>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</si>
  <si>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</si>
  <si>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</si>
  <si>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</si>
  <si>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</si>
  <si>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</si>
  <si>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</si>
  <si>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</si>
  <si>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</si>
  <si>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</si>
  <si>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</si>
  <si>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</si>
  <si>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</si>
  <si>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</si>
  <si>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</si>
  <si>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</si>
  <si>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</si>
  <si>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</si>
  <si>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</si>
  <si>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</si>
  <si>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</si>
  <si>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</si>
  <si>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</si>
  <si>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</si>
  <si>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</si>
  <si>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</si>
  <si>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</si>
  <si>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</si>
  <si>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</si>
  <si>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</si>
  <si>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</si>
  <si>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</si>
  <si>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</si>
  <si>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</si>
  <si>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</si>
  <si>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</si>
  <si>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</si>
  <si>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</si>
  <si>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</si>
  <si>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</si>
  <si>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</si>
  <si>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</si>
  <si>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</si>
  <si>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</si>
  <si>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</si>
  <si>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</si>
  <si>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</si>
  <si>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</si>
  <si>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</si>
  <si>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</si>
  <si>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</si>
  <si>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</si>
  <si>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</si>
  <si>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</si>
  <si>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</si>
  <si>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</si>
  <si>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</si>
  <si>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</si>
  <si>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</si>
  <si>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</si>
  <si>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</si>
  <si>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</si>
  <si>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</si>
  <si>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</si>
  <si>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</si>
  <si>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</si>
  <si>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</si>
  <si>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</si>
  <si>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</si>
  <si>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</si>
  <si>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</si>
  <si>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</si>
  <si>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</si>
  <si>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</si>
  <si>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</si>
  <si>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</si>
  <si>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</si>
  <si>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</si>
  <si>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</si>
  <si>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</si>
  <si>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</si>
  <si>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</si>
  <si>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</si>
  <si>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</si>
  <si>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</si>
  <si>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</si>
  <si>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</si>
  <si>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</si>
  <si>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</si>
  <si>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</si>
  <si>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</si>
  <si>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</si>
  <si>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</si>
  <si>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</si>
  <si>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</si>
  <si>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</si>
  <si>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</si>
  <si>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</si>
  <si>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</si>
  <si>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</si>
  <si>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</si>
  <si>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</si>
  <si>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</si>
  <si>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</si>
  <si>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</si>
  <si>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</si>
  <si>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</si>
  <si>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</si>
  <si>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</si>
  <si>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</si>
  <si>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</si>
  <si>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</si>
  <si>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</si>
  <si>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</si>
  <si>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</si>
  <si>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</si>
  <si>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</si>
  <si>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</si>
  <si>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</si>
  <si>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</si>
  <si>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</si>
  <si>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</si>
  <si>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</si>
  <si>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</si>
  <si>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</si>
  <si>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</si>
  <si>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</si>
  <si>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</si>
  <si>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</si>
  <si>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</si>
  <si>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</si>
  <si>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</si>
  <si>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</si>
  <si>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</si>
  <si>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</si>
  <si>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</si>
  <si>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</si>
  <si>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</si>
  <si>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</si>
  <si>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</si>
  <si>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</si>
  <si>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</si>
  <si>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</si>
  <si>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</si>
  <si>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</si>
  <si>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</si>
  <si>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</si>
  <si>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</si>
  <si>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</si>
  <si>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</si>
  <si>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</si>
  <si>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</si>
  <si>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</si>
  <si>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</si>
  <si>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</si>
  <si>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</si>
  <si>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</si>
  <si>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</si>
  <si>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</si>
  <si>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</si>
  <si>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</si>
  <si>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</si>
  <si>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</si>
  <si>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</si>
  <si>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</si>
  <si>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</si>
  <si>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</si>
  <si>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</si>
  <si>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</si>
  <si>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</si>
  <si>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</si>
  <si>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</si>
  <si>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</si>
  <si>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</si>
  <si>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</si>
  <si>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</si>
  <si>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</si>
  <si>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</si>
  <si>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</si>
  <si>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</si>
  <si>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</si>
  <si>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</si>
  <si>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</si>
  <si>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</si>
  <si>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</si>
  <si>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</si>
  <si>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</si>
  <si>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</si>
  <si>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</si>
  <si>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</si>
  <si>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</si>
  <si>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</si>
  <si>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</si>
  <si>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</si>
  <si>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</si>
  <si>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</si>
  <si>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</si>
  <si>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</si>
  <si>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</si>
  <si>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</si>
  <si>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</si>
  <si>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</si>
  <si>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</si>
  <si>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</si>
  <si>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</si>
  <si>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</si>
  <si>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</si>
  <si>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</si>
  <si>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</si>
  <si>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</si>
  <si>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</si>
  <si>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</si>
  <si>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</si>
  <si>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</si>
  <si>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</si>
  <si>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</si>
  <si>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</si>
  <si>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</si>
  <si>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</si>
  <si>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</si>
  <si>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</si>
  <si>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</si>
  <si>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</si>
  <si>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</si>
  <si>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</si>
  <si>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</si>
  <si>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</si>
  <si>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</si>
  <si>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</si>
  <si>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</si>
  <si>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</si>
  <si>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</si>
  <si>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</si>
  <si>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</si>
  <si>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</si>
  <si>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</si>
  <si>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</si>
  <si>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</si>
  <si>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</si>
  <si>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</si>
  <si>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</si>
  <si>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</si>
  <si>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</si>
  <si>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</si>
  <si>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</si>
  <si>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</si>
  <si>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</si>
  <si>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</si>
  <si>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</si>
  <si>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</si>
  <si>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</si>
  <si>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</si>
  <si>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</si>
  <si>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</si>
  <si>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</si>
  <si>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</si>
  <si>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</si>
  <si>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</si>
  <si>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</si>
  <si>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</si>
  <si>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</si>
  <si>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</si>
  <si>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</si>
  <si>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</si>
  <si>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</si>
  <si>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</si>
  <si>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</si>
  <si>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</si>
  <si>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</si>
  <si>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</si>
  <si>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</si>
  <si>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</si>
  <si>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</si>
  <si>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</si>
  <si>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</si>
  <si>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</si>
  <si>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</si>
  <si>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</si>
  <si>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</si>
  <si>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</si>
  <si>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</si>
  <si>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</si>
  <si>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</si>
  <si>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</si>
  <si>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</si>
  <si>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</si>
  <si>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</si>
  <si>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</si>
  <si>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</si>
  <si>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</si>
  <si>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</si>
  <si>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</si>
  <si>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</si>
  <si>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</si>
  <si>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</si>
  <si>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</si>
  <si>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</si>
  <si>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</si>
  <si>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</si>
  <si>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</si>
  <si>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</si>
  <si>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</si>
  <si>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</si>
  <si>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</si>
  <si>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</si>
  <si>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</si>
  <si>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</si>
  <si>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</si>
  <si>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</si>
  <si>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</si>
  <si>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</si>
  <si>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</si>
  <si>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</si>
  <si>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</si>
  <si>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</si>
  <si>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</si>
  <si>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</si>
  <si>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</si>
  <si>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</si>
  <si>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</si>
  <si>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</si>
  <si>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</si>
  <si>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</si>
  <si>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</si>
  <si>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</si>
  <si>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</si>
  <si>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</si>
  <si>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</si>
  <si>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</si>
  <si>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</si>
  <si>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</si>
  <si>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</si>
  <si>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</si>
  <si>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</si>
  <si>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</si>
  <si>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</si>
  <si>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</si>
  <si>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</si>
  <si>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</si>
  <si>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</si>
  <si>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</si>
  <si>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</si>
  <si>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</si>
  <si>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</si>
  <si>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</si>
  <si>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</si>
  <si>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</si>
  <si>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</si>
  <si>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</si>
  <si>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</si>
  <si>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</si>
  <si>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</si>
  <si>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</si>
  <si>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</si>
  <si>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</si>
  <si>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</si>
  <si>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</si>
  <si>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</si>
  <si>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</si>
  <si>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</si>
  <si>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</si>
  <si>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</si>
  <si>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</si>
  <si>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</si>
  <si>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</si>
  <si>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</si>
  <si>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</si>
  <si>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</si>
  <si>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</si>
  <si>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</si>
  <si>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</si>
  <si>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</si>
  <si>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</si>
  <si>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</si>
  <si>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</si>
  <si>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</si>
  <si>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</si>
  <si>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</si>
  <si>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</si>
  <si>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</si>
  <si>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</si>
  <si>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</si>
  <si>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</si>
  <si>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</si>
  <si>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</si>
  <si>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</si>
  <si>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</si>
  <si>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</si>
  <si>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</si>
  <si>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</si>
  <si>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</si>
  <si>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</si>
  <si>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</si>
  <si>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</si>
  <si>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</si>
  <si>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</si>
  <si>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</si>
  <si>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</si>
  <si>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</si>
  <si>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</si>
  <si>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</si>
  <si>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</si>
  <si>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</si>
  <si>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</si>
  <si>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</si>
  <si>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</si>
  <si>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</si>
  <si>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</si>
  <si>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</si>
  <si>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</si>
  <si>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</si>
  <si>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</si>
  <si>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</si>
  <si>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</si>
  <si>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</si>
  <si>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</si>
  <si>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</si>
  <si>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</si>
  <si>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</si>
  <si>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</si>
  <si>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</si>
  <si>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</si>
  <si>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</si>
  <si>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</si>
  <si>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</si>
  <si>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</si>
  <si>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</si>
  <si>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</si>
  <si>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</si>
  <si>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</si>
  <si>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</si>
  <si>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</si>
  <si>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</si>
  <si>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</si>
  <si>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</si>
  <si>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</si>
  <si>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</si>
  <si>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</si>
  <si>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</si>
  <si>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</si>
  <si>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</si>
  <si>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</si>
  <si>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</si>
  <si>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</si>
  <si>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</si>
  <si>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</si>
  <si>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</si>
  <si>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</si>
  <si>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</si>
  <si>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</si>
  <si>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</si>
  <si>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</si>
  <si>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</si>
  <si>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</si>
  <si>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</si>
  <si>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</si>
  <si>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</si>
  <si>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</si>
  <si>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</si>
  <si>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</si>
  <si>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</si>
  <si>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</si>
  <si>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</si>
  <si>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</si>
  <si>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</si>
  <si>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</si>
  <si>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</si>
  <si>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</si>
  <si>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</si>
  <si>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</si>
  <si>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</si>
  <si>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</si>
  <si>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</si>
  <si>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</si>
  <si>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</si>
  <si>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</si>
  <si>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</si>
  <si>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</si>
  <si>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</si>
  <si>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</si>
  <si>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</si>
  <si>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</si>
  <si>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</si>
  <si>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</si>
  <si>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</si>
  <si>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</si>
  <si>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</si>
  <si>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</si>
  <si>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</si>
  <si>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</si>
  <si>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</si>
  <si>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</si>
  <si>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</si>
  <si>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</si>
  <si>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</si>
  <si>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</si>
  <si>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</si>
  <si>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</si>
  <si>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</si>
  <si>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</si>
  <si>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</si>
  <si>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</si>
  <si>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</si>
  <si>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</si>
  <si>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</si>
  <si>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</si>
  <si>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</si>
  <si>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</si>
  <si>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</si>
  <si>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</si>
  <si>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</si>
  <si>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</si>
  <si>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</si>
  <si>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</si>
  <si>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</si>
  <si>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</si>
  <si>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</si>
  <si>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</si>
  <si>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</si>
  <si>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</si>
  <si>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</si>
  <si>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</si>
  <si>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</si>
  <si>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</si>
  <si>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</si>
  <si>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</si>
  <si>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</si>
  <si>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</si>
  <si>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</si>
  <si>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</si>
  <si>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</si>
  <si>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</si>
  <si>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</si>
  <si>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</si>
  <si>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</si>
  <si>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</si>
  <si>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</si>
  <si>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</si>
  <si>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</si>
  <si>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</si>
  <si>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</si>
  <si>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</si>
  <si>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</si>
  <si>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</si>
  <si>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</si>
  <si>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</si>
  <si>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</si>
  <si>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</si>
  <si>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</si>
  <si>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</si>
  <si>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</si>
  <si>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</si>
  <si>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</si>
  <si>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</si>
  <si>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</si>
  <si>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</si>
  <si>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</si>
  <si>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</si>
  <si>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</si>
  <si>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</si>
  <si>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</si>
  <si>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</si>
  <si>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</si>
  <si>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</si>
  <si>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</si>
  <si>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</si>
  <si>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</si>
  <si>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</si>
  <si>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</si>
  <si>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</si>
  <si>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</si>
  <si>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</si>
  <si>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</si>
  <si>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</si>
  <si>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</si>
  <si>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</si>
  <si>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</si>
  <si>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</si>
  <si>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</si>
  <si>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</si>
  <si>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</si>
  <si>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</si>
  <si>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</si>
  <si>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</si>
  <si>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</si>
  <si>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</si>
  <si>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</si>
  <si>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</si>
  <si>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</si>
  <si>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</si>
  <si>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</si>
  <si>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</si>
  <si>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</si>
  <si>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</si>
  <si>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</si>
  <si>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</si>
  <si>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</si>
  <si>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</si>
  <si>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</si>
  <si>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</si>
  <si>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</si>
  <si>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</si>
  <si>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</si>
  <si>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</si>
  <si>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</si>
  <si>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</si>
  <si>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</si>
  <si>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</si>
  <si>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</si>
  <si>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</si>
  <si>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</si>
  <si>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</si>
  <si>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</si>
  <si>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</si>
  <si>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</si>
  <si>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</si>
  <si>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</si>
  <si>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</si>
  <si>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</si>
  <si>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</si>
  <si>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</si>
  <si>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</si>
  <si>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</si>
  <si>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</si>
  <si>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</si>
  <si>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</si>
  <si>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</si>
  <si>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</si>
  <si>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</si>
  <si>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</si>
  <si>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</si>
  <si>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</si>
  <si>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</si>
  <si>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</si>
  <si>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</si>
  <si>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</si>
  <si>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</si>
  <si>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</si>
  <si>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</si>
  <si>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</si>
  <si>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</si>
  <si>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</si>
  <si>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</si>
  <si>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</si>
  <si>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</si>
  <si>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</si>
  <si>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</si>
  <si>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</si>
  <si>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</si>
  <si>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</si>
  <si>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</si>
  <si>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</si>
  <si>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</si>
  <si>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</si>
  <si>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</si>
  <si>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</si>
  <si>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</si>
  <si>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</si>
  <si>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</si>
  <si>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</si>
  <si>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</si>
  <si>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</si>
  <si>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</si>
  <si>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</si>
  <si>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</si>
  <si>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</si>
  <si>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</si>
  <si>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</si>
  <si>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</si>
  <si>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</si>
  <si>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</si>
  <si>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</si>
  <si>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</si>
  <si>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</si>
  <si>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</si>
  <si>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</si>
  <si>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</si>
  <si>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</si>
  <si>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</si>
  <si>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</si>
  <si>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</si>
  <si>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</si>
  <si>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</si>
  <si>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</si>
  <si>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</si>
  <si>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</si>
  <si>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</si>
  <si>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</si>
  <si>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</si>
  <si>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</si>
  <si>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</si>
  <si>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</si>
  <si>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</si>
  <si>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</si>
  <si>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</si>
  <si>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</si>
  <si>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</si>
  <si>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</si>
  <si>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</si>
  <si>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</si>
  <si>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</si>
  <si>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</si>
  <si>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</si>
  <si>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</si>
  <si>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</si>
  <si>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</si>
  <si>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</si>
  <si>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</si>
  <si>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</si>
  <si>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</si>
  <si>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</si>
  <si>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</si>
  <si>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</si>
  <si>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</si>
  <si>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</si>
  <si>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</si>
  <si>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</si>
  <si>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</si>
  <si>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</si>
  <si>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</si>
  <si>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</si>
  <si>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</si>
  <si>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</si>
  <si>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</si>
  <si>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</si>
  <si>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</si>
  <si>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</si>
  <si>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</si>
  <si>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</si>
  <si>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</si>
  <si>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</si>
  <si>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</si>
  <si>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</si>
  <si>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</si>
  <si>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</si>
  <si>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</si>
  <si>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</si>
  <si>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</si>
  <si>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</si>
  <si>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</si>
  <si>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</si>
  <si>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</si>
  <si>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</si>
  <si>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</si>
  <si>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</si>
  <si>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</si>
  <si>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</si>
  <si>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</si>
  <si>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</si>
  <si>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</si>
  <si>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</si>
  <si>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</si>
  <si>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</si>
  <si>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</si>
  <si>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</si>
  <si>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</si>
  <si>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</si>
  <si>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</si>
  <si>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</si>
  <si>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</si>
  <si>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</si>
  <si>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</si>
  <si>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</si>
  <si>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</si>
  <si>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</si>
  <si>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</si>
  <si>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</si>
  <si>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</si>
  <si>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</si>
  <si>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</si>
  <si>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</si>
  <si>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</si>
  <si>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</si>
  <si>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</si>
  <si>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</si>
  <si>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</si>
  <si>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</si>
  <si>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</si>
  <si>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</si>
  <si>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</si>
  <si>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</si>
  <si>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</si>
  <si>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</si>
  <si>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</si>
  <si>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</si>
  <si>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</si>
  <si>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</si>
  <si>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</si>
  <si>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</si>
  <si>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</si>
  <si>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</si>
  <si>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</si>
  <si>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</si>
  <si>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</si>
  <si>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</si>
  <si>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</si>
  <si>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</si>
  <si>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</si>
  <si>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</si>
  <si>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</si>
  <si>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</si>
  <si>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</si>
  <si>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</si>
  <si>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</si>
  <si>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</si>
  <si>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</si>
  <si>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</si>
  <si>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</si>
  <si>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</si>
  <si>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</si>
  <si>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</si>
  <si>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</si>
  <si>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</si>
  <si>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</si>
  <si>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</si>
  <si>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</si>
  <si>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</si>
  <si>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</si>
  <si>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</si>
  <si>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</si>
  <si>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</si>
  <si>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</si>
  <si>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</si>
  <si>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</si>
  <si>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</si>
  <si>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</si>
  <si>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</si>
  <si>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</si>
  <si>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</si>
  <si>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</si>
  <si>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</si>
  <si>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</si>
  <si>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</si>
  <si>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</si>
  <si>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</si>
  <si>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</si>
  <si>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</si>
  <si>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</si>
  <si>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</si>
  <si>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</si>
  <si>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</si>
  <si>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</si>
  <si>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</si>
  <si>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</si>
  <si>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</si>
  <si>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</si>
  <si>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</si>
  <si>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</si>
  <si>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</si>
  <si>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</si>
  <si>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</si>
  <si>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</si>
  <si>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</si>
  <si>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</si>
  <si>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</si>
  <si>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</si>
  <si>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</si>
  <si>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</si>
  <si>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</si>
  <si>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</si>
  <si>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</si>
  <si>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</si>
  <si>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</si>
  <si>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</si>
  <si>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</si>
  <si>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</si>
  <si>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</si>
  <si>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</si>
  <si>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</si>
  <si>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</si>
  <si>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</si>
  <si>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</si>
  <si>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</si>
  <si>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</si>
  <si>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</si>
  <si>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</si>
  <si>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</si>
  <si>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</si>
  <si>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</si>
  <si>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</si>
  <si>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</si>
  <si>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</si>
  <si>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</si>
  <si>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</si>
  <si>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</si>
  <si>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</si>
  <si>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</si>
  <si>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</si>
  <si>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</si>
  <si>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</si>
  <si>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</si>
  <si>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</si>
  <si>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</si>
  <si>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</si>
  <si>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</si>
  <si>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</si>
  <si>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</si>
  <si>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</si>
  <si>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</si>
  <si>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</si>
  <si>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</si>
  <si>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</si>
  <si>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</si>
  <si>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</si>
  <si>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</si>
  <si>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</si>
  <si>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</si>
  <si>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</si>
  <si>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</si>
  <si>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</si>
  <si>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8517903</t>
  </si>
  <si>
    <t>GUANTES TACTICO MITON BEIGE XL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</si>
  <si>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</si>
  <si>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</si>
  <si>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</si>
  <si>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</si>
  <si>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</si>
  <si>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</si>
  <si>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</si>
  <si>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</si>
  <si>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</si>
  <si>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</si>
  <si>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</si>
  <si>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</si>
  <si>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</si>
  <si>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</si>
  <si>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</si>
  <si>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</si>
  <si>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</si>
  <si>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</si>
  <si>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</si>
  <si>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</si>
  <si>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</si>
  <si>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</si>
  <si>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</si>
  <si>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</si>
  <si>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</si>
  <si>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</si>
  <si>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</si>
  <si>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</si>
  <si>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</si>
  <si>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</si>
  <si>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</si>
  <si>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</si>
  <si>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</si>
  <si>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</si>
  <si>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</si>
  <si>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</si>
  <si>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</si>
  <si>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</si>
  <si>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</si>
  <si>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</si>
  <si>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</si>
  <si>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</si>
  <si>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</si>
  <si>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</si>
  <si>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</si>
  <si>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</si>
  <si>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</si>
  <si>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</si>
  <si>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</si>
  <si>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</si>
  <si>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</si>
  <si>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</si>
  <si>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</si>
  <si>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</si>
  <si>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</si>
  <si>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</si>
  <si>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</si>
  <si>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</si>
  <si>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</si>
  <si>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</si>
  <si>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</si>
  <si>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</si>
  <si>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</si>
  <si>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</si>
  <si>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</si>
  <si>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</si>
  <si>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</si>
  <si>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</si>
  <si>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</si>
  <si>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</si>
  <si>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</si>
  <si>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</si>
  <si>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</si>
  <si>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</si>
  <si>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</si>
  <si>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</si>
  <si>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</si>
  <si>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</si>
  <si>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</si>
  <si>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</si>
  <si>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</si>
  <si>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</si>
  <si>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</si>
  <si>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</si>
  <si>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</si>
  <si>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</si>
  <si>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</si>
  <si>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</si>
  <si>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</si>
  <si>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</si>
  <si>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</si>
  <si>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</si>
  <si>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</si>
  <si>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</si>
  <si>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</si>
  <si>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</si>
  <si>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</si>
  <si>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</si>
  <si>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</si>
  <si>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</si>
  <si>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</si>
  <si>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</si>
  <si>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</si>
  <si>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</si>
  <si>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</si>
  <si>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</si>
  <si>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</si>
  <si>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</si>
  <si>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LINTERNA GOMA RECARG USB CON CLIP 5621-1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</si>
  <si>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</si>
  <si>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</si>
  <si>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</si>
  <si>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</si>
  <si>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</si>
  <si>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</si>
  <si>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</si>
  <si>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</si>
  <si>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</si>
  <si>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</si>
  <si>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</si>
  <si>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</si>
  <si>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</si>
  <si>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</si>
  <si>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</si>
  <si>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</si>
  <si>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</si>
  <si>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</si>
  <si>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</si>
  <si>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</si>
  <si>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</si>
  <si>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</si>
  <si>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</si>
  <si>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</si>
  <si>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</si>
  <si>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</si>
  <si>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</si>
  <si>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</si>
  <si>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</si>
  <si>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</si>
  <si>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</si>
  <si>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</si>
  <si>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</si>
  <si>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</si>
  <si>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</si>
  <si>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</si>
  <si>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</si>
  <si>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</si>
  <si>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</si>
  <si>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</si>
  <si>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</si>
  <si>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</si>
  <si>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</si>
  <si>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</si>
  <si>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</si>
  <si>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</si>
  <si>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</si>
  <si>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</si>
  <si>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</si>
  <si>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</si>
  <si>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</si>
  <si>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</si>
  <si>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</si>
  <si>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</si>
  <si>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</si>
  <si>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</si>
  <si>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</si>
  <si>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</si>
  <si>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</si>
  <si>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</si>
  <si>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</si>
  <si>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</si>
  <si>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</si>
  <si>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</si>
  <si>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</si>
  <si>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</si>
  <si>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</si>
  <si>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</si>
  <si>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</si>
  <si>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</si>
  <si>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</si>
  <si>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</si>
  <si>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</si>
  <si>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</si>
  <si>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</si>
  <si>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</si>
  <si>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</si>
  <si>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</si>
  <si>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</si>
  <si>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</si>
  <si>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</si>
  <si>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</si>
  <si>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</si>
  <si>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</si>
  <si>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</si>
  <si>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</si>
  <si>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</si>
  <si>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</si>
  <si>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</si>
  <si>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</si>
  <si>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</si>
  <si>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</si>
  <si>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</si>
  <si>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</si>
  <si>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</si>
  <si>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</si>
  <si>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</si>
  <si>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</si>
  <si>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NAVAJA 23 CM TACTICA DIGITAL VERDE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</si>
  <si>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</si>
  <si>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</si>
  <si>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</si>
  <si>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</si>
  <si>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</si>
  <si>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</si>
  <si>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</si>
  <si>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</si>
  <si>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</si>
  <si>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</si>
  <si>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</si>
  <si>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</si>
  <si>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</si>
  <si>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</si>
  <si>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</si>
  <si>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</si>
  <si>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</si>
  <si>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</si>
  <si>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</si>
  <si>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</si>
  <si>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</si>
  <si>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</si>
  <si>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</si>
  <si>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</si>
  <si>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</si>
  <si>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</si>
  <si>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</si>
  <si>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</si>
  <si>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</si>
  <si>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</si>
  <si>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</si>
  <si>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</si>
  <si>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</si>
  <si>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</si>
  <si>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</si>
  <si>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</si>
  <si>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</si>
  <si>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</si>
  <si>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</si>
  <si>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</si>
  <si>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</si>
  <si>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</si>
  <si>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</si>
  <si>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</si>
  <si>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</si>
  <si>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</si>
  <si>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</si>
  <si>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</si>
  <si>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</si>
  <si>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</si>
  <si>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</si>
  <si>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</si>
  <si>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</si>
  <si>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</si>
  <si>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</si>
  <si>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</si>
  <si>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</si>
  <si>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</si>
  <si>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</si>
  <si>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</si>
  <si>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</si>
  <si>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</si>
  <si>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</si>
  <si>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</si>
  <si>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</si>
  <si>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</si>
  <si>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</si>
  <si>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</si>
  <si>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</si>
  <si>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</si>
  <si>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</si>
  <si>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</si>
  <si>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</si>
  <si>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</si>
  <si>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</si>
  <si>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</si>
  <si>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</si>
  <si>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</si>
  <si>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</si>
  <si>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</si>
  <si>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</si>
  <si>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</si>
  <si>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</si>
  <si>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</si>
  <si>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</si>
  <si>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</si>
  <si>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</si>
  <si>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</si>
  <si>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</si>
  <si>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</si>
  <si>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</si>
  <si>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</si>
  <si>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</si>
  <si>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</si>
  <si>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</si>
  <si>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</si>
  <si>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</si>
  <si>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</si>
  <si>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</si>
  <si>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</si>
  <si>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</si>
  <si>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</si>
  <si>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</si>
  <si>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</si>
  <si>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</si>
  <si>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</si>
  <si>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</si>
  <si>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</si>
  <si>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</si>
  <si>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</si>
  <si>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</si>
  <si>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</si>
  <si>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</si>
  <si>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</si>
  <si>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</si>
  <si>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</si>
  <si>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</si>
  <si>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</si>
  <si>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</si>
  <si>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</si>
  <si>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</si>
  <si>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</si>
  <si>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</si>
  <si>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</si>
  <si>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</si>
  <si>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</si>
  <si>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</si>
  <si>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</si>
  <si>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</si>
  <si>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</si>
  <si>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MOSQUETON POLIM PLASTICO MOLLE MARR RER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</si>
  <si>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</si>
  <si>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</si>
  <si>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</si>
  <si>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</si>
  <si>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</si>
  <si>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</si>
  <si>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</si>
  <si>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</si>
  <si>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</si>
  <si>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</si>
  <si>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</si>
  <si>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</si>
  <si>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</si>
  <si>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</si>
  <si>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</si>
  <si>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</si>
  <si>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</si>
  <si>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</si>
  <si>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</si>
  <si>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</si>
  <si>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</si>
  <si>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</si>
  <si>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</si>
  <si>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</si>
  <si>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</si>
  <si>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</si>
  <si>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</si>
  <si>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</si>
  <si>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</si>
  <si>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</si>
  <si>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</si>
  <si>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</si>
  <si>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</si>
  <si>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</si>
  <si>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</si>
  <si>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</si>
  <si>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</si>
  <si>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</si>
  <si>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</si>
  <si>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</si>
  <si>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</si>
  <si>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</si>
  <si>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</si>
  <si>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</si>
  <si>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</si>
  <si>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</si>
  <si>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</si>
  <si>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</si>
  <si>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</si>
  <si>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</si>
  <si>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</si>
  <si>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</si>
  <si>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</si>
  <si>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</si>
  <si>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</si>
  <si>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</si>
  <si>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</si>
  <si>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</si>
  <si>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</si>
  <si>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</si>
  <si>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</si>
  <si>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</si>
  <si>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</si>
  <si>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</si>
  <si>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</si>
  <si>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</si>
  <si>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</si>
  <si>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</si>
  <si>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NAVAJA 23 CM TACTICA BLACK LUG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</si>
  <si>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</si>
  <si>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</si>
  <si>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</si>
  <si>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</si>
  <si>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</si>
  <si>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</si>
  <si>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</si>
  <si>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</si>
  <si>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</si>
  <si>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</si>
  <si>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</si>
  <si>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</si>
  <si>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</si>
  <si>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</si>
  <si>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</si>
  <si>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</si>
  <si>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</si>
  <si>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</si>
  <si>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</si>
  <si>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</si>
  <si>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</si>
  <si>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</si>
  <si>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</si>
  <si>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</si>
  <si>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</si>
  <si>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</si>
  <si>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</si>
  <si>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</si>
  <si>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</si>
  <si>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</si>
  <si>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</si>
  <si>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</si>
  <si>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</si>
  <si>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</si>
  <si>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</si>
  <si>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</si>
  <si>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</si>
  <si>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</si>
  <si>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</si>
  <si>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</si>
  <si>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</si>
  <si>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</si>
  <si>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</si>
  <si>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</si>
  <si>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</si>
  <si>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</si>
  <si>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</si>
  <si>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</si>
  <si>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</si>
  <si>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</si>
  <si>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</si>
  <si>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</si>
  <si>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</si>
  <si>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</si>
  <si>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CUCHILLO SCHRADE EXTREME F24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</si>
  <si>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</si>
  <si>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</si>
  <si>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</si>
  <si>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</si>
  <si>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</si>
  <si>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</si>
  <si>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</si>
  <si>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</si>
  <si>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</si>
  <si>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</si>
  <si>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</si>
  <si>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</si>
  <si>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</si>
  <si>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</si>
  <si>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</si>
  <si>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</si>
  <si>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</si>
  <si>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</si>
  <si>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</si>
  <si>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</si>
  <si>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</si>
  <si>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CUCHILLO F19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</si>
  <si>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</si>
  <si>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</si>
  <si>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</si>
  <si>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</si>
  <si>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</si>
  <si>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</si>
  <si>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</si>
  <si>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</si>
  <si>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</si>
  <si>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</si>
  <si>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</si>
  <si>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</si>
  <si>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</si>
  <si>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</si>
  <si>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</si>
  <si>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</si>
  <si>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</si>
  <si>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</si>
  <si>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</si>
  <si>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</si>
  <si>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</si>
  <si>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</si>
  <si>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</si>
  <si>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</si>
  <si>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</si>
  <si>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</si>
  <si>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</si>
  <si>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</si>
  <si>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</si>
  <si>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</si>
  <si>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</si>
  <si>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</si>
  <si>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</si>
  <si>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</si>
  <si>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</si>
  <si>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</si>
  <si>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</si>
  <si>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</si>
  <si>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</si>
  <si>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</si>
  <si>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</si>
  <si>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</si>
  <si>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</si>
  <si>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</si>
  <si>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</si>
  <si>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</si>
  <si>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</si>
  <si>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</si>
  <si>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</si>
  <si>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</si>
  <si>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</si>
  <si>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</si>
  <si>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</si>
  <si>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</si>
  <si>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</si>
  <si>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</si>
  <si>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</si>
  <si>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</si>
  <si>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</si>
  <si>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</si>
  <si>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</si>
  <si>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</si>
  <si>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</si>
  <si>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</si>
  <si>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</si>
  <si>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</si>
  <si>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</si>
  <si>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</si>
  <si>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</si>
  <si>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</si>
  <si>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</si>
  <si>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</si>
  <si>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</si>
  <si>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</si>
  <si>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</si>
  <si>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</si>
  <si>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</si>
  <si>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</si>
  <si>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</si>
  <si>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</si>
  <si>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</si>
  <si>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</si>
  <si>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</si>
  <si>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</si>
  <si>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</si>
  <si>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</si>
  <si>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</si>
  <si>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</si>
  <si>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</si>
  <si>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</si>
  <si>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</si>
  <si>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</si>
  <si>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</si>
  <si>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</si>
  <si>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</si>
  <si>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</si>
  <si>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</si>
  <si>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</si>
  <si>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</si>
  <si>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</si>
  <si>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</si>
  <si>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</si>
  <si>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</si>
  <si>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</si>
  <si>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</si>
  <si>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</si>
  <si>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</si>
  <si>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</si>
  <si>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</si>
  <si>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</si>
  <si>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</si>
  <si>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</si>
  <si>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</si>
  <si>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</si>
  <si>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</si>
  <si>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</si>
  <si>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</si>
  <si>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</si>
  <si>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</si>
  <si>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</si>
  <si>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</si>
  <si>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</si>
  <si>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</si>
  <si>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</si>
  <si>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</si>
  <si>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</si>
  <si>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</si>
  <si>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</si>
  <si>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</si>
  <si>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</si>
  <si>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</si>
  <si>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</si>
  <si>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</si>
  <si>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</si>
  <si>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</si>
  <si>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</si>
  <si>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</si>
  <si>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</si>
  <si>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</si>
  <si>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</si>
  <si>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</si>
  <si>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</si>
  <si>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</si>
  <si>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</si>
  <si>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</si>
  <si>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</si>
  <si>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</si>
  <si>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</si>
  <si>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</si>
  <si>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</si>
  <si>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</si>
  <si>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</si>
  <si>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</si>
  <si>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</si>
  <si>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</si>
  <si>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</si>
  <si>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</si>
  <si>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</si>
  <si>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</si>
  <si>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</si>
  <si>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</si>
  <si>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</si>
  <si>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</si>
  <si>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</si>
  <si>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</si>
  <si>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</si>
  <si>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</si>
  <si>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</si>
  <si>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</si>
  <si>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</si>
  <si>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</si>
  <si>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</si>
  <si>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</si>
  <si>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</si>
  <si>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</si>
  <si>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</si>
  <si>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</si>
  <si>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</si>
  <si>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</si>
  <si>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</si>
  <si>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</si>
  <si>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</si>
  <si>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</si>
  <si>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</si>
  <si>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</si>
  <si>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</si>
  <si>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</si>
  <si>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</si>
  <si>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</si>
  <si>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</si>
  <si>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</si>
  <si>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</si>
  <si>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</si>
  <si>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</si>
  <si>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</si>
  <si>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</si>
  <si>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</si>
  <si>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</si>
  <si>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</si>
  <si>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</si>
  <si>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COLCHON INFLABLE 1 PLAZA OUTDOORS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</si>
  <si>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</si>
  <si>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</si>
  <si>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</si>
  <si>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</si>
  <si>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</si>
  <si>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</si>
  <si>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</si>
  <si>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</si>
  <si>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</si>
  <si>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</si>
  <si>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</si>
  <si>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</si>
  <si>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</si>
  <si>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</si>
  <si>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</si>
  <si>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</si>
  <si>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</si>
  <si>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</si>
  <si>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</si>
  <si>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</si>
  <si>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</si>
  <si>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</si>
  <si>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</si>
  <si>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</si>
  <si>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</si>
  <si>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</si>
  <si>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</si>
  <si>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</si>
  <si>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</si>
  <si>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</si>
  <si>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</si>
  <si>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</si>
  <si>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</si>
  <si>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</si>
  <si>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BOLSA DORMIR GRAVIRY 230X80X55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</si>
  <si>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</si>
  <si>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</si>
  <si>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</si>
  <si>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</si>
  <si>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</si>
  <si>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</si>
  <si>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</si>
  <si>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</si>
  <si>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</si>
  <si>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</si>
  <si>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</si>
  <si>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</si>
  <si>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</si>
  <si>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</si>
  <si>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</si>
  <si>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</si>
  <si>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</si>
  <si>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</si>
  <si>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</si>
  <si>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</si>
  <si>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</si>
  <si>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</si>
  <si>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</si>
  <si>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</si>
  <si>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</si>
  <si>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</si>
  <si>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</si>
  <si>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</si>
  <si>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</si>
  <si>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</si>
  <si>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</si>
  <si>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</si>
  <si>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</si>
  <si>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</si>
  <si>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</si>
  <si>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</si>
  <si>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</si>
  <si>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</si>
  <si>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</si>
  <si>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</si>
  <si>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</si>
  <si>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</si>
  <si>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</si>
  <si>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</si>
  <si>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</si>
  <si>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</si>
  <si>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</si>
  <si>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</si>
  <si>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</si>
  <si>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</si>
  <si>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</si>
  <si>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</si>
  <si>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</si>
  <si>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</si>
  <si>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</si>
  <si>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</si>
  <si>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</si>
  <si>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</si>
  <si>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</si>
  <si>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</si>
  <si>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</si>
  <si>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</si>
  <si>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</si>
  <si>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</si>
  <si>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</si>
  <si>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</si>
  <si>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</si>
  <si>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</si>
  <si>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</si>
  <si>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</si>
  <si>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</si>
  <si>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</si>
  <si>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</si>
  <si>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</si>
  <si>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</si>
  <si>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</si>
  <si>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</si>
  <si>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</si>
  <si>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</si>
  <si>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</si>
  <si>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</si>
  <si>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</si>
  <si>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</si>
  <si>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</si>
  <si>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</si>
  <si>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</si>
  <si>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</si>
  <si>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</si>
  <si>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</si>
  <si>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</si>
  <si>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</si>
  <si>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</si>
  <si>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</si>
  <si>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</si>
  <si>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</si>
  <si>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</si>
  <si>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</si>
  <si>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</si>
  <si>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</si>
  <si>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</si>
  <si>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</si>
  <si>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</si>
  <si>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</si>
  <si>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</si>
  <si>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</si>
  <si>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</si>
  <si>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</si>
  <si>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</si>
  <si>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</si>
  <si>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</si>
  <si>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</si>
  <si>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</si>
  <si>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</si>
  <si>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</si>
  <si>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</si>
  <si>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</si>
  <si>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</si>
  <si>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</si>
  <si>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</si>
  <si>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</si>
  <si>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</si>
  <si>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</si>
  <si>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</si>
  <si>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</si>
  <si>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</si>
  <si>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</si>
  <si>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</si>
  <si>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</si>
  <si>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</si>
  <si>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</si>
  <si>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</si>
  <si>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</si>
  <si>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</si>
  <si>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</si>
  <si>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</si>
  <si>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</si>
  <si>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</si>
  <si>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</si>
  <si>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</si>
  <si>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</si>
  <si>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</si>
  <si>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</si>
  <si>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</si>
  <si>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</si>
  <si>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</si>
  <si>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</si>
  <si>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</si>
  <si>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</si>
  <si>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</si>
  <si>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</si>
  <si>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</si>
  <si>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</si>
  <si>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</si>
  <si>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</si>
  <si>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</si>
  <si>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</si>
  <si>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</si>
  <si>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</si>
  <si>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</si>
  <si>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</si>
  <si>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</si>
  <si>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</si>
  <si>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</si>
  <si>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</si>
  <si>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</si>
  <si>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</si>
  <si>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</si>
  <si>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</si>
  <si>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</si>
  <si>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</si>
  <si>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</si>
  <si>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</si>
  <si>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</si>
  <si>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</si>
  <si>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</si>
  <si>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</si>
  <si>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</si>
  <si>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</si>
  <si>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</si>
  <si>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</si>
  <si>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</si>
  <si>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</si>
  <si>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</si>
  <si>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</si>
  <si>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</si>
  <si>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</si>
  <si>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</si>
  <si>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</si>
  <si>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</si>
  <si>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</si>
  <si>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</si>
  <si>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</si>
  <si>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</si>
  <si>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</si>
  <si>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</si>
  <si>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</si>
  <si>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</si>
  <si>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</si>
  <si>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</si>
  <si>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</si>
  <si>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</si>
  <si>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</si>
  <si>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</si>
  <si>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</si>
  <si>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</si>
  <si>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</si>
  <si>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</si>
  <si>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</si>
  <si>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</si>
  <si>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</si>
  <si>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</si>
  <si>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</si>
  <si>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</si>
  <si>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</si>
  <si>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</si>
  <si>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</si>
  <si>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</si>
  <si>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</si>
  <si>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</si>
  <si>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</si>
  <si>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</si>
  <si>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</si>
  <si>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</si>
  <si>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</si>
  <si>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</si>
  <si>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</si>
  <si>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</si>
  <si>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</si>
  <si>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</si>
  <si>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</si>
  <si>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</si>
  <si>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</si>
  <si>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</si>
  <si>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</si>
  <si>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</si>
  <si>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</si>
  <si>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</si>
  <si>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</si>
  <si>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</si>
  <si>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</si>
  <si>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</si>
  <si>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</si>
  <si>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</si>
  <si>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</si>
  <si>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</si>
  <si>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</si>
  <si>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</si>
  <si>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</si>
  <si>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</si>
  <si>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</si>
  <si>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</si>
  <si>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</si>
  <si>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</si>
  <si>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</si>
  <si>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</si>
  <si>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</si>
  <si>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</si>
  <si>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</si>
  <si>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</si>
  <si>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</si>
  <si>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</si>
  <si>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</si>
  <si>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</si>
  <si>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</si>
  <si>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</si>
  <si>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</si>
  <si>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</si>
  <si>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</si>
  <si>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</si>
  <si>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</si>
  <si>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</si>
  <si>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</si>
  <si>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</si>
  <si>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</si>
  <si>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</si>
  <si>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</si>
  <si>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</si>
  <si>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</si>
  <si>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</si>
  <si>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</si>
  <si>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</si>
  <si>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</si>
  <si>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</si>
  <si>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</si>
  <si>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</si>
  <si>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</si>
  <si>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</si>
  <si>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</si>
  <si>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</si>
  <si>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</si>
  <si>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</si>
  <si>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</si>
  <si>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</si>
  <si>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</si>
  <si>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</si>
  <si>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</si>
  <si>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</si>
  <si>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</si>
  <si>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</si>
  <si>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</si>
  <si>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</si>
  <si>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</si>
  <si>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</si>
  <si>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</si>
  <si>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</si>
  <si>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</si>
  <si>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</si>
  <si>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</si>
  <si>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</si>
  <si>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</si>
  <si>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</si>
  <si>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</si>
  <si>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</si>
  <si>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</si>
  <si>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</si>
  <si>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</si>
  <si>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</si>
  <si>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</si>
  <si>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</si>
  <si>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</si>
  <si>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</si>
  <si>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</si>
  <si>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</si>
  <si>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</si>
  <si>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</si>
  <si>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</si>
  <si>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</si>
  <si>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</si>
  <si>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</si>
  <si>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</si>
  <si>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</si>
  <si>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</si>
  <si>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</si>
  <si>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</si>
  <si>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</si>
  <si>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</si>
  <si>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</si>
  <si>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</si>
  <si>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</si>
  <si>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</si>
  <si>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</si>
  <si>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</si>
  <si>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</si>
  <si>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</si>
  <si>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</si>
  <si>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</si>
  <si>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</si>
  <si>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</si>
  <si>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</si>
  <si>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</si>
  <si>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</si>
  <si>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</si>
  <si>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</si>
  <si>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</si>
  <si>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</si>
  <si>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</si>
  <si>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</si>
  <si>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</si>
  <si>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</si>
  <si>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</si>
  <si>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</si>
  <si>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</si>
  <si>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</si>
  <si>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</si>
  <si>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</si>
  <si>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</si>
  <si>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</si>
  <si>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</si>
  <si>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</si>
  <si>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</si>
  <si>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</si>
  <si>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</si>
  <si>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</si>
  <si>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</si>
  <si>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</si>
  <si>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</si>
  <si>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</si>
  <si>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</si>
  <si>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</si>
  <si>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</si>
  <si>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</si>
  <si>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</si>
  <si>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</si>
  <si>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</si>
  <si>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</si>
  <si>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</si>
  <si>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</si>
  <si>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</si>
  <si>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</si>
  <si>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</si>
  <si>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</si>
  <si>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</si>
  <si>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</si>
  <si>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</si>
  <si>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</si>
  <si>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</si>
  <si>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</si>
  <si>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</si>
  <si>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</si>
  <si>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</si>
  <si>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</si>
  <si>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</si>
  <si>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</si>
  <si>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</si>
  <si>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</si>
  <si>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</si>
  <si>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</si>
  <si>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</si>
  <si>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</si>
  <si>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</si>
  <si>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</si>
  <si>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</si>
  <si>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</si>
  <si>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</si>
  <si>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</si>
  <si>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</si>
  <si>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</si>
  <si>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</si>
  <si>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</si>
  <si>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</si>
  <si>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</si>
  <si>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</si>
  <si>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</si>
  <si>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</si>
  <si>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</si>
  <si>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</si>
  <si>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</si>
  <si>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</si>
  <si>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</si>
  <si>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</si>
  <si>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</si>
  <si>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</si>
  <si>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</si>
  <si>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</si>
  <si>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</si>
  <si>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</si>
  <si>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</si>
  <si>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</si>
  <si>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</si>
  <si>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</si>
  <si>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</si>
  <si>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</si>
  <si>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</si>
  <si>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</si>
  <si>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</si>
  <si>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</si>
  <si>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</si>
  <si>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</si>
  <si>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</si>
  <si>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</si>
  <si>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</si>
  <si>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</si>
  <si>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</si>
  <si>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</si>
  <si>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</si>
  <si>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</si>
  <si>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</si>
  <si>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</si>
  <si>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</si>
  <si>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</si>
  <si>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</si>
  <si>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</si>
  <si>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</si>
  <si>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</si>
  <si>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</si>
  <si>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</si>
  <si>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</si>
  <si>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</si>
  <si>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</si>
  <si>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</si>
  <si>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</si>
  <si>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</si>
  <si>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</si>
  <si>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</si>
  <si>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</si>
  <si>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</si>
  <si>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</si>
  <si>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</si>
  <si>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</si>
  <si>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</si>
  <si>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</si>
  <si>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</si>
  <si>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</si>
  <si>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</si>
  <si>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</si>
  <si>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</si>
  <si>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</si>
  <si>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</si>
  <si>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</si>
  <si>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</si>
  <si>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</si>
  <si>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</si>
  <si>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</si>
  <si>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</si>
  <si>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</si>
  <si>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</si>
  <si>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</si>
  <si>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</si>
  <si>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</si>
  <si>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</si>
  <si>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</si>
  <si>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</si>
  <si>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</si>
  <si>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</si>
  <si>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</si>
  <si>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</si>
  <si>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</si>
  <si>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</si>
  <si>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</si>
  <si>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</si>
  <si>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</si>
  <si>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</si>
  <si>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</si>
  <si>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</si>
  <si>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</si>
  <si>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</si>
  <si>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</si>
  <si>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</si>
  <si>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</si>
  <si>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</si>
  <si>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</si>
  <si>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</si>
  <si>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</si>
  <si>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</si>
  <si>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</si>
  <si>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</si>
  <si>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</si>
  <si>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</si>
  <si>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</si>
  <si>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</si>
  <si>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</si>
  <si>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</si>
  <si>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</si>
  <si>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</si>
  <si>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</si>
  <si>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</si>
  <si>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</si>
  <si>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</si>
  <si>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</si>
  <si>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</si>
  <si>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</si>
  <si>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</si>
  <si>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</si>
  <si>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</si>
  <si>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</si>
  <si>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</si>
  <si>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</si>
  <si>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</si>
  <si>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</si>
  <si>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</si>
  <si>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</si>
  <si>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</si>
  <si>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</si>
  <si>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</si>
  <si>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</si>
  <si>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</si>
  <si>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</si>
  <si>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</si>
  <si>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</si>
  <si>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</si>
  <si>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</si>
  <si>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</si>
  <si>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</si>
  <si>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</si>
  <si>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</si>
  <si>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</si>
  <si>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</si>
  <si>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</si>
  <si>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</si>
  <si>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</si>
  <si>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</si>
  <si>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</si>
  <si>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</si>
  <si>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</si>
  <si>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</si>
  <si>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</si>
  <si>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</si>
  <si>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</si>
  <si>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</si>
  <si>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</si>
  <si>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</si>
  <si>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</si>
  <si>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</si>
  <si>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</si>
  <si>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</si>
  <si>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</si>
  <si>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</si>
  <si>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</si>
  <si>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</si>
  <si>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</si>
  <si>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</si>
  <si>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</si>
  <si>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</si>
  <si>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</si>
  <si>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</si>
  <si>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</si>
  <si>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</si>
  <si>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</si>
  <si>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</si>
  <si>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</si>
  <si>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</si>
  <si>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</si>
  <si>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</si>
  <si>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</si>
  <si>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</si>
  <si>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</si>
  <si>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</si>
  <si>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</si>
  <si>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</si>
  <si>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</si>
  <si>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</si>
  <si>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</si>
  <si>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</si>
  <si>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</si>
  <si>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</si>
  <si>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</si>
  <si>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</si>
  <si>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</si>
  <si>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</si>
  <si>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</si>
  <si>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</si>
  <si>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</si>
  <si>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</si>
  <si>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</si>
  <si>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</si>
  <si>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</si>
  <si>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</si>
  <si>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</si>
  <si>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</si>
  <si>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</si>
  <si>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</si>
  <si>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</si>
  <si>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</si>
  <si>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</si>
  <si>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</si>
  <si>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</si>
  <si>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</si>
  <si>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</si>
  <si>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</si>
  <si>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</si>
  <si>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</si>
  <si>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</si>
  <si>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</si>
  <si>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</si>
  <si>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</si>
  <si>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</si>
  <si>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</si>
  <si>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</si>
  <si>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</si>
  <si>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</si>
  <si>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</si>
  <si>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</si>
  <si>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</si>
  <si>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</si>
  <si>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</si>
  <si>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</si>
  <si>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</si>
  <si>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</si>
  <si>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</si>
  <si>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</si>
  <si>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</si>
  <si>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</si>
  <si>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</si>
  <si>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</si>
  <si>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</si>
  <si>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</si>
  <si>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</si>
  <si>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</si>
  <si>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</si>
  <si>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</si>
  <si>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</si>
  <si>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</si>
  <si>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</si>
  <si>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</si>
  <si>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</si>
  <si>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</si>
  <si>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</si>
  <si>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</si>
  <si>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</si>
  <si>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</si>
  <si>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</si>
  <si>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</si>
  <si>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</si>
  <si>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</si>
  <si>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</si>
  <si>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</si>
  <si>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</si>
  <si>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</si>
  <si>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</si>
  <si>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</si>
  <si>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</si>
  <si>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</si>
  <si>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</si>
  <si>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</si>
  <si>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</si>
  <si>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</si>
  <si>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</si>
  <si>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</si>
  <si>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</si>
  <si>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</si>
  <si>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</si>
  <si>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</si>
  <si>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</si>
  <si>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</si>
  <si>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</si>
  <si>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</si>
  <si>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</si>
  <si>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</si>
  <si>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</si>
  <si>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</si>
  <si>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</si>
  <si>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</si>
  <si>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</si>
  <si>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</si>
  <si>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</si>
  <si>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</si>
  <si>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</si>
  <si>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</si>
  <si>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</si>
  <si>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</si>
  <si>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</si>
  <si>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</si>
  <si>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</si>
  <si>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</si>
  <si>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</si>
  <si>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</si>
  <si>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</si>
  <si>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</si>
  <si>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</si>
  <si>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</si>
  <si>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</si>
  <si>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</si>
  <si>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</si>
  <si>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</si>
  <si>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</si>
  <si>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</si>
  <si>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</si>
  <si>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</si>
  <si>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</si>
  <si>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</si>
  <si>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</si>
  <si>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</si>
  <si>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</si>
  <si>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</si>
  <si>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</si>
  <si>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</si>
  <si>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</si>
  <si>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</si>
  <si>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</si>
  <si>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</si>
  <si>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</si>
  <si>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</si>
  <si>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</si>
  <si>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</si>
  <si>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</si>
  <si>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</si>
  <si>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</si>
  <si>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</si>
  <si>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</si>
  <si>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</si>
  <si>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</si>
  <si>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</si>
  <si>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</si>
  <si>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</si>
  <si>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</si>
  <si>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</si>
  <si>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</si>
  <si>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</si>
  <si>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</si>
  <si>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</si>
  <si>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</si>
  <si>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</si>
  <si>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</si>
  <si>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</si>
  <si>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</si>
  <si>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</si>
  <si>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</si>
  <si>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</si>
  <si>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</si>
  <si>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</si>
  <si>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</si>
  <si>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</si>
  <si>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</si>
  <si>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</si>
  <si>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</si>
  <si>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</si>
  <si>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</si>
  <si>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</si>
  <si>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</si>
  <si>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</si>
  <si>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</si>
  <si>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</si>
  <si>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</si>
  <si>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</si>
  <si>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</si>
  <si>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</si>
  <si>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</si>
  <si>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</si>
  <si>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</si>
  <si>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</si>
  <si>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</si>
  <si>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</si>
  <si>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</si>
  <si>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</si>
  <si>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</si>
  <si>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</si>
  <si>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</si>
  <si>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</si>
  <si>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</si>
  <si>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</si>
  <si>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</si>
  <si>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</si>
  <si>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</si>
  <si>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</si>
  <si>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</si>
  <si>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</si>
  <si>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</si>
  <si>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</si>
  <si>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</si>
  <si>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</si>
  <si>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</si>
  <si>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</si>
  <si>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</si>
  <si>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</si>
  <si>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</si>
  <si>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</si>
  <si>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</si>
  <si>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</si>
  <si>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</si>
  <si>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</si>
  <si>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</si>
  <si>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</si>
  <si>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</si>
  <si>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</si>
  <si>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</si>
  <si>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</si>
  <si>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</si>
  <si>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</si>
  <si>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</si>
  <si>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</si>
  <si>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</si>
  <si>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</si>
  <si>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</si>
  <si>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</si>
  <si>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</si>
  <si>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</si>
  <si>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</si>
  <si>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</si>
  <si>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</si>
  <si>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</si>
  <si>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</si>
  <si>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</si>
  <si>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</si>
  <si>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</si>
  <si>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</si>
  <si>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</si>
  <si>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</si>
  <si>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</si>
  <si>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</si>
  <si>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</si>
  <si>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</si>
  <si>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</si>
  <si>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</si>
  <si>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</si>
  <si>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</si>
  <si>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</si>
  <si>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</si>
  <si>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</si>
  <si>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</si>
  <si>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</si>
  <si>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</si>
  <si>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</si>
  <si>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</si>
  <si>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</si>
  <si>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</si>
  <si>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</si>
  <si>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</si>
  <si>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</si>
  <si>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</si>
  <si>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</si>
  <si>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</si>
  <si>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</si>
  <si>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</si>
  <si>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</si>
  <si>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</si>
  <si>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</si>
  <si>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</si>
  <si>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</si>
  <si>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</si>
  <si>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</si>
  <si>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</si>
  <si>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</si>
  <si>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</si>
  <si>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</si>
  <si>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</si>
  <si>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</si>
  <si>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</si>
  <si>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</si>
  <si>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</si>
  <si>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</si>
  <si>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</si>
  <si>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</si>
  <si>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</si>
  <si>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</si>
  <si>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</si>
  <si>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</si>
  <si>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</si>
  <si>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</si>
  <si>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</si>
  <si>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</si>
  <si>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</si>
  <si>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</si>
  <si>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</si>
  <si>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</si>
  <si>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</si>
  <si>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</si>
  <si>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</si>
  <si>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</si>
  <si>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</si>
  <si>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</si>
  <si>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</si>
  <si>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</si>
  <si>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</si>
  <si>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</si>
  <si>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</si>
  <si>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</si>
  <si>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</si>
  <si>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</si>
  <si>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</si>
  <si>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</si>
  <si>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</si>
  <si>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</si>
  <si>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</si>
  <si>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</si>
  <si>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</si>
  <si>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</si>
  <si>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</si>
  <si>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</si>
  <si>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</si>
  <si>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</si>
  <si>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</si>
  <si>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</si>
  <si>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</si>
  <si>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</si>
  <si>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</si>
  <si>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</si>
  <si>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</si>
  <si>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</si>
  <si>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</si>
  <si>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</si>
  <si>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</si>
  <si>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</si>
  <si>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</si>
  <si>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</si>
  <si>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</si>
  <si>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</si>
  <si>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</si>
  <si>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</si>
  <si>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</si>
  <si>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</si>
  <si>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</si>
  <si>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</si>
  <si>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</si>
  <si>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</si>
  <si>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</si>
  <si>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</si>
  <si>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</si>
  <si>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</si>
  <si>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</si>
  <si>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</si>
  <si>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</si>
  <si>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</si>
  <si>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</si>
  <si>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</si>
  <si>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</si>
  <si>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</si>
  <si>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</si>
  <si>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</si>
  <si>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</si>
  <si>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</si>
  <si>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</si>
  <si>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</si>
  <si>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</si>
  <si>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</si>
  <si>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</si>
  <si>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</si>
  <si>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</si>
  <si>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</si>
  <si>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</si>
  <si>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</si>
  <si>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</si>
  <si>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</si>
  <si>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</si>
  <si>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</si>
  <si>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</si>
  <si>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</si>
  <si>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</si>
  <si>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</si>
  <si>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</si>
  <si>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</si>
  <si>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</si>
  <si>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</si>
  <si>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</si>
  <si>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</si>
  <si>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</si>
  <si>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</si>
  <si>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</si>
  <si>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</si>
  <si>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</si>
  <si>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</si>
  <si>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</si>
  <si>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</si>
  <si>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</si>
  <si>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</si>
  <si>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</si>
  <si>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</si>
  <si>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</si>
  <si>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</si>
  <si>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</si>
  <si>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</si>
  <si>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</si>
  <si>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</si>
  <si>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</si>
  <si>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</si>
  <si>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</si>
  <si>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</si>
  <si>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</si>
  <si>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</si>
  <si>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</si>
  <si>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</si>
  <si>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</si>
  <si>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</si>
  <si>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</si>
  <si>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</si>
  <si>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</si>
  <si>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</si>
  <si>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</si>
  <si>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</si>
  <si>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</si>
  <si>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</si>
  <si>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</si>
  <si>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</si>
  <si>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</si>
  <si>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</si>
  <si>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</si>
  <si>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</si>
  <si>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</si>
  <si>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</si>
  <si>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</si>
  <si>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</si>
  <si>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</si>
  <si>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</si>
  <si>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</si>
  <si>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</si>
  <si>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</si>
  <si>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</si>
  <si>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</si>
  <si>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</si>
  <si>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</si>
  <si>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</si>
  <si>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</si>
  <si>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</si>
  <si>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</si>
  <si>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</si>
  <si>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</si>
  <si>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</si>
  <si>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</si>
  <si>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</si>
  <si>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</si>
  <si>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</si>
  <si>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</si>
  <si>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</si>
  <si>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</si>
  <si>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</si>
  <si>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</si>
  <si>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</si>
  <si>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</si>
  <si>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</si>
  <si>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</si>
  <si>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</si>
  <si>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</si>
  <si>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</si>
  <si>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</si>
  <si>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</si>
  <si>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</si>
  <si>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</si>
  <si>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</si>
  <si>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</si>
  <si>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</si>
  <si>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</si>
  <si>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</si>
  <si>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</si>
  <si>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</si>
  <si>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</si>
  <si>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</si>
  <si>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</si>
  <si>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</si>
  <si>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</si>
  <si>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</si>
  <si>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</si>
  <si>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</si>
  <si>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</si>
  <si>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</si>
  <si>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</si>
  <si>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</si>
  <si>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</si>
  <si>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</si>
  <si>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</si>
  <si>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</si>
  <si>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</si>
  <si>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</si>
  <si>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</si>
  <si>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</si>
  <si>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</si>
  <si>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</si>
  <si>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</si>
  <si>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</si>
  <si>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</si>
  <si>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</si>
  <si>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</si>
  <si>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</si>
  <si>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</si>
  <si>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</si>
  <si>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</si>
  <si>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</si>
  <si>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</si>
  <si>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</si>
  <si>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</si>
  <si>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</si>
  <si>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</si>
  <si>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</si>
  <si>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</si>
  <si>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</si>
  <si>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</si>
  <si>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</si>
  <si>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</si>
  <si>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</si>
  <si>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</si>
  <si>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</si>
  <si>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</si>
  <si>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</si>
  <si>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</si>
  <si>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</si>
  <si>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</si>
  <si>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</si>
  <si>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</si>
  <si>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</si>
  <si>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</si>
  <si>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</si>
  <si>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</si>
  <si>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</si>
  <si>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</si>
  <si>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</si>
  <si>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</si>
  <si>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</si>
  <si>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</si>
  <si>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</si>
  <si>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</si>
  <si>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</si>
  <si>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</si>
  <si>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</si>
  <si>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</si>
  <si>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</si>
  <si>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</si>
  <si>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</si>
  <si>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</si>
  <si>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</si>
  <si>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</si>
  <si>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</si>
  <si>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</si>
  <si>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</si>
  <si>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</si>
  <si>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</si>
  <si>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</si>
  <si>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</si>
  <si>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</si>
  <si>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</si>
  <si>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</si>
  <si>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</si>
  <si>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</si>
  <si>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</si>
  <si>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</si>
  <si>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</si>
  <si>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</si>
  <si>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</si>
  <si>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</si>
  <si>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</si>
  <si>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</si>
  <si>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</si>
  <si>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</si>
  <si>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</si>
  <si>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</si>
  <si>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</si>
  <si>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</si>
  <si>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</si>
  <si>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</si>
  <si>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</si>
  <si>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</si>
  <si>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</si>
  <si>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</si>
  <si>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</si>
  <si>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</si>
  <si>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</si>
  <si>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</si>
  <si>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</si>
  <si>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</si>
  <si>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</si>
  <si>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</si>
  <si>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</si>
  <si>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</si>
  <si>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</si>
  <si>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</si>
  <si>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</si>
  <si>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</si>
  <si>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</si>
  <si>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</si>
  <si>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</si>
  <si>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</si>
  <si>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</si>
  <si>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</si>
  <si>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</si>
  <si>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</si>
  <si>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</si>
  <si>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</si>
  <si>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</si>
  <si>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</si>
  <si>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</si>
  <si>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</si>
  <si>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</si>
  <si>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</si>
  <si>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</si>
  <si>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</si>
  <si>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</si>
  <si>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</si>
  <si>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</si>
  <si>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</si>
  <si>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</si>
  <si>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</si>
  <si>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</si>
  <si>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</si>
  <si>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</si>
  <si>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</si>
  <si>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</si>
  <si>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</si>
  <si>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</si>
  <si>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</si>
  <si>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</si>
  <si>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</si>
  <si>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</si>
  <si>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</si>
  <si>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</si>
  <si>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</si>
  <si>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</si>
  <si>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</si>
  <si>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</si>
  <si>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</si>
  <si>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</si>
  <si>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</si>
  <si>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</si>
  <si>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</si>
  <si>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</si>
  <si>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</si>
  <si>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</si>
  <si>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</si>
  <si>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</si>
  <si>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</si>
  <si>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</si>
  <si>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</si>
  <si>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</si>
  <si>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</si>
  <si>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</si>
  <si>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</si>
  <si>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</si>
  <si>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</si>
  <si>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</si>
  <si>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</si>
  <si>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</si>
  <si>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</si>
  <si>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</si>
  <si>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</si>
  <si>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</si>
  <si>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</si>
  <si>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</si>
  <si>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</si>
  <si>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</si>
  <si>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</si>
  <si>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</si>
  <si>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</si>
  <si>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</si>
  <si>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</si>
  <si>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</si>
  <si>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</si>
  <si>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</si>
  <si>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</si>
  <si>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</si>
  <si>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</si>
  <si>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</si>
  <si>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</si>
  <si>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</si>
  <si>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</si>
  <si>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</si>
  <si>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</si>
  <si>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</si>
  <si>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</si>
  <si>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</si>
  <si>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</si>
  <si>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</si>
  <si>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</si>
  <si>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</si>
  <si>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</si>
  <si>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</si>
  <si>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</si>
  <si>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</si>
  <si>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</si>
  <si>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</si>
  <si>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</si>
  <si>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</si>
  <si>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</si>
  <si>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</si>
  <si>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</si>
  <si>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</si>
  <si>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</si>
  <si>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</si>
  <si>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</si>
  <si>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</si>
  <si>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</si>
  <si>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</si>
  <si>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</si>
  <si>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</si>
  <si>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</si>
  <si>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</si>
  <si>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</si>
  <si>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</si>
  <si>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</si>
  <si>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</si>
  <si>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</si>
  <si>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</si>
  <si>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</si>
  <si>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</si>
  <si>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</si>
  <si>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</si>
  <si>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</si>
  <si>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</si>
  <si>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</si>
  <si>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</si>
  <si>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</si>
  <si>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</si>
  <si>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</si>
  <si>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</si>
  <si>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</si>
  <si>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</si>
  <si>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</si>
  <si>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</si>
  <si>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</si>
  <si>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</si>
  <si>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</si>
  <si>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</si>
  <si>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</si>
  <si>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</si>
  <si>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</si>
  <si>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</si>
  <si>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</si>
  <si>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</si>
  <si>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</si>
  <si>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</si>
  <si>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</si>
  <si>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</si>
  <si>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</si>
  <si>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</si>
  <si>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</si>
  <si>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</si>
  <si>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</si>
  <si>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</si>
  <si>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</si>
  <si>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</si>
  <si>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</si>
  <si>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</si>
  <si>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</si>
  <si>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</si>
  <si>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</si>
  <si>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</si>
  <si>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</si>
  <si>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</si>
  <si>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</si>
  <si>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</si>
  <si>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</si>
  <si>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</si>
  <si>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</si>
  <si>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</si>
  <si>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</si>
  <si>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</si>
  <si>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</si>
  <si>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</si>
  <si>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</si>
  <si>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</si>
  <si>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</si>
  <si>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</si>
  <si>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</si>
  <si>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</si>
  <si>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</si>
  <si>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</si>
  <si>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</si>
  <si>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</si>
  <si>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</si>
  <si>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</si>
  <si>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</si>
  <si>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</si>
  <si>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</si>
  <si>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</si>
  <si>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</si>
  <si>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</si>
  <si>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</si>
  <si>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</si>
  <si>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</si>
  <si>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</si>
  <si>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</si>
  <si>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</si>
  <si>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</si>
  <si>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</si>
  <si>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</si>
  <si>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</si>
  <si>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</si>
  <si>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</si>
  <si>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</si>
  <si>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</si>
  <si>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</si>
  <si>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</si>
  <si>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</si>
  <si>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</si>
  <si>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</si>
  <si>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</si>
  <si>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</si>
  <si>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</si>
  <si>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</si>
  <si>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</si>
  <si>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</si>
  <si>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</si>
  <si>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</si>
  <si>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</si>
  <si>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</si>
  <si>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</si>
  <si>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</si>
  <si>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</si>
  <si>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</si>
  <si>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</si>
  <si>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</si>
  <si>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</si>
  <si>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</si>
  <si>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</si>
  <si>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</si>
  <si>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</si>
  <si>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</si>
  <si>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</si>
  <si>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</si>
  <si>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</si>
  <si>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</si>
  <si>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</si>
  <si>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</si>
  <si>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</si>
  <si>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</si>
  <si>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</si>
  <si>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</si>
  <si>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</si>
  <si>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</si>
  <si>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</si>
  <si>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</si>
  <si>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</si>
  <si>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</si>
  <si>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</si>
  <si>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</si>
  <si>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</si>
  <si>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</si>
  <si>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</si>
  <si>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</si>
  <si>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</si>
  <si>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</si>
  <si>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</si>
  <si>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</si>
  <si>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</si>
  <si>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</si>
  <si>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</si>
  <si>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</si>
  <si>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</si>
  <si>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</si>
  <si>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</si>
  <si>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</si>
  <si>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</si>
  <si>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</si>
  <si>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</si>
  <si>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</si>
  <si>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</si>
  <si>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</si>
  <si>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</si>
  <si>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</si>
  <si>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</si>
  <si>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</si>
  <si>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</si>
  <si>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</si>
  <si>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</si>
  <si>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</si>
  <si>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</si>
  <si>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</si>
  <si>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</si>
  <si>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</si>
  <si>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</si>
  <si>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</si>
  <si>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</si>
  <si>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</si>
  <si>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</si>
  <si>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</si>
  <si>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</si>
  <si>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</si>
  <si>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</si>
  <si>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</si>
  <si>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</si>
  <si>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</si>
  <si>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</si>
  <si>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</si>
  <si>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</si>
  <si>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</si>
  <si>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</si>
  <si>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</si>
  <si>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</si>
  <si>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</si>
  <si>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</si>
  <si>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</si>
  <si>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</si>
  <si>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</si>
  <si>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</si>
  <si>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</si>
  <si>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</si>
  <si>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</si>
  <si>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</si>
  <si>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</si>
  <si>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</si>
  <si>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</si>
  <si>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</si>
  <si>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</si>
  <si>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</si>
  <si>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</si>
  <si>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</si>
  <si>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</si>
  <si>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</si>
  <si>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</si>
  <si>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</si>
  <si>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</si>
  <si>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</si>
  <si>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</si>
  <si>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</si>
  <si>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</si>
  <si>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</si>
  <si>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</si>
  <si>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</si>
  <si>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</si>
  <si>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</si>
  <si>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</si>
  <si>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</si>
  <si>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</si>
  <si>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</si>
  <si>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</si>
  <si>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</si>
  <si>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</si>
  <si>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</si>
  <si>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</si>
  <si>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</si>
  <si>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</si>
  <si>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</si>
  <si>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</si>
  <si>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</si>
  <si>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</si>
  <si>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</si>
  <si>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</si>
  <si>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</si>
  <si>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</si>
  <si>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</si>
  <si>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</si>
  <si>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</si>
  <si>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</si>
  <si>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</si>
  <si>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</si>
  <si>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</si>
  <si>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</si>
  <si>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</si>
  <si>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</si>
  <si>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</si>
  <si>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</si>
  <si>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</si>
  <si>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</si>
  <si>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</si>
  <si>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</si>
  <si>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</si>
  <si>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</si>
  <si>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</si>
  <si>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</si>
  <si>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</si>
  <si>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</si>
  <si>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</si>
  <si>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</si>
  <si>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</si>
  <si>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</si>
  <si>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</si>
  <si>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</si>
  <si>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</si>
  <si>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</si>
  <si>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</si>
  <si>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</si>
  <si>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</si>
  <si>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</si>
  <si>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</si>
  <si>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</si>
  <si>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</si>
  <si>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</si>
  <si>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</si>
  <si>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</si>
  <si>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</si>
  <si>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</si>
  <si>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</si>
  <si>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</si>
  <si>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</si>
  <si>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</si>
  <si>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</si>
  <si>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</si>
  <si>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</si>
  <si>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</si>
  <si>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</si>
  <si>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</si>
  <si>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</si>
  <si>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</si>
  <si>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</si>
  <si>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</si>
  <si>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</si>
  <si>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</si>
  <si>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</si>
  <si>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</si>
  <si>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</si>
  <si>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</si>
  <si>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</si>
  <si>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</si>
  <si>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</si>
  <si>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</si>
  <si>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</si>
  <si>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</si>
  <si>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</si>
  <si>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</si>
  <si>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</si>
  <si>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</si>
  <si>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</si>
  <si>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</si>
  <si>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</si>
  <si>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</si>
  <si>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</si>
  <si>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</si>
  <si>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</si>
  <si>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</si>
  <si>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</si>
  <si>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</si>
  <si>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</si>
  <si>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</si>
  <si>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</si>
  <si>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</si>
  <si>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</si>
  <si>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</si>
  <si>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</si>
  <si>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</si>
  <si>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</si>
  <si>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</si>
  <si>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</si>
  <si>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</si>
  <si>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</si>
  <si>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</si>
  <si>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</si>
  <si>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</si>
  <si>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</si>
  <si>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</si>
  <si>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</si>
  <si>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</si>
  <si>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</si>
  <si>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</si>
  <si>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</si>
  <si>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</si>
  <si>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</si>
  <si>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</si>
  <si>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</si>
  <si>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</si>
  <si>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</si>
  <si>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</si>
  <si>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</si>
  <si>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</si>
  <si>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</si>
  <si>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</si>
  <si>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</si>
  <si>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</si>
  <si>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</si>
  <si>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</si>
  <si>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</si>
  <si>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</si>
  <si>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</si>
  <si>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</si>
  <si>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</si>
  <si>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</si>
  <si>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</si>
  <si>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</si>
  <si>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</si>
  <si>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</si>
  <si>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</si>
  <si>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</si>
  <si>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</si>
  <si>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</si>
  <si>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</si>
  <si>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</si>
  <si>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</si>
  <si>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</si>
  <si>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</si>
  <si>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</si>
  <si>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</si>
  <si>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</si>
  <si>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</si>
  <si>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</si>
  <si>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</si>
  <si>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</si>
  <si>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</si>
  <si>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</si>
  <si>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</si>
  <si>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</si>
  <si>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</si>
  <si>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</si>
  <si>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</si>
  <si>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</si>
  <si>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</si>
  <si>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</si>
  <si>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</si>
  <si>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</si>
  <si>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</si>
  <si>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</si>
  <si>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</si>
  <si>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</si>
  <si>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</si>
  <si>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</si>
  <si>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</si>
  <si>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</si>
  <si>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</si>
  <si>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</si>
  <si>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</si>
  <si>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</si>
  <si>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</si>
  <si>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</si>
  <si>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</si>
  <si>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</si>
  <si>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</si>
  <si>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</si>
  <si>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</si>
  <si>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</si>
  <si>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</si>
  <si>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</si>
  <si>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</si>
  <si>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</si>
  <si>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</si>
  <si>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</si>
  <si>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</si>
  <si>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</si>
  <si>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</si>
  <si>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</si>
  <si>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</si>
  <si>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</si>
  <si>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</si>
  <si>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</si>
  <si>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</si>
  <si>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</si>
  <si>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</si>
  <si>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</si>
  <si>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</si>
  <si>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</si>
  <si>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</si>
  <si>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</si>
  <si>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</si>
  <si>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</si>
  <si>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</si>
  <si>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</si>
  <si>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</si>
  <si>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</si>
  <si>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</si>
  <si>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</si>
  <si>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</si>
  <si>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</si>
  <si>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</si>
  <si>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</si>
  <si>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</si>
  <si>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</si>
  <si>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</si>
  <si>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</si>
  <si>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</si>
  <si>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</si>
  <si>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</si>
  <si>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</si>
  <si>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</si>
  <si>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</si>
  <si>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</si>
  <si>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</si>
  <si>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</si>
  <si>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</si>
  <si>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</si>
  <si>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</si>
  <si>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</si>
  <si>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</si>
  <si>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</si>
  <si>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</si>
  <si>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</si>
  <si>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</si>
  <si>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</si>
  <si>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</si>
  <si>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</si>
  <si>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</si>
  <si>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</si>
  <si>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 xml:space="preserve"> 8520745		0		</t>
  </si>
  <si>
    <t xml:space="preserve"> 8520745</t>
  </si>
  <si>
    <t>COMPRAS PROVEEDORES</t>
  </si>
  <si>
    <t>SILBATO METALICO</t>
  </si>
  <si>
    <t>1120001	BOMB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</si>
  <si>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</si>
  <si>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</si>
  <si>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</si>
  <si>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</si>
  <si>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</si>
  <si>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</si>
  <si>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</si>
  <si>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</si>
  <si>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</si>
  <si>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</si>
  <si>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</si>
  <si>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</si>
  <si>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</si>
  <si>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</si>
  <si>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</si>
  <si>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</si>
  <si>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</si>
  <si>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</si>
  <si>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</si>
  <si>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</si>
  <si>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</si>
  <si>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</si>
  <si>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</si>
  <si>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</si>
  <si>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</si>
  <si>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</si>
  <si>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</si>
  <si>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</si>
  <si>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</si>
  <si>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</si>
  <si>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</si>
  <si>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</si>
  <si>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</si>
  <si>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</si>
  <si>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</si>
  <si>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</si>
  <si>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</si>
  <si>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</si>
  <si>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</si>
  <si>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</si>
  <si>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</si>
  <si>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</si>
  <si>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</si>
  <si>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</si>
  <si>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</si>
  <si>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</si>
  <si>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</si>
  <si>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</si>
  <si>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</si>
  <si>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</si>
  <si>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</si>
  <si>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</si>
  <si>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</si>
  <si>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</si>
  <si>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</si>
  <si>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</si>
  <si>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</si>
  <si>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</si>
  <si>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</si>
  <si>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</si>
  <si>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</si>
  <si>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</si>
  <si>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</si>
  <si>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</si>
  <si>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</si>
  <si>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</si>
  <si>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</si>
  <si>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</si>
  <si>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</si>
  <si>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</si>
  <si>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</si>
  <si>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</si>
  <si>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</si>
  <si>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</si>
  <si>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</si>
  <si>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1200011	BOMB</t>
  </si>
  <si>
    <t>1200012	BOMB</t>
  </si>
  <si>
    <t>1200014	BOMB</t>
  </si>
  <si>
    <t>1200015	BOMB</t>
  </si>
  <si>
    <t>2101561</t>
  </si>
  <si>
    <t>REMERA MC SIN CIERRE NEGR CHUBUT 2XS/2XL</t>
  </si>
  <si>
    <t>2101562</t>
  </si>
  <si>
    <t>REMERA MS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</si>
  <si>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</si>
  <si>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</si>
  <si>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</si>
  <si>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</si>
  <si>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</si>
  <si>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</si>
  <si>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</si>
  <si>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</si>
  <si>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</si>
  <si>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</si>
  <si>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</si>
  <si>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</si>
  <si>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</si>
  <si>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</si>
  <si>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</si>
  <si>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</si>
  <si>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</si>
  <si>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</si>
  <si>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</si>
  <si>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</si>
  <si>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</si>
  <si>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</si>
  <si>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</si>
  <si>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</si>
  <si>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</si>
  <si>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CONJUNTO 1ERA PIEL CUELLO V RER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</si>
  <si>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</si>
  <si>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</si>
  <si>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</si>
  <si>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</si>
  <si>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</si>
  <si>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</si>
  <si>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</si>
  <si>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</si>
  <si>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</si>
  <si>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</si>
  <si>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</si>
  <si>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</si>
  <si>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</si>
  <si>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</si>
  <si>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SELVA 3XS/2XL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</si>
  <si>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</si>
  <si>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</si>
  <si>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</si>
  <si>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</si>
  <si>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</si>
  <si>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</si>
  <si>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</si>
  <si>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</si>
  <si>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</si>
  <si>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</si>
  <si>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</si>
  <si>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</si>
  <si>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</si>
  <si>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</si>
  <si>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</si>
  <si>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</si>
  <si>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</si>
  <si>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</si>
  <si>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</si>
  <si>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</si>
  <si>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</si>
  <si>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</si>
  <si>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</si>
  <si>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</si>
  <si>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</si>
  <si>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</si>
  <si>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</si>
  <si>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</si>
  <si>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</si>
  <si>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</si>
  <si>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</si>
  <si>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</si>
  <si>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</si>
  <si>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</si>
  <si>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</si>
  <si>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</si>
  <si>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</si>
  <si>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</si>
  <si>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</si>
  <si>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</si>
  <si>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</si>
  <si>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</si>
  <si>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</si>
  <si>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</si>
  <si>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</si>
  <si>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</si>
  <si>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</si>
  <si>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</si>
  <si>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</si>
  <si>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</si>
  <si>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</si>
  <si>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</si>
  <si>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</si>
  <si>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</si>
  <si>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</si>
  <si>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</si>
  <si>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</si>
  <si>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</si>
  <si>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</si>
  <si>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</si>
  <si>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</si>
  <si>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</si>
  <si>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</si>
  <si>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</si>
  <si>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</si>
  <si>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</si>
  <si>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</si>
  <si>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</si>
  <si>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</si>
  <si>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</si>
  <si>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</si>
  <si>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</si>
  <si>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</si>
  <si>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</si>
  <si>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</si>
  <si>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</si>
  <si>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</si>
  <si>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</si>
  <si>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</si>
  <si>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</si>
  <si>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</si>
  <si>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</si>
  <si>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</si>
  <si>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</si>
  <si>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</si>
  <si>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</si>
  <si>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</si>
  <si>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</si>
  <si>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</si>
  <si>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</si>
  <si>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</si>
  <si>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</si>
  <si>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</si>
  <si>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</si>
  <si>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</si>
  <si>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</si>
  <si>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</si>
  <si>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</si>
  <si>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</si>
  <si>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</si>
  <si>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</si>
  <si>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</si>
  <si>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</si>
  <si>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</si>
  <si>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</si>
  <si>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BOINA DE LANA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</si>
  <si>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</si>
  <si>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</si>
  <si>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</si>
  <si>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</si>
  <si>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</si>
  <si>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</si>
  <si>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</si>
  <si>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</si>
  <si>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</si>
  <si>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</si>
  <si>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</si>
  <si>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</si>
  <si>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</si>
  <si>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</si>
  <si>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</si>
  <si>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</si>
  <si>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</si>
  <si>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</si>
  <si>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</si>
  <si>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</si>
  <si>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</si>
  <si>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</si>
  <si>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</si>
  <si>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</si>
  <si>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</si>
  <si>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</si>
  <si>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</si>
  <si>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</si>
  <si>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</si>
  <si>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</si>
  <si>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</si>
  <si>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</si>
  <si>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</si>
  <si>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</si>
  <si>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</si>
  <si>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</si>
  <si>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</si>
  <si>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</si>
  <si>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</si>
  <si>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</si>
  <si>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</si>
  <si>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</si>
  <si>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</si>
  <si>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</si>
  <si>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</si>
  <si>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</si>
  <si>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</si>
  <si>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</si>
  <si>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</si>
  <si>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</si>
  <si>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</si>
  <si>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</si>
  <si>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</si>
  <si>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</si>
  <si>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</si>
  <si>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BRAZALETE PARACOR SILBAT+BRUJ+PEDERN RER</t>
  </si>
  <si>
    <t>NAVAJA 17 CM MARIPOSA 0891</t>
  </si>
  <si>
    <t>LINTERNA4738+CABLE USB</t>
  </si>
  <si>
    <t>LINTERNA  7750 ZOOM 15X3 3 +CABLE USB</t>
  </si>
  <si>
    <t>LINTERNA 1946 +CABLE USB C/ZOOM 14X3</t>
  </si>
  <si>
    <t>NAVAJA BROWNING DA73-1 IMP 0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</si>
  <si>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</si>
  <si>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</si>
  <si>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</si>
  <si>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</si>
  <si>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</si>
  <si>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</si>
  <si>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</si>
  <si>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</si>
  <si>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</si>
  <si>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</si>
  <si>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</si>
  <si>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</si>
  <si>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</si>
  <si>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</si>
  <si>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</si>
  <si>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</si>
  <si>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</si>
  <si>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</si>
  <si>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</si>
  <si>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</si>
  <si>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</si>
  <si>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</si>
  <si>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</si>
  <si>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</si>
  <si>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</si>
  <si>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</si>
  <si>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</si>
  <si>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</si>
  <si>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</si>
  <si>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</si>
  <si>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</si>
  <si>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</si>
  <si>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</si>
  <si>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</si>
  <si>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</si>
  <si>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</si>
  <si>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</si>
  <si>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</si>
  <si>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</si>
  <si>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</si>
  <si>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</si>
  <si>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</si>
  <si>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</si>
  <si>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</si>
  <si>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</si>
  <si>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</si>
  <si>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</si>
  <si>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</si>
  <si>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</si>
  <si>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</si>
  <si>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</si>
  <si>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</si>
  <si>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</si>
  <si>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</si>
  <si>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</si>
  <si>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</si>
  <si>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</si>
  <si>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</si>
  <si>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</si>
  <si>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</si>
  <si>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</si>
  <si>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</si>
  <si>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</si>
  <si>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</si>
  <si>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</si>
  <si>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</si>
  <si>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</si>
  <si>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</si>
  <si>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</si>
  <si>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</si>
  <si>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</si>
  <si>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</si>
  <si>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</si>
  <si>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</si>
  <si>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</si>
  <si>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</si>
  <si>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</si>
  <si>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</si>
  <si>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</si>
  <si>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</si>
  <si>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</si>
  <si>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</si>
  <si>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</si>
  <si>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</si>
  <si>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</si>
  <si>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</si>
  <si>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</si>
  <si>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</si>
  <si>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</si>
  <si>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</si>
  <si>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</si>
  <si>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</si>
  <si>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</si>
  <si>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</si>
  <si>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</si>
  <si>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</si>
  <si>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</si>
  <si>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</si>
  <si>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</si>
  <si>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</si>
  <si>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</si>
  <si>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</si>
  <si>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</si>
  <si>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</si>
  <si>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</si>
  <si>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</si>
  <si>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</si>
  <si>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</si>
  <si>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</si>
  <si>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</si>
  <si>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</si>
  <si>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</si>
  <si>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</si>
  <si>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</si>
  <si>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</si>
  <si>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</si>
  <si>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</si>
  <si>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</si>
  <si>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</si>
  <si>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</si>
  <si>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</si>
  <si>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</si>
  <si>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</si>
  <si>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</si>
  <si>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</si>
  <si>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</si>
  <si>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</si>
  <si>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</si>
  <si>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</si>
  <si>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</si>
  <si>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</si>
  <si>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</si>
  <si>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</si>
  <si>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</si>
  <si>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</si>
  <si>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</si>
  <si>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</si>
  <si>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</si>
  <si>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</si>
  <si>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</si>
  <si>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</si>
  <si>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</si>
  <si>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</si>
  <si>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</si>
  <si>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</si>
  <si>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</si>
  <si>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</si>
  <si>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</si>
  <si>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</si>
  <si>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</si>
  <si>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</si>
  <si>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</si>
  <si>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</si>
  <si>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</si>
  <si>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</si>
  <si>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</si>
  <si>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</si>
  <si>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</si>
  <si>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</si>
  <si>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</si>
  <si>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</si>
  <si>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</si>
  <si>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</si>
  <si>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</si>
  <si>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</si>
  <si>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</si>
  <si>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</si>
  <si>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</si>
  <si>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</si>
  <si>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</si>
  <si>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</si>
  <si>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</si>
  <si>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</si>
  <si>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</si>
  <si>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</si>
  <si>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</si>
  <si>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</si>
  <si>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</si>
  <si>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</si>
  <si>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</si>
  <si>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</si>
  <si>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</si>
  <si>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</si>
  <si>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</si>
  <si>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</si>
  <si>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</si>
  <si>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</si>
  <si>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</si>
  <si>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</si>
  <si>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</si>
  <si>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</si>
  <si>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</si>
  <si>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</si>
  <si>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</si>
  <si>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</si>
  <si>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</si>
  <si>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</si>
  <si>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</si>
  <si>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</si>
  <si>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</si>
  <si>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</si>
  <si>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</si>
  <si>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</si>
  <si>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</si>
  <si>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</si>
  <si>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</si>
  <si>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</si>
  <si>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</si>
  <si>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</si>
  <si>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</si>
  <si>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</si>
  <si>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</si>
  <si>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</si>
  <si>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</si>
  <si>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</si>
  <si>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</si>
  <si>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</si>
  <si>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</si>
  <si>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</si>
  <si>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</si>
  <si>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</si>
  <si>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</si>
  <si>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</si>
  <si>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</si>
  <si>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</si>
  <si>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</si>
  <si>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</si>
  <si>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</si>
  <si>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</si>
  <si>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</si>
  <si>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</si>
  <si>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</si>
  <si>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</si>
  <si>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</si>
  <si>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</si>
  <si>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</si>
  <si>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</si>
  <si>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</si>
  <si>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</si>
  <si>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</si>
  <si>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</si>
  <si>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</si>
  <si>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</si>
  <si>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</si>
  <si>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</si>
  <si>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</si>
  <si>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</si>
  <si>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</si>
  <si>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</si>
  <si>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</si>
  <si>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</si>
  <si>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</si>
  <si>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</si>
  <si>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</si>
  <si>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</si>
  <si>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</si>
  <si>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</si>
  <si>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</si>
  <si>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</si>
  <si>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</si>
  <si>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</si>
  <si>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</si>
  <si>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</si>
  <si>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</si>
  <si>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</si>
  <si>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</si>
  <si>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</si>
  <si>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</si>
  <si>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</si>
  <si>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</si>
  <si>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</si>
  <si>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</si>
  <si>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</si>
  <si>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</si>
  <si>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</si>
  <si>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</si>
  <si>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</si>
  <si>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</si>
  <si>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</si>
  <si>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</si>
  <si>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</si>
  <si>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</si>
  <si>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</si>
  <si>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</si>
  <si>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</si>
  <si>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</si>
  <si>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</si>
  <si>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</si>
  <si>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</si>
  <si>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</si>
  <si>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</si>
  <si>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</si>
  <si>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</si>
  <si>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</si>
  <si>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</si>
  <si>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</si>
  <si>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</si>
  <si>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</si>
  <si>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</si>
  <si>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</si>
  <si>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</si>
  <si>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</si>
  <si>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</si>
  <si>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</si>
  <si>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</si>
  <si>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</si>
  <si>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</si>
  <si>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</si>
  <si>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</si>
  <si>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</si>
  <si>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</si>
  <si>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</si>
  <si>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</si>
  <si>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</si>
  <si>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</si>
  <si>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</si>
  <si>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</si>
  <si>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</si>
  <si>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</si>
  <si>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</si>
  <si>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</si>
  <si>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</si>
  <si>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</si>
  <si>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</si>
  <si>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</si>
  <si>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</si>
  <si>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</si>
  <si>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</si>
  <si>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</si>
  <si>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</si>
  <si>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</si>
  <si>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</si>
  <si>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</si>
  <si>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</si>
  <si>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</si>
  <si>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</si>
  <si>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</si>
  <si>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</si>
  <si>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</si>
  <si>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</si>
  <si>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</si>
  <si>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</si>
  <si>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</si>
  <si>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</si>
  <si>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</si>
  <si>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</si>
  <si>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</si>
  <si>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</si>
  <si>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</si>
  <si>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</si>
  <si>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</si>
  <si>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</si>
  <si>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</si>
  <si>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</si>
  <si>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</si>
  <si>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</si>
  <si>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</si>
  <si>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</si>
  <si>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</si>
  <si>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</si>
  <si>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</si>
  <si>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</si>
  <si>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</si>
  <si>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</si>
  <si>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</si>
  <si>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</si>
  <si>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</si>
  <si>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</si>
  <si>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</si>
  <si>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</si>
  <si>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</si>
  <si>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</si>
  <si>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</si>
  <si>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</si>
  <si>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</si>
  <si>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</si>
  <si>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</si>
  <si>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</si>
  <si>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</si>
  <si>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</si>
  <si>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</si>
  <si>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</si>
  <si>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</si>
  <si>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</si>
  <si>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</si>
  <si>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</si>
  <si>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</si>
  <si>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</si>
  <si>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</si>
  <si>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</si>
  <si>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</si>
  <si>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</si>
  <si>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</si>
  <si>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</si>
  <si>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</si>
  <si>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</si>
  <si>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</si>
  <si>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</si>
  <si>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</si>
  <si>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</si>
  <si>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</si>
  <si>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ROQUE SAENZ PEÃ‘A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</si>
  <si>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</si>
  <si>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</si>
  <si>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</si>
  <si>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</si>
  <si>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</si>
  <si>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</si>
  <si>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</si>
  <si>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</si>
  <si>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</si>
  <si>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</si>
  <si>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</si>
  <si>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</si>
  <si>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</si>
  <si>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</si>
  <si>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</si>
  <si>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</si>
  <si>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</si>
  <si>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</si>
  <si>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</si>
  <si>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</si>
  <si>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</si>
  <si>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</si>
  <si>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</si>
  <si>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</si>
  <si>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</si>
  <si>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</si>
  <si>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</si>
  <si>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</si>
  <si>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</si>
  <si>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</si>
  <si>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</si>
  <si>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</si>
  <si>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</si>
  <si>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</si>
  <si>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</si>
  <si>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</si>
  <si>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</si>
  <si>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</si>
  <si>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</si>
  <si>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</si>
  <si>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</si>
  <si>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</si>
  <si>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</si>
  <si>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</si>
  <si>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</si>
  <si>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</si>
  <si>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</si>
  <si>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</si>
  <si>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</si>
  <si>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</si>
  <si>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</si>
  <si>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</si>
  <si>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</si>
  <si>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</si>
  <si>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</si>
  <si>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</si>
  <si>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</si>
  <si>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</si>
  <si>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</si>
  <si>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ESPAÃ‘A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</si>
  <si>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</si>
  <si>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</si>
  <si>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</si>
  <si>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</si>
  <si>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</si>
  <si>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</si>
  <si>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</si>
  <si>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</si>
  <si>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</si>
  <si>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</si>
  <si>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</si>
  <si>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</si>
  <si>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</si>
  <si>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</si>
  <si>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</si>
  <si>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</si>
  <si>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</si>
  <si>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</si>
  <si>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</si>
  <si>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</si>
  <si>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</si>
  <si>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</si>
  <si>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</si>
  <si>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</si>
  <si>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</si>
  <si>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</si>
  <si>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</si>
  <si>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</si>
  <si>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</si>
  <si>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</si>
  <si>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</si>
  <si>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</si>
  <si>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</si>
  <si>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</si>
  <si>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</si>
  <si>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</si>
  <si>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</si>
  <si>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</si>
  <si>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</si>
  <si>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</si>
  <si>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</si>
  <si>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</si>
  <si>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</si>
  <si>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</si>
  <si>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</si>
  <si>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</si>
  <si>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</si>
  <si>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</si>
  <si>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</si>
  <si>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</si>
  <si>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</si>
  <si>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</si>
  <si>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</si>
  <si>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</si>
  <si>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</si>
  <si>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</si>
  <si>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</si>
  <si>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</si>
  <si>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</si>
  <si>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</si>
  <si>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</si>
  <si>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</si>
  <si>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</si>
  <si>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</si>
  <si>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</si>
  <si>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</si>
  <si>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</si>
  <si>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</si>
  <si>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</si>
  <si>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</si>
  <si>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</si>
  <si>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</si>
  <si>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</si>
  <si>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</si>
  <si>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</si>
  <si>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</si>
  <si>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</si>
  <si>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</si>
  <si>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</si>
  <si>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</si>
  <si>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</si>
  <si>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</si>
  <si>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</si>
  <si>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</si>
  <si>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</si>
  <si>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</si>
  <si>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</si>
  <si>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</si>
  <si>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</si>
  <si>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</si>
  <si>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</si>
  <si>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</si>
  <si>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</si>
  <si>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</si>
  <si>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</si>
  <si>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</si>
  <si>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</si>
  <si>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</si>
  <si>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</si>
  <si>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</si>
  <si>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</si>
  <si>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</si>
  <si>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</si>
  <si>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</si>
  <si>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</si>
  <si>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</si>
  <si>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</si>
  <si>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</si>
  <si>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</si>
  <si>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</si>
  <si>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</si>
  <si>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</si>
  <si>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</si>
  <si>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</si>
  <si>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</si>
  <si>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</si>
  <si>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</si>
  <si>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</si>
  <si>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</si>
  <si>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</si>
  <si>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</si>
  <si>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</si>
  <si>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</si>
  <si>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</si>
  <si>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</si>
  <si>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</si>
  <si>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</si>
  <si>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</si>
  <si>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</si>
  <si>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</si>
  <si>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</si>
  <si>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</si>
  <si>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</si>
  <si>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</si>
  <si>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</si>
  <si>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</si>
  <si>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</si>
  <si>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</si>
  <si>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</si>
  <si>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</si>
  <si>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</si>
  <si>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</si>
  <si>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</si>
  <si>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</si>
  <si>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</si>
  <si>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</si>
  <si>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</si>
  <si>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</si>
  <si>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</si>
  <si>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</si>
  <si>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</si>
  <si>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</si>
  <si>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</si>
  <si>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</si>
  <si>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</si>
  <si>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</si>
  <si>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</si>
  <si>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</si>
  <si>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</si>
  <si>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</si>
  <si>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</si>
  <si>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</si>
  <si>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</si>
  <si>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</si>
  <si>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</si>
  <si>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</si>
  <si>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</si>
  <si>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</si>
  <si>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</si>
  <si>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</si>
  <si>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</si>
  <si>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</si>
  <si>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</si>
  <si>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</si>
  <si>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</si>
  <si>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</si>
  <si>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</si>
  <si>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</si>
  <si>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</si>
  <si>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</si>
  <si>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</si>
  <si>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</si>
  <si>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</si>
  <si>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</si>
  <si>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</si>
  <si>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</si>
  <si>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</si>
  <si>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</si>
  <si>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</si>
  <si>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</si>
  <si>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</si>
  <si>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</si>
  <si>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</si>
  <si>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</si>
  <si>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</si>
  <si>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</si>
  <si>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</si>
  <si>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</si>
  <si>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</si>
  <si>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</si>
  <si>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</si>
  <si>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</si>
  <si>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</si>
  <si>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</si>
  <si>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</si>
  <si>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</si>
  <si>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</si>
  <si>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</si>
  <si>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</si>
  <si>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</si>
  <si>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</si>
  <si>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</si>
  <si>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</si>
  <si>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</si>
  <si>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</si>
  <si>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</si>
  <si>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</si>
  <si>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</si>
  <si>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</si>
  <si>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</si>
  <si>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</si>
  <si>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</si>
  <si>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</si>
  <si>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</si>
  <si>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</si>
  <si>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</si>
  <si>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</si>
  <si>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</si>
  <si>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</si>
  <si>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</si>
  <si>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</si>
  <si>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</si>
  <si>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</si>
  <si>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</si>
  <si>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</si>
  <si>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</si>
  <si>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</si>
  <si>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</si>
  <si>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</si>
  <si>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</si>
  <si>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</si>
  <si>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</si>
  <si>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</si>
  <si>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</si>
  <si>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</si>
  <si>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</si>
  <si>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</si>
  <si>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</si>
  <si>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</si>
  <si>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</si>
  <si>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</si>
  <si>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</si>
  <si>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</si>
  <si>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</si>
  <si>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</si>
  <si>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</si>
  <si>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</si>
  <si>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</si>
  <si>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</si>
  <si>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</si>
  <si>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</si>
  <si>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</si>
  <si>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</si>
  <si>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</si>
  <si>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</si>
  <si>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</si>
  <si>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CAÃ‘UELAS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</si>
  <si>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</si>
  <si>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</si>
  <si>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</si>
  <si>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</si>
  <si>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</si>
  <si>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</si>
  <si>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</si>
  <si>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</si>
  <si>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</si>
  <si>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</si>
  <si>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</si>
  <si>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</si>
  <si>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</si>
  <si>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</si>
  <si>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</si>
  <si>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</si>
  <si>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</si>
  <si>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</si>
  <si>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</si>
  <si>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</si>
  <si>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</si>
  <si>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</si>
  <si>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</si>
  <si>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</si>
  <si>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</si>
  <si>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</si>
  <si>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</si>
  <si>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</si>
  <si>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</si>
  <si>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</si>
  <si>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</si>
  <si>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</si>
  <si>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</si>
  <si>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</si>
  <si>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</si>
  <si>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</si>
  <si>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</si>
  <si>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</si>
  <si>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</si>
  <si>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</si>
  <si>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</si>
  <si>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</si>
  <si>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</si>
  <si>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</si>
  <si>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</si>
  <si>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</si>
  <si>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</si>
  <si>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</si>
  <si>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</si>
  <si>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</si>
  <si>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</si>
  <si>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</si>
  <si>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</si>
  <si>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</si>
  <si>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</si>
  <si>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</si>
  <si>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</si>
  <si>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</si>
  <si>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</si>
  <si>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</si>
  <si>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</si>
  <si>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</si>
  <si>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</si>
  <si>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</si>
  <si>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</si>
  <si>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</si>
  <si>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</si>
  <si>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</si>
  <si>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</si>
  <si>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</si>
  <si>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</si>
  <si>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</si>
  <si>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</si>
  <si>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</si>
  <si>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</si>
  <si>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</si>
  <si>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</si>
  <si>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</si>
  <si>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</si>
  <si>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</si>
  <si>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</si>
  <si>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</si>
  <si>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</si>
  <si>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</si>
  <si>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</si>
  <si>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</si>
  <si>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</si>
  <si>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</si>
  <si>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</si>
  <si>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</si>
  <si>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</si>
  <si>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</si>
  <si>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</si>
  <si>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</si>
  <si>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</si>
  <si>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</si>
  <si>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</si>
  <si>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</si>
  <si>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</si>
  <si>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</si>
  <si>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</si>
  <si>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</si>
  <si>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</si>
  <si>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</si>
  <si>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</si>
  <si>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</si>
  <si>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</si>
  <si>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</si>
  <si>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</si>
  <si>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</si>
  <si>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</si>
  <si>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</si>
  <si>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</si>
  <si>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</si>
  <si>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</si>
  <si>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</si>
  <si>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</si>
  <si>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</si>
  <si>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</si>
  <si>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</si>
  <si>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</si>
  <si>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</si>
  <si>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</si>
  <si>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ARRIBEÃ‘OS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</si>
  <si>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</si>
  <si>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</si>
  <si>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</si>
  <si>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</si>
  <si>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</si>
  <si>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</si>
  <si>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</si>
  <si>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</si>
  <si>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</si>
  <si>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</si>
  <si>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</si>
  <si>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</si>
  <si>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</si>
  <si>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</si>
  <si>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</si>
  <si>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</si>
  <si>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</si>
  <si>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</si>
  <si>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</si>
  <si>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</si>
  <si>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</si>
  <si>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</si>
  <si>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</si>
  <si>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</si>
  <si>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</si>
  <si>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</si>
  <si>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</si>
  <si>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</si>
  <si>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</si>
  <si>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</si>
  <si>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</si>
  <si>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</si>
  <si>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</si>
  <si>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</si>
  <si>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</si>
  <si>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</si>
  <si>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</si>
  <si>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</si>
  <si>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</si>
  <si>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</si>
  <si>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</si>
  <si>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</si>
  <si>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</si>
  <si>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</si>
  <si>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</si>
  <si>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</si>
  <si>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</si>
  <si>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</si>
  <si>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</si>
  <si>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</si>
  <si>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</si>
  <si>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</si>
  <si>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</si>
  <si>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</si>
  <si>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</si>
  <si>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</si>
  <si>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</si>
  <si>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</si>
  <si>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</si>
  <si>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</si>
  <si>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</si>
  <si>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</si>
  <si>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</si>
  <si>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</si>
  <si>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</si>
  <si>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</si>
  <si>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</si>
  <si>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</si>
  <si>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</si>
  <si>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</si>
  <si>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</si>
  <si>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</si>
  <si>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</si>
  <si>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</si>
  <si>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</si>
  <si>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</si>
  <si>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</si>
  <si>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</si>
  <si>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</si>
  <si>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</si>
  <si>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</si>
  <si>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</si>
  <si>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</si>
  <si>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</si>
  <si>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</si>
  <si>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</si>
  <si>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</si>
  <si>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</si>
  <si>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</si>
  <si>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</si>
  <si>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</si>
  <si>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</si>
  <si>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</si>
  <si>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</si>
  <si>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</si>
  <si>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</si>
  <si>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</si>
  <si>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</si>
  <si>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</si>
  <si>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</si>
  <si>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</si>
  <si>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</si>
  <si>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</si>
  <si>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</si>
  <si>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</si>
  <si>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</si>
  <si>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</si>
  <si>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</si>
  <si>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</si>
  <si>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</si>
  <si>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</si>
  <si>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</si>
  <si>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</si>
  <si>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</si>
  <si>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</si>
  <si>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</si>
  <si>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</si>
  <si>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</si>
  <si>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</si>
  <si>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</si>
  <si>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</si>
  <si>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</si>
  <si>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</si>
  <si>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</si>
  <si>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</si>
  <si>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</si>
  <si>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</si>
  <si>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</si>
  <si>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</si>
  <si>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</si>
  <si>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</si>
  <si>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</si>
  <si>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</si>
  <si>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</si>
  <si>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</si>
  <si>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</si>
  <si>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</si>
  <si>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</si>
  <si>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</si>
  <si>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</si>
  <si>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</si>
  <si>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</si>
  <si>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</si>
  <si>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</si>
  <si>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</si>
  <si>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</si>
  <si>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</si>
  <si>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</si>
  <si>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</si>
  <si>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</si>
  <si>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</si>
  <si>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</si>
  <si>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</si>
  <si>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</si>
  <si>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</si>
  <si>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</si>
  <si>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</si>
  <si>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</si>
  <si>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</si>
  <si>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</si>
  <si>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</si>
  <si>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</si>
  <si>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</si>
  <si>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</si>
  <si>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</si>
  <si>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</si>
  <si>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</si>
  <si>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</si>
  <si>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</si>
  <si>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</si>
  <si>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</si>
  <si>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</si>
  <si>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</si>
  <si>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</si>
  <si>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</si>
  <si>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</si>
  <si>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</si>
  <si>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</si>
  <si>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</si>
  <si>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</si>
  <si>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</si>
  <si>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</si>
  <si>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</si>
  <si>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</si>
  <si>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</si>
  <si>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</si>
  <si>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</si>
  <si>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</si>
  <si>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</si>
  <si>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</si>
  <si>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</si>
  <si>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</si>
  <si>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</si>
  <si>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</si>
  <si>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</si>
  <si>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</si>
  <si>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</si>
  <si>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</si>
  <si>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</si>
  <si>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</si>
  <si>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</si>
  <si>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</si>
  <si>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</si>
  <si>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</si>
  <si>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</si>
  <si>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</si>
  <si>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</si>
  <si>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</si>
  <si>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</si>
  <si>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</si>
  <si>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</si>
  <si>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</si>
  <si>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</si>
  <si>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</si>
  <si>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</si>
  <si>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</si>
  <si>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</si>
  <si>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</si>
  <si>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</si>
  <si>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</si>
  <si>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</si>
  <si>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</si>
  <si>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</si>
  <si>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</si>
  <si>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</si>
  <si>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</si>
  <si>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</si>
  <si>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</si>
  <si>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</si>
  <si>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</si>
  <si>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</si>
  <si>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</si>
  <si>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</si>
  <si>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</si>
  <si>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</si>
  <si>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</si>
  <si>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</si>
  <si>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</si>
  <si>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</si>
  <si>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</si>
  <si>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</si>
  <si>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</si>
  <si>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</si>
  <si>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</si>
  <si>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</si>
  <si>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</si>
  <si>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</si>
  <si>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</si>
  <si>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</si>
  <si>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</si>
  <si>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</si>
  <si>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</si>
  <si>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</si>
  <si>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</si>
  <si>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</si>
  <si>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</si>
  <si>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</si>
  <si>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</si>
  <si>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</si>
  <si>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</si>
  <si>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</si>
  <si>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</si>
  <si>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</si>
  <si>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</si>
  <si>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</si>
  <si>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</si>
  <si>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</si>
  <si>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</si>
  <si>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</si>
  <si>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</si>
  <si>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</si>
  <si>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</si>
  <si>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</si>
  <si>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</si>
  <si>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</si>
  <si>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</si>
  <si>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</si>
  <si>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</si>
  <si>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</si>
  <si>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</si>
  <si>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</si>
  <si>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</si>
  <si>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</si>
  <si>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</si>
  <si>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</si>
  <si>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</si>
  <si>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</si>
  <si>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</si>
  <si>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</si>
  <si>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</si>
  <si>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</si>
  <si>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</si>
  <si>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</si>
  <si>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</si>
  <si>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</si>
  <si>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</si>
  <si>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</si>
  <si>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</si>
  <si>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</si>
  <si>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</si>
  <si>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</si>
  <si>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</si>
  <si>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</si>
  <si>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</si>
  <si>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</si>
  <si>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</si>
  <si>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</si>
  <si>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</si>
  <si>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</si>
  <si>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</si>
  <si>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</si>
  <si>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</si>
  <si>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</si>
  <si>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</si>
  <si>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</si>
  <si>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</si>
  <si>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</si>
  <si>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</si>
  <si>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</si>
  <si>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</si>
  <si>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</si>
  <si>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</si>
  <si>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</si>
  <si>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</si>
  <si>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</si>
  <si>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</si>
  <si>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</si>
  <si>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</si>
  <si>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</si>
  <si>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</si>
  <si>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</si>
  <si>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</si>
  <si>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</si>
  <si>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</si>
  <si>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</si>
  <si>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</si>
  <si>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</si>
  <si>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</si>
  <si>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</si>
  <si>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</si>
  <si>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</si>
  <si>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</si>
  <si>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</si>
  <si>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</si>
  <si>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</si>
  <si>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</si>
  <si>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</si>
  <si>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</si>
  <si>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</si>
  <si>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</si>
  <si>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</si>
  <si>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</si>
  <si>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</si>
  <si>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</si>
  <si>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</si>
  <si>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</si>
  <si>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</si>
  <si>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</si>
  <si>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</si>
  <si>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</si>
  <si>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</si>
  <si>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</si>
  <si>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</si>
  <si>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</si>
  <si>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</si>
  <si>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</si>
  <si>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</si>
  <si>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</si>
  <si>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</si>
  <si>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</si>
  <si>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</si>
  <si>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</si>
  <si>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</si>
  <si>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</si>
  <si>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</si>
  <si>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</si>
  <si>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</si>
  <si>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</si>
  <si>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</si>
  <si>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</si>
  <si>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</si>
  <si>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</si>
  <si>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</si>
  <si>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</si>
  <si>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</si>
  <si>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</si>
  <si>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</si>
  <si>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</si>
  <si>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</si>
  <si>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</si>
  <si>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</si>
  <si>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</si>
  <si>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</si>
  <si>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</si>
  <si>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</si>
  <si>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</si>
  <si>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</si>
  <si>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</si>
  <si>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</si>
  <si>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</si>
  <si>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</si>
  <si>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</si>
  <si>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</si>
  <si>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</si>
  <si>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</si>
  <si>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</si>
  <si>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</si>
  <si>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</si>
  <si>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</si>
  <si>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</si>
  <si>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</si>
  <si>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</si>
  <si>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</si>
  <si>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</si>
  <si>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</si>
  <si>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</si>
  <si>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</si>
  <si>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</si>
  <si>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</si>
  <si>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</si>
  <si>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</si>
  <si>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</si>
  <si>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</si>
  <si>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</si>
  <si>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</si>
  <si>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</si>
  <si>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</si>
  <si>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</si>
  <si>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</si>
  <si>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</si>
  <si>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</si>
  <si>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</si>
  <si>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</si>
  <si>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</si>
  <si>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</si>
  <si>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</si>
  <si>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</si>
  <si>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</si>
  <si>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</si>
  <si>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</si>
  <si>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</si>
  <si>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</si>
  <si>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</si>
  <si>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</si>
  <si>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</si>
  <si>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</si>
  <si>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</si>
  <si>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</si>
  <si>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</si>
  <si>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</si>
  <si>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</si>
  <si>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</si>
  <si>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</si>
  <si>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</si>
  <si>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</si>
  <si>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</si>
  <si>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</si>
  <si>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</si>
  <si>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</si>
  <si>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</si>
  <si>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</si>
  <si>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</si>
  <si>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</si>
  <si>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</si>
  <si>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</si>
  <si>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</si>
  <si>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</si>
  <si>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</si>
  <si>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</si>
  <si>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</si>
  <si>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</si>
  <si>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</si>
  <si>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</si>
  <si>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</si>
  <si>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</si>
  <si>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</si>
  <si>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</si>
  <si>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</si>
  <si>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</si>
  <si>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</si>
  <si>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</si>
  <si>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</si>
  <si>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</si>
  <si>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</si>
  <si>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</si>
  <si>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</si>
  <si>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</si>
  <si>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</si>
  <si>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</si>
  <si>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</si>
  <si>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</si>
  <si>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</si>
  <si>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</si>
  <si>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</si>
  <si>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</si>
  <si>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</si>
  <si>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</si>
  <si>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</si>
  <si>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</si>
  <si>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</si>
  <si>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</si>
  <si>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</si>
  <si>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</si>
  <si>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</si>
  <si>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</si>
  <si>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</si>
  <si>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</si>
  <si>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</si>
  <si>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</si>
  <si>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</si>
  <si>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</si>
  <si>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</si>
  <si>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</si>
  <si>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</si>
  <si>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</si>
  <si>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</si>
  <si>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</si>
  <si>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</si>
  <si>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</si>
  <si>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</si>
  <si>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</si>
  <si>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</si>
  <si>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</si>
  <si>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</si>
  <si>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</si>
  <si>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</si>
  <si>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</si>
  <si>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</si>
  <si>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</si>
  <si>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</si>
  <si>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</si>
  <si>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</si>
  <si>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</si>
  <si>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</si>
  <si>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</si>
  <si>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</si>
  <si>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</si>
  <si>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</si>
  <si>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</si>
  <si>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</si>
  <si>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</si>
  <si>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</si>
  <si>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</si>
  <si>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</si>
  <si>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</si>
  <si>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</si>
  <si>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</si>
  <si>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</si>
  <si>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</si>
  <si>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</si>
  <si>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</si>
  <si>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</si>
  <si>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</si>
  <si>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</si>
  <si>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</si>
  <si>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</si>
  <si>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</si>
  <si>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</si>
  <si>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</si>
  <si>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</si>
  <si>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</si>
  <si>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</si>
  <si>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</si>
  <si>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</si>
  <si>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</si>
  <si>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</si>
  <si>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</si>
  <si>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</si>
  <si>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</si>
  <si>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</si>
  <si>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</si>
  <si>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</si>
  <si>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</si>
  <si>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</si>
  <si>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</si>
  <si>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</si>
  <si>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</si>
  <si>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</si>
  <si>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</si>
  <si>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</si>
  <si>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</si>
  <si>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</si>
  <si>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</si>
  <si>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</si>
  <si>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</si>
  <si>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</si>
  <si>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</si>
  <si>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ANTONIO GOÃ‘I MORENO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</si>
  <si>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</si>
  <si>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</si>
  <si>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</si>
  <si>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</si>
  <si>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</si>
  <si>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</si>
  <si>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</si>
  <si>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</si>
  <si>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</si>
  <si>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</si>
  <si>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</si>
  <si>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</si>
  <si>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</si>
  <si>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</si>
  <si>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</si>
  <si>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</si>
  <si>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</si>
  <si>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</si>
  <si>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</si>
  <si>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</si>
  <si>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</si>
  <si>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</si>
  <si>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</si>
  <si>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</si>
  <si>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</si>
  <si>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</si>
  <si>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</si>
  <si>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</si>
  <si>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</si>
  <si>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</si>
  <si>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</si>
  <si>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</si>
  <si>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</si>
  <si>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</si>
  <si>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</si>
  <si>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</si>
  <si>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</si>
  <si>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</si>
  <si>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</si>
  <si>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</si>
  <si>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</si>
  <si>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</si>
  <si>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</si>
  <si>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</si>
  <si>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</si>
  <si>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</si>
  <si>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</si>
  <si>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</si>
  <si>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</si>
  <si>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</si>
  <si>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</si>
  <si>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</si>
  <si>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</si>
  <si>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</si>
  <si>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</si>
  <si>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</si>
  <si>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</si>
  <si>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</si>
  <si>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</si>
  <si>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</si>
  <si>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</si>
  <si>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</si>
  <si>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</si>
  <si>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</si>
  <si>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</si>
  <si>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</si>
  <si>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</si>
  <si>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</si>
  <si>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</si>
  <si>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</si>
  <si>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</si>
  <si>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</si>
  <si>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</si>
  <si>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</si>
  <si>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</si>
  <si>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</si>
  <si>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</si>
  <si>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</si>
  <si>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</si>
  <si>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</si>
  <si>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</si>
  <si>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</si>
  <si>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</si>
  <si>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</si>
  <si>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</si>
  <si>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</si>
  <si>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</si>
  <si>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</si>
  <si>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</si>
  <si>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</si>
  <si>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</si>
  <si>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</si>
  <si>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</si>
  <si>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</si>
  <si>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</si>
  <si>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</si>
  <si>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</si>
  <si>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</si>
  <si>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</si>
  <si>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</si>
  <si>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</si>
  <si>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</si>
  <si>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</si>
  <si>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</si>
  <si>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</si>
  <si>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</si>
  <si>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</si>
  <si>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</si>
  <si>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</si>
  <si>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</si>
  <si>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</si>
  <si>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</si>
  <si>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</si>
  <si>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</si>
  <si>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</si>
  <si>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</si>
  <si>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</si>
  <si>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</si>
  <si>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</si>
  <si>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</si>
  <si>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</si>
  <si>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</si>
  <si>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</si>
  <si>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</si>
  <si>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</si>
  <si>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</si>
  <si>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</si>
  <si>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</si>
  <si>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</si>
  <si>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</si>
  <si>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</si>
  <si>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</si>
  <si>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</si>
  <si>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</si>
  <si>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</si>
  <si>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</si>
  <si>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</si>
  <si>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</si>
  <si>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</si>
  <si>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</si>
  <si>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</si>
  <si>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</si>
  <si>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</si>
  <si>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</si>
  <si>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</si>
  <si>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</si>
  <si>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</si>
  <si>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</si>
  <si>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</si>
  <si>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</si>
  <si>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</si>
  <si>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</si>
  <si>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</si>
  <si>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</si>
  <si>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</si>
  <si>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</si>
  <si>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</si>
  <si>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</si>
  <si>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</si>
  <si>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</si>
  <si>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</si>
  <si>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</si>
  <si>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</si>
  <si>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</si>
  <si>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</si>
  <si>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</si>
  <si>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</si>
  <si>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</si>
  <si>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</si>
  <si>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</si>
  <si>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</si>
  <si>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</si>
  <si>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</si>
  <si>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</si>
  <si>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</si>
  <si>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</si>
  <si>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</si>
  <si>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</si>
  <si>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</si>
  <si>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</si>
  <si>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</si>
  <si>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</si>
  <si>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</si>
  <si>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</si>
  <si>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</si>
  <si>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</si>
  <si>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</si>
  <si>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</si>
  <si>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</si>
  <si>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</si>
  <si>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</si>
  <si>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</si>
  <si>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</si>
  <si>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</si>
  <si>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</si>
  <si>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</si>
  <si>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</si>
  <si>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</si>
  <si>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</si>
  <si>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</si>
  <si>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</si>
  <si>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</si>
  <si>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</si>
  <si>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</si>
  <si>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</si>
  <si>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</si>
  <si>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</si>
  <si>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</si>
  <si>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</si>
  <si>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</si>
  <si>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</si>
  <si>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</si>
  <si>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</si>
  <si>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</si>
  <si>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</si>
  <si>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</si>
  <si>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</si>
  <si>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</si>
  <si>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</si>
  <si>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</si>
  <si>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</si>
  <si>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</si>
  <si>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</si>
  <si>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</si>
  <si>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</si>
  <si>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</si>
  <si>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</si>
  <si>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</si>
  <si>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</si>
  <si>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</si>
  <si>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</si>
  <si>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</si>
  <si>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</si>
  <si>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</si>
  <si>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</si>
  <si>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</si>
  <si>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</si>
  <si>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</si>
  <si>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</si>
  <si>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</si>
  <si>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</si>
  <si>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</si>
  <si>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</si>
  <si>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</si>
  <si>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</si>
  <si>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</si>
  <si>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</si>
  <si>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</si>
  <si>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</si>
  <si>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</si>
  <si>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</si>
  <si>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</si>
  <si>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</si>
  <si>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</si>
  <si>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</si>
  <si>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</si>
  <si>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</si>
  <si>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</si>
  <si>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</si>
  <si>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</si>
  <si>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</si>
  <si>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</si>
  <si>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</si>
  <si>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</si>
  <si>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</si>
  <si>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</si>
  <si>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</si>
  <si>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</si>
  <si>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</si>
  <si>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</si>
  <si>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</si>
  <si>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</si>
  <si>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</si>
  <si>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</si>
  <si>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</si>
  <si>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</si>
  <si>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</si>
  <si>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</si>
  <si>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</si>
  <si>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</si>
  <si>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</si>
  <si>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</si>
  <si>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</si>
  <si>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</si>
  <si>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</si>
  <si>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</si>
  <si>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</si>
  <si>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</si>
  <si>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</si>
  <si>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</si>
  <si>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</si>
  <si>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</si>
  <si>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</si>
  <si>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</si>
  <si>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</si>
  <si>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</si>
  <si>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</si>
  <si>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</si>
  <si>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</si>
  <si>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</si>
  <si>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</si>
  <si>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</si>
  <si>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</si>
  <si>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</si>
  <si>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</si>
  <si>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</si>
  <si>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</si>
  <si>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</si>
  <si>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</si>
  <si>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</si>
  <si>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</si>
  <si>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</si>
  <si>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</si>
  <si>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</si>
  <si>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</si>
  <si>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</si>
  <si>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</si>
  <si>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</si>
  <si>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</si>
  <si>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</si>
  <si>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</si>
  <si>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</si>
  <si>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</si>
  <si>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</si>
  <si>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</si>
  <si>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</si>
  <si>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</si>
  <si>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</si>
  <si>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</si>
  <si>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</si>
  <si>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</si>
  <si>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</si>
  <si>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</si>
  <si>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</si>
  <si>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</si>
  <si>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</si>
  <si>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</si>
  <si>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</si>
  <si>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</si>
  <si>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</si>
  <si>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</si>
  <si>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</si>
  <si>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</si>
  <si>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</si>
  <si>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</si>
  <si>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</si>
  <si>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</si>
  <si>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</si>
  <si>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</si>
  <si>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</si>
  <si>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</si>
  <si>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</si>
  <si>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</si>
  <si>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</si>
  <si>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</si>
  <si>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</si>
  <si>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</si>
  <si>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</si>
  <si>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</si>
  <si>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</si>
  <si>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</si>
  <si>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</si>
  <si>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</si>
  <si>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</si>
  <si>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</si>
  <si>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</si>
  <si>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</si>
  <si>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</si>
  <si>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</si>
  <si>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</si>
  <si>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</si>
  <si>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</si>
  <si>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</si>
  <si>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</si>
  <si>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</si>
  <si>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</si>
  <si>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</si>
  <si>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</si>
  <si>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</si>
  <si>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</si>
  <si>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</si>
  <si>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</si>
  <si>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</si>
  <si>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</si>
  <si>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</si>
  <si>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</si>
  <si>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</si>
  <si>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</si>
  <si>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</si>
  <si>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</si>
  <si>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</si>
  <si>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</si>
  <si>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</si>
  <si>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</si>
  <si>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</si>
  <si>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</si>
  <si>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</si>
  <si>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</si>
  <si>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</si>
  <si>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</si>
  <si>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</si>
  <si>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</si>
  <si>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</si>
  <si>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</si>
  <si>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</si>
  <si>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</si>
  <si>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</si>
  <si>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</si>
  <si>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</si>
  <si>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</si>
  <si>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</si>
  <si>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</si>
  <si>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</si>
  <si>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</si>
  <si>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</si>
  <si>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</si>
  <si>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</si>
  <si>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</si>
  <si>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</si>
  <si>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</si>
  <si>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</si>
  <si>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</si>
  <si>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</si>
  <si>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</si>
  <si>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</si>
  <si>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</si>
  <si>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</si>
  <si>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</si>
  <si>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</si>
  <si>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</si>
  <si>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</si>
  <si>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</si>
  <si>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</si>
  <si>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</si>
  <si>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</si>
  <si>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</si>
  <si>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</si>
  <si>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</si>
  <si>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</si>
  <si>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</si>
  <si>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</si>
  <si>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</si>
  <si>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</si>
  <si>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</si>
  <si>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</si>
  <si>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</si>
  <si>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</si>
  <si>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</si>
  <si>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</si>
  <si>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</si>
  <si>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</si>
  <si>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</si>
  <si>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</si>
  <si>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</si>
  <si>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</si>
  <si>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</si>
  <si>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</si>
  <si>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</si>
  <si>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</si>
  <si>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</si>
  <si>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</si>
  <si>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</si>
  <si>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</si>
  <si>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</si>
  <si>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</si>
  <si>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</si>
  <si>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</si>
  <si>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</si>
  <si>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</si>
  <si>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</si>
  <si>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NUÃ‘EZ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</si>
  <si>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</si>
  <si>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</si>
  <si>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</si>
  <si>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</si>
  <si>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</si>
  <si>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</si>
  <si>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</si>
  <si>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</si>
  <si>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</si>
  <si>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</si>
  <si>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</si>
  <si>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</si>
  <si>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</si>
  <si>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</si>
  <si>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</si>
  <si>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</si>
  <si>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</si>
  <si>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</si>
  <si>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</si>
  <si>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</si>
  <si>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</si>
  <si>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</si>
  <si>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</si>
  <si>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</si>
  <si>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</si>
  <si>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</si>
  <si>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</si>
  <si>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</si>
  <si>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</si>
  <si>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</si>
  <si>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</si>
  <si>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</si>
  <si>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</si>
  <si>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</si>
  <si>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</si>
  <si>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</si>
  <si>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</si>
  <si>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</si>
  <si>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</si>
  <si>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</si>
  <si>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</si>
  <si>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</si>
  <si>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</si>
  <si>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</si>
  <si>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</si>
  <si>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</si>
  <si>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</si>
  <si>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</si>
  <si>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PLAZA RODRIGUEZ PEÃ‘A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</si>
  <si>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</si>
  <si>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</si>
  <si>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</si>
  <si>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</si>
  <si>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</si>
  <si>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</si>
  <si>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</si>
  <si>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</si>
  <si>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</si>
  <si>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</si>
  <si>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</si>
  <si>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</si>
  <si>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</si>
  <si>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</si>
  <si>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</si>
  <si>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</si>
  <si>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</si>
  <si>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</si>
  <si>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</si>
  <si>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</si>
  <si>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</si>
  <si>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</si>
  <si>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</si>
  <si>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</si>
  <si>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</si>
  <si>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</si>
  <si>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</si>
  <si>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</si>
  <si>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</si>
  <si>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</si>
  <si>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</si>
  <si>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</si>
  <si>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</si>
  <si>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</si>
  <si>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</si>
  <si>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</si>
  <si>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</si>
  <si>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</si>
  <si>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</si>
  <si>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</si>
  <si>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</si>
  <si>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</si>
  <si>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</si>
  <si>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</si>
  <si>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</si>
  <si>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</si>
  <si>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</si>
  <si>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</si>
  <si>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</si>
  <si>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</si>
  <si>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</si>
  <si>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</si>
  <si>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</si>
  <si>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</si>
  <si>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</si>
  <si>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</si>
  <si>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</si>
  <si>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</si>
  <si>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</si>
  <si>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</si>
  <si>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</si>
  <si>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</si>
  <si>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</si>
  <si>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</si>
  <si>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</si>
  <si>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</si>
  <si>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</si>
  <si>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</si>
  <si>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</si>
  <si>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</si>
  <si>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</si>
  <si>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</si>
  <si>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</si>
  <si>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</si>
  <si>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</si>
  <si>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</si>
  <si>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</si>
  <si>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</si>
  <si>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</si>
  <si>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</si>
  <si>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</si>
  <si>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</si>
  <si>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</si>
  <si>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</si>
  <si>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</si>
  <si>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</si>
  <si>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</si>
  <si>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</si>
  <si>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</si>
  <si>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</si>
  <si>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</si>
  <si>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</si>
  <si>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</si>
  <si>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</si>
  <si>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</si>
  <si>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</si>
  <si>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</si>
  <si>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</si>
  <si>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</si>
  <si>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</si>
  <si>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</si>
  <si>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</si>
  <si>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</si>
  <si>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</si>
  <si>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</si>
  <si>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</si>
  <si>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</si>
  <si>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</si>
  <si>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</si>
  <si>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</si>
  <si>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BAÃ‘ADO DE OVANTA</t>
  </si>
  <si>
    <t>R PROV 30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</si>
  <si>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</si>
  <si>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</si>
  <si>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</si>
  <si>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</si>
  <si>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</si>
  <si>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</si>
  <si>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</si>
  <si>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</si>
  <si>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</si>
  <si>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R NAC 60</t>
  </si>
  <si>
    <t>K5333ZAA</t>
  </si>
  <si>
    <t>K0014</t>
  </si>
  <si>
    <t>EL ALAMITO</t>
  </si>
  <si>
    <t>MARTIN DE GUEMES S/N</t>
  </si>
  <si>
    <t>K4743ZAA</t>
  </si>
  <si>
    <t>K0016</t>
  </si>
  <si>
    <t>EL ALTO</t>
  </si>
  <si>
    <t>GRAL MARIANO NECOCHEA</t>
  </si>
  <si>
    <t>K4235ZAC</t>
  </si>
  <si>
    <t>K0020</t>
  </si>
  <si>
    <t>EL RODEO</t>
  </si>
  <si>
    <t>LAS DALIAS</t>
  </si>
  <si>
    <t>K4715ZAB</t>
  </si>
  <si>
    <t>K0022</t>
  </si>
  <si>
    <t>ESQUIU</t>
  </si>
  <si>
    <t>CALLE SIN NOMBRE S/N</t>
  </si>
  <si>
    <t>K5261ZAA</t>
  </si>
  <si>
    <t>K0024</t>
  </si>
  <si>
    <t>FIAMBALA</t>
  </si>
  <si>
    <t>AV LAS AMERICAS</t>
  </si>
  <si>
    <t>K5345ZAA</t>
  </si>
  <si>
    <t>K0028</t>
  </si>
  <si>
    <t>HUALFIN</t>
  </si>
  <si>
    <t>K4751ZAB</t>
  </si>
  <si>
    <t>K0030</t>
  </si>
  <si>
    <t>HUILLAPIMA</t>
  </si>
  <si>
    <t>CALLE PUBLICA S/N</t>
  </si>
  <si>
    <t>K4728ZAB</t>
  </si>
  <si>
    <t>K0032</t>
  </si>
  <si>
    <t>LA MERCED</t>
  </si>
  <si>
    <t>SEGUNDO MATIAS AREDES</t>
  </si>
  <si>
    <t>K4718ZAC</t>
  </si>
  <si>
    <t>K0034</t>
  </si>
  <si>
    <t>LA PUERTA</t>
  </si>
  <si>
    <t>K4711ZAA</t>
  </si>
  <si>
    <t>K0038</t>
  </si>
  <si>
    <t>LAVALLE</t>
  </si>
  <si>
    <t>R NAC 64</t>
  </si>
  <si>
    <t>K5347ZAA</t>
  </si>
  <si>
    <t>K0040</t>
  </si>
  <si>
    <t>LONDRES (BELEN)</t>
  </si>
  <si>
    <t>JUAN PEREZ DE ZURITA</t>
  </si>
  <si>
    <t>LONDRES</t>
  </si>
  <si>
    <t>K4753ZAB</t>
  </si>
  <si>
    <t>K0042</t>
  </si>
  <si>
    <t>LOS VARELAS</t>
  </si>
  <si>
    <t>CALLE SIN NOMBRE SIN NUMERO</t>
  </si>
  <si>
    <t>LOS VARELA</t>
  </si>
  <si>
    <t>K4704ZAA</t>
  </si>
  <si>
    <t>K0044</t>
  </si>
  <si>
    <t>LOS ALTOS</t>
  </si>
  <si>
    <t>SOBRE RUTA NAC NÂº 64</t>
  </si>
  <si>
    <t>K4723ZAA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</si>
  <si>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</si>
  <si>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</si>
  <si>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</si>
  <si>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</si>
  <si>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</si>
  <si>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</si>
  <si>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</si>
  <si>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</si>
  <si>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K0050</t>
  </si>
  <si>
    <t>PIEDRA BLANCA</t>
  </si>
  <si>
    <t>R PROV 41</t>
  </si>
  <si>
    <t>SAN JOSE DE PIEDRA BLANCA</t>
  </si>
  <si>
    <t>K4709ZAA</t>
  </si>
  <si>
    <t>K0052</t>
  </si>
  <si>
    <t>POMAN</t>
  </si>
  <si>
    <t>JERONIMO DE CABRERA</t>
  </si>
  <si>
    <t>K5315ZAA</t>
  </si>
  <si>
    <t>K0054</t>
  </si>
  <si>
    <t>RECREO</t>
  </si>
  <si>
    <t>DR RAUL SABAGH</t>
  </si>
  <si>
    <t>K5260ZAA</t>
  </si>
  <si>
    <t>K0056</t>
  </si>
  <si>
    <t>SAN ANTONIO DE LA PAZ</t>
  </si>
  <si>
    <t>JOSE E COLOMBRES</t>
  </si>
  <si>
    <t>K5264ZAA</t>
  </si>
  <si>
    <t>K0058</t>
  </si>
  <si>
    <t>SAN JOSE</t>
  </si>
  <si>
    <t>16 DE AGOSTO</t>
  </si>
  <si>
    <t>K4139ZAB</t>
  </si>
  <si>
    <t>K0060</t>
  </si>
  <si>
    <t>SANTA MARIA</t>
  </si>
  <si>
    <t>DR T DE LA QUINTANA</t>
  </si>
  <si>
    <t>K4011ZAA</t>
  </si>
  <si>
    <t>K0062</t>
  </si>
  <si>
    <t>SANTA ROSA</t>
  </si>
  <si>
    <t>SGTO CABRAL</t>
  </si>
  <si>
    <t>K5343ZAA</t>
  </si>
  <si>
    <t>K0064</t>
  </si>
  <si>
    <t>SAUJIL</t>
  </si>
  <si>
    <t>E DE NIEVA Y CASTILLA</t>
  </si>
  <si>
    <t>K5321ZAA</t>
  </si>
  <si>
    <t>K0066</t>
  </si>
  <si>
    <t>TINOGASTA</t>
  </si>
  <si>
    <t>K5340ZAA</t>
  </si>
  <si>
    <t>K0068</t>
  </si>
  <si>
    <t>VALLE VIEJO</t>
  </si>
  <si>
    <t>HIGINIO RIZZO 136</t>
  </si>
  <si>
    <t>LAS TEJAS DE VALLE VIEJO</t>
  </si>
  <si>
    <t>K4707ZAA</t>
  </si>
  <si>
    <t>K1002</t>
  </si>
  <si>
    <t>CATAMARCA CASA DE GOBIERNO</t>
  </si>
  <si>
    <t>AV REP DE VENEZUELA</t>
  </si>
  <si>
    <t>K4700ZAC</t>
  </si>
  <si>
    <t>K1006</t>
  </si>
  <si>
    <t>CATAMARCA REGISTRO CIVIL</t>
  </si>
  <si>
    <t>AV M ACOSTA VILLAFAÃ‘E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</si>
  <si>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</si>
  <si>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</si>
  <si>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</si>
  <si>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</si>
  <si>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</si>
  <si>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</si>
  <si>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</si>
  <si>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</si>
  <si>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</si>
  <si>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</si>
  <si>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</si>
  <si>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</si>
  <si>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</si>
  <si>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</si>
  <si>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</si>
  <si>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</si>
  <si>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</si>
  <si>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</si>
  <si>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</si>
  <si>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</si>
  <si>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</si>
  <si>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</si>
  <si>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</si>
  <si>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</si>
  <si>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</si>
  <si>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</si>
  <si>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</si>
  <si>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</si>
  <si>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</si>
  <si>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</si>
  <si>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</si>
  <si>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</si>
  <si>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</si>
  <si>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</si>
  <si>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</si>
  <si>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</si>
  <si>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</si>
  <si>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</si>
  <si>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</si>
  <si>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</si>
  <si>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</si>
  <si>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</si>
  <si>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</si>
  <si>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</si>
  <si>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</si>
  <si>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</si>
  <si>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</si>
  <si>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</si>
  <si>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ICAÃ‘O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</si>
  <si>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</si>
  <si>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</si>
  <si>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</si>
  <si>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</si>
  <si>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</si>
  <si>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</si>
  <si>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</si>
  <si>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</si>
  <si>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</si>
  <si>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</si>
  <si>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</si>
  <si>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CALLE 13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</si>
  <si>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</si>
  <si>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</si>
  <si>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</si>
  <si>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</si>
  <si>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</si>
  <si>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</si>
  <si>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</si>
  <si>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</si>
  <si>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</si>
  <si>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</si>
  <si>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PUEYRREDON</t>
  </si>
  <si>
    <t>H3716ZAA</t>
  </si>
  <si>
    <t>H0010</t>
  </si>
  <si>
    <t>CHARATA</t>
  </si>
  <si>
    <t>MONS NICOLAS DE CARLO</t>
  </si>
  <si>
    <t>H3730ZAA</t>
  </si>
  <si>
    <t>H0012</t>
  </si>
  <si>
    <t>COLONIA ELISA</t>
  </si>
  <si>
    <t>JUSTO NOVO</t>
  </si>
  <si>
    <t>H3515ZAA</t>
  </si>
  <si>
    <t>H0014</t>
  </si>
  <si>
    <t>COLONIAS UNIDAS</t>
  </si>
  <si>
    <t>DR ALEJANDRO FLEMING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</si>
  <si>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</si>
  <si>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</si>
  <si>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</si>
  <si>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</si>
  <si>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</si>
  <si>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</si>
  <si>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</si>
  <si>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</si>
  <si>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</si>
  <si>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</si>
  <si>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</si>
  <si>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</si>
  <si>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</si>
  <si>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</si>
  <si>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</si>
  <si>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SAN MARTIN SIN NÂ°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</si>
  <si>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</si>
  <si>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</si>
  <si>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</si>
  <si>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</si>
  <si>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</si>
  <si>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</si>
  <si>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</si>
  <si>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</si>
  <si>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</si>
  <si>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</si>
  <si>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</si>
  <si>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</si>
  <si>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</si>
  <si>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</si>
  <si>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</si>
  <si>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</si>
  <si>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</si>
  <si>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</si>
  <si>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SARMIENTO NÂº 355</t>
  </si>
  <si>
    <t>COLONIA JUAN JOSE CASTELLI</t>
  </si>
  <si>
    <t>H3705ZAC</t>
  </si>
  <si>
    <t>H0038</t>
  </si>
  <si>
    <t>LA LEONESA</t>
  </si>
  <si>
    <t>AV DR ARTURO H ILLIA</t>
  </si>
  <si>
    <t>H3518ZAA</t>
  </si>
  <si>
    <t>H0040</t>
  </si>
  <si>
    <t>LA ESCONDIDA</t>
  </si>
  <si>
    <t>ENRIQUE NOETINGER</t>
  </si>
  <si>
    <t>H3514ZAB</t>
  </si>
  <si>
    <t>H0042</t>
  </si>
  <si>
    <t>LA VERDE</t>
  </si>
  <si>
    <t>H3527ZAA</t>
  </si>
  <si>
    <t>H0044</t>
  </si>
  <si>
    <t>LAS BREÃ‘AS</t>
  </si>
  <si>
    <t>H3724ZAA</t>
  </si>
  <si>
    <t>H0046</t>
  </si>
  <si>
    <t>LAS PALMAS</t>
  </si>
  <si>
    <t>R ESCALADA SAN MARTIN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</si>
  <si>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</si>
  <si>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</si>
  <si>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</si>
  <si>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</si>
  <si>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</si>
  <si>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</si>
  <si>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</si>
  <si>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</si>
  <si>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</si>
  <si>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</si>
  <si>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</si>
  <si>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</si>
  <si>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</si>
  <si>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</si>
  <si>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</si>
  <si>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LUIS PESSANO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</si>
  <si>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</si>
  <si>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</si>
  <si>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</si>
  <si>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</si>
  <si>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</si>
  <si>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</si>
  <si>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</si>
  <si>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</si>
  <si>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</si>
  <si>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</si>
  <si>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</si>
  <si>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</si>
  <si>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</si>
  <si>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P.R.S.PEÃ‘A</t>
  </si>
  <si>
    <t>PRESIDENCIA ROQUE SAENZ PEÃ‘A</t>
  </si>
  <si>
    <t>H3700ZAA</t>
  </si>
  <si>
    <t>H0066</t>
  </si>
  <si>
    <t>PUERTO TIROL</t>
  </si>
  <si>
    <t>H3521ZAA</t>
  </si>
  <si>
    <t>H0068</t>
  </si>
  <si>
    <t>PUERTO VILELAS</t>
  </si>
  <si>
    <t>AV RIO PARANA</t>
  </si>
  <si>
    <t>H3512ZAA</t>
  </si>
  <si>
    <t>H0070</t>
  </si>
  <si>
    <t>QUITILIPI</t>
  </si>
  <si>
    <t>H3530ZAA</t>
  </si>
  <si>
    <t>H0076</t>
  </si>
  <si>
    <t>R PROV 6</t>
  </si>
  <si>
    <t>H3726ZAA</t>
  </si>
  <si>
    <t>H0078</t>
  </si>
  <si>
    <t>SANTA SYLVINA</t>
  </si>
  <si>
    <t>JOSE MARCELINO FALCHINI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</si>
  <si>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</si>
  <si>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</si>
  <si>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</si>
  <si>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</si>
  <si>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</si>
  <si>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</si>
  <si>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</si>
  <si>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</si>
  <si>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</si>
  <si>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</si>
  <si>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</si>
  <si>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</si>
  <si>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</si>
  <si>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</si>
  <si>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</si>
  <si>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</si>
  <si>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</si>
  <si>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</si>
  <si>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</si>
  <si>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</si>
  <si>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</si>
  <si>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</si>
  <si>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</si>
  <si>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</si>
  <si>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</si>
  <si>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</si>
  <si>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</si>
  <si>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</si>
  <si>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</si>
  <si>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</si>
  <si>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</si>
  <si>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</si>
  <si>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</si>
  <si>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</si>
  <si>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</si>
  <si>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</si>
  <si>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</si>
  <si>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</si>
  <si>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</si>
  <si>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</si>
  <si>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</si>
  <si>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</si>
  <si>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CALLE PUBLICA S N</t>
  </si>
  <si>
    <t>MISION NUEVA POMPEYA</t>
  </si>
  <si>
    <t>H3705ZAB</t>
  </si>
  <si>
    <t>H1121</t>
  </si>
  <si>
    <t>FONTANA</t>
  </si>
  <si>
    <t>M GARCIA MEROU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</si>
  <si>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</si>
  <si>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</si>
  <si>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</si>
  <si>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</si>
  <si>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</si>
  <si>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</si>
  <si>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</si>
  <si>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</si>
  <si>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</si>
  <si>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</si>
  <si>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ALEJANDRO MAIZ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</si>
  <si>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</si>
  <si>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</si>
  <si>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</si>
  <si>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</si>
  <si>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</si>
  <si>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</si>
  <si>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</si>
  <si>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</si>
  <si>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</si>
  <si>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</si>
  <si>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</si>
  <si>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</si>
  <si>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</si>
  <si>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</si>
  <si>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</si>
  <si>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</si>
  <si>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</si>
  <si>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</si>
  <si>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</si>
  <si>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</si>
  <si>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</si>
  <si>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AV ALTE FRANCISCO SEGUI</t>
  </si>
  <si>
    <t>U9001ZAA</t>
  </si>
  <si>
    <t>U0048</t>
  </si>
  <si>
    <t>RIO MAYO</t>
  </si>
  <si>
    <t>U9030ZAA</t>
  </si>
  <si>
    <t>U0050</t>
  </si>
  <si>
    <t>RIO PICO</t>
  </si>
  <si>
    <t>PERITO FRANCISCO P MORENO</t>
  </si>
  <si>
    <t>U9225ZAA</t>
  </si>
  <si>
    <t>U0052</t>
  </si>
  <si>
    <t>AV ING CORONEL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</si>
  <si>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</si>
  <si>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</si>
  <si>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</si>
  <si>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</si>
  <si>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</si>
  <si>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</si>
  <si>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</si>
  <si>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</si>
  <si>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</si>
  <si>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AV 15 DE DICIEMBRE</t>
  </si>
  <si>
    <t>U9217ZAA</t>
  </si>
  <si>
    <t>U0104</t>
  </si>
  <si>
    <t>DOLAVON</t>
  </si>
  <si>
    <t>AV 28 DE JULIO</t>
  </si>
  <si>
    <t>U9107ZAA</t>
  </si>
  <si>
    <t>U0106</t>
  </si>
  <si>
    <t>EL MAITEN</t>
  </si>
  <si>
    <t>U9210ZAA</t>
  </si>
  <si>
    <t>U0108</t>
  </si>
  <si>
    <t>EPUYEN</t>
  </si>
  <si>
    <t>LOS CONDORES NÂ°1330</t>
  </si>
  <si>
    <t>U9211ZAB</t>
  </si>
  <si>
    <t>U0110</t>
  </si>
  <si>
    <t>ESQUEL</t>
  </si>
  <si>
    <t>AV ALVEAR</t>
  </si>
  <si>
    <t>U9200ZAB</t>
  </si>
  <si>
    <t>U0112</t>
  </si>
  <si>
    <t>GAIMAN</t>
  </si>
  <si>
    <t>JUAN CARLOS EVANS</t>
  </si>
  <si>
    <t>U9105ZAA</t>
  </si>
  <si>
    <t>U0114</t>
  </si>
  <si>
    <t>PASO DE INDIOS</t>
  </si>
  <si>
    <t>AV TEODORO STROBER</t>
  </si>
  <si>
    <t>U9207ZAA</t>
  </si>
  <si>
    <t>U0116</t>
  </si>
  <si>
    <t>PUERTO MADRYN</t>
  </si>
  <si>
    <t>GDOR ALEJANDRO MAIZ</t>
  </si>
  <si>
    <t>U9120ZAA</t>
  </si>
  <si>
    <t>U0118</t>
  </si>
  <si>
    <t>LAGO PUELO</t>
  </si>
  <si>
    <t>AMANCAY</t>
  </si>
  <si>
    <t>U9211ZAA</t>
  </si>
  <si>
    <t>U0120</t>
  </si>
  <si>
    <t>BERNARDO VACCHINA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</si>
  <si>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</si>
  <si>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</si>
  <si>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</si>
  <si>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</si>
  <si>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</si>
  <si>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</si>
  <si>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</si>
  <si>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</si>
  <si>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</si>
  <si>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GDOR BENITO FERNANDEZ</t>
  </si>
  <si>
    <t>U9202ZAB</t>
  </si>
  <si>
    <t>X0000</t>
  </si>
  <si>
    <t>AV COLON</t>
  </si>
  <si>
    <t>X5000ZAA</t>
  </si>
  <si>
    <t>X0001</t>
  </si>
  <si>
    <t>CORDOBA 1</t>
  </si>
  <si>
    <t>AV J B JUSTO</t>
  </si>
  <si>
    <t>X5001ZAA</t>
  </si>
  <si>
    <t>X0003</t>
  </si>
  <si>
    <t>CORDOBA 3</t>
  </si>
  <si>
    <t>X5003ZAA</t>
  </si>
  <si>
    <t>X0006</t>
  </si>
  <si>
    <t>CORDOBA 6</t>
  </si>
  <si>
    <t>JUAN RODRIGUEZ</t>
  </si>
  <si>
    <t>X5006ZAA</t>
  </si>
  <si>
    <t>X0007</t>
  </si>
  <si>
    <t>CORDOBA  22</t>
  </si>
  <si>
    <t>X5001ZAB</t>
  </si>
  <si>
    <t>X0008</t>
  </si>
  <si>
    <t>CORDOBA 8</t>
  </si>
  <si>
    <t>AV MONS PABLO CABRERA</t>
  </si>
  <si>
    <t>X5008ZAA</t>
  </si>
  <si>
    <t>X0009</t>
  </si>
  <si>
    <t>CORDOBA 9</t>
  </si>
  <si>
    <t>X5009ZAA</t>
  </si>
  <si>
    <t>X0010</t>
  </si>
  <si>
    <t>CORDOBA 10</t>
  </si>
  <si>
    <t>AV FUERZA AEREA ARG</t>
  </si>
  <si>
    <t>X5010ZAA</t>
  </si>
  <si>
    <t>X0011</t>
  </si>
  <si>
    <t>CORDOBA 23 TRIB PROVINCIALES</t>
  </si>
  <si>
    <t>ARTURO M BAS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</si>
  <si>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</si>
  <si>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</si>
  <si>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</si>
  <si>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</si>
  <si>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</si>
  <si>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</si>
  <si>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</si>
  <si>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</si>
  <si>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</si>
  <si>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</si>
  <si>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</si>
  <si>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</si>
  <si>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OBISPO ZENON BUSTOS</t>
  </si>
  <si>
    <t>X5107ZAA</t>
  </si>
  <si>
    <t>X0027</t>
  </si>
  <si>
    <t>ALTA GRACIA</t>
  </si>
  <si>
    <t>AV LIBERTADOR</t>
  </si>
  <si>
    <t>X5186ZAA</t>
  </si>
  <si>
    <t>X0028</t>
  </si>
  <si>
    <t>ALTOS DE CHIPION</t>
  </si>
  <si>
    <t>X2417ZAA</t>
  </si>
  <si>
    <t>X0033</t>
  </si>
  <si>
    <t>ARROYITO</t>
  </si>
  <si>
    <t>PRES BERNARDINO RIVADAVIA</t>
  </si>
  <si>
    <t>X2434ZAA</t>
  </si>
  <si>
    <t>X0041</t>
  </si>
  <si>
    <t>BALNEARIA</t>
  </si>
  <si>
    <t>TRISTAN CORNEJO</t>
  </si>
  <si>
    <t>X5141ZAA</t>
  </si>
  <si>
    <t>X0043</t>
  </si>
  <si>
    <t>BRINKMANN</t>
  </si>
  <si>
    <t>INTE SABINO GIAVENO</t>
  </si>
  <si>
    <t>X2419ZAA</t>
  </si>
  <si>
    <t>X0050</t>
  </si>
  <si>
    <t>CAPILLA DEL MONTE</t>
  </si>
  <si>
    <t>X5184ZAA</t>
  </si>
  <si>
    <t>X0053</t>
  </si>
  <si>
    <t>AV EJERCITO ARGENTINO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</si>
  <si>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</si>
  <si>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</si>
  <si>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</si>
  <si>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</si>
  <si>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</si>
  <si>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</si>
  <si>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</si>
  <si>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</si>
  <si>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</si>
  <si>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</si>
  <si>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</si>
  <si>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</si>
  <si>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</si>
  <si>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PTE M T DE ALVEAR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</si>
  <si>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</si>
  <si>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</si>
  <si>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</si>
  <si>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</si>
  <si>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</si>
  <si>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</si>
  <si>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</si>
  <si>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</si>
  <si>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</si>
  <si>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</si>
  <si>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</si>
  <si>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</si>
  <si>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</si>
  <si>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</si>
  <si>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</si>
  <si>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</si>
  <si>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</si>
  <si>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</si>
  <si>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</si>
  <si>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</si>
  <si>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</si>
  <si>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</si>
  <si>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</si>
  <si>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</si>
  <si>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</si>
  <si>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</si>
  <si>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</si>
  <si>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</si>
  <si>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</si>
  <si>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</si>
  <si>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</si>
  <si>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</si>
  <si>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</si>
  <si>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</si>
  <si>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</si>
  <si>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AV ARGENTINA</t>
  </si>
  <si>
    <t>X5172ZAA</t>
  </si>
  <si>
    <t>X0098</t>
  </si>
  <si>
    <t>LA FRANCIA</t>
  </si>
  <si>
    <t>PASCUAL LENCINAS</t>
  </si>
  <si>
    <t>X2425ZAA</t>
  </si>
  <si>
    <t>X0100</t>
  </si>
  <si>
    <t>LA GRANJA</t>
  </si>
  <si>
    <t>LOS ACERES ESQ LOS FRESNOS</t>
  </si>
  <si>
    <t>X5115ZAA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</si>
  <si>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</si>
  <si>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</si>
  <si>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</si>
  <si>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</si>
  <si>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</si>
  <si>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</si>
  <si>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</si>
  <si>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</si>
  <si>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</si>
  <si>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</si>
  <si>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</si>
  <si>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</si>
  <si>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</si>
  <si>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CARRANZA MARTINEZ</t>
  </si>
  <si>
    <t>X5238ZAA</t>
  </si>
  <si>
    <t>X0112</t>
  </si>
  <si>
    <t>LAS VARAS</t>
  </si>
  <si>
    <t>DR JUAN G GRUNDY</t>
  </si>
  <si>
    <t>X5941ZAA</t>
  </si>
  <si>
    <t>X0114</t>
  </si>
  <si>
    <t>LAS VARILLAS</t>
  </si>
  <si>
    <t>BALDRICH</t>
  </si>
  <si>
    <t>X5992ZAA</t>
  </si>
  <si>
    <t>X0116</t>
  </si>
  <si>
    <t>LOS COCOS</t>
  </si>
  <si>
    <t>AV- GRIERSON 1774</t>
  </si>
  <si>
    <t>X5182ZAA</t>
  </si>
  <si>
    <t>X0118</t>
  </si>
  <si>
    <t>LUQUE</t>
  </si>
  <si>
    <t>AV CHACABUCO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</si>
  <si>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</si>
  <si>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</si>
  <si>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</si>
  <si>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</si>
  <si>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</si>
  <si>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</si>
  <si>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</si>
  <si>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</si>
  <si>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</si>
  <si>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</si>
  <si>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</si>
  <si>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INTE NEMIROSKY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</si>
  <si>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</si>
  <si>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</si>
  <si>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</si>
  <si>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</si>
  <si>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</si>
  <si>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</si>
  <si>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</si>
  <si>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</si>
  <si>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</si>
  <si>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</si>
  <si>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</si>
  <si>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</si>
  <si>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</si>
  <si>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</si>
  <si>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</si>
  <si>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</si>
  <si>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</si>
  <si>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</si>
  <si>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</si>
  <si>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</si>
  <si>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</si>
  <si>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</si>
  <si>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</si>
  <si>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</si>
  <si>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</si>
  <si>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</si>
  <si>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INTE ANTONIO MOSCATI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</si>
  <si>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</si>
  <si>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</si>
  <si>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</si>
  <si>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</si>
  <si>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</si>
  <si>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</si>
  <si>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</si>
  <si>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</si>
  <si>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</si>
  <si>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</si>
  <si>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</si>
  <si>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</si>
  <si>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</si>
  <si>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</si>
  <si>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</si>
  <si>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</si>
  <si>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</si>
  <si>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</si>
  <si>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</si>
  <si>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</si>
  <si>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</si>
  <si>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</si>
  <si>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</si>
  <si>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</si>
  <si>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</si>
  <si>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</si>
  <si>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</si>
  <si>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</si>
  <si>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</si>
  <si>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</si>
  <si>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</si>
  <si>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</si>
  <si>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</si>
  <si>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</si>
  <si>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</si>
  <si>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</si>
  <si>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</si>
  <si>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AV DR LAMELAS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</si>
  <si>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</si>
  <si>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</si>
  <si>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</si>
  <si>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</si>
  <si>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</si>
  <si>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</si>
  <si>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</si>
  <si>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</si>
  <si>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</si>
  <si>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LOPEZ MARTI</t>
  </si>
  <si>
    <t>TRANSITO</t>
  </si>
  <si>
    <t>X2436ZAA</t>
  </si>
  <si>
    <t>X0188</t>
  </si>
  <si>
    <t>UNQUILLO</t>
  </si>
  <si>
    <t>X5109ZAA</t>
  </si>
  <si>
    <t>X0192</t>
  </si>
  <si>
    <t>VILLA ALLENDE</t>
  </si>
  <si>
    <t>AV ELPIDIO GONZALEZ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</si>
  <si>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</si>
  <si>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</si>
  <si>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</si>
  <si>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</si>
  <si>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</si>
  <si>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</si>
  <si>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</si>
  <si>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</si>
  <si>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</si>
  <si>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</si>
  <si>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</si>
  <si>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</si>
  <si>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</si>
  <si>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</si>
  <si>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</si>
  <si>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</si>
  <si>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OBISPO FERREYRA</t>
  </si>
  <si>
    <t>X5963ZAA</t>
  </si>
  <si>
    <t>X0204</t>
  </si>
  <si>
    <t>VILLA DEL TOTORAL</t>
  </si>
  <si>
    <t>DIOGENES MOYANO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</si>
  <si>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</si>
  <si>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</si>
  <si>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</si>
  <si>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</si>
  <si>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</si>
  <si>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</si>
  <si>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</si>
  <si>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SAN FRANCISCO DEL CHAÃ‘AR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</si>
  <si>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</si>
  <si>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</si>
  <si>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</si>
  <si>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</si>
  <si>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</si>
  <si>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</si>
  <si>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</si>
  <si>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</si>
  <si>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</si>
  <si>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</si>
  <si>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</si>
  <si>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</si>
  <si>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AV DR AMADEO SABATTINI</t>
  </si>
  <si>
    <t>X5806ZAA</t>
  </si>
  <si>
    <t>X0304</t>
  </si>
  <si>
    <t>RIO CUARTO 4</t>
  </si>
  <si>
    <t>MARTIRES RIOCUARTENSES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</si>
  <si>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</si>
  <si>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</si>
  <si>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</si>
  <si>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</si>
  <si>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</si>
  <si>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</si>
  <si>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</si>
  <si>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</si>
  <si>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</si>
  <si>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DR VELEZ SARSFIELD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</si>
  <si>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</si>
  <si>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</si>
  <si>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</si>
  <si>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</si>
  <si>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</si>
  <si>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</si>
  <si>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</si>
  <si>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</si>
  <si>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</si>
  <si>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</si>
  <si>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</si>
  <si>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</si>
  <si>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PEDRO C MOLINA</t>
  </si>
  <si>
    <t>X5854ZAA</t>
  </si>
  <si>
    <t>X0316</t>
  </si>
  <si>
    <t>BALLESTEROS</t>
  </si>
  <si>
    <t>REP ARGENTINA</t>
  </si>
  <si>
    <t>X2572ZAA</t>
  </si>
  <si>
    <t>X0318</t>
  </si>
  <si>
    <t>BELL VILLE</t>
  </si>
  <si>
    <t>X2550ZAA</t>
  </si>
  <si>
    <t>X0324</t>
  </si>
  <si>
    <t>BERROTARAN</t>
  </si>
  <si>
    <t>FRAY M ESQUIU</t>
  </si>
  <si>
    <t>X5817ZAA</t>
  </si>
  <si>
    <t>X0326</t>
  </si>
  <si>
    <t>CAMILO ALDAO</t>
  </si>
  <si>
    <t>X2585ZAA</t>
  </si>
  <si>
    <t>X0328</t>
  </si>
  <si>
    <t>CANALS</t>
  </si>
  <si>
    <t>VELEZ SARSFIELD</t>
  </si>
  <si>
    <t>X2650ZAA</t>
  </si>
  <si>
    <t>X0330</t>
  </si>
  <si>
    <t>CHAZON</t>
  </si>
  <si>
    <t>X2675ZAA</t>
  </si>
  <si>
    <t>X0331</t>
  </si>
  <si>
    <t>CINTRA</t>
  </si>
  <si>
    <t>GOB JOSE A CEBALLOS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</si>
  <si>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</si>
  <si>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</si>
  <si>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</si>
  <si>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</si>
  <si>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</si>
  <si>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</si>
  <si>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</si>
  <si>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</si>
  <si>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</si>
  <si>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ANGEL COLOCCINI</t>
  </si>
  <si>
    <t>X2189ZAA</t>
  </si>
  <si>
    <t>X0342</t>
  </si>
  <si>
    <t>DEL CAMPILLO</t>
  </si>
  <si>
    <t>DR DANIEL MORRA</t>
  </si>
  <si>
    <t>X6271ZAA</t>
  </si>
  <si>
    <t>X0344</t>
  </si>
  <si>
    <t>EMBALSE</t>
  </si>
  <si>
    <t>LOS AROMILLOS</t>
  </si>
  <si>
    <t>X5856ZAA</t>
  </si>
  <si>
    <t>X0346</t>
  </si>
  <si>
    <t>ELENA</t>
  </si>
  <si>
    <t>X5815ZAA</t>
  </si>
  <si>
    <t>X0348</t>
  </si>
  <si>
    <t>ETRURIA</t>
  </si>
  <si>
    <t>PEDRO PELLESCHI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</si>
  <si>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</si>
  <si>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</si>
  <si>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</si>
  <si>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</si>
  <si>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</si>
  <si>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</si>
  <si>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</si>
  <si>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</si>
  <si>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</si>
  <si>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</si>
  <si>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</si>
  <si>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</si>
  <si>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</si>
  <si>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</si>
  <si>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</si>
  <si>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</si>
  <si>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</si>
  <si>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</si>
  <si>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</si>
  <si>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</si>
  <si>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</si>
  <si>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</si>
  <si>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</si>
  <si>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</si>
  <si>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</si>
  <si>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</si>
  <si>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</si>
  <si>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</si>
  <si>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</si>
  <si>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</si>
  <si>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</si>
  <si>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</si>
  <si>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</si>
  <si>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</si>
  <si>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</si>
  <si>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</si>
  <si>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</si>
  <si>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</si>
  <si>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</si>
  <si>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</si>
  <si>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</si>
  <si>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PTE D F SARMIENTO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</si>
  <si>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</si>
  <si>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</si>
  <si>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</si>
  <si>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</si>
  <si>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</si>
  <si>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</si>
  <si>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</si>
  <si>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</si>
  <si>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</si>
  <si>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</si>
  <si>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</si>
  <si>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</si>
  <si>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L N ALEM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</si>
  <si>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</si>
  <si>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</si>
  <si>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</si>
  <si>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</si>
  <si>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</si>
  <si>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</si>
  <si>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</si>
  <si>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</si>
  <si>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</si>
  <si>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</si>
  <si>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</si>
  <si>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</si>
  <si>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</si>
  <si>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</si>
  <si>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</si>
  <si>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</si>
  <si>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</si>
  <si>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</si>
  <si>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</si>
  <si>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</si>
  <si>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</si>
  <si>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</si>
  <si>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</si>
  <si>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AV INDEPENDENCIA</t>
  </si>
  <si>
    <t>X6120ZAA</t>
  </si>
  <si>
    <t>X0404</t>
  </si>
  <si>
    <t>LAS PERDICES</t>
  </si>
  <si>
    <t>X5921ZAA</t>
  </si>
  <si>
    <t>X0406</t>
  </si>
  <si>
    <t>LEONES</t>
  </si>
  <si>
    <t>RAMON INFANTES</t>
  </si>
  <si>
    <t>X2594ZAA</t>
  </si>
  <si>
    <t>X0408</t>
  </si>
  <si>
    <t>LOS SURGENTES</t>
  </si>
  <si>
    <t>GDOR GARZON</t>
  </si>
  <si>
    <t>X2581ZAA</t>
  </si>
  <si>
    <t>X0410</t>
  </si>
  <si>
    <t>LOS CONDORES</t>
  </si>
  <si>
    <t>AV DON BOSCO</t>
  </si>
  <si>
    <t>X5823ZAA</t>
  </si>
  <si>
    <t>X0412</t>
  </si>
  <si>
    <t>LAS HIGUERAS</t>
  </si>
  <si>
    <t>JORGE NEWBERY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</si>
  <si>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</si>
  <si>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</si>
  <si>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</si>
  <si>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</si>
  <si>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</si>
  <si>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</si>
  <si>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</si>
  <si>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</si>
  <si>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</si>
  <si>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</si>
  <si>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</si>
  <si>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</si>
  <si>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</si>
  <si>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</si>
  <si>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</si>
  <si>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</si>
  <si>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</si>
  <si>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</si>
  <si>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</si>
  <si>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CALLE 1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</si>
  <si>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</si>
  <si>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</si>
  <si>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</si>
  <si>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</si>
  <si>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</si>
  <si>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</si>
  <si>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</si>
  <si>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</si>
  <si>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</si>
  <si>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</si>
  <si>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</si>
  <si>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INTE DE BUONO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</si>
  <si>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</si>
  <si>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</si>
  <si>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</si>
  <si>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</si>
  <si>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</si>
  <si>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</si>
  <si>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</si>
  <si>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</si>
  <si>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</si>
  <si>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</si>
  <si>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</si>
  <si>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</si>
  <si>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</si>
  <si>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</si>
  <si>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</si>
  <si>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</si>
  <si>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</si>
  <si>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</si>
  <si>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</si>
  <si>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</si>
  <si>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</si>
  <si>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</si>
  <si>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</si>
  <si>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</si>
  <si>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</si>
  <si>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</si>
  <si>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</si>
  <si>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</si>
  <si>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</si>
  <si>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</si>
  <si>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</si>
  <si>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</si>
  <si>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</si>
  <si>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</si>
  <si>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DUSSAN ALACEVICH</t>
  </si>
  <si>
    <t>X5935ZAA</t>
  </si>
  <si>
    <t>X0470</t>
  </si>
  <si>
    <t>AV CARLOS S YDE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</si>
  <si>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</si>
  <si>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</si>
  <si>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</si>
  <si>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</si>
  <si>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</si>
  <si>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</si>
  <si>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</si>
  <si>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AV MANUEL ESPINOSA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</si>
  <si>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</si>
  <si>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</si>
  <si>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</si>
  <si>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</si>
  <si>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</si>
  <si>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</si>
  <si>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</si>
  <si>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</si>
  <si>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</si>
  <si>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</si>
  <si>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LUCIO V MANSILLA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</si>
  <si>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</si>
  <si>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</si>
  <si>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</si>
  <si>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</si>
  <si>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</si>
  <si>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</si>
  <si>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</si>
  <si>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AV RIEMANN</t>
  </si>
  <si>
    <t>X5864ZAA</t>
  </si>
  <si>
    <t>X0486</t>
  </si>
  <si>
    <t>WENCESLAO ESCALANTE</t>
  </si>
  <si>
    <t>AV ITALIA</t>
  </si>
  <si>
    <t>X2655ZAA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</si>
  <si>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</si>
  <si>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</si>
  <si>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</si>
  <si>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</si>
  <si>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</si>
  <si>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</si>
  <si>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</si>
  <si>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</si>
  <si>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</si>
  <si>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</si>
  <si>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</si>
  <si>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</si>
  <si>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X1562</t>
  </si>
  <si>
    <t>COLAZO</t>
  </si>
  <si>
    <t>LAS CUATRO HERMANAS</t>
  </si>
  <si>
    <t>X5971ZAA</t>
  </si>
  <si>
    <t>X1574</t>
  </si>
  <si>
    <t>COLONIA TIROLESA</t>
  </si>
  <si>
    <t>ARTURO H ILIA 16</t>
  </si>
  <si>
    <t>X5000ZAI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</si>
  <si>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</si>
  <si>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</si>
  <si>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</si>
  <si>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</si>
  <si>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</si>
  <si>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</si>
  <si>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</si>
  <si>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</si>
  <si>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</si>
  <si>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</si>
  <si>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</si>
  <si>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</si>
  <si>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</si>
  <si>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</si>
  <si>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</si>
  <si>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</si>
  <si>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</si>
  <si>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</si>
  <si>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</si>
  <si>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</si>
  <si>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</si>
  <si>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</si>
  <si>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INT ROBERTO STOLL</t>
  </si>
  <si>
    <t>X5966ZAB</t>
  </si>
  <si>
    <t>X6567</t>
  </si>
  <si>
    <t>VILLA MARIA 2</t>
  </si>
  <si>
    <t>X5900ZAJ</t>
  </si>
  <si>
    <t>X6568</t>
  </si>
  <si>
    <t>VILLA MARIA 3</t>
  </si>
  <si>
    <t>CARTAGENA</t>
  </si>
  <si>
    <t>X5900ZAK</t>
  </si>
  <si>
    <t>X6569</t>
  </si>
  <si>
    <t>VILLA MARIA 4</t>
  </si>
  <si>
    <t>X5901ZAD</t>
  </si>
  <si>
    <t>X6583</t>
  </si>
  <si>
    <t>ANISACATE</t>
  </si>
  <si>
    <t>R PROV 5</t>
  </si>
  <si>
    <t>X5189ZAH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</si>
  <si>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</si>
  <si>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</si>
  <si>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</si>
  <si>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</si>
  <si>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</si>
  <si>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</si>
  <si>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</si>
  <si>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</si>
  <si>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</si>
  <si>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</si>
  <si>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</si>
  <si>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</si>
  <si>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</si>
  <si>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</si>
  <si>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</si>
  <si>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</si>
  <si>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</si>
  <si>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</si>
  <si>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</si>
  <si>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</si>
  <si>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</si>
  <si>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</si>
  <si>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</si>
  <si>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</si>
  <si>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</si>
  <si>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</si>
  <si>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</si>
  <si>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</si>
  <si>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</si>
  <si>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</si>
  <si>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</si>
  <si>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</si>
  <si>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</si>
  <si>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</si>
  <si>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</si>
  <si>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</si>
  <si>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</si>
  <si>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</si>
  <si>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</si>
  <si>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</si>
  <si>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GDOR JUAN V PAMPIN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</si>
  <si>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</si>
  <si>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</si>
  <si>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</si>
  <si>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</si>
  <si>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</si>
  <si>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</si>
  <si>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</si>
  <si>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</si>
  <si>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</si>
  <si>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</si>
  <si>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</si>
  <si>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GORDIOLA NIELLA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</si>
  <si>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</si>
  <si>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</si>
  <si>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</si>
  <si>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</si>
  <si>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</si>
  <si>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</si>
  <si>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</si>
  <si>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</si>
  <si>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</si>
  <si>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</si>
  <si>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</si>
  <si>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</si>
  <si>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</si>
  <si>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BERNARDINO VALLE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</si>
  <si>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</si>
  <si>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</si>
  <si>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</si>
  <si>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</si>
  <si>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</si>
  <si>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</si>
  <si>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</si>
  <si>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</si>
  <si>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</si>
  <si>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</si>
  <si>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</si>
  <si>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</si>
  <si>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</si>
  <si>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</si>
  <si>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</si>
  <si>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</si>
  <si>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</si>
  <si>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</si>
  <si>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</si>
  <si>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</si>
  <si>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</si>
  <si>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</si>
  <si>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</si>
  <si>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</si>
  <si>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JUAN RAMON VIDAL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</si>
  <si>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</si>
  <si>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</si>
  <si>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</si>
  <si>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</si>
  <si>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</si>
  <si>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</si>
  <si>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</si>
  <si>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</si>
  <si>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</si>
  <si>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</si>
  <si>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</si>
  <si>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RUPERTO MONTENEGRO</t>
  </si>
  <si>
    <t>W3448ZAA</t>
  </si>
  <si>
    <t>W0028</t>
  </si>
  <si>
    <t>CRISTOBAL COLON</t>
  </si>
  <si>
    <t>W3440ZAA</t>
  </si>
  <si>
    <t>W0029</t>
  </si>
  <si>
    <t>SOLARI</t>
  </si>
  <si>
    <t>BAIGORRIA S/N</t>
  </si>
  <si>
    <t>EST SOLARI</t>
  </si>
  <si>
    <t>W3476ZAA</t>
  </si>
  <si>
    <t>W0030</t>
  </si>
  <si>
    <t>ALVEAR</t>
  </si>
  <si>
    <t>FRANCISCO SUSSINI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</si>
  <si>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</si>
  <si>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</si>
  <si>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</si>
  <si>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</si>
  <si>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</si>
  <si>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</si>
  <si>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</si>
  <si>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</si>
  <si>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</si>
  <si>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AV GRAL JUAN LAVALLE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</si>
  <si>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</si>
  <si>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</si>
  <si>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</si>
  <si>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</si>
  <si>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</si>
  <si>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</si>
  <si>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</si>
  <si>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</si>
  <si>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AV BRASIL</t>
  </si>
  <si>
    <t>W3341ZAA</t>
  </si>
  <si>
    <t>W0037</t>
  </si>
  <si>
    <t>OBISPO ROMERO</t>
  </si>
  <si>
    <t>W3231ZAA</t>
  </si>
  <si>
    <t>W0038</t>
  </si>
  <si>
    <t>BONPLAND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</si>
  <si>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</si>
  <si>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</si>
  <si>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</si>
  <si>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</si>
  <si>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</si>
  <si>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</si>
  <si>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</si>
  <si>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</si>
  <si>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</si>
  <si>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</si>
  <si>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</si>
  <si>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</si>
  <si>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</si>
  <si>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JUAN SITJANIN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</si>
  <si>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</si>
  <si>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</si>
  <si>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</si>
  <si>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</si>
  <si>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</si>
  <si>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</si>
  <si>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</si>
  <si>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</si>
  <si>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</si>
  <si>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</si>
  <si>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</si>
  <si>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</si>
  <si>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</si>
  <si>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</si>
  <si>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</si>
  <si>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</si>
  <si>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</si>
  <si>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</si>
  <si>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</si>
  <si>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</si>
  <si>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</si>
  <si>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</si>
  <si>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</si>
  <si>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</si>
  <si>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</si>
  <si>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</si>
  <si>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</si>
  <si>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</si>
  <si>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</si>
  <si>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</si>
  <si>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</si>
  <si>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</si>
  <si>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</si>
  <si>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</si>
  <si>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</si>
  <si>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</si>
  <si>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</si>
  <si>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</si>
  <si>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</si>
  <si>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</si>
  <si>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</si>
  <si>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</si>
  <si>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</si>
  <si>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</si>
  <si>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</si>
  <si>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</si>
  <si>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</si>
  <si>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</si>
  <si>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</si>
  <si>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</si>
  <si>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</si>
  <si>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</si>
  <si>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</si>
  <si>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</si>
  <si>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</si>
  <si>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</si>
  <si>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</si>
  <si>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</si>
  <si>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</si>
  <si>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</si>
  <si>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</si>
  <si>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</si>
  <si>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</si>
  <si>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</si>
  <si>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</si>
  <si>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</si>
  <si>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</si>
  <si>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</si>
  <si>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</si>
  <si>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</si>
  <si>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</si>
  <si>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</si>
  <si>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</si>
  <si>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</si>
  <si>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</si>
  <si>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</si>
  <si>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</si>
  <si>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</si>
  <si>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</si>
  <si>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</si>
  <si>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</si>
  <si>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</si>
  <si>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</si>
  <si>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</si>
  <si>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</si>
  <si>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</si>
  <si>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</si>
  <si>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</si>
  <si>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</si>
  <si>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</si>
  <si>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</si>
  <si>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</si>
  <si>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</si>
  <si>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</si>
  <si>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</si>
  <si>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</si>
  <si>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</si>
  <si>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</si>
  <si>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</si>
  <si>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</si>
  <si>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</si>
  <si>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</si>
  <si>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</si>
  <si>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</si>
  <si>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</si>
  <si>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</si>
  <si>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</si>
  <si>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</si>
  <si>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</si>
  <si>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</si>
  <si>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</si>
  <si>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</si>
  <si>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</si>
  <si>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</si>
  <si>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</si>
  <si>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</si>
  <si>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</si>
  <si>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</si>
  <si>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</si>
  <si>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</si>
  <si>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</si>
  <si>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</si>
  <si>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</si>
  <si>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</si>
  <si>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</si>
  <si>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</si>
  <si>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</si>
  <si>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</si>
  <si>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</si>
  <si>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</si>
  <si>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</si>
  <si>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</si>
  <si>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</si>
  <si>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</si>
  <si>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</si>
  <si>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</si>
  <si>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</si>
  <si>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</si>
  <si>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</si>
  <si>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</si>
  <si>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</si>
  <si>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</si>
  <si>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</si>
  <si>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</si>
  <si>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</si>
  <si>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</si>
  <si>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</si>
  <si>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</si>
  <si>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</si>
  <si>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</si>
  <si>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</si>
  <si>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</si>
  <si>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</si>
  <si>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</si>
  <si>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</si>
  <si>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</si>
  <si>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</si>
  <si>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</si>
  <si>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</si>
  <si>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</si>
  <si>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</si>
  <si>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</si>
  <si>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</si>
  <si>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</si>
  <si>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</si>
  <si>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</si>
  <si>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</si>
  <si>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</si>
  <si>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</si>
  <si>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</si>
  <si>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</si>
  <si>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</si>
  <si>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</si>
  <si>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</si>
  <si>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</si>
  <si>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</si>
  <si>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</si>
  <si>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</si>
  <si>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</si>
  <si>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</si>
  <si>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</si>
  <si>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</si>
  <si>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</si>
  <si>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</si>
  <si>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</si>
  <si>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</si>
  <si>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</si>
  <si>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</si>
  <si>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</si>
  <si>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</si>
  <si>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</si>
  <si>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</si>
  <si>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</si>
  <si>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</si>
  <si>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</si>
  <si>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</si>
  <si>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</si>
  <si>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</si>
  <si>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</si>
  <si>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</si>
  <si>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</si>
  <si>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</si>
  <si>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</si>
  <si>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</si>
  <si>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</si>
  <si>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</si>
  <si>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</si>
  <si>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</si>
  <si>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</si>
  <si>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</si>
  <si>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</si>
  <si>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</si>
  <si>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JOSE FERNANDEZ CANCIO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</si>
  <si>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</si>
  <si>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</si>
  <si>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</si>
  <si>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</si>
  <si>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</si>
  <si>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</si>
  <si>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</si>
  <si>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</si>
  <si>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</si>
  <si>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AV 2 DE ABRIL</t>
  </si>
  <si>
    <t>P3626ZAA</t>
  </si>
  <si>
    <t>P0012</t>
  </si>
  <si>
    <t>AV 9 DE JULIO</t>
  </si>
  <si>
    <t>P3600ZAA</t>
  </si>
  <si>
    <t>P0014</t>
  </si>
  <si>
    <t>GRAL. M. BELGRANO</t>
  </si>
  <si>
    <t>AV PERU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</si>
  <si>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</si>
  <si>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</si>
  <si>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</si>
  <si>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</si>
  <si>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</si>
  <si>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</si>
  <si>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</si>
  <si>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</si>
  <si>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</si>
  <si>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</si>
  <si>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</si>
  <si>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</si>
  <si>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</si>
  <si>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</si>
  <si>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</si>
  <si>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</si>
  <si>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</si>
  <si>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</si>
  <si>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</si>
  <si>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</si>
  <si>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</si>
  <si>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</si>
  <si>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</si>
  <si>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</si>
  <si>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</si>
  <si>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</si>
  <si>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</si>
  <si>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</si>
  <si>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</si>
  <si>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</si>
  <si>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</si>
  <si>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</si>
  <si>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</si>
  <si>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</si>
  <si>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ADRIAN GOMEZ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</si>
  <si>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</si>
  <si>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</si>
  <si>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</si>
  <si>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</si>
  <si>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</si>
  <si>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</si>
  <si>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</si>
  <si>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</si>
  <si>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</si>
  <si>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</si>
  <si>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</si>
  <si>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</si>
  <si>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</si>
  <si>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</si>
  <si>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</si>
  <si>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</si>
  <si>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</si>
  <si>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</si>
  <si>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</si>
  <si>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</si>
  <si>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</si>
  <si>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</si>
  <si>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</si>
  <si>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</si>
  <si>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</si>
  <si>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</si>
  <si>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</si>
  <si>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</si>
  <si>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</si>
  <si>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</si>
  <si>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</si>
  <si>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</si>
  <si>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P1082</t>
  </si>
  <si>
    <t>VILLA DOS TRECE</t>
  </si>
  <si>
    <t>GRAL JUAN M DE PUEYRREDON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</si>
  <si>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</si>
  <si>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</si>
  <si>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</si>
  <si>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</si>
  <si>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</si>
  <si>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</si>
  <si>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</si>
  <si>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</si>
  <si>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</si>
  <si>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</si>
  <si>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</si>
  <si>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</si>
  <si>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</si>
  <si>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</si>
  <si>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</si>
  <si>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</si>
  <si>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JOSE IGNACIO GORRITI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</si>
  <si>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</si>
  <si>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</si>
  <si>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</si>
  <si>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</si>
  <si>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</si>
  <si>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</si>
  <si>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</si>
  <si>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</si>
  <si>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</si>
  <si>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</si>
  <si>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</si>
  <si>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</si>
  <si>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</si>
  <si>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</si>
  <si>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</si>
  <si>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</si>
  <si>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</si>
  <si>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AV MANUEL BELGRANO</t>
  </si>
  <si>
    <t>Y4622ZAA</t>
  </si>
  <si>
    <t>Y0030</t>
  </si>
  <si>
    <t>MONTERRICO</t>
  </si>
  <si>
    <t>Y4608ZAA</t>
  </si>
  <si>
    <t>Y0032</t>
  </si>
  <si>
    <t>PALPALÃ</t>
  </si>
  <si>
    <t>REPÃºBLICA DE SIRIA  ESQ GENDAR NACIONAL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</si>
  <si>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</si>
  <si>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</si>
  <si>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</si>
  <si>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</si>
  <si>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</si>
  <si>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</si>
  <si>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</si>
  <si>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</si>
  <si>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</si>
  <si>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</si>
  <si>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</si>
  <si>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</si>
  <si>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</si>
  <si>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</si>
  <si>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</si>
  <si>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</si>
  <si>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</si>
  <si>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</si>
  <si>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</si>
  <si>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AV ROBERTO DARDO DOMINGUEZ</t>
  </si>
  <si>
    <t>Y4510ZAA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</si>
  <si>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</si>
  <si>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</si>
  <si>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</si>
  <si>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</si>
  <si>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</si>
  <si>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</si>
  <si>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</si>
  <si>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</si>
  <si>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Y3149</t>
  </si>
  <si>
    <t>AGENCIA ALTO COMEDERO</t>
  </si>
  <si>
    <t>VALLE GRANDE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</si>
  <si>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</si>
  <si>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</si>
  <si>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</si>
  <si>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</si>
  <si>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</si>
  <si>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</si>
  <si>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</si>
  <si>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</si>
  <si>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</si>
  <si>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</si>
  <si>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</si>
  <si>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</si>
  <si>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</si>
  <si>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</si>
  <si>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</si>
  <si>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</si>
  <si>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</si>
  <si>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</si>
  <si>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ROBERTO PEREZ</t>
  </si>
  <si>
    <t>L6220ZAA</t>
  </si>
  <si>
    <t>L0012</t>
  </si>
  <si>
    <t>BERNASCONI</t>
  </si>
  <si>
    <t>ROMUALDO Y PEDRO NIEVES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</si>
  <si>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</si>
  <si>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</si>
  <si>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</si>
  <si>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</si>
  <si>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</si>
  <si>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</si>
  <si>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</si>
  <si>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</si>
  <si>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</si>
  <si>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</si>
  <si>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</si>
  <si>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</si>
  <si>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</si>
  <si>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</si>
  <si>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</si>
  <si>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</si>
  <si>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FRANCISCO LIZASO</t>
  </si>
  <si>
    <t>L6305ZAA</t>
  </si>
  <si>
    <t>L0024</t>
  </si>
  <si>
    <t>EDUARDO CASTEX</t>
  </si>
  <si>
    <t>L6380ZAA</t>
  </si>
  <si>
    <t>L0028</t>
  </si>
  <si>
    <t>EMBAJADOR MARTINI</t>
  </si>
  <si>
    <t>ALFREDO  NINET</t>
  </si>
  <si>
    <t>L6203ZAA</t>
  </si>
  <si>
    <t>L0030</t>
  </si>
  <si>
    <t>GENERAL  ACHA</t>
  </si>
  <si>
    <t>MANUEL JORGE CAMPOS</t>
  </si>
  <si>
    <t>GENERAL ACHA</t>
  </si>
  <si>
    <t>L8200ZAA</t>
  </si>
  <si>
    <t>L0032</t>
  </si>
  <si>
    <t>GRAL. PICO</t>
  </si>
  <si>
    <t>CALLE 22</t>
  </si>
  <si>
    <t>GENERAL PICO</t>
  </si>
  <si>
    <t>L6360ZAA</t>
  </si>
  <si>
    <t>L0034</t>
  </si>
  <si>
    <t>DR JOSE INGENIEROS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</si>
  <si>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</si>
  <si>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</si>
  <si>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</si>
  <si>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</si>
  <si>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</si>
  <si>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</si>
  <si>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</si>
  <si>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</si>
  <si>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</si>
  <si>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</si>
  <si>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</si>
  <si>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</si>
  <si>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</si>
  <si>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</si>
  <si>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</si>
  <si>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</si>
  <si>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JUAN TAMBORINI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</si>
  <si>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</si>
  <si>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</si>
  <si>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</si>
  <si>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</si>
  <si>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</si>
  <si>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</si>
  <si>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</si>
  <si>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</si>
  <si>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</si>
  <si>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</si>
  <si>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</si>
  <si>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</si>
  <si>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</si>
  <si>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</si>
  <si>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</si>
  <si>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</si>
  <si>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</si>
  <si>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</si>
  <si>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</si>
  <si>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</si>
  <si>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</si>
  <si>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</si>
  <si>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</si>
  <si>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</si>
  <si>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</si>
  <si>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</si>
  <si>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</si>
  <si>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</si>
  <si>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</si>
  <si>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</si>
  <si>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</si>
  <si>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</si>
  <si>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</si>
  <si>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</si>
  <si>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VIRREY P DE CEVALLOS</t>
  </si>
  <si>
    <t>L6369ZAA</t>
  </si>
  <si>
    <t>L0068</t>
  </si>
  <si>
    <t>URIBURU</t>
  </si>
  <si>
    <t>DOCTOR FOLLZ</t>
  </si>
  <si>
    <t>L6354ZAA</t>
  </si>
  <si>
    <t>L0070</t>
  </si>
  <si>
    <t>VEINTICINCO DE MAYO</t>
  </si>
  <si>
    <t>PRES J FIGUEROA ALCORTA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</si>
  <si>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</si>
  <si>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</si>
  <si>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</si>
  <si>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</si>
  <si>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</si>
  <si>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</si>
  <si>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</si>
  <si>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</si>
  <si>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</si>
  <si>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</si>
  <si>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</si>
  <si>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</si>
  <si>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</si>
  <si>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</si>
  <si>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</si>
  <si>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</si>
  <si>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</si>
  <si>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</si>
  <si>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</si>
  <si>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</si>
  <si>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</si>
  <si>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</si>
  <si>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</si>
  <si>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</si>
  <si>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</si>
  <si>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</si>
  <si>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</si>
  <si>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</si>
  <si>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</si>
  <si>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</si>
  <si>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</si>
  <si>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</si>
  <si>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</si>
  <si>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</si>
  <si>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</si>
  <si>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</si>
  <si>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</si>
  <si>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</si>
  <si>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</si>
  <si>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</si>
  <si>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</si>
  <si>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</si>
  <si>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</si>
  <si>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</si>
  <si>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</si>
  <si>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</si>
  <si>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</si>
  <si>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</si>
  <si>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</si>
  <si>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</si>
  <si>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</si>
  <si>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</si>
  <si>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</si>
  <si>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</si>
  <si>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</si>
  <si>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</si>
  <si>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</si>
  <si>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</si>
  <si>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</si>
  <si>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</si>
  <si>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</si>
  <si>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</si>
  <si>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</si>
  <si>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</si>
  <si>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</si>
  <si>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</si>
  <si>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</si>
  <si>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</si>
  <si>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</si>
  <si>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</si>
  <si>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</si>
  <si>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</si>
  <si>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</si>
  <si>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</si>
  <si>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</si>
  <si>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</si>
  <si>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</si>
  <si>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</si>
  <si>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</si>
  <si>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</si>
  <si>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</si>
  <si>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</si>
  <si>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</si>
  <si>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</si>
  <si>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</si>
  <si>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</si>
  <si>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</si>
  <si>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</si>
  <si>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</si>
  <si>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</si>
  <si>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</si>
  <si>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</si>
  <si>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CARLOS MARIA ALVAREZ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</si>
  <si>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</si>
  <si>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</si>
  <si>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</si>
  <si>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</si>
  <si>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</si>
  <si>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</si>
  <si>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</si>
  <si>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CNEL NICOLAS DAVILA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</si>
  <si>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</si>
  <si>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</si>
  <si>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</si>
  <si>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</si>
  <si>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</si>
  <si>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</si>
  <si>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</si>
  <si>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</si>
  <si>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</si>
  <si>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</si>
  <si>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</si>
  <si>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</si>
  <si>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AV ORTIZ DE OCAMPO</t>
  </si>
  <si>
    <t>F5300ZAD</t>
  </si>
  <si>
    <t>M0000</t>
  </si>
  <si>
    <t>M5500ZAA</t>
  </si>
  <si>
    <t>M0001</t>
  </si>
  <si>
    <t>MENDOZA 1</t>
  </si>
  <si>
    <t>GRAL GREGORIO PAZ</t>
  </si>
  <si>
    <t>M5500ZAC</t>
  </si>
  <si>
    <t>M0002</t>
  </si>
  <si>
    <t>MENDOZA 2  DORREGO</t>
  </si>
  <si>
    <t>CNEL M DORREGO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</si>
  <si>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</si>
  <si>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</si>
  <si>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</si>
  <si>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</si>
  <si>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</si>
  <si>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</si>
  <si>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</si>
  <si>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</si>
  <si>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</si>
  <si>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</si>
  <si>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</si>
  <si>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</si>
  <si>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</si>
  <si>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</si>
  <si>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CNEL GOULU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</si>
  <si>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</si>
  <si>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</si>
  <si>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</si>
  <si>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</si>
  <si>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</si>
  <si>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</si>
  <si>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</si>
  <si>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AGUINAGA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</si>
  <si>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</si>
  <si>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</si>
  <si>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</si>
  <si>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</si>
  <si>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</si>
  <si>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</si>
  <si>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</si>
  <si>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</si>
  <si>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BERNARDO QUIROGA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</si>
  <si>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</si>
  <si>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</si>
  <si>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</si>
  <si>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</si>
  <si>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</si>
  <si>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</si>
  <si>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</si>
  <si>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</si>
  <si>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</si>
  <si>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</si>
  <si>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</si>
  <si>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</si>
  <si>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</si>
  <si>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</si>
  <si>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AV PERITO FRANCISCO P MORENO</t>
  </si>
  <si>
    <t>M5501ZAA</t>
  </si>
  <si>
    <t>M0032</t>
  </si>
  <si>
    <t>ING. GIAGNONI</t>
  </si>
  <si>
    <t>JOSE MILORDO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</si>
  <si>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</si>
  <si>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</si>
  <si>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</si>
  <si>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</si>
  <si>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</si>
  <si>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</si>
  <si>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</si>
  <si>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</si>
  <si>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</si>
  <si>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</si>
  <si>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</si>
  <si>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</si>
  <si>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</si>
  <si>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</si>
  <si>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</si>
  <si>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</si>
  <si>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</si>
  <si>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</si>
  <si>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FRAY L BELTRAN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</si>
  <si>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</si>
  <si>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</si>
  <si>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</si>
  <si>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</si>
  <si>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</si>
  <si>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</si>
  <si>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</si>
  <si>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</si>
  <si>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MALARGÃœE</t>
  </si>
  <si>
    <t>ADOLFO PUEBLA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</si>
  <si>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</si>
  <si>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</si>
  <si>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</si>
  <si>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</si>
  <si>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</si>
  <si>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</si>
  <si>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</si>
  <si>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</si>
  <si>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</si>
  <si>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</si>
  <si>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JUAN DI PAOLA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</si>
  <si>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</si>
  <si>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</si>
  <si>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</si>
  <si>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</si>
  <si>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</si>
  <si>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</si>
  <si>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</si>
  <si>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</si>
  <si>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</si>
  <si>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</si>
  <si>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</si>
  <si>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</si>
  <si>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AV BANDERA DE LOS ANDES</t>
  </si>
  <si>
    <t>KILOMETRO 11</t>
  </si>
  <si>
    <t>M5525ZAA</t>
  </si>
  <si>
    <t>M0084</t>
  </si>
  <si>
    <t>RODEO DEL MEDIO</t>
  </si>
  <si>
    <t>R PROV 50</t>
  </si>
  <si>
    <t>M5529ZAB</t>
  </si>
  <si>
    <t>M0088</t>
  </si>
  <si>
    <t>M5512ZAA</t>
  </si>
  <si>
    <t>M0090</t>
  </si>
  <si>
    <t>DR TOMAS GODOY CRUZ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</si>
  <si>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</si>
  <si>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</si>
  <si>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</si>
  <si>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</si>
  <si>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</si>
  <si>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</si>
  <si>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</si>
  <si>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</si>
  <si>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</si>
  <si>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</si>
  <si>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</si>
  <si>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</si>
  <si>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</si>
  <si>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</si>
  <si>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R NAC 7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</si>
  <si>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</si>
  <si>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</si>
  <si>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</si>
  <si>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</si>
  <si>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</si>
  <si>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</si>
  <si>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</si>
  <si>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</si>
  <si>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</si>
  <si>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</si>
  <si>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BANDERA DE LOS ANDES</t>
  </si>
  <si>
    <t>M5521ZAA</t>
  </si>
  <si>
    <t>M0114</t>
  </si>
  <si>
    <t>VISTA FLORES</t>
  </si>
  <si>
    <t>M5665ZAA</t>
  </si>
  <si>
    <t>M1325</t>
  </si>
  <si>
    <t>NÂº 7 EL RETAMO</t>
  </si>
  <si>
    <t>NÂº 7 EL RETAMO- LAVALLE</t>
  </si>
  <si>
    <t>EL RETAMO</t>
  </si>
  <si>
    <t>M5537ZAB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</si>
  <si>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</si>
  <si>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</si>
  <si>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</si>
  <si>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</si>
  <si>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</si>
  <si>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</si>
  <si>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</si>
  <si>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</si>
  <si>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</si>
  <si>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</si>
  <si>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ALGARROBAL ABAJO</t>
  </si>
  <si>
    <t>M5666ZAA</t>
  </si>
  <si>
    <t>N0000</t>
  </si>
  <si>
    <t>POSADAS</t>
  </si>
  <si>
    <t>GRAL SIMON BOLIVAR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</si>
  <si>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</si>
  <si>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</si>
  <si>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</si>
  <si>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</si>
  <si>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</si>
  <si>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</si>
  <si>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</si>
  <si>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</si>
  <si>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</si>
  <si>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</si>
  <si>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AV DE LAS AMERICAS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</si>
  <si>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</si>
  <si>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</si>
  <si>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</si>
  <si>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</si>
  <si>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</si>
  <si>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</si>
  <si>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</si>
  <si>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</si>
  <si>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</si>
  <si>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</si>
  <si>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</si>
  <si>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</si>
  <si>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</si>
  <si>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</si>
  <si>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</si>
  <si>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AV DEL TE</t>
  </si>
  <si>
    <t>N3375ZAA</t>
  </si>
  <si>
    <t>N0018</t>
  </si>
  <si>
    <t>CANDELARIA</t>
  </si>
  <si>
    <t>CARLOS TARELLI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</si>
  <si>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</si>
  <si>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</si>
  <si>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</si>
  <si>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</si>
  <si>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</si>
  <si>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</si>
  <si>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</si>
  <si>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</si>
  <si>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N0024</t>
  </si>
  <si>
    <t>25 DE MAYO [AG. 1 ALBA POSSE]</t>
  </si>
  <si>
    <t>N3363ZAB</t>
  </si>
  <si>
    <t>N0026</t>
  </si>
  <si>
    <t>COLONIA WANDA</t>
  </si>
  <si>
    <t>LAS MARGARITAS</t>
  </si>
  <si>
    <t>WANDA</t>
  </si>
  <si>
    <t>N3376ZAA</t>
  </si>
  <si>
    <t>N0028</t>
  </si>
  <si>
    <t>CONCEPCION DE LA SIERRA</t>
  </si>
  <si>
    <t>AMBROSETTI</t>
  </si>
  <si>
    <t>N3371ZAA</t>
  </si>
  <si>
    <t>N0030</t>
  </si>
  <si>
    <t>CORPUS</t>
  </si>
  <si>
    <t>AV CMTE ANDRES GUAYCURARI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</si>
  <si>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</si>
  <si>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</si>
  <si>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</si>
  <si>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</si>
  <si>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</si>
  <si>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</si>
  <si>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</si>
  <si>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</si>
  <si>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</si>
  <si>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</si>
  <si>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</si>
  <si>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AV PRES BERNARDINO RIVADAVIA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</si>
  <si>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</si>
  <si>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</si>
  <si>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</si>
  <si>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</si>
  <si>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</si>
  <si>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</si>
  <si>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</si>
  <si>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</si>
  <si>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</si>
  <si>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</si>
  <si>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</si>
  <si>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</si>
  <si>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</si>
  <si>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</si>
  <si>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</si>
  <si>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</si>
  <si>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</si>
  <si>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</si>
  <si>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</si>
  <si>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</si>
  <si>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</si>
  <si>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</si>
  <si>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CMTE ANDRES GUAYCURARI</t>
  </si>
  <si>
    <t>N3384ZAA</t>
  </si>
  <si>
    <t>N0054</t>
  </si>
  <si>
    <t>OBERÃ</t>
  </si>
  <si>
    <t>OBERA</t>
  </si>
  <si>
    <t>N3361ZAA</t>
  </si>
  <si>
    <t>N0056</t>
  </si>
  <si>
    <t>SUCURSAL 2 POSADAS</t>
  </si>
  <si>
    <t>CHACRA 148</t>
  </si>
  <si>
    <t>N3301ZAB</t>
  </si>
  <si>
    <t>N0058</t>
  </si>
  <si>
    <t>SUCURSAL 1 POSADAS</t>
  </si>
  <si>
    <t>AV REP ORIENTAL DEL URUGUAY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</si>
  <si>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</si>
  <si>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</si>
  <si>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</si>
  <si>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</si>
  <si>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</si>
  <si>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</si>
  <si>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</si>
  <si>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</si>
  <si>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</si>
  <si>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</si>
  <si>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</si>
  <si>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</si>
  <si>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</si>
  <si>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</si>
  <si>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</si>
  <si>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</si>
  <si>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</si>
  <si>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GASPAR GAUPARES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</si>
  <si>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</si>
  <si>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</si>
  <si>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</si>
  <si>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</si>
  <si>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</si>
  <si>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</si>
  <si>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</si>
  <si>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</si>
  <si>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</si>
  <si>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</si>
  <si>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</si>
  <si>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</si>
  <si>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</si>
  <si>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HOMERO JAUREGUI</t>
  </si>
  <si>
    <t>N3385ZAB</t>
  </si>
  <si>
    <t>N1180</t>
  </si>
  <si>
    <t>SANTA ANA</t>
  </si>
  <si>
    <t>HNO JOSE BRASANELLI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</si>
  <si>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</si>
  <si>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</si>
  <si>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</si>
  <si>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</si>
  <si>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</si>
  <si>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</si>
  <si>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</si>
  <si>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</si>
  <si>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</si>
  <si>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AV FELIPE SAPAG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</si>
  <si>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</si>
  <si>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</si>
  <si>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</si>
  <si>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</si>
  <si>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</si>
  <si>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</si>
  <si>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</si>
  <si>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</si>
  <si>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</si>
  <si>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</si>
  <si>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</si>
  <si>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</si>
  <si>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</si>
  <si>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</si>
  <si>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</si>
  <si>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</si>
  <si>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</si>
  <si>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</si>
  <si>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M J OLASCOAGA</t>
  </si>
  <si>
    <t>Q8347ZAA</t>
  </si>
  <si>
    <t>Q0024</t>
  </si>
  <si>
    <t>LONCOPUE</t>
  </si>
  <si>
    <t>AV PADRE MASCARDI</t>
  </si>
  <si>
    <t>Q8349ZAA</t>
  </si>
  <si>
    <t>Q0026</t>
  </si>
  <si>
    <t>RINCON DE LOS SAUCES</t>
  </si>
  <si>
    <t>AV GRAL E MOSCONI</t>
  </si>
  <si>
    <t>Q8319ZAA</t>
  </si>
  <si>
    <t>Q0028</t>
  </si>
  <si>
    <t>PICUN LEUFU</t>
  </si>
  <si>
    <t>AV PRIMEROS POBLADORES</t>
  </si>
  <si>
    <t>Q8313ZAA</t>
  </si>
  <si>
    <t>Q0032</t>
  </si>
  <si>
    <t>PLAZA HUINCUL</t>
  </si>
  <si>
    <t>Q8318ZAA</t>
  </si>
  <si>
    <t>Q0033</t>
  </si>
  <si>
    <t>AÃ‘ELO</t>
  </si>
  <si>
    <t>Q8312ZAA</t>
  </si>
  <si>
    <t>Q0034</t>
  </si>
  <si>
    <t>PLOTTIER</t>
  </si>
  <si>
    <t>GDOR ELORDI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</si>
  <si>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</si>
  <si>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</si>
  <si>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</si>
  <si>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</si>
  <si>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</si>
  <si>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</si>
  <si>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</si>
  <si>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</si>
  <si>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</si>
  <si>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</si>
  <si>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</si>
  <si>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</si>
  <si>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</si>
  <si>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</si>
  <si>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</si>
  <si>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</si>
  <si>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</si>
  <si>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</si>
  <si>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</si>
  <si>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R PROV 65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</si>
  <si>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</si>
  <si>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</si>
  <si>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</si>
  <si>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</si>
  <si>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</si>
  <si>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</si>
  <si>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</si>
  <si>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</si>
  <si>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</si>
  <si>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</si>
  <si>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</si>
  <si>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</si>
  <si>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SAN PATRICIO DEL CHAÃ‘AR</t>
  </si>
  <si>
    <t>VILLA PEHUENIA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</si>
  <si>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</si>
  <si>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</si>
  <si>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</si>
  <si>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</si>
  <si>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</si>
  <si>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</si>
  <si>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</si>
  <si>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</si>
  <si>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CLEMENTE 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</si>
  <si>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</si>
  <si>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</si>
  <si>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</si>
  <si>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</si>
  <si>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</si>
  <si>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</si>
  <si>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</si>
  <si>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</si>
  <si>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</si>
  <si>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</si>
  <si>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</si>
  <si>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</si>
  <si>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Ã‘ORQUINCO</t>
  </si>
  <si>
    <t>SAN MARTIN S/NÂº</t>
  </si>
  <si>
    <t>R8415ZAA</t>
  </si>
  <si>
    <t>R0114</t>
  </si>
  <si>
    <t>PILCANIYEU</t>
  </si>
  <si>
    <t>CHOIQUE SIN NÂº</t>
  </si>
  <si>
    <t>R8412ZAA</t>
  </si>
  <si>
    <t>R0118</t>
  </si>
  <si>
    <t>EL BOLSON</t>
  </si>
  <si>
    <t>R8430ZAA</t>
  </si>
  <si>
    <t>R0202</t>
  </si>
  <si>
    <t>ALLEN</t>
  </si>
  <si>
    <t>TOMAS ORELL</t>
  </si>
  <si>
    <t>R8328ZAA</t>
  </si>
  <si>
    <t>R0204</t>
  </si>
  <si>
    <t>BARDA DEL MEDIO</t>
  </si>
  <si>
    <t>DECIO SEVERINI</t>
  </si>
  <si>
    <t>R8305ZAA</t>
  </si>
  <si>
    <t>R0206</t>
  </si>
  <si>
    <t>CATRIEL</t>
  </si>
  <si>
    <t>PRIMEROS POBLADORES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</si>
  <si>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</si>
  <si>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</si>
  <si>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</si>
  <si>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</si>
  <si>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</si>
  <si>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</si>
  <si>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</si>
  <si>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</si>
  <si>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</si>
  <si>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AV BLUMETTI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</si>
  <si>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</si>
  <si>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</si>
  <si>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</si>
  <si>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</si>
  <si>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</si>
  <si>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</si>
  <si>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</si>
  <si>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</si>
  <si>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</si>
  <si>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</si>
  <si>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</si>
  <si>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</si>
  <si>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</si>
  <si>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</si>
  <si>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</si>
  <si>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</si>
  <si>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</si>
  <si>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</si>
  <si>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</si>
  <si>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</si>
  <si>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</si>
  <si>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</si>
  <si>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</si>
  <si>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</si>
  <si>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AV 19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</si>
  <si>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</si>
  <si>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</si>
  <si>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</si>
  <si>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</si>
  <si>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</si>
  <si>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</si>
  <si>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</si>
  <si>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</si>
  <si>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</si>
  <si>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</si>
  <si>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</si>
  <si>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</si>
  <si>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</si>
  <si>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</si>
  <si>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</si>
  <si>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</si>
  <si>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</si>
  <si>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</si>
  <si>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PRES N AVELLANEDA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</si>
  <si>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</si>
  <si>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</si>
  <si>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</si>
  <si>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</si>
  <si>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</si>
  <si>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</si>
  <si>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</si>
  <si>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</si>
  <si>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</si>
  <si>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</si>
  <si>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</si>
  <si>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</si>
  <si>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</si>
  <si>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</si>
  <si>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</si>
  <si>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</si>
  <si>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</si>
  <si>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GDOR PAGANO</t>
  </si>
  <si>
    <t>R8536ZAA</t>
  </si>
  <si>
    <t>R1028</t>
  </si>
  <si>
    <t>VALLE AZUL</t>
  </si>
  <si>
    <t>ZONA RURAL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</si>
  <si>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</si>
  <si>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</si>
  <si>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</si>
  <si>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</si>
  <si>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</si>
  <si>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</si>
  <si>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</si>
  <si>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</si>
  <si>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</si>
  <si>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</si>
  <si>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</si>
  <si>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</si>
  <si>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</si>
  <si>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</si>
  <si>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AV PABLO BELISLE</t>
  </si>
  <si>
    <t>BELISLE CORONEL</t>
  </si>
  <si>
    <t>R8368ZAA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</si>
  <si>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</si>
  <si>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</si>
  <si>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</si>
  <si>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</si>
  <si>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</si>
  <si>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</si>
  <si>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</si>
  <si>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</si>
  <si>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</si>
  <si>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</si>
  <si>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</si>
  <si>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</si>
  <si>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</si>
  <si>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</si>
  <si>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</si>
  <si>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</si>
  <si>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</si>
  <si>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</si>
  <si>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</si>
  <si>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</si>
  <si>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</si>
  <si>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</si>
  <si>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</si>
  <si>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</si>
  <si>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</si>
  <si>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</si>
  <si>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</si>
  <si>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</si>
  <si>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</si>
  <si>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</si>
  <si>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</si>
  <si>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</si>
  <si>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</si>
  <si>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</si>
  <si>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</si>
  <si>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</si>
  <si>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</si>
  <si>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</si>
  <si>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</si>
  <si>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</si>
  <si>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</si>
  <si>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</si>
  <si>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</si>
  <si>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</si>
  <si>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</si>
  <si>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</si>
  <si>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</si>
  <si>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</si>
  <si>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</si>
  <si>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</si>
  <si>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</si>
  <si>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</si>
  <si>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</si>
  <si>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</si>
  <si>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</si>
  <si>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</si>
  <si>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</si>
  <si>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</si>
  <si>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</si>
  <si>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</si>
  <si>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</si>
  <si>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</si>
  <si>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</si>
  <si>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</si>
  <si>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</si>
  <si>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</si>
  <si>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</si>
  <si>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</si>
  <si>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</si>
  <si>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</si>
  <si>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</si>
  <si>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</si>
  <si>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</si>
  <si>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</si>
  <si>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</si>
  <si>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</si>
  <si>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</si>
  <si>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</si>
  <si>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</si>
  <si>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</si>
  <si>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</si>
  <si>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</si>
  <si>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</si>
  <si>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</si>
  <si>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</si>
  <si>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</si>
  <si>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</si>
  <si>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</si>
  <si>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</si>
  <si>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</si>
  <si>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</si>
  <si>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</si>
  <si>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</si>
  <si>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</si>
  <si>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</si>
  <si>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</si>
  <si>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</si>
  <si>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</si>
  <si>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</si>
  <si>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</si>
  <si>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</si>
  <si>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</si>
  <si>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</si>
  <si>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</si>
  <si>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</si>
  <si>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</si>
  <si>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</si>
  <si>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</si>
  <si>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</si>
  <si>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</si>
  <si>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</si>
  <si>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</si>
  <si>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</si>
  <si>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</si>
  <si>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</si>
  <si>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</si>
  <si>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</si>
  <si>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</si>
  <si>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</si>
  <si>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</si>
  <si>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</si>
  <si>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</si>
  <si>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</si>
  <si>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</si>
  <si>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</si>
  <si>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</si>
  <si>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</si>
  <si>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</si>
  <si>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</si>
  <si>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</si>
  <si>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</si>
  <si>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</si>
  <si>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</si>
  <si>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</si>
  <si>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</si>
  <si>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</si>
  <si>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</si>
  <si>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</si>
  <si>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</si>
  <si>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</si>
  <si>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</si>
  <si>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</si>
  <si>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</si>
  <si>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</si>
  <si>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</si>
  <si>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</si>
  <si>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</si>
  <si>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</si>
  <si>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</si>
  <si>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AV JOSE I DE LA ROZA</t>
  </si>
  <si>
    <t>J5402ZAA</t>
  </si>
  <si>
    <t>J0004</t>
  </si>
  <si>
    <t>SAN JUAN 4</t>
  </si>
  <si>
    <t>J5400ZAD</t>
  </si>
  <si>
    <t>J0005</t>
  </si>
  <si>
    <t>ALBARDON</t>
  </si>
  <si>
    <t>SANTA MARIA DE ORO 22 NORTE</t>
  </si>
  <si>
    <t>EST ALBARDON</t>
  </si>
  <si>
    <t>J5419ZAB</t>
  </si>
  <si>
    <t>J0006</t>
  </si>
  <si>
    <t>ALTO DE SIERRA</t>
  </si>
  <si>
    <t>AV LIBERTADOR SAN MARTIN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</si>
  <si>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</si>
  <si>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</si>
  <si>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</si>
  <si>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</si>
  <si>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</si>
  <si>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</si>
  <si>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</si>
  <si>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</si>
  <si>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</si>
  <si>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</si>
  <si>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</si>
  <si>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</si>
  <si>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AV ESPAÃ‘A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</si>
  <si>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</si>
  <si>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</si>
  <si>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</si>
  <si>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</si>
  <si>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</si>
  <si>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</si>
  <si>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</si>
  <si>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</si>
  <si>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</si>
  <si>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PUBLICO</t>
  </si>
  <si>
    <t>J5684ZAA</t>
  </si>
  <si>
    <t>J0022</t>
  </si>
  <si>
    <t>JACHAL</t>
  </si>
  <si>
    <t>J5460ZAA</t>
  </si>
  <si>
    <t>J0024</t>
  </si>
  <si>
    <t>R PROV 436</t>
  </si>
  <si>
    <t>J5458ZAA</t>
  </si>
  <si>
    <t>J0026</t>
  </si>
  <si>
    <t>MARQUESADO</t>
  </si>
  <si>
    <t>J5407ZAB</t>
  </si>
  <si>
    <t>J0028</t>
  </si>
  <si>
    <t>MEDIA AGUA</t>
  </si>
  <si>
    <t>JOAQUIN TORRENT</t>
  </si>
  <si>
    <t>J5435ZAA</t>
  </si>
  <si>
    <t>J0034</t>
  </si>
  <si>
    <t>RODEO</t>
  </si>
  <si>
    <t>J5465ZAA</t>
  </si>
  <si>
    <t>J0038</t>
  </si>
  <si>
    <t>GORRITI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</si>
  <si>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</si>
  <si>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</si>
  <si>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</si>
  <si>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</si>
  <si>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</si>
  <si>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</si>
  <si>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</si>
  <si>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</si>
  <si>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</si>
  <si>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</si>
  <si>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</si>
  <si>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</si>
  <si>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</si>
  <si>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</si>
  <si>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</si>
  <si>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</si>
  <si>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</si>
  <si>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</si>
  <si>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</si>
  <si>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</si>
  <si>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</si>
  <si>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</si>
  <si>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EUGENIO FLORES S/N</t>
  </si>
  <si>
    <t>J5461ZAB</t>
  </si>
  <si>
    <t>J1120</t>
  </si>
  <si>
    <t>ASTICA</t>
  </si>
  <si>
    <t>AV ING ENRIQUE ZULETA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</si>
  <si>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</si>
  <si>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</si>
  <si>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</si>
  <si>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</si>
  <si>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</si>
  <si>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</si>
  <si>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</si>
  <si>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</si>
  <si>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</si>
  <si>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</si>
  <si>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</si>
  <si>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</si>
  <si>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</si>
  <si>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</si>
  <si>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</si>
  <si>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</si>
  <si>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</si>
  <si>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</si>
  <si>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</si>
  <si>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</si>
  <si>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</si>
  <si>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</si>
  <si>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</si>
  <si>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</si>
  <si>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</si>
  <si>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</si>
  <si>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</si>
  <si>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</si>
  <si>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</si>
  <si>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</si>
  <si>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</si>
  <si>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NÂº 1 VILLA MERCEDES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</si>
  <si>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</si>
  <si>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</si>
  <si>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</si>
  <si>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</si>
  <si>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</si>
  <si>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</si>
  <si>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</si>
  <si>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</si>
  <si>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</si>
  <si>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</si>
  <si>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</si>
  <si>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</si>
  <si>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</si>
  <si>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</si>
  <si>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</si>
  <si>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</si>
  <si>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</si>
  <si>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</si>
  <si>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</si>
  <si>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</si>
  <si>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</si>
  <si>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</si>
  <si>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</si>
  <si>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</si>
  <si>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</si>
  <si>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</si>
  <si>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</si>
  <si>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</si>
  <si>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</si>
  <si>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</si>
  <si>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</si>
  <si>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</si>
  <si>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</si>
  <si>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</si>
  <si>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</si>
  <si>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</si>
  <si>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</si>
  <si>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</si>
  <si>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</si>
  <si>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</si>
  <si>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</si>
  <si>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</si>
  <si>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</si>
  <si>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</si>
  <si>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</si>
  <si>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</si>
  <si>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</si>
  <si>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</si>
  <si>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</si>
  <si>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</si>
  <si>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</si>
  <si>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</si>
  <si>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</si>
  <si>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</si>
  <si>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</si>
  <si>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</si>
  <si>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</si>
  <si>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AV PTE DR NESTOR C KIRCHNER</t>
  </si>
  <si>
    <t>Z9400ZAA</t>
  </si>
  <si>
    <t>Z0001</t>
  </si>
  <si>
    <t>RIO GALLEGOS SUCURSAL 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</si>
  <si>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</si>
  <si>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</si>
  <si>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</si>
  <si>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</si>
  <si>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</si>
  <si>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</si>
  <si>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</si>
  <si>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</si>
  <si>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</si>
  <si>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</si>
  <si>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</si>
  <si>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</si>
  <si>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</si>
  <si>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</si>
  <si>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</si>
  <si>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</si>
  <si>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</si>
  <si>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</si>
  <si>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</si>
  <si>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</si>
  <si>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</si>
  <si>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</si>
  <si>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</si>
  <si>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</si>
  <si>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</si>
  <si>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</si>
  <si>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</si>
  <si>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</si>
  <si>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</si>
  <si>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</si>
  <si>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AV DE LOS MINEROS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</si>
  <si>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</si>
  <si>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</si>
  <si>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</si>
  <si>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</si>
  <si>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</si>
  <si>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</si>
  <si>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</si>
  <si>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</si>
  <si>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</si>
  <si>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</si>
  <si>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</si>
  <si>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GDOR GREGORES</t>
  </si>
  <si>
    <t>Z9041ZAA</t>
  </si>
  <si>
    <t>Z0049</t>
  </si>
  <si>
    <t>PERITO MORENO</t>
  </si>
  <si>
    <t>AV JUAN D PERON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</si>
  <si>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</si>
  <si>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</si>
  <si>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</si>
  <si>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</si>
  <si>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</si>
  <si>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</si>
  <si>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</si>
  <si>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</si>
  <si>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</si>
  <si>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ANDREA MADSEN</t>
  </si>
  <si>
    <t>Z9301ZAB</t>
  </si>
  <si>
    <t>Z3110</t>
  </si>
  <si>
    <t>LAGO POSADAS</t>
  </si>
  <si>
    <t>AVDA. SAN MARTIN</t>
  </si>
  <si>
    <t>H YRIGOYEN LAGO POSADAS</t>
  </si>
  <si>
    <t>Z9315ZAF</t>
  </si>
  <si>
    <t>S0000</t>
  </si>
  <si>
    <t>S3000ZAE</t>
  </si>
  <si>
    <t>S0001</t>
  </si>
  <si>
    <t>S3000ZAF</t>
  </si>
  <si>
    <t>S0002</t>
  </si>
  <si>
    <t>AARON CASTELLANOS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</si>
  <si>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</si>
  <si>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</si>
  <si>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</si>
  <si>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</si>
  <si>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</si>
  <si>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</si>
  <si>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</si>
  <si>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</si>
  <si>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</si>
  <si>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</si>
  <si>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</si>
  <si>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</si>
  <si>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</si>
  <si>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AV PROF ARISTOBULO DEL VALLE</t>
  </si>
  <si>
    <t>S3004ZAB</t>
  </si>
  <si>
    <t>S0008</t>
  </si>
  <si>
    <t>SUCURSAL 8</t>
  </si>
  <si>
    <t>GRAL GREGORIO DE LAMADRID</t>
  </si>
  <si>
    <t>S3006ZAA</t>
  </si>
  <si>
    <t>S0010</t>
  </si>
  <si>
    <t>ALEJANDRA</t>
  </si>
  <si>
    <t>S3051ZAA</t>
  </si>
  <si>
    <t>S0011</t>
  </si>
  <si>
    <t>ANGELICA</t>
  </si>
  <si>
    <t>DR LISANDRO DE LA TORRE</t>
  </si>
  <si>
    <t>S2303ZAA</t>
  </si>
  <si>
    <t>S0012</t>
  </si>
  <si>
    <t>AROCENA</t>
  </si>
  <si>
    <t>DR ROVERE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</si>
  <si>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</si>
  <si>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</si>
  <si>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</si>
  <si>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</si>
  <si>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</si>
  <si>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</si>
  <si>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</si>
  <si>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</si>
  <si>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</si>
  <si>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</si>
  <si>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LISANDRO DE LA TORRE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</si>
  <si>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</si>
  <si>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</si>
  <si>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</si>
  <si>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</si>
  <si>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</si>
  <si>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</si>
  <si>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</si>
  <si>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</si>
  <si>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</si>
  <si>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</si>
  <si>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</si>
  <si>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</si>
  <si>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</si>
  <si>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JUAN DE GARAY</t>
  </si>
  <si>
    <t>S3001ZAA</t>
  </si>
  <si>
    <t>S0024</t>
  </si>
  <si>
    <t>CERES</t>
  </si>
  <si>
    <t>S2340ZAA</t>
  </si>
  <si>
    <t>S0026</t>
  </si>
  <si>
    <t>CLUCELLAS</t>
  </si>
  <si>
    <t>BONINI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</si>
  <si>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</si>
  <si>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</si>
  <si>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</si>
  <si>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</si>
  <si>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</si>
  <si>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</si>
  <si>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</si>
  <si>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</si>
  <si>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</si>
  <si>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</si>
  <si>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</si>
  <si>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</si>
  <si>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</si>
  <si>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</si>
  <si>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AV BUENOS AIRES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</si>
  <si>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</si>
  <si>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</si>
  <si>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</si>
  <si>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</si>
  <si>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</si>
  <si>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</si>
  <si>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</si>
  <si>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</si>
  <si>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</si>
  <si>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AV AMERICA</t>
  </si>
  <si>
    <t>S2535ZAA</t>
  </si>
  <si>
    <t>S0046</t>
  </si>
  <si>
    <t>FELICIA</t>
  </si>
  <si>
    <t>ENRIQUE SENN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</si>
  <si>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</si>
  <si>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</si>
  <si>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</si>
  <si>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</si>
  <si>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</si>
  <si>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</si>
  <si>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</si>
  <si>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</si>
  <si>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</si>
  <si>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CALLE 90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</si>
  <si>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</si>
  <si>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</si>
  <si>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</si>
  <si>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</si>
  <si>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</si>
  <si>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</si>
  <si>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</si>
  <si>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</si>
  <si>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</si>
  <si>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COMBATE DE SAN LORENZO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</si>
  <si>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</si>
  <si>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</si>
  <si>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</si>
  <si>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</si>
  <si>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</si>
  <si>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</si>
  <si>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</si>
  <si>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</si>
  <si>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</si>
  <si>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</si>
  <si>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</si>
  <si>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</si>
  <si>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</si>
  <si>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</si>
  <si>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</si>
  <si>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</si>
  <si>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</si>
  <si>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</si>
  <si>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</si>
  <si>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</si>
  <si>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</si>
  <si>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</si>
  <si>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</si>
  <si>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</si>
  <si>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</si>
  <si>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</si>
  <si>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</si>
  <si>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</si>
  <si>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</si>
  <si>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</si>
  <si>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</si>
  <si>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CALLE 10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</si>
  <si>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</si>
  <si>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</si>
  <si>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</si>
  <si>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</si>
  <si>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</si>
  <si>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</si>
  <si>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</si>
  <si>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</si>
  <si>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</si>
  <si>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</si>
  <si>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</si>
  <si>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</si>
  <si>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</si>
  <si>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</si>
  <si>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</si>
  <si>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ESTANISLAO LOPEZ</t>
  </si>
  <si>
    <t>S2533ZAA</t>
  </si>
  <si>
    <t>S0096</t>
  </si>
  <si>
    <t>MACIEL</t>
  </si>
  <si>
    <t>S2209ZAA</t>
  </si>
  <si>
    <t>S0098</t>
  </si>
  <si>
    <t>MALABRIGO</t>
  </si>
  <si>
    <t>AV FEDERICO CARLOS SIGEL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</si>
  <si>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</si>
  <si>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</si>
  <si>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</si>
  <si>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</si>
  <si>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</si>
  <si>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</si>
  <si>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</si>
  <si>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</si>
  <si>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</si>
  <si>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</si>
  <si>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</si>
  <si>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</si>
  <si>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</si>
  <si>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</si>
  <si>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</si>
  <si>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</si>
  <si>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</si>
  <si>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</si>
  <si>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</si>
  <si>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</si>
  <si>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</si>
  <si>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</si>
  <si>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</si>
  <si>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</si>
  <si>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</si>
  <si>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</si>
  <si>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</si>
  <si>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</si>
  <si>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</si>
  <si>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</si>
  <si>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</si>
  <si>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</si>
  <si>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</si>
  <si>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</si>
  <si>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</si>
  <si>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ALFONSINA STORNI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</si>
  <si>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</si>
  <si>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</si>
  <si>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</si>
  <si>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</si>
  <si>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</si>
  <si>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</si>
  <si>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</si>
  <si>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</si>
  <si>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CRISTIAN RAMSEYER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</si>
  <si>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</si>
  <si>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</si>
  <si>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</si>
  <si>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</si>
  <si>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</si>
  <si>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</si>
  <si>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</si>
  <si>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</si>
  <si>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</si>
  <si>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</si>
  <si>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</si>
  <si>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</si>
  <si>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</si>
  <si>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</si>
  <si>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</si>
  <si>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</si>
  <si>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</si>
  <si>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</si>
  <si>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</si>
  <si>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</si>
  <si>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</si>
  <si>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</si>
  <si>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</si>
  <si>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</si>
  <si>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</si>
  <si>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</si>
  <si>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</si>
  <si>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GREGORIO GAMBOA</t>
  </si>
  <si>
    <t>S3089ZAA</t>
  </si>
  <si>
    <t>S0150</t>
  </si>
  <si>
    <t>GDOR CABAL</t>
  </si>
  <si>
    <t>S3040ZAA</t>
  </si>
  <si>
    <t>S0152</t>
  </si>
  <si>
    <t>SAN MARTIN DE LAS ESCOBAS</t>
  </si>
  <si>
    <t>MIGUEL RIBETTI</t>
  </si>
  <si>
    <t>S2449ZAA</t>
  </si>
  <si>
    <t>S0154</t>
  </si>
  <si>
    <t>S2447ZAA</t>
  </si>
  <si>
    <t>S0156</t>
  </si>
  <si>
    <t>SANTA CLARA DE LA BUENA VISTA</t>
  </si>
  <si>
    <t>AV CNEL C RISSO PATRON</t>
  </si>
  <si>
    <t>SANTA CLARA DE BUENA VISTA</t>
  </si>
  <si>
    <t>S2258ZAA</t>
  </si>
  <si>
    <t>S0158</t>
  </si>
  <si>
    <t>SANTA CLARA DE SAGUIER</t>
  </si>
  <si>
    <t>SANTA CLARA DE ASIS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</si>
  <si>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</si>
  <si>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</si>
  <si>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</si>
  <si>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</si>
  <si>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</si>
  <si>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</si>
  <si>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</si>
  <si>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</si>
  <si>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</si>
  <si>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</si>
  <si>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EMILIO DE ORTIZ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</si>
  <si>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</si>
  <si>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</si>
  <si>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</si>
  <si>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</si>
  <si>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</si>
  <si>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</si>
  <si>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</si>
  <si>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</si>
  <si>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</si>
  <si>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JUAN LAZARTE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</si>
  <si>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</si>
  <si>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</si>
  <si>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</si>
  <si>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</si>
  <si>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</si>
  <si>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</si>
  <si>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</si>
  <si>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</si>
  <si>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</si>
  <si>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</si>
  <si>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</si>
  <si>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</si>
  <si>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</si>
  <si>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</si>
  <si>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</si>
  <si>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</si>
  <si>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</si>
  <si>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</si>
  <si>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</si>
  <si>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</si>
  <si>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</si>
  <si>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</si>
  <si>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</si>
  <si>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</si>
  <si>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</si>
  <si>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</si>
  <si>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</si>
  <si>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</si>
  <si>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GDOR MANUEL MENCHACA</t>
  </si>
  <si>
    <t>S3589ZAA</t>
  </si>
  <si>
    <t>S0208</t>
  </si>
  <si>
    <t>VILLA OCAMPO</t>
  </si>
  <si>
    <t>S3580ZAA</t>
  </si>
  <si>
    <t>S0210</t>
  </si>
  <si>
    <t>VILLA TRINIDAD</t>
  </si>
  <si>
    <t>SIMON DE IRIONDO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</si>
  <si>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</si>
  <si>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</si>
  <si>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</si>
  <si>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</si>
  <si>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</si>
  <si>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</si>
  <si>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</si>
  <si>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</si>
  <si>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</si>
  <si>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</si>
  <si>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</si>
  <si>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</si>
  <si>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</si>
  <si>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</si>
  <si>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</si>
  <si>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</si>
  <si>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</si>
  <si>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</si>
  <si>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</si>
  <si>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</si>
  <si>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</si>
  <si>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</si>
  <si>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</si>
  <si>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</si>
  <si>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AV OVIDIO LAGOS</t>
  </si>
  <si>
    <t>S2002ZAD</t>
  </si>
  <si>
    <t>S0305</t>
  </si>
  <si>
    <t>SUCURSAL 5 ROSARIO</t>
  </si>
  <si>
    <t>S2002ZAE</t>
  </si>
  <si>
    <t>S0306</t>
  </si>
  <si>
    <t>SUCURSAL 6 ROSARIO</t>
  </si>
  <si>
    <t>AV JUAN B ALBERDI BIS</t>
  </si>
  <si>
    <t>S2002ZAF</t>
  </si>
  <si>
    <t>S0308</t>
  </si>
  <si>
    <t>SUCURSAL 8 ROSARIO</t>
  </si>
  <si>
    <t>GRAL J RONDEAU</t>
  </si>
  <si>
    <t>S2005ZAA</t>
  </si>
  <si>
    <t>S0309</t>
  </si>
  <si>
    <t>SUCURSAL 9 ROSARIO</t>
  </si>
  <si>
    <t>AV BAT DE AYACUCHO</t>
  </si>
  <si>
    <t>S2011ZAA</t>
  </si>
  <si>
    <t>S0310</t>
  </si>
  <si>
    <t>SUCURSAL 10 ROSARIO</t>
  </si>
  <si>
    <t>AV MENDOZA</t>
  </si>
  <si>
    <t>S2008ZAA</t>
  </si>
  <si>
    <t>S0311</t>
  </si>
  <si>
    <t>SUCURSAL 11 ROSARIO</t>
  </si>
  <si>
    <t>RIOJA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</si>
  <si>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</si>
  <si>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</si>
  <si>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</si>
  <si>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</si>
  <si>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</si>
  <si>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</si>
  <si>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</si>
  <si>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</si>
  <si>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</si>
  <si>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</si>
  <si>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</si>
  <si>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</si>
  <si>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</si>
  <si>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</si>
  <si>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</si>
  <si>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AV DR NICOLAS AVELLANEDA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</si>
  <si>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</si>
  <si>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</si>
  <si>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</si>
  <si>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</si>
  <si>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</si>
  <si>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</si>
  <si>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</si>
  <si>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</si>
  <si>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</si>
  <si>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IGNACIO ASURMENDI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</si>
  <si>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</si>
  <si>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</si>
  <si>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</si>
  <si>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</si>
  <si>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</si>
  <si>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</si>
  <si>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</si>
  <si>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</si>
  <si>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</si>
  <si>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QUINTANA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</si>
  <si>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</si>
  <si>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</si>
  <si>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</si>
  <si>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</si>
  <si>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</si>
  <si>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</si>
  <si>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</si>
  <si>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</si>
  <si>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S2508ZAA</t>
  </si>
  <si>
    <t>S0325</t>
  </si>
  <si>
    <t>ARROYO SECO</t>
  </si>
  <si>
    <t>MANSUETO MAIORANO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</si>
  <si>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</si>
  <si>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</si>
  <si>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</si>
  <si>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</si>
  <si>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</si>
  <si>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</si>
  <si>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</si>
  <si>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</si>
  <si>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</si>
  <si>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</si>
  <si>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</si>
  <si>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</si>
  <si>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ANTONIO VERA MUJICA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</si>
  <si>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</si>
  <si>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</si>
  <si>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</si>
  <si>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</si>
  <si>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</si>
  <si>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</si>
  <si>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</si>
  <si>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</si>
  <si>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</si>
  <si>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</si>
  <si>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</si>
  <si>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</si>
  <si>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</si>
  <si>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AV SAN LORENZO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</si>
  <si>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</si>
  <si>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</si>
  <si>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</si>
  <si>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</si>
  <si>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</si>
  <si>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</si>
  <si>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</si>
  <si>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</si>
  <si>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</si>
  <si>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</si>
  <si>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</si>
  <si>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</si>
  <si>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</si>
  <si>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</si>
  <si>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</si>
  <si>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</si>
  <si>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</si>
  <si>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</si>
  <si>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</si>
  <si>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</si>
  <si>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</si>
  <si>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</si>
  <si>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</si>
  <si>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</si>
  <si>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</si>
  <si>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</si>
  <si>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</si>
  <si>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</si>
  <si>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</si>
  <si>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AV CHRISTOPHERSEN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</si>
  <si>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</si>
  <si>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</si>
  <si>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</si>
  <si>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</si>
  <si>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</si>
  <si>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</si>
  <si>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</si>
  <si>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</si>
  <si>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</si>
  <si>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</si>
  <si>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</si>
  <si>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</si>
  <si>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</si>
  <si>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</si>
  <si>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</si>
  <si>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</si>
  <si>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</si>
  <si>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</si>
  <si>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</si>
  <si>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</si>
  <si>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</si>
  <si>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</si>
  <si>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</si>
  <si>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</si>
  <si>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</si>
  <si>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</si>
  <si>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</si>
  <si>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</si>
  <si>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</si>
  <si>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</si>
  <si>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</si>
  <si>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</si>
  <si>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</si>
  <si>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</si>
  <si>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</si>
  <si>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</si>
  <si>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</si>
  <si>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</si>
  <si>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JUAN B MOLINA</t>
  </si>
  <si>
    <t>S2104ZAA</t>
  </si>
  <si>
    <t>S0382</t>
  </si>
  <si>
    <t>JUNCAL</t>
  </si>
  <si>
    <t>AV CLODOMIRO LEDESMA</t>
  </si>
  <si>
    <t>S2723ZAA</t>
  </si>
  <si>
    <t>S0384</t>
  </si>
  <si>
    <t>LABORDEBOY</t>
  </si>
  <si>
    <t>S2726ZAA</t>
  </si>
  <si>
    <t>S0386</t>
  </si>
  <si>
    <t>LAS PAREJAS</t>
  </si>
  <si>
    <t>CALLE 16</t>
  </si>
  <si>
    <t>S2505ZAA</t>
  </si>
  <si>
    <t>S0388</t>
  </si>
  <si>
    <t>LAS ROSAS</t>
  </si>
  <si>
    <t>S2520ZAA</t>
  </si>
  <si>
    <t>S0390</t>
  </si>
  <si>
    <t>LOS MOLINOS</t>
  </si>
  <si>
    <t>BDIER ESTANISLAO LOPEZ</t>
  </si>
  <si>
    <t>S2181ZAA</t>
  </si>
  <si>
    <t>S0392</t>
  </si>
  <si>
    <t>LOS QUIRQUINCHOS</t>
  </si>
  <si>
    <t>S2637ZAA</t>
  </si>
  <si>
    <t>S0394</t>
  </si>
  <si>
    <t>MAGGIOLO</t>
  </si>
  <si>
    <t>PADRE BADIA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</si>
  <si>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</si>
  <si>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</si>
  <si>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</si>
  <si>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</si>
  <si>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</si>
  <si>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</si>
  <si>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</si>
  <si>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</si>
  <si>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</si>
  <si>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</si>
  <si>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</si>
  <si>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</si>
  <si>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</si>
  <si>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</si>
  <si>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</si>
  <si>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</si>
  <si>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</si>
  <si>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</si>
  <si>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</si>
  <si>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</si>
  <si>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</si>
  <si>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</si>
  <si>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</si>
  <si>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</si>
  <si>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</si>
  <si>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DR ALBERTO CHIAVARINI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</si>
  <si>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</si>
  <si>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</si>
  <si>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</si>
  <si>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</si>
  <si>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</si>
  <si>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</si>
  <si>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</si>
  <si>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</si>
  <si>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</si>
  <si>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</si>
  <si>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</si>
  <si>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</si>
  <si>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</si>
  <si>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</si>
  <si>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</si>
  <si>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</si>
  <si>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DR PEDRO RUEDA</t>
  </si>
  <si>
    <t>S2923ZAA</t>
  </si>
  <si>
    <t>S0454</t>
  </si>
  <si>
    <t>RUFINO</t>
  </si>
  <si>
    <t>S6100ZAA</t>
  </si>
  <si>
    <t>S0456</t>
  </si>
  <si>
    <t>SALTO GRANDE</t>
  </si>
  <si>
    <t>ARGENTINA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</si>
  <si>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</si>
  <si>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</si>
  <si>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</si>
  <si>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</si>
  <si>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</si>
  <si>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</si>
  <si>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</si>
  <si>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</si>
  <si>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</si>
  <si>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JOSEFINA DE ALVEAR</t>
  </si>
  <si>
    <t>S2613ZAA</t>
  </si>
  <si>
    <t>S0464</t>
  </si>
  <si>
    <t>SAN JERONIMO SUD</t>
  </si>
  <si>
    <t>S2136ZAA</t>
  </si>
  <si>
    <t>S0466</t>
  </si>
  <si>
    <t>SAN JOSE DE LA ESQUINA</t>
  </si>
  <si>
    <t>AV PELLEGRINI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</si>
  <si>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</si>
  <si>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</si>
  <si>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</si>
  <si>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</si>
  <si>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</si>
  <si>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</si>
  <si>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</si>
  <si>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</si>
  <si>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</si>
  <si>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</si>
  <si>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</si>
  <si>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</si>
  <si>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</si>
  <si>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</si>
  <si>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</si>
  <si>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</si>
  <si>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</si>
  <si>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</si>
  <si>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</si>
  <si>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</si>
  <si>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</si>
  <si>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</si>
  <si>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</si>
  <si>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</si>
  <si>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</si>
  <si>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</si>
  <si>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</si>
  <si>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</si>
  <si>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</si>
  <si>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</si>
  <si>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</si>
  <si>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</si>
  <si>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</si>
  <si>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CALLE 59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</si>
  <si>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</si>
  <si>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</si>
  <si>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</si>
  <si>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</si>
  <si>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</si>
  <si>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</si>
  <si>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</si>
  <si>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</si>
  <si>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</si>
  <si>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AV FILIPPINI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</si>
  <si>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</si>
  <si>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</si>
  <si>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</si>
  <si>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</si>
  <si>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</si>
  <si>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</si>
  <si>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</si>
  <si>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</si>
  <si>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</si>
  <si>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</si>
  <si>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</si>
  <si>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</si>
  <si>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</si>
  <si>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</si>
  <si>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</si>
  <si>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</si>
  <si>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</si>
  <si>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</si>
  <si>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</si>
  <si>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</si>
  <si>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</si>
  <si>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</si>
  <si>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</si>
  <si>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</si>
  <si>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</si>
  <si>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</si>
  <si>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</si>
  <si>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</si>
  <si>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</si>
  <si>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</si>
  <si>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</si>
  <si>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</si>
  <si>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</si>
  <si>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</si>
  <si>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</si>
  <si>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</si>
  <si>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</si>
  <si>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</si>
  <si>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</si>
  <si>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3 DE FEBRERO</t>
  </si>
  <si>
    <t>S3000ZCH</t>
  </si>
  <si>
    <t>G0000</t>
  </si>
  <si>
    <t>SGO. DEL ESTERO</t>
  </si>
  <si>
    <t>G4200ZAA</t>
  </si>
  <si>
    <t>G0001</t>
  </si>
  <si>
    <t>AÃ‘ATUYA</t>
  </si>
  <si>
    <t>G3760ZAA</t>
  </si>
  <si>
    <t>G0003</t>
  </si>
  <si>
    <t>SANTIAGO DEL ESRERO 3</t>
  </si>
  <si>
    <t>PEDRO LEON GALLO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</si>
  <si>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</si>
  <si>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</si>
  <si>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</si>
  <si>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</si>
  <si>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</si>
  <si>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</si>
  <si>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</si>
  <si>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</si>
  <si>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</si>
  <si>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AV TTE CNEL GARCIA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</si>
  <si>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</si>
  <si>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</si>
  <si>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</si>
  <si>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</si>
  <si>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</si>
  <si>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</si>
  <si>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</si>
  <si>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</si>
  <si>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</si>
  <si>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</si>
  <si>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</si>
  <si>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</si>
  <si>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</si>
  <si>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</si>
  <si>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</si>
  <si>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</si>
  <si>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</si>
  <si>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</si>
  <si>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</si>
  <si>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</si>
  <si>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</si>
  <si>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CARLOS MONTI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</si>
  <si>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</si>
  <si>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</si>
  <si>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</si>
  <si>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</si>
  <si>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</si>
  <si>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</si>
  <si>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</si>
  <si>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</si>
  <si>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</si>
  <si>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</si>
  <si>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</si>
  <si>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</si>
  <si>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</si>
  <si>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</si>
  <si>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</si>
  <si>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</si>
  <si>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</si>
  <si>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</si>
  <si>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</si>
  <si>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</si>
  <si>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</si>
  <si>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</si>
  <si>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</si>
  <si>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</si>
  <si>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</si>
  <si>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SARMIENTO S/N</t>
  </si>
  <si>
    <t>G3763ZAA</t>
  </si>
  <si>
    <t>G0042</t>
  </si>
  <si>
    <t>LOS TELARES</t>
  </si>
  <si>
    <t>AV 24 DE SEPTIEMBRE</t>
  </si>
  <si>
    <t>G4321ZAA</t>
  </si>
  <si>
    <t>G0044</t>
  </si>
  <si>
    <t>MONTE QUEMADO</t>
  </si>
  <si>
    <t>G3714ZAA</t>
  </si>
  <si>
    <t>G0046</t>
  </si>
  <si>
    <t>NUEVA ESPERANZA</t>
  </si>
  <si>
    <t>FRANCISCO DE URIARTE</t>
  </si>
  <si>
    <t>G4197ZAA</t>
  </si>
  <si>
    <t>G0048</t>
  </si>
  <si>
    <t>OJO DE AGUA</t>
  </si>
  <si>
    <t>BELGRANO S/N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</si>
  <si>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</si>
  <si>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</si>
  <si>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</si>
  <si>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</si>
  <si>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</si>
  <si>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</si>
  <si>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</si>
  <si>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</si>
  <si>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</si>
  <si>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</si>
  <si>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</si>
  <si>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</si>
  <si>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</si>
  <si>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</si>
  <si>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</si>
  <si>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9 DE JULIO S/N</t>
  </si>
  <si>
    <t>G4238ZAA</t>
  </si>
  <si>
    <t>G0064</t>
  </si>
  <si>
    <t>SELVA</t>
  </si>
  <si>
    <t>27 DE ABRIL</t>
  </si>
  <si>
    <t>G2354ZAA</t>
  </si>
  <si>
    <t>G0066</t>
  </si>
  <si>
    <t>SOL DE JULIO</t>
  </si>
  <si>
    <t>SAN MARTIN S/N   29 PARCELA 10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</si>
  <si>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</si>
  <si>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</si>
  <si>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</si>
  <si>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</si>
  <si>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</si>
  <si>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</si>
  <si>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</si>
  <si>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</si>
  <si>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</si>
  <si>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</si>
  <si>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</si>
  <si>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</si>
  <si>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</si>
  <si>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</si>
  <si>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</si>
  <si>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</si>
  <si>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</si>
  <si>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</si>
  <si>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</si>
  <si>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</si>
  <si>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</si>
  <si>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</si>
  <si>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</si>
  <si>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</si>
  <si>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</si>
  <si>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</si>
  <si>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</si>
  <si>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</si>
  <si>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</si>
  <si>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</si>
  <si>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</si>
  <si>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</si>
  <si>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</si>
  <si>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</si>
  <si>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</si>
  <si>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</si>
  <si>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</si>
  <si>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</si>
  <si>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</si>
  <si>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</si>
  <si>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ABSALON ROJAS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</si>
  <si>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</si>
  <si>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</si>
  <si>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</si>
  <si>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</si>
  <si>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</si>
  <si>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</si>
  <si>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</si>
  <si>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</si>
  <si>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</si>
  <si>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</si>
  <si>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SANTIAGO RUPATINI</t>
  </si>
  <si>
    <t>V9412ZAB</t>
  </si>
  <si>
    <t>T0000</t>
  </si>
  <si>
    <t>PROVINCIA DE CORDOBA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</si>
  <si>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</si>
  <si>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</si>
  <si>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</si>
  <si>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</si>
  <si>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</si>
  <si>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</si>
  <si>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</si>
  <si>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</si>
  <si>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</si>
  <si>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</si>
  <si>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</si>
  <si>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</si>
  <si>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</si>
  <si>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</si>
  <si>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</si>
  <si>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</si>
  <si>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</si>
  <si>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</si>
  <si>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</si>
  <si>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ERNESTO PADILLA</t>
  </si>
  <si>
    <t>T4137ZAA</t>
  </si>
  <si>
    <t>T0008</t>
  </si>
  <si>
    <t>BDA. DE RIO SALI</t>
  </si>
  <si>
    <t>BANDA DEL RIO SALI</t>
  </si>
  <si>
    <t>T4109ZAA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</si>
  <si>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</si>
  <si>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</si>
  <si>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</si>
  <si>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</si>
  <si>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</si>
  <si>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</si>
  <si>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</si>
  <si>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</si>
  <si>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</si>
  <si>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</si>
  <si>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</si>
  <si>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</si>
  <si>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</si>
  <si>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</si>
  <si>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</si>
  <si>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</si>
  <si>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</si>
  <si>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</si>
  <si>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</si>
  <si>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</si>
  <si>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</si>
  <si>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</si>
  <si>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</si>
  <si>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</si>
  <si>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</si>
  <si>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</si>
  <si>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</si>
  <si>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</si>
  <si>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</si>
  <si>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</si>
  <si>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</si>
  <si>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</si>
  <si>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</si>
  <si>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</si>
  <si>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</si>
  <si>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</si>
  <si>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</si>
  <si>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</si>
  <si>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</si>
  <si>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</si>
  <si>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</si>
  <si>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</si>
  <si>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</si>
  <si>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</si>
  <si>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SABINA PETRELLI</t>
  </si>
  <si>
    <t>T4182ZAA</t>
  </si>
  <si>
    <t>T0042</t>
  </si>
  <si>
    <t>LULES</t>
  </si>
  <si>
    <t>T4128ZAA</t>
  </si>
  <si>
    <t>T0044</t>
  </si>
  <si>
    <t>LAS TALITAS</t>
  </si>
  <si>
    <t>SERAFIN LOPEZ</t>
  </si>
  <si>
    <t>T4101ZAA</t>
  </si>
  <si>
    <t>T0046</t>
  </si>
  <si>
    <t>MANANTIAL</t>
  </si>
  <si>
    <t>CRISTO REY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</si>
  <si>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</si>
  <si>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</si>
  <si>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</si>
  <si>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</si>
  <si>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</si>
  <si>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</si>
  <si>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</si>
  <si>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</si>
  <si>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</si>
  <si>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</si>
  <si>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</si>
  <si>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</si>
  <si>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</si>
  <si>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</si>
  <si>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</si>
  <si>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</si>
  <si>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</si>
  <si>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</si>
  <si>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</si>
  <si>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</si>
  <si>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</si>
  <si>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</si>
  <si>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</si>
  <si>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</si>
  <si>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</si>
  <si>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</si>
  <si>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</si>
  <si>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</si>
  <si>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</si>
  <si>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</si>
  <si>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</si>
  <si>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</si>
  <si>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</si>
  <si>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</si>
  <si>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</si>
  <si>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</si>
  <si>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AV ANTONIO LAFUENTE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</si>
  <si>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</si>
  <si>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</si>
  <si>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</si>
  <si>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</si>
  <si>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</si>
  <si>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</si>
  <si>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</si>
  <si>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</si>
  <si>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AV ACONQUIJA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</si>
  <si>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</si>
  <si>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</si>
  <si>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</si>
  <si>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</si>
  <si>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</si>
  <si>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</si>
  <si>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</si>
  <si>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</si>
  <si>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</si>
  <si>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</si>
  <si>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</si>
  <si>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</si>
  <si>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</si>
  <si>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</si>
  <si>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</si>
  <si>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</si>
  <si>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</si>
  <si>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PIÑEYRO</t>
  </si>
  <si>
    <t>ICAÑO</t>
  </si>
  <si>
    <t>DESPEÑADEROS</t>
  </si>
  <si>
    <t>DESPEÑADEROS (AG. 30)</t>
  </si>
  <si>
    <t>EL ARAÑADO</t>
  </si>
  <si>
    <t>LAS PEÑAS</t>
  </si>
  <si>
    <t>MALAGUEÑO</t>
  </si>
  <si>
    <t>ORDOÑEZ</t>
  </si>
  <si>
    <t>PORTEÑA</t>
  </si>
  <si>
    <t>VICUÑA MACKENNA</t>
  </si>
  <si>
    <t>NUESTRA SEÑORA DE CAA CATI</t>
  </si>
  <si>
    <t>COLONIA CAMPO VILLAFAÑE</t>
  </si>
  <si>
    <t>M. E. VILLAFAÑE</t>
  </si>
  <si>
    <t>VALLE DE LAS LEÑAS</t>
  </si>
  <si>
    <t>V. DE LAS LEÑAS</t>
  </si>
  <si>
    <t>AÑELO</t>
  </si>
  <si>
    <t>ÑORQUINCO</t>
  </si>
  <si>
    <t>CAÑADON SECO</t>
  </si>
  <si>
    <t>CAÑADA DE GOMEZ</t>
  </si>
  <si>
    <t>CAÑADA DEL UCLE</t>
  </si>
  <si>
    <t>CAÑADA ROSQUIN</t>
  </si>
  <si>
    <t>CARCARAÑA</t>
  </si>
  <si>
    <t>CHAÑAR LADEADO</t>
  </si>
  <si>
    <t>AGENCIA Nº 1</t>
  </si>
  <si>
    <t>VILLA CAÑAS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</si>
  <si>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</si>
  <si>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</si>
  <si>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</si>
  <si>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</si>
  <si>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</si>
  <si>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</si>
  <si>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</si>
  <si>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</si>
  <si>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</si>
  <si>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</si>
  <si>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</si>
  <si>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</si>
  <si>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</si>
  <si>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</si>
  <si>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</si>
  <si>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</si>
  <si>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</si>
  <si>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</si>
  <si>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</si>
  <si>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</si>
  <si>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</si>
  <si>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</si>
  <si>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</si>
  <si>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</si>
  <si>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</si>
  <si>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</si>
  <si>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</si>
  <si>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</si>
  <si>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</si>
  <si>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</si>
  <si>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</si>
  <si>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</si>
  <si>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</si>
  <si>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</si>
  <si>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 xml:space="preserve">  TIPO DE DESPACHO</t>
  </si>
  <si>
    <t>Cinturón Táctico Cobra Con Hebilla Y Anclaje De Metal</t>
  </si>
  <si>
    <t>MONTO TOTAL</t>
  </si>
  <si>
    <t>C.B.U.</t>
  </si>
  <si>
    <t>TRANSFERENCIA</t>
  </si>
  <si>
    <t>MERCADOPAGO</t>
  </si>
  <si>
    <t>CAÑUELAS</t>
  </si>
  <si>
    <t>CAÑADA SECA</t>
  </si>
  <si>
    <t>CAPILLA DEL SEÑOR</t>
  </si>
  <si>
    <t>PUAN</t>
  </si>
  <si>
    <t>TRANSITO</t>
  </si>
  <si>
    <t>CORDOBA Nº 21</t>
  </si>
  <si>
    <t>SUCURSAL</t>
  </si>
  <si>
    <t>ESTAFETA</t>
  </si>
  <si>
    <t>CATEGORIA</t>
  </si>
  <si>
    <t>ESPAÑA</t>
  </si>
  <si>
    <t>RODRIGUEZ PEÑA</t>
  </si>
  <si>
    <t>ESPAÑA 550</t>
  </si>
  <si>
    <t>ELISEO MAÑAY</t>
  </si>
  <si>
    <t>COMPLEJO TURISTICO LAS LEÑAS</t>
  </si>
  <si>
    <t>TENIENTE 1RO IBAÑEZ</t>
  </si>
  <si>
    <t>RUTA NACIONAL N° 272 LOTE 21</t>
  </si>
  <si>
    <t>AV RAFAEL NUÑEZ</t>
  </si>
  <si>
    <t>AV JORGE IBAÑEZ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</si>
  <si>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</si>
  <si>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</si>
  <si>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</si>
  <si>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</si>
  <si>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</si>
  <si>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</si>
  <si>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</si>
  <si>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</si>
  <si>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</si>
  <si>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</si>
  <si>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</si>
  <si>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</si>
  <si>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</si>
  <si>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</si>
  <si>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</si>
  <si>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</si>
  <si>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</si>
  <si>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</si>
  <si>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</si>
  <si>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</si>
  <si>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</si>
  <si>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</si>
  <si>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</si>
  <si>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</si>
  <si>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</si>
  <si>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</si>
  <si>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</si>
  <si>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</si>
  <si>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</si>
  <si>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</si>
  <si>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</si>
  <si>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ROSARIO VERA PEÃ‘ALOZA</t>
  </si>
  <si>
    <t>CORONEL FELIPE VARELA</t>
  </si>
  <si>
    <t>GENERAL JUAN FACUNDO QUIROGA</t>
  </si>
  <si>
    <t>GENERAL OCAMPO</t>
  </si>
  <si>
    <t>SAN BLAS DE LOS SAUCES</t>
  </si>
  <si>
    <t>GENERAL ANGEL VICENTE PEÃ‘ALOZA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</si>
  <si>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</si>
  <si>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</si>
  <si>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</si>
  <si>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</si>
  <si>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</si>
  <si>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</si>
  <si>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</si>
  <si>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</si>
  <si>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</si>
  <si>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</si>
  <si>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</si>
  <si>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</si>
  <si>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</si>
  <si>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</si>
  <si>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</si>
  <si>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</si>
  <si>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</si>
  <si>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</si>
  <si>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</si>
  <si>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</si>
  <si>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</si>
  <si>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</si>
  <si>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</si>
  <si>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</si>
  <si>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</si>
  <si>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</si>
  <si>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</si>
  <si>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</si>
  <si>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</si>
  <si>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</si>
  <si>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</si>
  <si>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</si>
  <si>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</si>
  <si>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</si>
  <si>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</si>
  <si>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</si>
  <si>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</si>
  <si>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</si>
  <si>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</si>
  <si>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PATIÃ‘O</t>
  </si>
  <si>
    <t>LAISHI</t>
  </si>
  <si>
    <t>MATACOS</t>
  </si>
  <si>
    <t>CONFLUENCIA</t>
  </si>
  <si>
    <t>MINAS</t>
  </si>
  <si>
    <t>Ã‘ORQUIN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</si>
  <si>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</si>
  <si>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</si>
  <si>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</si>
  <si>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</si>
  <si>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</si>
  <si>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</si>
  <si>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</si>
  <si>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</si>
  <si>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</si>
  <si>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</si>
  <si>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</si>
  <si>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</si>
  <si>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</si>
  <si>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</si>
  <si>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</si>
  <si>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</si>
  <si>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</si>
  <si>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</si>
  <si>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</si>
  <si>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</si>
  <si>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</si>
  <si>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</si>
  <si>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</si>
  <si>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</si>
  <si>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</si>
  <si>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</si>
  <si>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LANGUIÃ‘EO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</si>
  <si>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</si>
  <si>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</si>
  <si>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</si>
  <si>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</si>
  <si>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</si>
  <si>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</si>
  <si>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</si>
  <si>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</si>
  <si>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</si>
  <si>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</si>
  <si>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</si>
  <si>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PRESIDENTE ROQUE SAENZ PEÃ‘A</t>
  </si>
  <si>
    <t>PRESIDENTE ROQUE SAENZ PEÑA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</si>
  <si>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</si>
  <si>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</si>
  <si>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</si>
  <si>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</si>
  <si>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</si>
  <si>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</si>
  <si>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</si>
  <si>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</si>
  <si>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</si>
  <si>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</si>
  <si>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</si>
  <si>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FULANITO</t>
  </si>
  <si>
    <t>Calle 13 - Nº 14 - Piso 15 - Dpto. 16</t>
  </si>
  <si>
    <t>CÓRDOBA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</si>
</sst>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312">
    <xf numFmtId="0" fontId="0" fillId="0" borderId="0" xfId="0"/>
    <xf numFmtId="0" fontId="1" fillId="2" borderId="1" xfId="0" applyFont="1" applyFill="1" applyBorder="1" applyAlignment="1" applyProtection="1">
      <alignment horizontal="center" vertical="center" wrapText="1"/>
    </xf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7" xfId="0" applyBorder="1" applyAlignment="1" applyProtection="1">
      <alignment wrapText="1"/>
    </xf>
    <xf numFmtId="0" fontId="0" fillId="0" borderId="18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1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3" xfId="0" applyFont="1" applyBorder="1" applyAlignment="1" applyProtection="1">
      <alignment horizontal="right" wrapText="1"/>
    </xf>
    <xf numFmtId="0" fontId="17" fillId="0" borderId="13" xfId="0" applyFont="1" applyBorder="1" applyAlignment="1" applyProtection="1">
      <alignment horizontal="right"/>
    </xf>
    <xf numFmtId="0" fontId="0" fillId="0" borderId="24" xfId="0" applyBorder="1" applyAlignment="1" applyProtection="1">
      <alignment wrapText="1"/>
    </xf>
    <xf numFmtId="0" fontId="0" fillId="0" borderId="21" xfId="0" applyBorder="1" applyAlignment="1" applyProtection="1">
      <alignment wrapText="1"/>
    </xf>
    <xf numFmtId="0" fontId="21" fillId="0" borderId="24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1" xfId="0" applyFont="1" applyBorder="1" applyAlignment="1" applyProtection="1">
      <alignment horizontal="center" vertical="center" wrapText="1"/>
    </xf>
    <xf numFmtId="0" fontId="21" fillId="0" borderId="28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1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30" xfId="0" applyBorder="1" applyAlignment="1" applyProtection="1">
      <alignment wrapText="1"/>
    </xf>
    <xf numFmtId="0" fontId="0" fillId="0" borderId="31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7" xfId="0" applyFont="1" applyBorder="1" applyAlignment="1">
      <alignment vertical="center" textRotation="90" wrapText="1"/>
    </xf>
    <xf numFmtId="0" fontId="0" fillId="0" borderId="17" xfId="0" applyBorder="1" applyAlignment="1">
      <alignment wrapText="1"/>
    </xf>
    <xf numFmtId="0" fontId="0" fillId="0" borderId="18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1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3" xfId="0" applyFont="1" applyBorder="1" applyAlignment="1">
      <alignment vertical="center" textRotation="90" wrapText="1"/>
    </xf>
    <xf numFmtId="0" fontId="17" fillId="0" borderId="13" xfId="0" applyFont="1" applyBorder="1" applyAlignment="1">
      <alignment horizontal="right" wrapText="1"/>
    </xf>
    <xf numFmtId="0" fontId="17" fillId="0" borderId="13" xfId="0" applyFont="1" applyBorder="1" applyAlignment="1">
      <alignment horizontal="right"/>
    </xf>
    <xf numFmtId="0" fontId="0" fillId="0" borderId="24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1" xfId="0" applyBorder="1" applyAlignment="1">
      <alignment wrapText="1"/>
    </xf>
    <xf numFmtId="0" fontId="15" fillId="0" borderId="26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1" xfId="0" applyNumberFormat="1" applyFont="1" applyFill="1" applyBorder="1" applyAlignment="1">
      <alignment horizontal="center" vertical="center" wrapText="1"/>
    </xf>
    <xf numFmtId="0" fontId="15" fillId="10" borderId="7" xfId="0" applyFont="1" applyFill="1" applyBorder="1" applyAlignment="1">
      <alignment vertical="center" textRotation="90" wrapText="1"/>
    </xf>
    <xf numFmtId="0" fontId="15" fillId="10" borderId="8" xfId="0" applyFont="1" applyFill="1" applyBorder="1" applyAlignment="1">
      <alignment vertical="center" textRotation="90" wrapText="1"/>
    </xf>
    <xf numFmtId="0" fontId="0" fillId="10" borderId="9" xfId="0" applyFill="1" applyBorder="1"/>
    <xf numFmtId="0" fontId="31" fillId="0" borderId="10" xfId="0" applyFont="1" applyFill="1" applyBorder="1" applyAlignment="1">
      <alignment vertical="center" wrapText="1"/>
    </xf>
    <xf numFmtId="0" fontId="31" fillId="7" borderId="21" xfId="0" applyFont="1" applyFill="1" applyBorder="1" applyAlignment="1">
      <alignment vertical="center" wrapText="1"/>
    </xf>
    <xf numFmtId="0" fontId="15" fillId="10" borderId="12" xfId="0" applyFont="1" applyFill="1" applyBorder="1" applyAlignment="1">
      <alignment vertical="center" textRotation="90" wrapText="1"/>
    </xf>
    <xf numFmtId="0" fontId="15" fillId="10" borderId="13" xfId="0" applyFont="1" applyFill="1" applyBorder="1" applyAlignment="1">
      <alignment vertical="center" textRotation="90" wrapText="1"/>
    </xf>
    <xf numFmtId="0" fontId="0" fillId="10" borderId="14" xfId="0" applyFill="1" applyBorder="1"/>
    <xf numFmtId="0" fontId="15" fillId="0" borderId="28" xfId="0" applyFont="1" applyFill="1" applyBorder="1" applyAlignment="1">
      <alignment vertical="center" textRotation="90" wrapText="1"/>
    </xf>
    <xf numFmtId="0" fontId="15" fillId="0" borderId="13" xfId="0" applyFont="1" applyFill="1" applyBorder="1" applyAlignment="1">
      <alignment vertical="center" textRotation="90" wrapText="1"/>
    </xf>
    <xf numFmtId="0" fontId="22" fillId="0" borderId="13" xfId="0" applyFont="1" applyFill="1" applyBorder="1" applyAlignment="1">
      <alignment horizontal="left" vertical="center" wrapText="1"/>
    </xf>
    <xf numFmtId="0" fontId="0" fillId="0" borderId="13" xfId="0" applyFill="1" applyBorder="1"/>
    <xf numFmtId="0" fontId="33" fillId="0" borderId="13" xfId="0" applyFont="1" applyFill="1" applyBorder="1" applyAlignment="1">
      <alignment vertical="center" wrapText="1"/>
    </xf>
    <xf numFmtId="0" fontId="0" fillId="0" borderId="23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1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1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1" xfId="0" applyNumberFormat="1" applyFont="1" applyBorder="1" applyAlignment="1">
      <alignment horizontal="center" vertical="center" wrapText="1"/>
    </xf>
    <xf numFmtId="0" fontId="15" fillId="10" borderId="30" xfId="0" applyFont="1" applyFill="1" applyBorder="1" applyAlignment="1">
      <alignment horizontal="center" vertical="center" textRotation="90" wrapText="1"/>
    </xf>
    <xf numFmtId="0" fontId="0" fillId="10" borderId="30" xfId="0" applyFill="1" applyBorder="1" applyAlignment="1">
      <alignment wrapText="1"/>
    </xf>
    <xf numFmtId="0" fontId="0" fillId="10" borderId="31" xfId="0" applyFill="1" applyBorder="1" applyAlignment="1">
      <alignment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8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13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1" xfId="0" applyFill="1" applyBorder="1" applyAlignment="1">
      <alignment wrapText="1"/>
    </xf>
    <xf numFmtId="0" fontId="40" fillId="7" borderId="30" xfId="0" applyFont="1" applyFill="1" applyBorder="1" applyAlignment="1">
      <alignment horizontal="center" vertical="center" textRotation="90" wrapText="1"/>
    </xf>
    <xf numFmtId="0" fontId="0" fillId="7" borderId="30" xfId="0" applyFill="1" applyBorder="1" applyAlignment="1">
      <alignment wrapText="1"/>
    </xf>
    <xf numFmtId="0" fontId="0" fillId="7" borderId="31" xfId="0" applyFill="1" applyBorder="1" applyAlignment="1">
      <alignment wrapText="1"/>
    </xf>
    <xf numFmtId="0" fontId="4" fillId="4" borderId="3" xfId="0" applyFont="1" applyFill="1" applyBorder="1" applyProtection="1">
      <protection hidden="1"/>
    </xf>
    <xf numFmtId="0" fontId="4" fillId="4" borderId="4" xfId="0" applyFont="1" applyFill="1" applyBorder="1" applyProtection="1">
      <protection hidden="1"/>
    </xf>
    <xf numFmtId="0" fontId="0" fillId="5" borderId="3" xfId="0" quotePrefix="1" applyFont="1" applyFill="1" applyBorder="1" applyProtection="1">
      <protection hidden="1"/>
    </xf>
    <xf numFmtId="0" fontId="0" fillId="0" borderId="3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2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6" xfId="0" applyFont="1" applyFill="1" applyBorder="1" applyAlignment="1" applyProtection="1">
      <alignment horizontal="center" vertical="center" shrinkToFit="1"/>
      <protection locked="0"/>
    </xf>
    <xf numFmtId="0" fontId="1" fillId="2" borderId="1" xfId="0" applyFont="1" applyFill="1" applyBorder="1" applyAlignment="1" applyProtection="1">
      <alignment horizontal="left" vertical="center" wrapText="1"/>
    </xf>
    <xf numFmtId="14" fontId="0" fillId="0" borderId="2" xfId="0" applyNumberFormat="1" applyFont="1" applyFill="1" applyBorder="1" applyAlignment="1" applyProtection="1">
      <alignment horizontal="right" shrinkToFit="1"/>
      <protection locked="0" hidden="1"/>
    </xf>
    <xf numFmtId="0" fontId="0" fillId="0" borderId="2" xfId="0" applyFont="1" applyFill="1" applyBorder="1" applyAlignment="1" applyProtection="1">
      <alignment shrinkToFit="1"/>
      <protection locked="0" hidden="1"/>
    </xf>
    <xf numFmtId="0" fontId="0" fillId="0" borderId="2" xfId="0" applyFill="1" applyBorder="1" applyAlignment="1" applyProtection="1">
      <alignment shrinkToFit="1"/>
      <protection locked="0" hidden="1"/>
    </xf>
    <xf numFmtId="0" fontId="0" fillId="0" borderId="2" xfId="0" applyFont="1" applyFill="1" applyBorder="1" applyAlignment="1" applyProtection="1">
      <alignment shrinkToFit="1"/>
    </xf>
    <xf numFmtId="0" fontId="0" fillId="0" borderId="2" xfId="0" applyFont="1" applyFill="1" applyBorder="1" applyAlignment="1" applyProtection="1">
      <alignment horizontal="center" shrinkToFit="1"/>
      <protection locked="0"/>
    </xf>
    <xf numFmtId="0" fontId="0" fillId="0" borderId="2" xfId="0" applyFont="1" applyFill="1" applyBorder="1" applyAlignment="1" applyProtection="1">
      <alignment shrinkToFit="1"/>
      <protection locked="0"/>
    </xf>
    <xf numFmtId="0" fontId="0" fillId="0" borderId="2" xfId="0" applyFill="1" applyBorder="1" applyAlignment="1" applyProtection="1">
      <alignment shrinkToFit="1"/>
      <protection locked="0"/>
    </xf>
    <xf numFmtId="0" fontId="0" fillId="0" borderId="34" xfId="0" applyFont="1" applyFill="1" applyBorder="1" applyAlignment="1" applyProtection="1">
      <alignment horizontal="center" vertical="center" shrinkToFit="1"/>
      <protection locked="0"/>
    </xf>
    <xf numFmtId="0" fontId="0" fillId="0" borderId="2" xfId="0" applyFill="1" applyBorder="1" applyAlignment="1" applyProtection="1">
      <alignment horizontal="center" vertical="center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 hidden="1"/>
    </xf>
    <xf numFmtId="0" fontId="0" fillId="0" borderId="5" xfId="0" applyFont="1" applyFill="1" applyBorder="1" applyAlignment="1" applyProtection="1">
      <alignment shrinkToFit="1"/>
      <protection locked="0" hidden="1"/>
    </xf>
    <xf numFmtId="0" fontId="0" fillId="0" borderId="5" xfId="0" applyFill="1" applyBorder="1" applyAlignment="1" applyProtection="1">
      <alignment shrinkToFit="1"/>
      <protection locked="0" hidden="1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14" fontId="0" fillId="0" borderId="6" xfId="0" applyNumberFormat="1" applyFont="1" applyFill="1" applyBorder="1" applyAlignment="1" applyProtection="1">
      <alignment horizontal="right" shrinkToFit="1"/>
      <protection locked="0" hidden="1"/>
    </xf>
    <xf numFmtId="0" fontId="0" fillId="0" borderId="6" xfId="0" applyFont="1" applyFill="1" applyBorder="1" applyAlignment="1" applyProtection="1">
      <alignment shrinkToFit="1"/>
      <protection locked="0" hidden="1"/>
    </xf>
    <xf numFmtId="0" fontId="0" fillId="0" borderId="6" xfId="0" applyFill="1" applyBorder="1" applyAlignment="1" applyProtection="1">
      <alignment shrinkToFit="1"/>
      <protection locked="0" hidden="1"/>
    </xf>
    <xf numFmtId="0" fontId="0" fillId="0" borderId="6" xfId="0" applyFont="1" applyFill="1" applyBorder="1" applyAlignment="1" applyProtection="1">
      <alignment shrinkToFit="1"/>
    </xf>
    <xf numFmtId="0" fontId="0" fillId="0" borderId="6" xfId="0" applyFont="1" applyFill="1" applyBorder="1" applyAlignment="1" applyProtection="1">
      <alignment horizontal="center" shrinkToFit="1"/>
      <protection locked="0"/>
    </xf>
    <xf numFmtId="0" fontId="0" fillId="0" borderId="6" xfId="0" applyFont="1" applyFill="1" applyBorder="1" applyAlignment="1" applyProtection="1">
      <alignment shrinkToFit="1"/>
      <protection locked="0"/>
    </xf>
    <xf numFmtId="0" fontId="0" fillId="0" borderId="6" xfId="0" applyFill="1" applyBorder="1" applyAlignment="1" applyProtection="1">
      <alignment shrinkToFit="1"/>
      <protection locked="0"/>
    </xf>
    <xf numFmtId="0" fontId="0" fillId="0" borderId="6" xfId="0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43" fillId="0" borderId="0" xfId="0" applyFont="1" applyAlignment="1" applyProtection="1">
      <alignment horizontal="center" vertical="center" wrapText="1"/>
    </xf>
    <xf numFmtId="164" fontId="0" fillId="0" borderId="2" xfId="0" applyNumberFormat="1" applyFont="1" applyFill="1" applyBorder="1" applyAlignment="1" applyProtection="1">
      <alignment horizontal="left" shrinkToFit="1"/>
      <protection locked="0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164" fontId="0" fillId="0" borderId="6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10" fillId="8" borderId="35" xfId="2" applyFont="1" applyFill="1" applyBorder="1" applyAlignment="1">
      <alignment horizontal="center" vertical="center" wrapText="1"/>
    </xf>
    <xf numFmtId="0" fontId="10" fillId="8" borderId="36" xfId="2" applyFont="1" applyFill="1" applyBorder="1" applyAlignment="1">
      <alignment horizontal="center" vertical="center" wrapText="1"/>
    </xf>
    <xf numFmtId="0" fontId="10" fillId="8" borderId="37" xfId="2" applyFont="1" applyFill="1" applyBorder="1" applyAlignment="1">
      <alignment horizontal="center" vertical="center" wrapText="1"/>
    </xf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9" fillId="0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8" fillId="0" borderId="0" xfId="2" applyFont="1" applyFill="1" applyBorder="1" applyAlignment="1">
      <alignment horizontal="right"/>
    </xf>
    <xf numFmtId="0" fontId="43" fillId="0" borderId="8" xfId="0" applyFont="1" applyBorder="1" applyAlignment="1" applyProtection="1">
      <alignment horizontal="right" vertical="center" wrapText="1"/>
    </xf>
    <xf numFmtId="0" fontId="15" fillId="0" borderId="20" xfId="0" applyFont="1" applyBorder="1" applyAlignment="1" applyProtection="1">
      <alignment vertical="center" textRotation="90" wrapText="1"/>
    </xf>
    <xf numFmtId="0" fontId="15" fillId="0" borderId="29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2" xfId="0" applyFont="1" applyBorder="1" applyAlignment="1" applyProtection="1">
      <alignment wrapText="1"/>
    </xf>
    <xf numFmtId="0" fontId="17" fillId="0" borderId="13" xfId="0" applyFont="1" applyBorder="1" applyAlignment="1" applyProtection="1">
      <alignment wrapText="1"/>
    </xf>
    <xf numFmtId="0" fontId="18" fillId="0" borderId="13" xfId="0" applyFont="1" applyBorder="1" applyAlignment="1" applyProtection="1">
      <alignment horizontal="center" wrapText="1"/>
    </xf>
    <xf numFmtId="0" fontId="18" fillId="0" borderId="14" xfId="0" applyFont="1" applyBorder="1" applyAlignment="1" applyProtection="1">
      <alignment horizontal="center" wrapText="1"/>
    </xf>
    <xf numFmtId="0" fontId="19" fillId="0" borderId="25" xfId="0" applyFont="1" applyBorder="1" applyAlignment="1" applyProtection="1">
      <alignment horizontal="left" wrapText="1"/>
    </xf>
    <xf numFmtId="0" fontId="20" fillId="0" borderId="25" xfId="0" applyFont="1" applyBorder="1" applyAlignment="1" applyProtection="1">
      <alignment horizontal="left" wrapText="1"/>
      <protection locked="0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8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24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1" xfId="0" applyFont="1" applyBorder="1" applyAlignment="1" applyProtection="1">
      <alignment horizontal="center" vertical="center" wrapText="1"/>
    </xf>
    <xf numFmtId="0" fontId="21" fillId="0" borderId="28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14" fillId="0" borderId="15" xfId="0" applyFont="1" applyBorder="1" applyAlignment="1" applyProtection="1">
      <alignment vertical="center" textRotation="90" wrapText="1"/>
    </xf>
    <xf numFmtId="0" fontId="14" fillId="0" borderId="20" xfId="0" applyFont="1" applyBorder="1" applyAlignment="1" applyProtection="1">
      <alignment vertical="center" textRotation="90" wrapText="1"/>
    </xf>
    <xf numFmtId="0" fontId="14" fillId="0" borderId="22" xfId="0" applyFont="1" applyBorder="1" applyAlignment="1" applyProtection="1">
      <alignment vertical="center" textRotation="90" wrapText="1"/>
    </xf>
    <xf numFmtId="0" fontId="15" fillId="0" borderId="16" xfId="0" applyFont="1" applyBorder="1" applyAlignment="1" applyProtection="1">
      <alignment wrapText="1"/>
    </xf>
    <xf numFmtId="0" fontId="15" fillId="0" borderId="17" xfId="0" applyFont="1" applyBorder="1" applyAlignment="1" applyProtection="1">
      <alignment wrapText="1"/>
    </xf>
    <xf numFmtId="0" fontId="0" fillId="0" borderId="16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23" xfId="0" applyBorder="1" applyAlignment="1" applyProtection="1">
      <alignment horizontal="center" wrapText="1"/>
    </xf>
    <xf numFmtId="0" fontId="16" fillId="0" borderId="10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1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7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1" xfId="0" applyNumberFormat="1" applyFont="1" applyBorder="1" applyAlignment="1" applyProtection="1">
      <alignment horizontal="center" wrapText="1"/>
    </xf>
    <xf numFmtId="0" fontId="19" fillId="0" borderId="25" xfId="0" applyFont="1" applyBorder="1" applyAlignment="1">
      <alignment horizontal="left" wrapText="1"/>
    </xf>
    <xf numFmtId="0" fontId="19" fillId="0" borderId="25" xfId="0" applyFont="1" applyBorder="1" applyAlignment="1" applyProtection="1">
      <alignment horizontal="left" wrapText="1"/>
      <protection locked="0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8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24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1" xfId="0" applyFont="1" applyFill="1" applyBorder="1" applyAlignment="1">
      <alignment horizontal="center" vertical="center" wrapText="1"/>
    </xf>
    <xf numFmtId="0" fontId="29" fillId="10" borderId="28" xfId="0" applyFont="1" applyFill="1" applyBorder="1" applyAlignment="1">
      <alignment horizontal="center" vertical="center" wrapText="1"/>
    </xf>
    <xf numFmtId="0" fontId="29" fillId="10" borderId="13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14" fillId="0" borderId="32" xfId="0" applyFont="1" applyBorder="1" applyAlignment="1">
      <alignment vertical="center" textRotation="90" wrapText="1"/>
    </xf>
    <xf numFmtId="0" fontId="14" fillId="0" borderId="24" xfId="0" applyFont="1" applyBorder="1" applyAlignment="1">
      <alignment vertical="center" textRotation="90" wrapText="1"/>
    </xf>
    <xf numFmtId="0" fontId="14" fillId="0" borderId="28" xfId="0" applyFont="1" applyBorder="1" applyAlignment="1">
      <alignment vertical="center" textRotation="90" wrapText="1"/>
    </xf>
    <xf numFmtId="0" fontId="15" fillId="0" borderId="16" xfId="0" applyFont="1" applyBorder="1" applyAlignment="1">
      <alignment wrapText="1"/>
    </xf>
    <xf numFmtId="0" fontId="15" fillId="0" borderId="17" xfId="0" applyFont="1" applyBorder="1" applyAlignment="1">
      <alignment wrapText="1"/>
    </xf>
    <xf numFmtId="0" fontId="0" fillId="0" borderId="16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0" fontId="16" fillId="0" borderId="10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1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7" fillId="0" borderId="10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1" xfId="0" applyNumberFormat="1" applyFont="1" applyBorder="1" applyAlignment="1">
      <alignment horizontal="center" wrapText="1"/>
    </xf>
    <xf numFmtId="0" fontId="17" fillId="0" borderId="12" xfId="0" applyFont="1" applyBorder="1" applyAlignment="1">
      <alignment wrapText="1"/>
    </xf>
    <xf numFmtId="0" fontId="17" fillId="0" borderId="13" xfId="0" applyFont="1" applyBorder="1" applyAlignment="1">
      <alignment wrapText="1"/>
    </xf>
    <xf numFmtId="0" fontId="18" fillId="0" borderId="13" xfId="0" applyFont="1" applyBorder="1" applyAlignment="1">
      <alignment horizontal="center" wrapText="1"/>
    </xf>
    <xf numFmtId="0" fontId="18" fillId="0" borderId="14" xfId="0" applyFont="1" applyBorder="1" applyAlignment="1">
      <alignment horizontal="center" wrapText="1"/>
    </xf>
    <xf numFmtId="0" fontId="15" fillId="10" borderId="26" xfId="0" applyFont="1" applyFill="1" applyBorder="1" applyAlignment="1">
      <alignment horizontal="center" vertical="center" textRotation="90" wrapText="1"/>
    </xf>
    <xf numFmtId="0" fontId="15" fillId="10" borderId="24" xfId="0" applyFont="1" applyFill="1" applyBorder="1" applyAlignment="1">
      <alignment horizontal="center" vertical="center" textRotation="90" wrapText="1"/>
    </xf>
    <xf numFmtId="0" fontId="15" fillId="10" borderId="33" xfId="0" applyFont="1" applyFill="1" applyBorder="1" applyAlignment="1">
      <alignment horizontal="center" vertical="center" textRotation="90" wrapText="1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8" xfId="0" applyFont="1" applyBorder="1" applyAlignment="1" applyProtection="1">
      <alignment horizontal="left" vertical="center" shrinkToFit="1" readingOrder="1"/>
      <protection locked="0"/>
    </xf>
    <xf numFmtId="0" fontId="34" fillId="0" borderId="10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8" xfId="0" applyFont="1" applyBorder="1" applyAlignment="1">
      <alignment horizontal="right" vertical="center"/>
    </xf>
    <xf numFmtId="1" fontId="23" fillId="0" borderId="8" xfId="0" applyNumberFormat="1" applyFont="1" applyBorder="1" applyAlignment="1" applyProtection="1">
      <alignment horizontal="left" vertical="center" wrapText="1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23" fillId="0" borderId="9" xfId="0" applyFont="1" applyBorder="1" applyAlignment="1" applyProtection="1">
      <alignment horizontal="left" vertical="center"/>
      <protection locked="0"/>
    </xf>
    <xf numFmtId="0" fontId="15" fillId="0" borderId="10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1" xfId="0" applyFont="1" applyBorder="1" applyAlignment="1" applyProtection="1">
      <alignment horizontal="center" vertical="center" wrapText="1"/>
      <protection locked="0"/>
    </xf>
    <xf numFmtId="0" fontId="15" fillId="0" borderId="1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10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8" xfId="0" applyFont="1" applyFill="1" applyBorder="1" applyAlignment="1">
      <alignment horizontal="center" vertical="center" wrapText="1"/>
    </xf>
    <xf numFmtId="0" fontId="30" fillId="10" borderId="13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26" fillId="0" borderId="13" xfId="0" applyFont="1" applyBorder="1" applyAlignment="1">
      <alignment horizontal="left" vertical="center" wrapText="1"/>
    </xf>
    <xf numFmtId="0" fontId="3" fillId="0" borderId="13" xfId="0" applyFont="1" applyBorder="1" applyAlignment="1">
      <alignment horizontal="right" vertical="center"/>
    </xf>
    <xf numFmtId="1" fontId="23" fillId="0" borderId="13" xfId="0" quotePrefix="1" applyNumberFormat="1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23" fillId="0" borderId="14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24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1" xfId="0" applyFont="1" applyFill="1" applyBorder="1" applyAlignment="1">
      <alignment horizontal="center" vertical="center" wrapText="1"/>
    </xf>
    <xf numFmtId="0" fontId="39" fillId="7" borderId="28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left" wrapText="1"/>
    </xf>
    <xf numFmtId="0" fontId="16" fillId="0" borderId="17" xfId="0" applyFont="1" applyBorder="1" applyAlignment="1">
      <alignment horizontal="left" wrapText="1"/>
    </xf>
    <xf numFmtId="0" fontId="3" fillId="0" borderId="17" xfId="0" applyFont="1" applyBorder="1" applyAlignment="1">
      <alignment horizontal="right"/>
    </xf>
    <xf numFmtId="0" fontId="3" fillId="0" borderId="18" xfId="0" applyFont="1" applyBorder="1" applyAlignment="1">
      <alignment horizontal="right"/>
    </xf>
    <xf numFmtId="0" fontId="41" fillId="7" borderId="8" xfId="0" applyFont="1" applyFill="1" applyBorder="1" applyAlignment="1">
      <alignment horizontal="center" vertical="center" wrapText="1"/>
    </xf>
    <xf numFmtId="0" fontId="41" fillId="7" borderId="9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1" fillId="7" borderId="14" xfId="0" applyFont="1" applyFill="1" applyBorder="1" applyAlignment="1">
      <alignment horizontal="center" vertical="center" wrapText="1"/>
    </xf>
    <xf numFmtId="0" fontId="40" fillId="7" borderId="26" xfId="0" applyFont="1" applyFill="1" applyBorder="1" applyAlignment="1">
      <alignment horizontal="center" vertical="center" textRotation="90" wrapText="1"/>
    </xf>
    <xf numFmtId="0" fontId="40" fillId="7" borderId="24" xfId="0" applyFont="1" applyFill="1" applyBorder="1" applyAlignment="1">
      <alignment horizontal="center" vertical="center" textRotation="90" wrapText="1"/>
    </xf>
    <xf numFmtId="0" fontId="40" fillId="7" borderId="33" xfId="0" applyFont="1" applyFill="1" applyBorder="1" applyAlignment="1">
      <alignment horizontal="center" vertical="center" textRotation="90" wrapText="1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8" xfId="0" applyNumberFormat="1" applyFont="1" applyBorder="1" applyAlignment="1" applyProtection="1">
      <alignment horizontal="left" vertical="center" shrinkToFit="1"/>
      <protection locked="0"/>
    </xf>
    <xf numFmtId="49" fontId="34" fillId="0" borderId="10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8" xfId="0" applyNumberFormat="1" applyFont="1" applyBorder="1" applyAlignment="1" applyProtection="1">
      <alignment horizontal="left" vertical="center"/>
      <protection locked="0"/>
    </xf>
    <xf numFmtId="1" fontId="23" fillId="0" borderId="13" xfId="0" applyNumberFormat="1" applyFont="1" applyBorder="1" applyAlignment="1" applyProtection="1">
      <alignment horizontal="left" vertical="center"/>
      <protection locked="0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1409700</xdr:colOff>
          <xdr:row>0</xdr:row>
          <xdr:rowOff>57150</xdr:rowOff>
        </xdr:from>
        <xdr:to>
          <xdr:col>16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Q35"/>
  <sheetViews>
    <sheetView tabSelected="1" zoomScaleNormal="100" workbookViewId="0"/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25.140625" customWidth="1"/>
    <col min="7" max="7" width="7.7109375" customWidth="1"/>
    <col min="8" max="8" width="17.7109375" customWidth="1"/>
    <col min="9" max="9" width="14.140625" customWidth="1"/>
    <col min="10" max="10" width="13.140625" customWidth="1"/>
    <col min="11" max="11" width="30.42578125" customWidth="1"/>
    <col min="12" max="12" width="38.5703125" customWidth="1"/>
    <col min="13" max="13" width="14.5703125" customWidth="1"/>
    <col min="15" max="15" width="20" customWidth="1"/>
    <col min="16" max="16" width="19.28515625" customWidth="1"/>
    <col min="17" max="17" width="39" customWidth="1"/>
  </cols>
  <sheetData>
    <row r="1" spans="1:17" ht="30" customHeight="1" x14ac:dyDescent="0.25">
      <c r="A1" s="1" t="s">
        <v>9722</v>
      </c>
      <c r="B1" s="1" t="s">
        <v>9721</v>
      </c>
      <c r="C1" s="1" t="s">
        <v>9720</v>
      </c>
      <c r="D1" s="1" t="s">
        <v>2</v>
      </c>
      <c r="E1" s="1" t="s">
        <v>9153</v>
      </c>
      <c r="F1" s="1" t="s">
        <v>9487</v>
      </c>
      <c r="G1" s="1" t="s">
        <v>9719</v>
      </c>
      <c r="H1" s="1" t="s">
        <v>15353</v>
      </c>
      <c r="I1" s="1" t="s">
        <v>9723</v>
      </c>
      <c r="J1" s="1" t="s">
        <v>9715</v>
      </c>
      <c r="K1" s="1" t="s">
        <v>9716</v>
      </c>
      <c r="L1" s="1" t="s">
        <v>9724</v>
      </c>
      <c r="M1" s="1" t="s">
        <v>15338</v>
      </c>
      <c r="N1" s="1" t="s">
        <v>9717</v>
      </c>
      <c r="O1" s="1" t="s">
        <v>15334</v>
      </c>
      <c r="P1" s="1" t="s">
        <v>9718</v>
      </c>
      <c r="Q1" s="118" t="s">
        <v>15351</v>
      </c>
    </row>
    <row r="2" spans="1:17" x14ac:dyDescent="0.25">
      <c r="A2" s="119"/>
      <c r="B2" s="120"/>
      <c r="C2" s="121"/>
      <c r="D2" s="122" t="str">
        <f>IFERROR(VLOOKUP(C2,LINCE!$A$1:$F$7000,3,FALSE),"")</f>
        <v/>
      </c>
      <c r="E2" s="123"/>
      <c r="F2" s="124"/>
      <c r="G2" s="123"/>
      <c r="H2" s="148"/>
      <c r="I2" s="115"/>
      <c r="J2" s="125"/>
      <c r="K2" s="116"/>
      <c r="L2" s="115"/>
      <c r="M2" s="126"/>
      <c r="N2" s="127"/>
      <c r="O2" s="127"/>
      <c r="P2" s="115"/>
      <c r="Q2" s="115"/>
    </row>
    <row r="3" spans="1:17" x14ac:dyDescent="0.25">
      <c r="A3" s="128"/>
      <c r="B3" s="129"/>
      <c r="C3" s="130"/>
      <c r="D3" s="131" t="str">
        <f>IFERROR(VLOOKUP(C3,LINCE!$A$1:$F$7000,3,FALSE),"")</f>
        <v/>
      </c>
      <c r="E3" s="132"/>
      <c r="F3" s="133"/>
      <c r="G3" s="132"/>
      <c r="H3" s="149"/>
      <c r="I3" s="116"/>
      <c r="J3" s="134"/>
      <c r="K3" s="116"/>
      <c r="L3" s="116"/>
      <c r="M3" s="116"/>
      <c r="N3" s="135"/>
      <c r="O3" s="135"/>
      <c r="P3" s="116"/>
      <c r="Q3" s="116"/>
    </row>
    <row r="4" spans="1:17" x14ac:dyDescent="0.25">
      <c r="A4" s="128"/>
      <c r="B4" s="129"/>
      <c r="C4" s="130"/>
      <c r="D4" s="131" t="str">
        <f>IFERROR(VLOOKUP(C4,LINCE!$A$1:$F$7000,3,FALSE),"")</f>
        <v/>
      </c>
      <c r="E4" s="132"/>
      <c r="F4" s="133"/>
      <c r="G4" s="132"/>
      <c r="H4" s="149"/>
      <c r="I4" s="116"/>
      <c r="J4" s="134"/>
      <c r="K4" s="116"/>
      <c r="L4" s="116"/>
      <c r="M4" s="116"/>
      <c r="N4" s="135"/>
      <c r="O4" s="135"/>
      <c r="P4" s="116"/>
      <c r="Q4" s="116"/>
    </row>
    <row r="5" spans="1:17" x14ac:dyDescent="0.25">
      <c r="A5" s="128"/>
      <c r="B5" s="129"/>
      <c r="C5" s="130"/>
      <c r="D5" s="131" t="str">
        <f>IFERROR(VLOOKUP(C5,LINCE!$A$1:$F$7000,3,FALSE),"")</f>
        <v/>
      </c>
      <c r="E5" s="132"/>
      <c r="F5" s="133"/>
      <c r="G5" s="132"/>
      <c r="H5" s="149"/>
      <c r="I5" s="116"/>
      <c r="J5" s="134"/>
      <c r="K5" s="116"/>
      <c r="L5" s="116"/>
      <c r="M5" s="116"/>
      <c r="N5" s="135"/>
      <c r="O5" s="135"/>
      <c r="P5" s="116"/>
      <c r="Q5" s="116"/>
    </row>
    <row r="6" spans="1:17" x14ac:dyDescent="0.25">
      <c r="A6" s="128"/>
      <c r="B6" s="129"/>
      <c r="C6" s="130"/>
      <c r="D6" s="131" t="str">
        <f>IFERROR(VLOOKUP(C6,LINCE!$A$1:$F$7000,3,FALSE),"")</f>
        <v/>
      </c>
      <c r="E6" s="132"/>
      <c r="F6" s="133"/>
      <c r="G6" s="132"/>
      <c r="H6" s="149"/>
      <c r="I6" s="116"/>
      <c r="J6" s="134"/>
      <c r="K6" s="116"/>
      <c r="L6" s="116"/>
      <c r="M6" s="116"/>
      <c r="N6" s="135"/>
      <c r="O6" s="135"/>
      <c r="P6" s="116"/>
      <c r="Q6" s="116"/>
    </row>
    <row r="7" spans="1:17" x14ac:dyDescent="0.25">
      <c r="A7" s="128"/>
      <c r="B7" s="129"/>
      <c r="C7" s="130"/>
      <c r="D7" s="131" t="str">
        <f>IFERROR(VLOOKUP(C7,LINCE!$A$1:$F$7000,3,FALSE),"")</f>
        <v/>
      </c>
      <c r="E7" s="132"/>
      <c r="F7" s="133"/>
      <c r="G7" s="132"/>
      <c r="H7" s="149"/>
      <c r="I7" s="116"/>
      <c r="J7" s="134"/>
      <c r="K7" s="116"/>
      <c r="L7" s="116"/>
      <c r="M7" s="116"/>
      <c r="N7" s="135"/>
      <c r="O7" s="135"/>
      <c r="P7" s="116"/>
      <c r="Q7" s="116"/>
    </row>
    <row r="8" spans="1:17" x14ac:dyDescent="0.25">
      <c r="A8" s="128"/>
      <c r="B8" s="129"/>
      <c r="C8" s="130"/>
      <c r="D8" s="131" t="str">
        <f>IFERROR(VLOOKUP(C8,LINCE!$A$1:$F$7000,3,FALSE),"")</f>
        <v/>
      </c>
      <c r="E8" s="132"/>
      <c r="F8" s="133"/>
      <c r="G8" s="132"/>
      <c r="H8" s="149"/>
      <c r="I8" s="116"/>
      <c r="J8" s="134"/>
      <c r="K8" s="116"/>
      <c r="L8" s="116"/>
      <c r="M8" s="116"/>
      <c r="N8" s="135"/>
      <c r="O8" s="135"/>
      <c r="P8" s="116"/>
      <c r="Q8" s="116"/>
    </row>
    <row r="9" spans="1:17" x14ac:dyDescent="0.25">
      <c r="A9" s="128"/>
      <c r="B9" s="129"/>
      <c r="C9" s="130"/>
      <c r="D9" s="131" t="str">
        <f>IFERROR(VLOOKUP(C9,LINCE!$A$1:$F$7000,3,FALSE),"")</f>
        <v/>
      </c>
      <c r="E9" s="132"/>
      <c r="F9" s="133"/>
      <c r="G9" s="132"/>
      <c r="H9" s="149"/>
      <c r="I9" s="116"/>
      <c r="J9" s="134"/>
      <c r="K9" s="116"/>
      <c r="L9" s="116"/>
      <c r="M9" s="116"/>
      <c r="N9" s="135"/>
      <c r="O9" s="135"/>
      <c r="P9" s="116"/>
      <c r="Q9" s="116"/>
    </row>
    <row r="10" spans="1:17" x14ac:dyDescent="0.25">
      <c r="A10" s="128"/>
      <c r="B10" s="129"/>
      <c r="C10" s="130"/>
      <c r="D10" s="131" t="str">
        <f>IFERROR(VLOOKUP(C10,LINCE!$A$1:$F$7000,3,FALSE),"")</f>
        <v/>
      </c>
      <c r="E10" s="132"/>
      <c r="F10" s="133"/>
      <c r="G10" s="132"/>
      <c r="H10" s="149"/>
      <c r="I10" s="116"/>
      <c r="J10" s="134"/>
      <c r="K10" s="116"/>
      <c r="L10" s="116"/>
      <c r="M10" s="116"/>
      <c r="N10" s="135"/>
      <c r="O10" s="135"/>
      <c r="P10" s="116"/>
      <c r="Q10" s="116"/>
    </row>
    <row r="11" spans="1:17" x14ac:dyDescent="0.25">
      <c r="A11" s="128"/>
      <c r="B11" s="129"/>
      <c r="C11" s="130"/>
      <c r="D11" s="131" t="str">
        <f>IFERROR(VLOOKUP(C11,LINCE!$A$1:$F$7000,3,FALSE),"")</f>
        <v/>
      </c>
      <c r="E11" s="132"/>
      <c r="F11" s="133"/>
      <c r="G11" s="132"/>
      <c r="H11" s="149"/>
      <c r="I11" s="116"/>
      <c r="J11" s="134"/>
      <c r="K11" s="116"/>
      <c r="L11" s="116"/>
      <c r="M11" s="116"/>
      <c r="N11" s="135"/>
      <c r="O11" s="135"/>
      <c r="P11" s="116"/>
      <c r="Q11" s="116"/>
    </row>
    <row r="12" spans="1:17" x14ac:dyDescent="0.25">
      <c r="A12" s="128"/>
      <c r="B12" s="129"/>
      <c r="C12" s="130"/>
      <c r="D12" s="131" t="str">
        <f>IFERROR(VLOOKUP(C12,LINCE!$A$1:$F$7000,3,FALSE),"")</f>
        <v/>
      </c>
      <c r="E12" s="132"/>
      <c r="F12" s="133"/>
      <c r="G12" s="132"/>
      <c r="H12" s="149"/>
      <c r="I12" s="116"/>
      <c r="J12" s="134"/>
      <c r="K12" s="116"/>
      <c r="L12" s="116"/>
      <c r="M12" s="116"/>
      <c r="N12" s="135"/>
      <c r="O12" s="135"/>
      <c r="P12" s="116"/>
      <c r="Q12" s="116"/>
    </row>
    <row r="13" spans="1:17" x14ac:dyDescent="0.25">
      <c r="A13" s="128"/>
      <c r="B13" s="129"/>
      <c r="C13" s="130"/>
      <c r="D13" s="131" t="str">
        <f>IFERROR(VLOOKUP(C13,LINCE!$A$1:$F$7000,3,FALSE),"")</f>
        <v/>
      </c>
      <c r="E13" s="132"/>
      <c r="F13" s="133"/>
      <c r="G13" s="132"/>
      <c r="H13" s="149"/>
      <c r="I13" s="116"/>
      <c r="J13" s="134"/>
      <c r="K13" s="116"/>
      <c r="L13" s="116"/>
      <c r="M13" s="116"/>
      <c r="N13" s="135"/>
      <c r="O13" s="135"/>
      <c r="P13" s="116"/>
      <c r="Q13" s="116"/>
    </row>
    <row r="14" spans="1:17" x14ac:dyDescent="0.25">
      <c r="A14" s="128"/>
      <c r="B14" s="129"/>
      <c r="C14" s="130"/>
      <c r="D14" s="131" t="str">
        <f>IFERROR(VLOOKUP(C14,LINCE!$A$1:$F$7000,3,FALSE),"")</f>
        <v/>
      </c>
      <c r="E14" s="132"/>
      <c r="F14" s="133"/>
      <c r="G14" s="132"/>
      <c r="H14" s="149"/>
      <c r="I14" s="116"/>
      <c r="J14" s="134"/>
      <c r="K14" s="116"/>
      <c r="L14" s="116"/>
      <c r="M14" s="116"/>
      <c r="N14" s="135"/>
      <c r="O14" s="135"/>
      <c r="P14" s="116"/>
      <c r="Q14" s="116"/>
    </row>
    <row r="15" spans="1:17" x14ac:dyDescent="0.25">
      <c r="A15" s="128"/>
      <c r="B15" s="129"/>
      <c r="C15" s="130"/>
      <c r="D15" s="131" t="str">
        <f>IFERROR(VLOOKUP(C15,LINCE!$A$1:$F$7000,3,FALSE),"")</f>
        <v/>
      </c>
      <c r="E15" s="132"/>
      <c r="F15" s="133"/>
      <c r="G15" s="132"/>
      <c r="H15" s="149"/>
      <c r="I15" s="116"/>
      <c r="J15" s="134"/>
      <c r="K15" s="116"/>
      <c r="L15" s="116"/>
      <c r="M15" s="116"/>
      <c r="N15" s="135"/>
      <c r="O15" s="135"/>
      <c r="P15" s="116"/>
      <c r="Q15" s="116"/>
    </row>
    <row r="16" spans="1:17" x14ac:dyDescent="0.25">
      <c r="A16" s="128"/>
      <c r="B16" s="129"/>
      <c r="C16" s="130"/>
      <c r="D16" s="131" t="str">
        <f>IFERROR(VLOOKUP(C16,LINCE!$A$1:$F$7000,3,FALSE),"")</f>
        <v/>
      </c>
      <c r="E16" s="132"/>
      <c r="F16" s="133"/>
      <c r="G16" s="132"/>
      <c r="H16" s="149"/>
      <c r="I16" s="116"/>
      <c r="J16" s="134"/>
      <c r="K16" s="116"/>
      <c r="L16" s="116"/>
      <c r="M16" s="116"/>
      <c r="N16" s="135"/>
      <c r="O16" s="135"/>
      <c r="P16" s="116"/>
      <c r="Q16" s="116"/>
    </row>
    <row r="17" spans="1:17" x14ac:dyDescent="0.25">
      <c r="A17" s="128"/>
      <c r="B17" s="129"/>
      <c r="C17" s="130"/>
      <c r="D17" s="131" t="str">
        <f>IFERROR(VLOOKUP(C17,LINCE!$A$1:$F$7000,3,FALSE),"")</f>
        <v/>
      </c>
      <c r="E17" s="132"/>
      <c r="F17" s="133"/>
      <c r="G17" s="132"/>
      <c r="H17" s="149"/>
      <c r="I17" s="116"/>
      <c r="J17" s="134"/>
      <c r="K17" s="116"/>
      <c r="L17" s="116"/>
      <c r="M17" s="116"/>
      <c r="N17" s="135"/>
      <c r="O17" s="135"/>
      <c r="P17" s="116"/>
      <c r="Q17" s="116"/>
    </row>
    <row r="18" spans="1:17" x14ac:dyDescent="0.25">
      <c r="A18" s="128"/>
      <c r="B18" s="129"/>
      <c r="C18" s="130"/>
      <c r="D18" s="131" t="str">
        <f>IFERROR(VLOOKUP(C18,LINCE!$A$1:$F$7000,3,FALSE),"")</f>
        <v/>
      </c>
      <c r="E18" s="132"/>
      <c r="F18" s="133"/>
      <c r="G18" s="132"/>
      <c r="H18" s="149"/>
      <c r="I18" s="116"/>
      <c r="J18" s="134"/>
      <c r="K18" s="116"/>
      <c r="L18" s="116"/>
      <c r="M18" s="116"/>
      <c r="N18" s="135"/>
      <c r="O18" s="135"/>
      <c r="P18" s="116"/>
      <c r="Q18" s="116"/>
    </row>
    <row r="19" spans="1:17" x14ac:dyDescent="0.25">
      <c r="A19" s="128"/>
      <c r="B19" s="129"/>
      <c r="C19" s="130"/>
      <c r="D19" s="131" t="str">
        <f>IFERROR(VLOOKUP(C19,LINCE!$A$1:$F$7000,3,FALSE),"")</f>
        <v/>
      </c>
      <c r="E19" s="132"/>
      <c r="F19" s="133"/>
      <c r="G19" s="132"/>
      <c r="H19" s="149"/>
      <c r="I19" s="116"/>
      <c r="J19" s="134"/>
      <c r="K19" s="116"/>
      <c r="L19" s="116"/>
      <c r="M19" s="116"/>
      <c r="N19" s="135"/>
      <c r="O19" s="135"/>
      <c r="P19" s="116"/>
      <c r="Q19" s="116"/>
    </row>
    <row r="20" spans="1:17" x14ac:dyDescent="0.25">
      <c r="A20" s="128"/>
      <c r="B20" s="129"/>
      <c r="C20" s="130"/>
      <c r="D20" s="131" t="str">
        <f>IFERROR(VLOOKUP(C20,LINCE!$A$1:$F$7000,3,FALSE),"")</f>
        <v/>
      </c>
      <c r="E20" s="132"/>
      <c r="F20" s="133"/>
      <c r="G20" s="132"/>
      <c r="H20" s="149"/>
      <c r="I20" s="116"/>
      <c r="J20" s="134"/>
      <c r="K20" s="116"/>
      <c r="L20" s="116"/>
      <c r="M20" s="116"/>
      <c r="N20" s="135"/>
      <c r="O20" s="135"/>
      <c r="P20" s="116"/>
      <c r="Q20" s="116"/>
    </row>
    <row r="21" spans="1:17" x14ac:dyDescent="0.25">
      <c r="A21" s="128"/>
      <c r="B21" s="129"/>
      <c r="C21" s="130"/>
      <c r="D21" s="131" t="str">
        <f>IFERROR(VLOOKUP(C21,LINCE!$A$1:$F$7000,3,FALSE),"")</f>
        <v/>
      </c>
      <c r="E21" s="132"/>
      <c r="F21" s="133"/>
      <c r="G21" s="132"/>
      <c r="H21" s="149"/>
      <c r="I21" s="116"/>
      <c r="J21" s="134"/>
      <c r="K21" s="116"/>
      <c r="L21" s="116"/>
      <c r="M21" s="116"/>
      <c r="N21" s="135"/>
      <c r="O21" s="135"/>
      <c r="P21" s="116"/>
      <c r="Q21" s="116"/>
    </row>
    <row r="22" spans="1:17" x14ac:dyDescent="0.25">
      <c r="A22" s="128"/>
      <c r="B22" s="129"/>
      <c r="C22" s="130"/>
      <c r="D22" s="131" t="str">
        <f>IFERROR(VLOOKUP(C22,LINCE!$A$1:$F$7000,3,FALSE),"")</f>
        <v/>
      </c>
      <c r="E22" s="132"/>
      <c r="F22" s="133"/>
      <c r="G22" s="132"/>
      <c r="H22" s="149"/>
      <c r="I22" s="116"/>
      <c r="J22" s="134"/>
      <c r="K22" s="116"/>
      <c r="L22" s="116"/>
      <c r="M22" s="116"/>
      <c r="N22" s="135"/>
      <c r="O22" s="135"/>
      <c r="P22" s="116"/>
      <c r="Q22" s="116"/>
    </row>
    <row r="23" spans="1:17" x14ac:dyDescent="0.25">
      <c r="A23" s="128"/>
      <c r="B23" s="129"/>
      <c r="C23" s="130"/>
      <c r="D23" s="131" t="str">
        <f>IFERROR(VLOOKUP(C23,LINCE!$A$1:$F$7000,3,FALSE),"")</f>
        <v/>
      </c>
      <c r="E23" s="132"/>
      <c r="F23" s="133"/>
      <c r="G23" s="132"/>
      <c r="H23" s="149"/>
      <c r="I23" s="116"/>
      <c r="J23" s="134"/>
      <c r="K23" s="116"/>
      <c r="L23" s="116"/>
      <c r="M23" s="116"/>
      <c r="N23" s="135"/>
      <c r="O23" s="135"/>
      <c r="P23" s="116"/>
      <c r="Q23" s="116"/>
    </row>
    <row r="24" spans="1:17" x14ac:dyDescent="0.25">
      <c r="A24" s="128"/>
      <c r="B24" s="129"/>
      <c r="C24" s="130"/>
      <c r="D24" s="131" t="str">
        <f>IFERROR(VLOOKUP(C24,LINCE!$A$1:$F$7000,3,FALSE),"")</f>
        <v/>
      </c>
      <c r="E24" s="132"/>
      <c r="F24" s="133"/>
      <c r="G24" s="132"/>
      <c r="H24" s="149"/>
      <c r="I24" s="116"/>
      <c r="J24" s="134"/>
      <c r="K24" s="116"/>
      <c r="L24" s="116"/>
      <c r="M24" s="116"/>
      <c r="N24" s="135"/>
      <c r="O24" s="135"/>
      <c r="P24" s="116"/>
      <c r="Q24" s="116"/>
    </row>
    <row r="25" spans="1:17" x14ac:dyDescent="0.25">
      <c r="A25" s="128"/>
      <c r="B25" s="129"/>
      <c r="C25" s="130"/>
      <c r="D25" s="131" t="str">
        <f>IFERROR(VLOOKUP(C25,LINCE!$A$1:$F$7000,3,FALSE),"")</f>
        <v/>
      </c>
      <c r="E25" s="132"/>
      <c r="F25" s="133"/>
      <c r="G25" s="132"/>
      <c r="H25" s="149"/>
      <c r="I25" s="116"/>
      <c r="J25" s="134"/>
      <c r="K25" s="116"/>
      <c r="L25" s="116"/>
      <c r="M25" s="116"/>
      <c r="N25" s="135"/>
      <c r="O25" s="135"/>
      <c r="P25" s="116"/>
      <c r="Q25" s="116"/>
    </row>
    <row r="26" spans="1:17" x14ac:dyDescent="0.25">
      <c r="A26" s="128"/>
      <c r="B26" s="129"/>
      <c r="C26" s="130"/>
      <c r="D26" s="131" t="str">
        <f>IFERROR(VLOOKUP(C26,LINCE!$A$1:$F$7000,3,FALSE),"")</f>
        <v/>
      </c>
      <c r="E26" s="132"/>
      <c r="F26" s="133"/>
      <c r="G26" s="132"/>
      <c r="H26" s="149"/>
      <c r="I26" s="116"/>
      <c r="J26" s="134"/>
      <c r="K26" s="116"/>
      <c r="L26" s="116"/>
      <c r="M26" s="116"/>
      <c r="N26" s="135"/>
      <c r="O26" s="135"/>
      <c r="P26" s="116"/>
      <c r="Q26" s="116"/>
    </row>
    <row r="27" spans="1:17" x14ac:dyDescent="0.25">
      <c r="A27" s="128"/>
      <c r="B27" s="129"/>
      <c r="C27" s="130"/>
      <c r="D27" s="131" t="str">
        <f>IFERROR(VLOOKUP(C27,LINCE!$A$1:$F$7000,3,FALSE),"")</f>
        <v/>
      </c>
      <c r="E27" s="132"/>
      <c r="F27" s="133"/>
      <c r="G27" s="132"/>
      <c r="H27" s="149"/>
      <c r="I27" s="116"/>
      <c r="J27" s="134"/>
      <c r="K27" s="116"/>
      <c r="L27" s="116"/>
      <c r="M27" s="116"/>
      <c r="N27" s="135"/>
      <c r="O27" s="135"/>
      <c r="P27" s="116"/>
      <c r="Q27" s="116"/>
    </row>
    <row r="28" spans="1:17" x14ac:dyDescent="0.25">
      <c r="A28" s="128"/>
      <c r="B28" s="129"/>
      <c r="C28" s="130"/>
      <c r="D28" s="131" t="str">
        <f>IFERROR(VLOOKUP(C28,LINCE!$A$1:$F$7000,3,FALSE),"")</f>
        <v/>
      </c>
      <c r="E28" s="132"/>
      <c r="F28" s="133"/>
      <c r="G28" s="132"/>
      <c r="H28" s="149"/>
      <c r="I28" s="116"/>
      <c r="J28" s="134"/>
      <c r="K28" s="116"/>
      <c r="L28" s="116"/>
      <c r="M28" s="116"/>
      <c r="N28" s="135"/>
      <c r="O28" s="135"/>
      <c r="P28" s="116"/>
      <c r="Q28" s="116"/>
    </row>
    <row r="29" spans="1:17" x14ac:dyDescent="0.25">
      <c r="A29" s="128"/>
      <c r="B29" s="129"/>
      <c r="C29" s="130"/>
      <c r="D29" s="131" t="str">
        <f>IFERROR(VLOOKUP(C29,LINCE!$A$1:$F$7000,3,FALSE),"")</f>
        <v/>
      </c>
      <c r="E29" s="132"/>
      <c r="F29" s="133"/>
      <c r="G29" s="132"/>
      <c r="H29" s="149"/>
      <c r="I29" s="116"/>
      <c r="J29" s="134"/>
      <c r="K29" s="116"/>
      <c r="L29" s="116"/>
      <c r="M29" s="116"/>
      <c r="N29" s="135"/>
      <c r="O29" s="135"/>
      <c r="P29" s="116"/>
      <c r="Q29" s="116"/>
    </row>
    <row r="30" spans="1:17" x14ac:dyDescent="0.25">
      <c r="A30" s="128"/>
      <c r="B30" s="129"/>
      <c r="C30" s="130"/>
      <c r="D30" s="131" t="str">
        <f>IFERROR(VLOOKUP(C30,LINCE!$A$1:$F$7000,3,FALSE),"")</f>
        <v/>
      </c>
      <c r="E30" s="132"/>
      <c r="F30" s="133"/>
      <c r="G30" s="132"/>
      <c r="H30" s="149"/>
      <c r="I30" s="116"/>
      <c r="J30" s="134"/>
      <c r="K30" s="116"/>
      <c r="L30" s="116"/>
      <c r="M30" s="116"/>
      <c r="N30" s="135"/>
      <c r="O30" s="135"/>
      <c r="P30" s="116"/>
      <c r="Q30" s="116"/>
    </row>
    <row r="31" spans="1:17" x14ac:dyDescent="0.25">
      <c r="A31" s="128"/>
      <c r="B31" s="129"/>
      <c r="C31" s="130"/>
      <c r="D31" s="131" t="str">
        <f>IFERROR(VLOOKUP(C31,LINCE!$A$1:$F$7000,3,FALSE),"")</f>
        <v/>
      </c>
      <c r="E31" s="132"/>
      <c r="F31" s="133"/>
      <c r="G31" s="132"/>
      <c r="H31" s="149"/>
      <c r="I31" s="116"/>
      <c r="J31" s="134"/>
      <c r="K31" s="116"/>
      <c r="L31" s="116"/>
      <c r="M31" s="116"/>
      <c r="N31" s="135"/>
      <c r="O31" s="135"/>
      <c r="P31" s="116"/>
      <c r="Q31" s="116"/>
    </row>
    <row r="32" spans="1:17" x14ac:dyDescent="0.25">
      <c r="A32" s="128"/>
      <c r="B32" s="129"/>
      <c r="C32" s="130"/>
      <c r="D32" s="131" t="str">
        <f>IFERROR(VLOOKUP(C32,LINCE!$A$1:$F$7000,3,FALSE),"")</f>
        <v/>
      </c>
      <c r="E32" s="132"/>
      <c r="F32" s="133"/>
      <c r="G32" s="132"/>
      <c r="H32" s="149"/>
      <c r="I32" s="116"/>
      <c r="J32" s="134"/>
      <c r="K32" s="116"/>
      <c r="L32" s="116"/>
      <c r="M32" s="116"/>
      <c r="N32" s="135"/>
      <c r="O32" s="135"/>
      <c r="P32" s="116"/>
      <c r="Q32" s="116"/>
    </row>
    <row r="33" spans="1:17" x14ac:dyDescent="0.25">
      <c r="A33" s="128"/>
      <c r="B33" s="129"/>
      <c r="C33" s="130"/>
      <c r="D33" s="131" t="str">
        <f>IFERROR(VLOOKUP(C33,LINCE!$A$1:$F$7000,3,FALSE),"")</f>
        <v/>
      </c>
      <c r="E33" s="132"/>
      <c r="F33" s="133"/>
      <c r="G33" s="132"/>
      <c r="H33" s="149"/>
      <c r="I33" s="116"/>
      <c r="J33" s="134"/>
      <c r="K33" s="116"/>
      <c r="L33" s="116"/>
      <c r="M33" s="116"/>
      <c r="N33" s="135"/>
      <c r="O33" s="135"/>
      <c r="P33" s="116"/>
      <c r="Q33" s="116"/>
    </row>
    <row r="34" spans="1:17" x14ac:dyDescent="0.25">
      <c r="A34" s="136"/>
      <c r="B34" s="137"/>
      <c r="C34" s="138"/>
      <c r="D34" s="139" t="str">
        <f>IFERROR(VLOOKUP(C34,LINCE!$A$1:$F$7000,3,FALSE),"")</f>
        <v/>
      </c>
      <c r="E34" s="140"/>
      <c r="F34" s="141"/>
      <c r="G34" s="140"/>
      <c r="H34" s="150"/>
      <c r="I34" s="117"/>
      <c r="J34" s="142"/>
      <c r="K34" s="116"/>
      <c r="L34" s="117"/>
      <c r="M34" s="117"/>
      <c r="N34" s="143"/>
      <c r="O34" s="143"/>
      <c r="P34" s="117"/>
      <c r="Q34" s="117"/>
    </row>
    <row r="35" spans="1:17" ht="24" customHeight="1" x14ac:dyDescent="0.25">
      <c r="A35" s="144">
        <f>COUNTA(A2:A34)</f>
        <v>0</v>
      </c>
      <c r="B35" s="144" t="s">
        <v>9166</v>
      </c>
      <c r="C35" s="144"/>
      <c r="D35" s="160" t="s">
        <v>9755</v>
      </c>
      <c r="E35" s="160"/>
      <c r="F35" s="160"/>
      <c r="G35" s="147">
        <f>SUM(G2:G34)</f>
        <v>0</v>
      </c>
      <c r="H35" s="145"/>
      <c r="I35" s="145"/>
      <c r="J35" s="146"/>
      <c r="K35" s="146"/>
      <c r="L35" s="146"/>
      <c r="M35" s="146"/>
      <c r="N35" s="146"/>
      <c r="O35" s="146"/>
      <c r="P35" s="146"/>
      <c r="Q35" s="146"/>
    </row>
  </sheetData>
  <sheetProtection sheet="1" objects="1" scenarios="1"/>
  <mergeCells count="1">
    <mergeCell ref="D35:F35"/>
  </mergeCells>
  <conditionalFormatting sqref="A2:Q34">
    <cfRule type="expression" dxfId="18" priority="2">
      <formula>$A2&lt;&gt;""</formula>
    </cfRule>
  </conditionalFormatting>
  <pageMargins left="0.25" right="0.25" top="0.75" bottom="0.75" header="0.3" footer="0.3"/>
  <pageSetup paperSize="9" scale="91" orientation="landscape" horizontalDpi="300" verticalDpi="300" r:id="rId1"/>
  <headerFooter>
    <oddHeader>&amp;C&amp;"-,Negrita"&amp;20&amp;F</oddHeader>
  </headerFooter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16</xdr:col>
                    <xdr:colOff>1409700</xdr:colOff>
                    <xdr:row>0</xdr:row>
                    <xdr:rowOff>57150</xdr:rowOff>
                  </from>
                  <to>
                    <xdr:col>16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Q2:Q34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Elegir Color">
          <x14:formula1>
            <xm:f>'Talles y Colores'!$K$3:$K$25</xm:f>
          </x14:formula1>
          <xm:sqref>F2:F34</xm:sqref>
        </x14:dataValidation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Q2:Q34</xm:sqref>
        </x14:dataValidation>
        <x14:dataValidation type="list" allowBlank="1" showInputMessage="1" showErrorMessage="1">
          <x14:formula1>
            <xm:f>Opciones!$B$2:$B$25</xm:f>
          </x14:formula1>
          <xm:sqref>P2:P34</xm:sqref>
        </x14:dataValidation>
        <x14:dataValidation type="list" showInputMessage="1" showErrorMessage="1">
          <x14:formula1>
            <xm:f>Opciones!$C$2:$C$4</xm:f>
          </x14:formula1>
          <xm:sqref>K2:K34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D7" sqref="D7:T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191" t="s">
        <v>15317</v>
      </c>
      <c r="B2" s="194" t="str">
        <f>+Datos!B4</f>
        <v>RERDA S.A.</v>
      </c>
      <c r="C2" s="195"/>
      <c r="D2" s="195"/>
      <c r="E2" s="195"/>
      <c r="F2" s="195"/>
      <c r="G2" s="195"/>
      <c r="H2" s="195"/>
      <c r="I2" s="5"/>
      <c r="J2" s="5"/>
      <c r="K2" s="5"/>
      <c r="L2" s="5"/>
      <c r="M2" s="5"/>
      <c r="N2" s="5"/>
      <c r="O2" s="6"/>
      <c r="P2" s="196"/>
      <c r="Q2" s="197"/>
      <c r="R2" s="197"/>
      <c r="S2" s="197"/>
      <c r="T2" s="197"/>
      <c r="U2" s="198"/>
    </row>
    <row r="3" spans="1:21" ht="14.1" customHeight="1" x14ac:dyDescent="0.25">
      <c r="A3" s="192"/>
      <c r="B3" s="205" t="str">
        <f>+Datos!B6</f>
        <v>San Martín</v>
      </c>
      <c r="C3" s="206"/>
      <c r="D3" s="206"/>
      <c r="E3" s="206"/>
      <c r="F3" s="206"/>
      <c r="G3" s="206">
        <f>+Datos!B7</f>
        <v>1665</v>
      </c>
      <c r="H3" s="206"/>
      <c r="I3" s="206"/>
      <c r="J3" s="7"/>
      <c r="K3" s="8"/>
      <c r="L3" s="9"/>
      <c r="M3" s="207" t="str">
        <f>+Datos!B8</f>
        <v>Mendoza</v>
      </c>
      <c r="N3" s="207"/>
      <c r="O3" s="208"/>
      <c r="P3" s="199"/>
      <c r="Q3" s="200"/>
      <c r="R3" s="200"/>
      <c r="S3" s="200"/>
      <c r="T3" s="200"/>
      <c r="U3" s="201"/>
    </row>
    <row r="4" spans="1:21" ht="14.1" customHeight="1" x14ac:dyDescent="0.25">
      <c r="A4" s="192"/>
      <c r="B4" s="209" t="str">
        <f>+Datos!B9</f>
        <v>Mendoza</v>
      </c>
      <c r="C4" s="207"/>
      <c r="D4" s="207"/>
      <c r="E4" s="207"/>
      <c r="F4" s="207"/>
      <c r="G4" s="207">
        <f>+Datos!B10</f>
        <v>5500</v>
      </c>
      <c r="H4" s="207"/>
      <c r="I4" s="207"/>
      <c r="J4" s="7"/>
      <c r="K4" s="7"/>
      <c r="L4" s="7"/>
      <c r="M4" s="7"/>
      <c r="N4" s="7"/>
      <c r="O4" s="10"/>
      <c r="P4" s="199"/>
      <c r="Q4" s="200"/>
      <c r="R4" s="200"/>
      <c r="S4" s="200"/>
      <c r="T4" s="200"/>
      <c r="U4" s="201"/>
    </row>
    <row r="5" spans="1:21" ht="14.1" customHeight="1" x14ac:dyDescent="0.25">
      <c r="A5" s="192"/>
      <c r="B5" s="210" t="str">
        <f>+Datos!B11</f>
        <v>ventas@rerda.com</v>
      </c>
      <c r="C5" s="211"/>
      <c r="D5" s="211"/>
      <c r="E5" s="211"/>
      <c r="F5" s="211"/>
      <c r="G5" s="211"/>
      <c r="H5" s="211"/>
      <c r="I5" s="11"/>
      <c r="J5" s="11"/>
      <c r="K5" s="12" t="s">
        <v>15318</v>
      </c>
      <c r="L5" s="212">
        <f>+Datos!B5</f>
        <v>30535195869</v>
      </c>
      <c r="M5" s="212"/>
      <c r="N5" s="212"/>
      <c r="O5" s="213"/>
      <c r="P5" s="199"/>
      <c r="Q5" s="200"/>
      <c r="R5" s="200"/>
      <c r="S5" s="200"/>
      <c r="T5" s="200"/>
      <c r="U5" s="201"/>
    </row>
    <row r="6" spans="1:21" ht="14.1" customHeight="1" x14ac:dyDescent="0.25">
      <c r="A6" s="193"/>
      <c r="B6" s="176" t="str">
        <f>+Datos!B12</f>
        <v>0261-4256567 | +549 2615117948</v>
      </c>
      <c r="C6" s="177"/>
      <c r="D6" s="177"/>
      <c r="E6" s="177"/>
      <c r="F6" s="177"/>
      <c r="G6" s="177"/>
      <c r="H6" s="177"/>
      <c r="I6" s="13"/>
      <c r="J6" s="13"/>
      <c r="K6" s="14" t="s">
        <v>15319</v>
      </c>
      <c r="L6" s="178">
        <f>+Datos!B3</f>
        <v>20355</v>
      </c>
      <c r="M6" s="178"/>
      <c r="N6" s="178"/>
      <c r="O6" s="179"/>
      <c r="P6" s="202"/>
      <c r="Q6" s="203"/>
      <c r="R6" s="203"/>
      <c r="S6" s="203"/>
      <c r="T6" s="203"/>
      <c r="U6" s="204"/>
    </row>
    <row r="7" spans="1:21" ht="14.1" customHeight="1" x14ac:dyDescent="0.25">
      <c r="A7" s="15"/>
      <c r="B7" s="180" t="s">
        <v>15320</v>
      </c>
      <c r="C7" s="180"/>
      <c r="D7" s="181" t="s">
        <v>12355</v>
      </c>
      <c r="E7" s="181"/>
      <c r="F7" s="181"/>
      <c r="G7" s="181"/>
      <c r="H7" s="181"/>
      <c r="I7" s="181"/>
      <c r="J7" s="181"/>
      <c r="K7" s="181"/>
      <c r="L7" s="181"/>
      <c r="M7" s="181"/>
      <c r="N7" s="181"/>
      <c r="O7" s="181"/>
      <c r="P7" s="181"/>
      <c r="Q7" s="181"/>
      <c r="R7" s="181"/>
      <c r="S7" s="181"/>
      <c r="T7" s="181"/>
      <c r="U7" s="16"/>
    </row>
    <row r="8" spans="1:21" ht="14.1" customHeight="1" x14ac:dyDescent="0.25">
      <c r="A8" s="182" t="s">
        <v>15321</v>
      </c>
      <c r="B8" s="183"/>
      <c r="C8" s="183"/>
      <c r="D8" s="183"/>
      <c r="E8" s="183"/>
      <c r="F8" s="183"/>
      <c r="G8" s="183"/>
      <c r="H8" s="183"/>
      <c r="I8" s="183"/>
      <c r="J8" s="183"/>
      <c r="K8" s="183"/>
      <c r="L8" s="183"/>
      <c r="M8" s="183"/>
      <c r="N8" s="183"/>
      <c r="O8" s="183"/>
      <c r="P8" s="183"/>
      <c r="Q8" s="183"/>
      <c r="R8" s="183"/>
      <c r="S8" s="183"/>
      <c r="T8" s="183"/>
      <c r="U8" s="184"/>
    </row>
    <row r="9" spans="1:21" ht="14.1" customHeight="1" x14ac:dyDescent="0.25">
      <c r="A9" s="185"/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6"/>
      <c r="S9" s="186"/>
      <c r="T9" s="186"/>
      <c r="U9" s="187"/>
    </row>
    <row r="10" spans="1:21" ht="14.1" customHeight="1" x14ac:dyDescent="0.25">
      <c r="A10" s="188"/>
      <c r="B10" s="189"/>
      <c r="C10" s="189"/>
      <c r="D10" s="189"/>
      <c r="E10" s="189"/>
      <c r="F10" s="189"/>
      <c r="G10" s="189"/>
      <c r="H10" s="189"/>
      <c r="I10" s="189"/>
      <c r="J10" s="189"/>
      <c r="K10" s="189"/>
      <c r="L10" s="189"/>
      <c r="M10" s="189"/>
      <c r="N10" s="189"/>
      <c r="O10" s="189"/>
      <c r="P10" s="189"/>
      <c r="Q10" s="189"/>
      <c r="R10" s="189"/>
      <c r="S10" s="189"/>
      <c r="T10" s="189"/>
      <c r="U10" s="190"/>
    </row>
    <row r="11" spans="1:21" ht="4.5" customHeight="1" x14ac:dyDescent="0.25">
      <c r="A11" s="17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9"/>
    </row>
    <row r="12" spans="1:21" ht="4.5" customHeight="1" x14ac:dyDescent="0.25">
      <c r="A12" s="17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9"/>
    </row>
    <row r="13" spans="1:21" ht="4.5" customHeight="1" x14ac:dyDescent="0.25">
      <c r="A13" s="20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2"/>
    </row>
    <row r="14" spans="1:21" ht="14.1" customHeight="1" x14ac:dyDescent="0.25">
      <c r="A14" s="161" t="s">
        <v>15322</v>
      </c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4"/>
      <c r="M14" s="24"/>
      <c r="N14" s="24"/>
      <c r="O14" s="24"/>
      <c r="P14" s="24"/>
      <c r="Q14" s="25"/>
      <c r="R14" s="25"/>
      <c r="S14" s="25"/>
      <c r="T14" s="25"/>
      <c r="U14" s="26"/>
    </row>
    <row r="15" spans="1:21" ht="14.1" customHeight="1" x14ac:dyDescent="0.25">
      <c r="A15" s="161"/>
      <c r="B15" s="27"/>
      <c r="C15" s="27"/>
      <c r="D15" s="27"/>
      <c r="E15" s="27"/>
      <c r="F15" s="27"/>
      <c r="G15" s="27"/>
      <c r="H15" s="27"/>
      <c r="I15" s="27"/>
      <c r="J15" s="28"/>
      <c r="K15" s="28"/>
      <c r="L15" s="163" t="s">
        <v>15323</v>
      </c>
      <c r="M15" s="163"/>
      <c r="N15" s="163"/>
      <c r="O15" s="163"/>
      <c r="P15" s="164">
        <v>12654987</v>
      </c>
      <c r="Q15" s="165"/>
      <c r="R15" s="165"/>
      <c r="S15" s="165"/>
      <c r="T15" s="165"/>
      <c r="U15" s="26"/>
    </row>
    <row r="16" spans="1:21" ht="14.1" customHeight="1" x14ac:dyDescent="0.25">
      <c r="A16" s="161"/>
      <c r="B16" s="29"/>
      <c r="C16" s="166" t="s">
        <v>15508</v>
      </c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7"/>
      <c r="O16" s="167"/>
      <c r="P16" s="167"/>
      <c r="Q16" s="167"/>
      <c r="R16" s="167"/>
      <c r="S16" s="167"/>
      <c r="T16" s="167"/>
      <c r="U16" s="16"/>
    </row>
    <row r="17" spans="1:21" ht="14.1" customHeight="1" x14ac:dyDescent="0.25">
      <c r="A17" s="161"/>
      <c r="B17" s="29"/>
      <c r="C17" s="167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67"/>
      <c r="O17" s="167"/>
      <c r="P17" s="167"/>
      <c r="Q17" s="167"/>
      <c r="R17" s="167"/>
      <c r="S17" s="167"/>
      <c r="T17" s="167"/>
      <c r="U17" s="16"/>
    </row>
    <row r="18" spans="1:21" ht="14.1" customHeight="1" x14ac:dyDescent="0.25">
      <c r="A18" s="161"/>
      <c r="B18" s="23"/>
      <c r="C18" s="168" t="s">
        <v>15509</v>
      </c>
      <c r="D18" s="168"/>
      <c r="E18" s="168"/>
      <c r="F18" s="168"/>
      <c r="G18" s="168"/>
      <c r="H18" s="168"/>
      <c r="I18" s="168"/>
      <c r="J18" s="168"/>
      <c r="K18" s="168"/>
      <c r="L18" s="168"/>
      <c r="M18" s="168"/>
      <c r="N18" s="168"/>
      <c r="O18" s="168"/>
      <c r="P18" s="168"/>
      <c r="Q18" s="168"/>
      <c r="R18" s="168"/>
      <c r="S18" s="168"/>
      <c r="T18" s="168"/>
      <c r="U18" s="16"/>
    </row>
    <row r="19" spans="1:21" ht="14.1" customHeight="1" x14ac:dyDescent="0.25">
      <c r="A19" s="161"/>
      <c r="B19" s="23"/>
      <c r="C19" s="168"/>
      <c r="D19" s="168"/>
      <c r="E19" s="168"/>
      <c r="F19" s="168"/>
      <c r="G19" s="168"/>
      <c r="H19" s="168"/>
      <c r="I19" s="168"/>
      <c r="J19" s="168"/>
      <c r="K19" s="168"/>
      <c r="L19" s="168"/>
      <c r="M19" s="168"/>
      <c r="N19" s="168"/>
      <c r="O19" s="168"/>
      <c r="P19" s="168"/>
      <c r="Q19" s="168"/>
      <c r="R19" s="168"/>
      <c r="S19" s="168"/>
      <c r="T19" s="168"/>
      <c r="U19" s="16"/>
    </row>
    <row r="20" spans="1:21" ht="14.1" customHeight="1" x14ac:dyDescent="0.25">
      <c r="A20" s="161"/>
      <c r="B20" s="23"/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  <c r="R20" s="168"/>
      <c r="S20" s="168"/>
      <c r="T20" s="168"/>
      <c r="U20" s="16"/>
    </row>
    <row r="21" spans="1:21" ht="14.1" customHeight="1" x14ac:dyDescent="0.25">
      <c r="A21" s="161"/>
      <c r="B21" s="30"/>
      <c r="C21" s="169" t="s">
        <v>15324</v>
      </c>
      <c r="D21" s="169"/>
      <c r="E21" s="170">
        <v>5001</v>
      </c>
      <c r="F21" s="171"/>
      <c r="G21" s="172" t="s">
        <v>15510</v>
      </c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6"/>
    </row>
    <row r="22" spans="1:21" ht="14.1" customHeight="1" x14ac:dyDescent="0.25">
      <c r="A22" s="161"/>
      <c r="B22" s="30"/>
      <c r="C22" s="169"/>
      <c r="D22" s="169"/>
      <c r="E22" s="171"/>
      <c r="F22" s="171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6"/>
    </row>
    <row r="23" spans="1:21" ht="14.1" customHeight="1" x14ac:dyDescent="0.25">
      <c r="A23" s="161"/>
      <c r="B23" s="31"/>
      <c r="C23" s="173" t="s">
        <v>15510</v>
      </c>
      <c r="D23" s="173"/>
      <c r="E23" s="173"/>
      <c r="F23" s="173"/>
      <c r="G23" s="173"/>
      <c r="H23" s="173"/>
      <c r="I23" s="173"/>
      <c r="J23" s="173"/>
      <c r="K23" s="32"/>
      <c r="L23" s="174" t="s">
        <v>15325</v>
      </c>
      <c r="M23" s="174"/>
      <c r="N23" s="174"/>
      <c r="O23" s="174"/>
      <c r="P23" s="175">
        <v>123456789</v>
      </c>
      <c r="Q23" s="175"/>
      <c r="R23" s="175"/>
      <c r="S23" s="175"/>
      <c r="T23" s="175"/>
      <c r="U23" s="16"/>
    </row>
    <row r="24" spans="1:21" ht="14.1" customHeight="1" x14ac:dyDescent="0.25">
      <c r="A24" s="161"/>
      <c r="B24" s="31"/>
      <c r="C24" s="173"/>
      <c r="D24" s="173"/>
      <c r="E24" s="173"/>
      <c r="F24" s="173"/>
      <c r="G24" s="173"/>
      <c r="H24" s="173"/>
      <c r="I24" s="173"/>
      <c r="J24" s="173"/>
      <c r="K24" s="32"/>
      <c r="L24" s="174"/>
      <c r="M24" s="174"/>
      <c r="N24" s="174"/>
      <c r="O24" s="174"/>
      <c r="P24" s="175"/>
      <c r="Q24" s="175"/>
      <c r="R24" s="175"/>
      <c r="S24" s="175"/>
      <c r="T24" s="175"/>
      <c r="U24" s="16"/>
    </row>
    <row r="25" spans="1:21" ht="14.1" customHeight="1" thickBot="1" x14ac:dyDescent="0.3">
      <c r="A25" s="162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4"/>
    </row>
  </sheetData>
  <sheetProtection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A8" sqref="A8:V10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25" t="s">
        <v>15317</v>
      </c>
      <c r="B2" s="41"/>
      <c r="C2" s="228" t="str">
        <f>+Datos!B4</f>
        <v>RERDA S.A.</v>
      </c>
      <c r="D2" s="229"/>
      <c r="E2" s="229"/>
      <c r="F2" s="229"/>
      <c r="G2" s="229"/>
      <c r="H2" s="229"/>
      <c r="I2" s="229"/>
      <c r="J2" s="42"/>
      <c r="K2" s="42"/>
      <c r="L2" s="42"/>
      <c r="M2" s="42"/>
      <c r="N2" s="42"/>
      <c r="O2" s="42"/>
      <c r="P2" s="43"/>
      <c r="Q2" s="230"/>
      <c r="R2" s="231"/>
      <c r="S2" s="231"/>
      <c r="T2" s="231"/>
      <c r="U2" s="231"/>
      <c r="V2" s="232"/>
    </row>
    <row r="3" spans="1:22" ht="14.1" customHeight="1" x14ac:dyDescent="0.25">
      <c r="A3" s="226"/>
      <c r="B3" s="44"/>
      <c r="C3" s="239" t="str">
        <f>+Datos!B6</f>
        <v>San Martín</v>
      </c>
      <c r="D3" s="240"/>
      <c r="E3" s="240"/>
      <c r="F3" s="240"/>
      <c r="G3" s="240"/>
      <c r="H3" s="240">
        <f>+Datos!B7</f>
        <v>1665</v>
      </c>
      <c r="I3" s="240"/>
      <c r="J3" s="240"/>
      <c r="K3" s="45"/>
      <c r="M3" s="46"/>
      <c r="N3" s="241" t="str">
        <f>+Datos!B8</f>
        <v>Mendoza</v>
      </c>
      <c r="O3" s="241"/>
      <c r="P3" s="242"/>
      <c r="Q3" s="233"/>
      <c r="R3" s="234"/>
      <c r="S3" s="234"/>
      <c r="T3" s="234"/>
      <c r="U3" s="234"/>
      <c r="V3" s="235"/>
    </row>
    <row r="4" spans="1:22" ht="14.1" customHeight="1" x14ac:dyDescent="0.25">
      <c r="A4" s="226"/>
      <c r="B4" s="44"/>
      <c r="C4" s="243" t="str">
        <f>+Datos!B9</f>
        <v>Mendoza</v>
      </c>
      <c r="D4" s="241"/>
      <c r="E4" s="241"/>
      <c r="F4" s="241"/>
      <c r="G4" s="241"/>
      <c r="H4" s="241">
        <f>+Datos!B10</f>
        <v>5500</v>
      </c>
      <c r="I4" s="241"/>
      <c r="J4" s="241"/>
      <c r="K4" s="45"/>
      <c r="L4" s="45"/>
      <c r="M4" s="45"/>
      <c r="N4" s="45"/>
      <c r="O4" s="45"/>
      <c r="P4" s="47"/>
      <c r="Q4" s="233"/>
      <c r="R4" s="234"/>
      <c r="S4" s="234"/>
      <c r="T4" s="234"/>
      <c r="U4" s="234"/>
      <c r="V4" s="235"/>
    </row>
    <row r="5" spans="1:22" ht="14.1" customHeight="1" x14ac:dyDescent="0.25">
      <c r="A5" s="226"/>
      <c r="B5" s="44"/>
      <c r="C5" s="244" t="str">
        <f>+Datos!B11</f>
        <v>ventas@rerda.com</v>
      </c>
      <c r="D5" s="245"/>
      <c r="E5" s="245"/>
      <c r="F5" s="245"/>
      <c r="G5" s="245"/>
      <c r="H5" s="245"/>
      <c r="I5" s="245"/>
      <c r="J5" s="48"/>
      <c r="K5" s="48"/>
      <c r="L5" s="49" t="s">
        <v>15318</v>
      </c>
      <c r="M5" s="246">
        <f>+Datos!B5</f>
        <v>30535195869</v>
      </c>
      <c r="N5" s="246"/>
      <c r="O5" s="246"/>
      <c r="P5" s="247"/>
      <c r="Q5" s="233"/>
      <c r="R5" s="234"/>
      <c r="S5" s="234"/>
      <c r="T5" s="234"/>
      <c r="U5" s="234"/>
      <c r="V5" s="235"/>
    </row>
    <row r="6" spans="1:22" ht="14.1" customHeight="1" x14ac:dyDescent="0.25">
      <c r="A6" s="227"/>
      <c r="B6" s="50"/>
      <c r="C6" s="248" t="str">
        <f>+Datos!B12</f>
        <v>0261-4256567 | +549 2615117948</v>
      </c>
      <c r="D6" s="249"/>
      <c r="E6" s="249"/>
      <c r="F6" s="249"/>
      <c r="G6" s="249"/>
      <c r="H6" s="249"/>
      <c r="I6" s="249"/>
      <c r="J6" s="51"/>
      <c r="K6" s="51"/>
      <c r="L6" s="52" t="s">
        <v>15319</v>
      </c>
      <c r="M6" s="250">
        <f>+Datos!B3</f>
        <v>20355</v>
      </c>
      <c r="N6" s="250"/>
      <c r="O6" s="250"/>
      <c r="P6" s="251"/>
      <c r="Q6" s="236"/>
      <c r="R6" s="237"/>
      <c r="S6" s="237"/>
      <c r="T6" s="237"/>
      <c r="U6" s="237"/>
      <c r="V6" s="238"/>
    </row>
    <row r="7" spans="1:22" ht="14.1" customHeight="1" x14ac:dyDescent="0.25">
      <c r="A7" s="53"/>
      <c r="B7" s="54"/>
      <c r="C7" s="214" t="s">
        <v>15320</v>
      </c>
      <c r="D7" s="214"/>
      <c r="E7" s="215" t="s">
        <v>12355</v>
      </c>
      <c r="F7" s="215"/>
      <c r="G7" s="215"/>
      <c r="H7" s="215"/>
      <c r="I7" s="215"/>
      <c r="J7" s="215"/>
      <c r="K7" s="215"/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55"/>
    </row>
    <row r="8" spans="1:22" ht="14.1" customHeight="1" x14ac:dyDescent="0.25">
      <c r="A8" s="216" t="s">
        <v>15340</v>
      </c>
      <c r="B8" s="217"/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7"/>
      <c r="V8" s="218"/>
    </row>
    <row r="9" spans="1:22" ht="14.1" customHeight="1" x14ac:dyDescent="0.25">
      <c r="A9" s="219"/>
      <c r="B9" s="220"/>
      <c r="C9" s="220"/>
      <c r="D9" s="220"/>
      <c r="E9" s="220"/>
      <c r="F9" s="220"/>
      <c r="G9" s="220"/>
      <c r="H9" s="220"/>
      <c r="I9" s="220"/>
      <c r="J9" s="220"/>
      <c r="K9" s="220"/>
      <c r="L9" s="220"/>
      <c r="M9" s="220"/>
      <c r="N9" s="220"/>
      <c r="O9" s="220"/>
      <c r="P9" s="220"/>
      <c r="Q9" s="220"/>
      <c r="R9" s="220"/>
      <c r="S9" s="220"/>
      <c r="T9" s="220"/>
      <c r="U9" s="220"/>
      <c r="V9" s="221"/>
    </row>
    <row r="10" spans="1:22" ht="14.1" customHeight="1" x14ac:dyDescent="0.25">
      <c r="A10" s="222"/>
      <c r="B10" s="223"/>
      <c r="C10" s="223"/>
      <c r="D10" s="223"/>
      <c r="E10" s="223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  <c r="T10" s="223"/>
      <c r="U10" s="223"/>
      <c r="V10" s="224"/>
    </row>
    <row r="11" spans="1:22" ht="14.1" customHeight="1" x14ac:dyDescent="0.25">
      <c r="A11" s="56"/>
      <c r="B11" s="57"/>
      <c r="C11" s="58"/>
      <c r="D11" s="58"/>
      <c r="E11" s="58"/>
      <c r="F11" s="58"/>
      <c r="G11" s="58"/>
      <c r="H11" s="58"/>
      <c r="I11" s="58"/>
      <c r="J11" s="58"/>
      <c r="K11" s="59"/>
      <c r="L11" s="59"/>
      <c r="M11" s="60"/>
      <c r="N11" s="60"/>
      <c r="O11" s="60"/>
      <c r="P11" s="60"/>
      <c r="Q11" s="60"/>
      <c r="R11" s="60"/>
      <c r="S11" s="60"/>
      <c r="T11" s="60"/>
      <c r="U11" s="60"/>
      <c r="V11" s="61"/>
    </row>
    <row r="12" spans="1:22" ht="14.1" customHeight="1" x14ac:dyDescent="0.25">
      <c r="A12" s="62"/>
      <c r="B12" s="63"/>
      <c r="C12" s="273" t="s">
        <v>15341</v>
      </c>
      <c r="D12" s="273"/>
      <c r="E12" s="273"/>
      <c r="F12" s="273"/>
      <c r="G12" s="273"/>
      <c r="H12" s="273"/>
      <c r="I12" s="273"/>
      <c r="J12" s="273"/>
      <c r="K12" s="273"/>
      <c r="L12" s="273"/>
      <c r="M12" s="273"/>
      <c r="N12" s="64"/>
      <c r="O12" s="65"/>
      <c r="P12" s="284" t="s">
        <v>15342</v>
      </c>
      <c r="Q12" s="284"/>
      <c r="R12" s="284"/>
      <c r="S12" s="284"/>
      <c r="T12" s="284"/>
      <c r="U12" s="284"/>
      <c r="V12" s="66"/>
    </row>
    <row r="13" spans="1:22" ht="14.1" customHeight="1" x14ac:dyDescent="0.25">
      <c r="A13" s="67"/>
      <c r="B13" s="68"/>
      <c r="C13" s="274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69"/>
      <c r="O13" s="65"/>
      <c r="P13" s="284"/>
      <c r="Q13" s="284"/>
      <c r="R13" s="284"/>
      <c r="S13" s="284"/>
      <c r="T13" s="284"/>
      <c r="U13" s="284"/>
      <c r="V13" s="66"/>
    </row>
    <row r="14" spans="1:22" ht="14.1" customHeight="1" x14ac:dyDescent="0.25">
      <c r="A14" s="70"/>
      <c r="B14" s="71"/>
      <c r="C14" s="72"/>
      <c r="D14" s="73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5"/>
    </row>
    <row r="15" spans="1:22" ht="14.1" customHeight="1" x14ac:dyDescent="0.25">
      <c r="A15" s="252" t="s">
        <v>15322</v>
      </c>
      <c r="B15" s="76"/>
      <c r="C15" s="77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9"/>
    </row>
    <row r="16" spans="1:22" ht="14.1" customHeight="1" x14ac:dyDescent="0.25">
      <c r="A16" s="253"/>
      <c r="B16" s="76"/>
      <c r="C16" s="255" t="s">
        <v>15508</v>
      </c>
      <c r="D16" s="256"/>
      <c r="E16" s="256"/>
      <c r="F16" s="256"/>
      <c r="G16" s="256"/>
      <c r="H16" s="256"/>
      <c r="I16" s="256"/>
      <c r="J16" s="256"/>
      <c r="K16" s="256"/>
      <c r="L16" s="256"/>
      <c r="M16" s="256"/>
      <c r="N16" s="256"/>
      <c r="O16" s="259" t="s">
        <v>15323</v>
      </c>
      <c r="P16" s="259"/>
      <c r="Q16" s="259"/>
      <c r="R16" s="260">
        <v>12654987</v>
      </c>
      <c r="S16" s="261"/>
      <c r="T16" s="261"/>
      <c r="U16" s="262"/>
      <c r="V16" s="79"/>
    </row>
    <row r="17" spans="1:22" ht="14.1" customHeight="1" x14ac:dyDescent="0.25">
      <c r="A17" s="253"/>
      <c r="B17" s="76"/>
      <c r="C17" s="257"/>
      <c r="D17" s="258"/>
      <c r="E17" s="258"/>
      <c r="F17" s="258"/>
      <c r="G17" s="258"/>
      <c r="H17" s="258"/>
      <c r="I17" s="258"/>
      <c r="J17" s="258"/>
      <c r="K17" s="258"/>
      <c r="L17" s="258"/>
      <c r="M17" s="258"/>
      <c r="N17" s="258"/>
      <c r="O17" s="80"/>
      <c r="P17" s="81"/>
      <c r="Q17" s="81"/>
      <c r="R17" s="81"/>
      <c r="S17" s="81"/>
      <c r="T17" s="81"/>
      <c r="U17" s="82"/>
      <c r="V17" s="79"/>
    </row>
    <row r="18" spans="1:22" ht="14.1" customHeight="1" x14ac:dyDescent="0.25">
      <c r="A18" s="253"/>
      <c r="B18" s="76"/>
      <c r="C18" s="263" t="s">
        <v>15343</v>
      </c>
      <c r="D18" s="264"/>
      <c r="E18" s="264"/>
      <c r="F18" s="265" t="str">
        <f>VLOOKUP(S18,Sucursales!A:B,2,FALSE)</f>
        <v>CORDOBA 1</v>
      </c>
      <c r="G18" s="265"/>
      <c r="H18" s="265"/>
      <c r="I18" s="265"/>
      <c r="J18" s="265"/>
      <c r="K18" s="265"/>
      <c r="L18" s="265"/>
      <c r="M18" s="265"/>
      <c r="N18" s="80"/>
      <c r="O18" s="266" t="s">
        <v>9757</v>
      </c>
      <c r="P18" s="266"/>
      <c r="Q18" s="266"/>
      <c r="R18" s="266"/>
      <c r="S18" s="267" t="s">
        <v>11991</v>
      </c>
      <c r="T18" s="267"/>
      <c r="U18" s="268"/>
      <c r="V18" s="79"/>
    </row>
    <row r="19" spans="1:22" ht="14.1" customHeight="1" x14ac:dyDescent="0.25">
      <c r="A19" s="253"/>
      <c r="B19" s="76"/>
      <c r="C19" s="269" t="s">
        <v>15344</v>
      </c>
      <c r="D19" s="270"/>
      <c r="E19" s="270"/>
      <c r="F19" s="265"/>
      <c r="G19" s="265"/>
      <c r="H19" s="265"/>
      <c r="I19" s="265"/>
      <c r="J19" s="265"/>
      <c r="K19" s="265"/>
      <c r="L19" s="265"/>
      <c r="M19" s="265"/>
      <c r="N19" s="83"/>
      <c r="O19" s="266"/>
      <c r="P19" s="266"/>
      <c r="Q19" s="266"/>
      <c r="R19" s="266"/>
      <c r="S19" s="267"/>
      <c r="T19" s="267"/>
      <c r="U19" s="268"/>
      <c r="V19" s="79"/>
    </row>
    <row r="20" spans="1:22" ht="14.1" customHeight="1" x14ac:dyDescent="0.25">
      <c r="A20" s="253"/>
      <c r="B20" s="76"/>
      <c r="C20" s="271" t="str">
        <f>VLOOKUP(S18,Sucursales!A:G,6,FALSE)</f>
        <v>X5001ZAA</v>
      </c>
      <c r="D20" s="272"/>
      <c r="E20" s="272"/>
      <c r="F20" s="272"/>
      <c r="H20" s="275" t="str">
        <f>VLOOKUP(S18,Sucursales!A:H,7,FALSE)</f>
        <v>CORDOBA</v>
      </c>
      <c r="I20" s="275"/>
      <c r="J20" s="275"/>
      <c r="K20" s="275"/>
      <c r="L20" s="275"/>
      <c r="M20" s="275"/>
      <c r="N20" s="275"/>
      <c r="O20" s="275"/>
      <c r="P20" s="275"/>
      <c r="Q20" s="275"/>
      <c r="R20" s="275"/>
      <c r="S20" s="275"/>
      <c r="T20" s="275"/>
      <c r="U20" s="276"/>
      <c r="V20" s="79"/>
    </row>
    <row r="21" spans="1:22" ht="14.1" customHeight="1" x14ac:dyDescent="0.25">
      <c r="A21" s="253"/>
      <c r="B21" s="76"/>
      <c r="C21" s="277" t="str">
        <f>VLOOKUP(S18,Sucursales!A:H,8,FALSE)</f>
        <v>CORDOBA</v>
      </c>
      <c r="D21" s="265"/>
      <c r="E21" s="265"/>
      <c r="F21" s="265"/>
      <c r="G21" s="265"/>
      <c r="H21" s="265"/>
      <c r="I21" s="265"/>
      <c r="J21" s="265"/>
      <c r="K21" s="265"/>
      <c r="L21" s="265"/>
      <c r="M21" s="265"/>
      <c r="N21" s="83"/>
      <c r="O21" s="84"/>
      <c r="P21" s="84"/>
      <c r="Q21" s="85"/>
      <c r="R21" s="85"/>
      <c r="S21" s="85"/>
      <c r="T21" s="85"/>
      <c r="U21" s="86"/>
      <c r="V21" s="79"/>
    </row>
    <row r="22" spans="1:22" ht="14.1" customHeight="1" x14ac:dyDescent="0.25">
      <c r="A22" s="253"/>
      <c r="B22" s="76"/>
      <c r="C22" s="278"/>
      <c r="D22" s="279"/>
      <c r="E22" s="279"/>
      <c r="F22" s="279"/>
      <c r="G22" s="279"/>
      <c r="H22" s="279"/>
      <c r="I22" s="279"/>
      <c r="J22" s="279"/>
      <c r="K22" s="279"/>
      <c r="L22" s="279"/>
      <c r="M22" s="279"/>
      <c r="N22" s="280" t="s">
        <v>15345</v>
      </c>
      <c r="O22" s="280"/>
      <c r="P22" s="280"/>
      <c r="Q22" s="280"/>
      <c r="R22" s="281">
        <v>123456789</v>
      </c>
      <c r="S22" s="282"/>
      <c r="T22" s="282"/>
      <c r="U22" s="283"/>
      <c r="V22" s="79"/>
    </row>
    <row r="23" spans="1:22" ht="14.1" customHeight="1" thickBot="1" x14ac:dyDescent="0.3">
      <c r="A23" s="254"/>
      <c r="B23" s="87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9"/>
    </row>
  </sheetData>
  <sheetProtection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E7" sqref="E7:U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25" t="s">
        <v>15317</v>
      </c>
      <c r="B2" s="41"/>
      <c r="C2" s="294" t="str">
        <f>+Datos!B4</f>
        <v>RERDA S.A.</v>
      </c>
      <c r="D2" s="295"/>
      <c r="E2" s="295"/>
      <c r="F2" s="295"/>
      <c r="G2" s="295"/>
      <c r="H2" s="296" t="s">
        <v>15346</v>
      </c>
      <c r="I2" s="296"/>
      <c r="J2" s="296"/>
      <c r="K2" s="296"/>
      <c r="L2" s="296"/>
      <c r="M2" s="296"/>
      <c r="N2" s="296"/>
      <c r="O2" s="296"/>
      <c r="P2" s="297"/>
      <c r="Q2" s="230"/>
      <c r="R2" s="231"/>
      <c r="S2" s="231"/>
      <c r="T2" s="231"/>
      <c r="U2" s="231"/>
      <c r="V2" s="232"/>
    </row>
    <row r="3" spans="1:22" ht="14.1" customHeight="1" x14ac:dyDescent="0.25">
      <c r="A3" s="226"/>
      <c r="B3" s="44"/>
      <c r="C3" s="239" t="str">
        <f>+Datos!B6</f>
        <v>San Martín</v>
      </c>
      <c r="D3" s="240"/>
      <c r="E3" s="240"/>
      <c r="F3" s="240"/>
      <c r="G3" s="240"/>
      <c r="H3" s="240">
        <f>+Datos!B7</f>
        <v>1665</v>
      </c>
      <c r="I3" s="240"/>
      <c r="J3" s="240"/>
      <c r="K3" s="45"/>
      <c r="M3" s="46"/>
      <c r="N3" s="241" t="str">
        <f>+Datos!B8</f>
        <v>Mendoza</v>
      </c>
      <c r="O3" s="241"/>
      <c r="P3" s="242"/>
      <c r="Q3" s="233"/>
      <c r="R3" s="234"/>
      <c r="S3" s="234"/>
      <c r="T3" s="234"/>
      <c r="U3" s="234"/>
      <c r="V3" s="235"/>
    </row>
    <row r="4" spans="1:22" ht="14.1" customHeight="1" x14ac:dyDescent="0.25">
      <c r="A4" s="226"/>
      <c r="B4" s="44"/>
      <c r="C4" s="243" t="str">
        <f>+Datos!B9</f>
        <v>Mendoza</v>
      </c>
      <c r="D4" s="241"/>
      <c r="E4" s="241"/>
      <c r="F4" s="241"/>
      <c r="G4" s="241"/>
      <c r="H4" s="241">
        <f>+Datos!B10</f>
        <v>5500</v>
      </c>
      <c r="I4" s="241"/>
      <c r="J4" s="241"/>
      <c r="K4" s="45"/>
      <c r="L4" s="45"/>
      <c r="M4" s="45"/>
      <c r="N4" s="45"/>
      <c r="O4" s="45"/>
      <c r="P4" s="47"/>
      <c r="Q4" s="233"/>
      <c r="R4" s="234"/>
      <c r="S4" s="234"/>
      <c r="T4" s="234"/>
      <c r="U4" s="234"/>
      <c r="V4" s="235"/>
    </row>
    <row r="5" spans="1:22" ht="14.1" customHeight="1" x14ac:dyDescent="0.25">
      <c r="A5" s="226"/>
      <c r="B5" s="44"/>
      <c r="C5" s="244" t="str">
        <f>+Datos!B11</f>
        <v>ventas@rerda.com</v>
      </c>
      <c r="D5" s="245"/>
      <c r="E5" s="245"/>
      <c r="F5" s="245"/>
      <c r="G5" s="245"/>
      <c r="H5" s="245"/>
      <c r="I5" s="245"/>
      <c r="J5" s="48"/>
      <c r="K5" s="48"/>
      <c r="L5" s="49" t="s">
        <v>15318</v>
      </c>
      <c r="M5" s="246">
        <f>+Datos!B5</f>
        <v>30535195869</v>
      </c>
      <c r="N5" s="246"/>
      <c r="O5" s="246"/>
      <c r="P5" s="247"/>
      <c r="Q5" s="233"/>
      <c r="R5" s="234"/>
      <c r="S5" s="234"/>
      <c r="T5" s="234"/>
      <c r="U5" s="234"/>
      <c r="V5" s="235"/>
    </row>
    <row r="6" spans="1:22" ht="14.1" customHeight="1" x14ac:dyDescent="0.25">
      <c r="A6" s="227"/>
      <c r="B6" s="50"/>
      <c r="C6" s="248" t="str">
        <f>+Datos!B12</f>
        <v>0261-4256567 | +549 2615117948</v>
      </c>
      <c r="D6" s="249"/>
      <c r="E6" s="249"/>
      <c r="F6" s="249"/>
      <c r="G6" s="249"/>
      <c r="H6" s="249"/>
      <c r="I6" s="249"/>
      <c r="J6" s="51"/>
      <c r="K6" s="51"/>
      <c r="L6" s="52" t="s">
        <v>15319</v>
      </c>
      <c r="M6" s="250">
        <f>+Datos!B3</f>
        <v>20355</v>
      </c>
      <c r="N6" s="250"/>
      <c r="O6" s="250"/>
      <c r="P6" s="251"/>
      <c r="Q6" s="236"/>
      <c r="R6" s="237"/>
      <c r="S6" s="237"/>
      <c r="T6" s="237"/>
      <c r="U6" s="237"/>
      <c r="V6" s="238"/>
    </row>
    <row r="7" spans="1:22" ht="14.1" customHeight="1" x14ac:dyDescent="0.25">
      <c r="A7" s="53"/>
      <c r="B7" s="54"/>
      <c r="C7" s="214" t="s">
        <v>15320</v>
      </c>
      <c r="D7" s="214"/>
      <c r="E7" s="181" t="s">
        <v>12355</v>
      </c>
      <c r="F7" s="181"/>
      <c r="G7" s="181"/>
      <c r="H7" s="181"/>
      <c r="I7" s="181"/>
      <c r="J7" s="181"/>
      <c r="K7" s="181"/>
      <c r="L7" s="181"/>
      <c r="M7" s="181"/>
      <c r="N7" s="181"/>
      <c r="O7" s="181"/>
      <c r="P7" s="181"/>
      <c r="Q7" s="181"/>
      <c r="R7" s="181"/>
      <c r="S7" s="181"/>
      <c r="T7" s="181"/>
      <c r="U7" s="181"/>
      <c r="V7" s="55"/>
    </row>
    <row r="8" spans="1:22" ht="14.1" customHeight="1" x14ac:dyDescent="0.25">
      <c r="A8" s="285" t="s">
        <v>15347</v>
      </c>
      <c r="B8" s="286"/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7"/>
    </row>
    <row r="9" spans="1:22" ht="14.1" customHeight="1" x14ac:dyDescent="0.25">
      <c r="A9" s="288"/>
      <c r="B9" s="289"/>
      <c r="C9" s="289"/>
      <c r="D9" s="289"/>
      <c r="E9" s="289"/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290"/>
    </row>
    <row r="10" spans="1:22" ht="14.1" customHeight="1" x14ac:dyDescent="0.25">
      <c r="A10" s="291"/>
      <c r="B10" s="292"/>
      <c r="C10" s="292"/>
      <c r="D10" s="292"/>
      <c r="E10" s="292"/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3"/>
    </row>
    <row r="11" spans="1:22" ht="14.1" customHeight="1" x14ac:dyDescent="0.25">
      <c r="A11" s="56"/>
      <c r="B11" s="57"/>
      <c r="C11" s="58"/>
      <c r="D11" s="58"/>
      <c r="E11" s="58"/>
      <c r="F11" s="58"/>
      <c r="G11" s="58"/>
      <c r="H11" s="58"/>
      <c r="I11" s="58"/>
      <c r="J11" s="58"/>
      <c r="K11" s="59"/>
      <c r="L11" s="59"/>
      <c r="M11" s="60"/>
      <c r="N11" s="60"/>
      <c r="O11" s="60"/>
      <c r="P11" s="60"/>
      <c r="Q11" s="60"/>
      <c r="R11" s="60"/>
      <c r="S11" s="60"/>
      <c r="T11" s="60"/>
      <c r="U11" s="60"/>
      <c r="V11" s="61"/>
    </row>
    <row r="12" spans="1:22" ht="14.1" customHeight="1" x14ac:dyDescent="0.25">
      <c r="A12" s="90"/>
      <c r="B12" s="91"/>
      <c r="C12" s="298" t="s">
        <v>15348</v>
      </c>
      <c r="D12" s="298"/>
      <c r="E12" s="298"/>
      <c r="F12" s="298"/>
      <c r="G12" s="298"/>
      <c r="H12" s="298"/>
      <c r="I12" s="298"/>
      <c r="J12" s="298"/>
      <c r="K12" s="298"/>
      <c r="L12" s="298"/>
      <c r="M12" s="298"/>
      <c r="N12" s="299"/>
      <c r="O12" s="65"/>
      <c r="P12" s="284" t="s">
        <v>15342</v>
      </c>
      <c r="Q12" s="284"/>
      <c r="R12" s="284"/>
      <c r="S12" s="284"/>
      <c r="T12" s="284"/>
      <c r="U12" s="284"/>
      <c r="V12" s="66"/>
    </row>
    <row r="13" spans="1:22" ht="14.1" customHeight="1" x14ac:dyDescent="0.25">
      <c r="A13" s="92"/>
      <c r="B13" s="93"/>
      <c r="C13" s="300"/>
      <c r="D13" s="300"/>
      <c r="E13" s="300"/>
      <c r="F13" s="300"/>
      <c r="G13" s="300"/>
      <c r="H13" s="300"/>
      <c r="I13" s="300"/>
      <c r="J13" s="300"/>
      <c r="K13" s="300"/>
      <c r="L13" s="300"/>
      <c r="M13" s="300"/>
      <c r="N13" s="301"/>
      <c r="O13" s="65"/>
      <c r="P13" s="284"/>
      <c r="Q13" s="284"/>
      <c r="R13" s="284"/>
      <c r="S13" s="284"/>
      <c r="T13" s="284"/>
      <c r="U13" s="284"/>
      <c r="V13" s="66"/>
    </row>
    <row r="14" spans="1:22" ht="14.1" customHeight="1" x14ac:dyDescent="0.25">
      <c r="A14" s="70"/>
      <c r="B14" s="71"/>
      <c r="C14" s="72"/>
      <c r="D14" s="73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5"/>
    </row>
    <row r="15" spans="1:22" ht="14.1" customHeight="1" x14ac:dyDescent="0.25">
      <c r="A15" s="302" t="s">
        <v>15322</v>
      </c>
      <c r="B15" s="94"/>
      <c r="C15" s="95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96"/>
      <c r="V15" s="97"/>
    </row>
    <row r="16" spans="1:22" ht="14.1" customHeight="1" x14ac:dyDescent="0.25">
      <c r="A16" s="303"/>
      <c r="B16" s="94"/>
      <c r="C16" s="305" t="s">
        <v>15508</v>
      </c>
      <c r="D16" s="306"/>
      <c r="E16" s="306"/>
      <c r="F16" s="306"/>
      <c r="G16" s="306"/>
      <c r="H16" s="306"/>
      <c r="I16" s="306"/>
      <c r="J16" s="306"/>
      <c r="K16" s="306"/>
      <c r="L16" s="306"/>
      <c r="M16" s="306"/>
      <c r="N16" s="306"/>
      <c r="O16" s="259" t="s">
        <v>15323</v>
      </c>
      <c r="P16" s="259"/>
      <c r="Q16" s="259"/>
      <c r="R16" s="309">
        <v>12654987</v>
      </c>
      <c r="S16" s="261"/>
      <c r="T16" s="261"/>
      <c r="U16" s="262"/>
      <c r="V16" s="97"/>
    </row>
    <row r="17" spans="1:22" ht="14.1" customHeight="1" x14ac:dyDescent="0.25">
      <c r="A17" s="303"/>
      <c r="B17" s="94"/>
      <c r="C17" s="307"/>
      <c r="D17" s="308"/>
      <c r="E17" s="308"/>
      <c r="F17" s="308"/>
      <c r="G17" s="308"/>
      <c r="H17" s="308"/>
      <c r="I17" s="308"/>
      <c r="J17" s="308"/>
      <c r="K17" s="308"/>
      <c r="L17" s="308"/>
      <c r="M17" s="308"/>
      <c r="N17" s="308"/>
      <c r="O17" s="80"/>
      <c r="P17" s="81"/>
      <c r="Q17" s="81"/>
      <c r="R17" s="81"/>
      <c r="S17" s="81"/>
      <c r="T17" s="81"/>
      <c r="U17" s="82"/>
      <c r="V17" s="97"/>
    </row>
    <row r="18" spans="1:22" ht="14.1" customHeight="1" x14ac:dyDescent="0.25">
      <c r="A18" s="303"/>
      <c r="B18" s="94"/>
      <c r="C18" s="277" t="s">
        <v>15349</v>
      </c>
      <c r="D18" s="265"/>
      <c r="E18" s="265"/>
      <c r="F18" s="265" t="str">
        <f>VLOOKUP(S18,Sucursales!A:B,2,FALSE)</f>
        <v>CORDOBA 1</v>
      </c>
      <c r="G18" s="265"/>
      <c r="H18" s="265"/>
      <c r="I18" s="265"/>
      <c r="J18" s="265"/>
      <c r="K18" s="265"/>
      <c r="L18" s="265"/>
      <c r="M18" s="265"/>
      <c r="N18" s="80"/>
      <c r="O18" s="266" t="s">
        <v>9757</v>
      </c>
      <c r="P18" s="266"/>
      <c r="Q18" s="266"/>
      <c r="R18" s="266"/>
      <c r="S18" s="267" t="s">
        <v>11991</v>
      </c>
      <c r="T18" s="267"/>
      <c r="U18" s="268"/>
      <c r="V18" s="97"/>
    </row>
    <row r="19" spans="1:22" ht="14.1" customHeight="1" x14ac:dyDescent="0.25">
      <c r="A19" s="303"/>
      <c r="B19" s="94"/>
      <c r="C19" s="277"/>
      <c r="D19" s="265"/>
      <c r="E19" s="265"/>
      <c r="F19" s="265"/>
      <c r="G19" s="265"/>
      <c r="H19" s="265"/>
      <c r="I19" s="265"/>
      <c r="J19" s="265"/>
      <c r="K19" s="265"/>
      <c r="L19" s="265"/>
      <c r="M19" s="265"/>
      <c r="N19" s="83"/>
      <c r="O19" s="266"/>
      <c r="P19" s="266"/>
      <c r="Q19" s="266"/>
      <c r="R19" s="266"/>
      <c r="S19" s="267"/>
      <c r="T19" s="267"/>
      <c r="U19" s="268"/>
      <c r="V19" s="97"/>
    </row>
    <row r="20" spans="1:22" ht="14.1" customHeight="1" x14ac:dyDescent="0.25">
      <c r="A20" s="303"/>
      <c r="B20" s="94"/>
      <c r="C20" s="271" t="str">
        <f>VLOOKUP(S18,Sucursales!A:G,6,FALSE)</f>
        <v>X5001ZAA</v>
      </c>
      <c r="D20" s="272"/>
      <c r="E20" s="272"/>
      <c r="F20" s="272"/>
      <c r="H20" s="275" t="str">
        <f>VLOOKUP(S18,Sucursales!A:H,7,FALSE)</f>
        <v>CORDOBA</v>
      </c>
      <c r="I20" s="275"/>
      <c r="J20" s="275"/>
      <c r="K20" s="275"/>
      <c r="L20" s="275"/>
      <c r="M20" s="275"/>
      <c r="N20" s="275"/>
      <c r="O20" s="275"/>
      <c r="P20" s="275"/>
      <c r="Q20" s="275"/>
      <c r="R20" s="275"/>
      <c r="S20" s="275"/>
      <c r="T20" s="275"/>
      <c r="U20" s="276"/>
      <c r="V20" s="97"/>
    </row>
    <row r="21" spans="1:22" ht="14.1" customHeight="1" x14ac:dyDescent="0.25">
      <c r="A21" s="303"/>
      <c r="B21" s="94"/>
      <c r="C21" s="277" t="str">
        <f>VLOOKUP(S18,Sucursales!A:H,8,FALSE)</f>
        <v>CORDOBA</v>
      </c>
      <c r="D21" s="265"/>
      <c r="E21" s="265"/>
      <c r="F21" s="265"/>
      <c r="G21" s="265"/>
      <c r="H21" s="265"/>
      <c r="I21" s="265"/>
      <c r="J21" s="265"/>
      <c r="K21" s="265"/>
      <c r="L21" s="265"/>
      <c r="M21" s="265"/>
      <c r="N21" s="83"/>
      <c r="O21" s="84"/>
      <c r="P21" s="84"/>
      <c r="Q21" s="85"/>
      <c r="R21" s="85"/>
      <c r="S21" s="85"/>
      <c r="T21" s="85"/>
      <c r="U21" s="86"/>
      <c r="V21" s="97"/>
    </row>
    <row r="22" spans="1:22" ht="14.1" customHeight="1" x14ac:dyDescent="0.25">
      <c r="A22" s="303"/>
      <c r="B22" s="94"/>
      <c r="C22" s="278"/>
      <c r="D22" s="279"/>
      <c r="E22" s="279"/>
      <c r="F22" s="279"/>
      <c r="G22" s="279"/>
      <c r="H22" s="279"/>
      <c r="I22" s="279"/>
      <c r="J22" s="279"/>
      <c r="K22" s="279"/>
      <c r="L22" s="279"/>
      <c r="M22" s="279"/>
      <c r="N22" s="280" t="s">
        <v>15345</v>
      </c>
      <c r="O22" s="280"/>
      <c r="P22" s="280"/>
      <c r="Q22" s="280"/>
      <c r="R22" s="310">
        <v>123456789</v>
      </c>
      <c r="S22" s="282"/>
      <c r="T22" s="282"/>
      <c r="U22" s="283"/>
      <c r="V22" s="97"/>
    </row>
    <row r="23" spans="1:22" ht="14.1" customHeight="1" thickBot="1" x14ac:dyDescent="0.3">
      <c r="A23" s="304"/>
      <c r="B23" s="98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100"/>
    </row>
  </sheetData>
  <sheetProtection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activeCell="A2" sqref="A2"/>
    </sheetView>
  </sheetViews>
  <sheetFormatPr baseColWidth="10" defaultRowHeight="15" x14ac:dyDescent="0.25"/>
  <cols>
    <col min="1" max="1" width="13.85546875" style="151" customWidth="1"/>
    <col min="2" max="2" width="33.85546875" style="151" bestFit="1" customWidth="1"/>
    <col min="3" max="3" width="14.140625" style="151" customWidth="1"/>
    <col min="4" max="4" width="43.42578125" style="151" bestFit="1" customWidth="1"/>
    <col min="5" max="5" width="6.5703125" style="151" customWidth="1"/>
    <col min="6" max="6" width="11.28515625" style="151" bestFit="1" customWidth="1"/>
    <col min="7" max="7" width="33.5703125" style="151" bestFit="1" customWidth="1"/>
    <col min="8" max="8" width="21" style="151" bestFit="1" customWidth="1"/>
    <col min="9" max="9" width="33.85546875" style="151" bestFit="1" customWidth="1"/>
    <col min="10" max="10" width="10.5703125" style="151" bestFit="1" customWidth="1"/>
    <col min="11" max="11" width="34" customWidth="1"/>
  </cols>
  <sheetData>
    <row r="1" spans="1:11" s="2" customFormat="1" ht="18.75" x14ac:dyDescent="0.3">
      <c r="A1" s="311" t="s">
        <v>9756</v>
      </c>
      <c r="B1" s="311"/>
      <c r="C1" s="311"/>
      <c r="D1" s="311"/>
      <c r="E1" s="311"/>
      <c r="F1" s="311"/>
      <c r="G1" s="311"/>
      <c r="H1" s="311"/>
      <c r="I1" s="311"/>
      <c r="J1" s="311"/>
    </row>
    <row r="2" spans="1:11" s="2" customFormat="1" x14ac:dyDescent="0.25">
      <c r="A2" s="112"/>
      <c r="B2" s="109"/>
      <c r="C2" s="109"/>
      <c r="D2" s="110"/>
      <c r="E2" s="111"/>
      <c r="F2" s="112"/>
      <c r="G2" s="111"/>
      <c r="H2" s="111"/>
      <c r="I2" s="109"/>
      <c r="J2" s="109"/>
    </row>
    <row r="3" spans="1:11" s="3" customFormat="1" ht="30" x14ac:dyDescent="0.25">
      <c r="A3" s="152" t="s">
        <v>9757</v>
      </c>
      <c r="B3" s="153" t="s">
        <v>9758</v>
      </c>
      <c r="C3" s="153" t="s">
        <v>15365</v>
      </c>
      <c r="D3" s="153" t="s">
        <v>9759</v>
      </c>
      <c r="E3" s="153" t="s">
        <v>9760</v>
      </c>
      <c r="F3" s="153" t="s">
        <v>9717</v>
      </c>
      <c r="G3" s="153" t="s">
        <v>9761</v>
      </c>
      <c r="H3" s="154" t="s">
        <v>9718</v>
      </c>
      <c r="I3" s="153" t="s">
        <v>9758</v>
      </c>
      <c r="J3" s="153" t="s">
        <v>9762</v>
      </c>
      <c r="K3" s="153" t="s">
        <v>15375</v>
      </c>
    </row>
    <row r="4" spans="1:11" s="2" customFormat="1" x14ac:dyDescent="0.25">
      <c r="A4" s="114" t="s">
        <v>13922</v>
      </c>
      <c r="B4" s="4" t="s">
        <v>13923</v>
      </c>
      <c r="C4" s="113" t="s">
        <v>15363</v>
      </c>
      <c r="D4" s="155" t="s">
        <v>12073</v>
      </c>
      <c r="E4" s="159">
        <v>160</v>
      </c>
      <c r="F4" s="157" t="s">
        <v>13924</v>
      </c>
      <c r="G4" s="155" t="s">
        <v>13923</v>
      </c>
      <c r="H4" s="113" t="s">
        <v>13923</v>
      </c>
      <c r="I4" s="4" t="s">
        <v>13923</v>
      </c>
      <c r="J4" s="155" t="s">
        <v>13924</v>
      </c>
      <c r="K4" s="2" t="s">
        <v>15376</v>
      </c>
    </row>
    <row r="5" spans="1:11" s="2" customFormat="1" x14ac:dyDescent="0.25">
      <c r="A5" s="114" t="s">
        <v>13925</v>
      </c>
      <c r="B5" s="4" t="s">
        <v>13926</v>
      </c>
      <c r="C5" s="113" t="s">
        <v>15363</v>
      </c>
      <c r="D5" s="155" t="s">
        <v>11003</v>
      </c>
      <c r="E5" s="159">
        <v>99</v>
      </c>
      <c r="F5" s="157" t="s">
        <v>13927</v>
      </c>
      <c r="G5" s="155" t="s">
        <v>13926</v>
      </c>
      <c r="H5" s="113" t="s">
        <v>13923</v>
      </c>
      <c r="I5" s="4" t="s">
        <v>13926</v>
      </c>
      <c r="J5" s="155" t="s">
        <v>13927</v>
      </c>
      <c r="K5" s="2" t="s">
        <v>11759</v>
      </c>
    </row>
    <row r="6" spans="1:11" s="2" customFormat="1" x14ac:dyDescent="0.25">
      <c r="A6" s="114" t="s">
        <v>13928</v>
      </c>
      <c r="B6" s="4" t="s">
        <v>13929</v>
      </c>
      <c r="C6" s="113" t="s">
        <v>15363</v>
      </c>
      <c r="D6" s="155" t="s">
        <v>13930</v>
      </c>
      <c r="E6" s="159">
        <v>100</v>
      </c>
      <c r="F6" s="157" t="s">
        <v>13931</v>
      </c>
      <c r="G6" s="155" t="s">
        <v>13929</v>
      </c>
      <c r="H6" s="113" t="s">
        <v>13923</v>
      </c>
      <c r="I6" s="4" t="s">
        <v>13929</v>
      </c>
      <c r="J6" s="155" t="s">
        <v>13931</v>
      </c>
      <c r="K6" s="2" t="s">
        <v>15377</v>
      </c>
    </row>
    <row r="7" spans="1:11" s="2" customFormat="1" x14ac:dyDescent="0.25">
      <c r="A7" s="114" t="s">
        <v>13932</v>
      </c>
      <c r="B7" s="4" t="s">
        <v>13933</v>
      </c>
      <c r="C7" s="113" t="s">
        <v>15363</v>
      </c>
      <c r="D7" s="155" t="s">
        <v>9921</v>
      </c>
      <c r="E7" s="159">
        <v>102</v>
      </c>
      <c r="F7" s="157" t="s">
        <v>13934</v>
      </c>
      <c r="G7" s="155" t="s">
        <v>13933</v>
      </c>
      <c r="H7" s="113" t="s">
        <v>13923</v>
      </c>
      <c r="I7" s="4" t="s">
        <v>13933</v>
      </c>
      <c r="J7" s="155" t="s">
        <v>13934</v>
      </c>
      <c r="K7" s="2" t="s">
        <v>13933</v>
      </c>
    </row>
    <row r="8" spans="1:11" s="2" customFormat="1" x14ac:dyDescent="0.25">
      <c r="A8" s="114" t="s">
        <v>13935</v>
      </c>
      <c r="B8" s="4" t="s">
        <v>13936</v>
      </c>
      <c r="C8" s="113" t="s">
        <v>15363</v>
      </c>
      <c r="D8" s="155" t="s">
        <v>13937</v>
      </c>
      <c r="E8" s="159">
        <v>197</v>
      </c>
      <c r="F8" s="157" t="s">
        <v>13938</v>
      </c>
      <c r="G8" s="155" t="s">
        <v>13936</v>
      </c>
      <c r="H8" s="113" t="s">
        <v>13923</v>
      </c>
      <c r="I8" s="4" t="s">
        <v>13936</v>
      </c>
      <c r="J8" s="155" t="s">
        <v>13938</v>
      </c>
      <c r="K8" s="2" t="s">
        <v>13936</v>
      </c>
    </row>
    <row r="9" spans="1:11" s="2" customFormat="1" x14ac:dyDescent="0.25">
      <c r="A9" s="114" t="s">
        <v>13939</v>
      </c>
      <c r="B9" s="4" t="s">
        <v>13940</v>
      </c>
      <c r="C9" s="113" t="s">
        <v>4</v>
      </c>
      <c r="D9" s="155" t="s">
        <v>12998</v>
      </c>
      <c r="E9" s="159">
        <v>601</v>
      </c>
      <c r="F9" s="157" t="s">
        <v>13942</v>
      </c>
      <c r="G9" s="155" t="s">
        <v>13941</v>
      </c>
      <c r="H9" s="113" t="s">
        <v>13923</v>
      </c>
      <c r="I9" s="4" t="s">
        <v>13940</v>
      </c>
      <c r="J9" s="155" t="s">
        <v>13942</v>
      </c>
      <c r="K9" s="2" t="s">
        <v>13998</v>
      </c>
    </row>
    <row r="10" spans="1:11" s="2" customFormat="1" x14ac:dyDescent="0.25">
      <c r="A10" s="114" t="s">
        <v>13943</v>
      </c>
      <c r="B10" s="4" t="s">
        <v>13944</v>
      </c>
      <c r="C10" s="113" t="s">
        <v>15363</v>
      </c>
      <c r="D10" s="155" t="s">
        <v>10305</v>
      </c>
      <c r="E10" s="159">
        <v>215</v>
      </c>
      <c r="F10" s="157" t="s">
        <v>13945</v>
      </c>
      <c r="G10" s="155" t="s">
        <v>13944</v>
      </c>
      <c r="H10" s="113" t="s">
        <v>13923</v>
      </c>
      <c r="I10" s="4" t="s">
        <v>13944</v>
      </c>
      <c r="J10" s="155" t="s">
        <v>13945</v>
      </c>
      <c r="K10" s="2" t="s">
        <v>13944</v>
      </c>
    </row>
    <row r="11" spans="1:11" s="2" customFormat="1" x14ac:dyDescent="0.25">
      <c r="A11" s="114" t="s">
        <v>13946</v>
      </c>
      <c r="B11" s="4" t="s">
        <v>13947</v>
      </c>
      <c r="C11" s="113" t="s">
        <v>4</v>
      </c>
      <c r="D11" s="155" t="s">
        <v>13948</v>
      </c>
      <c r="E11" s="159">
        <v>195</v>
      </c>
      <c r="F11" s="157" t="s">
        <v>13949</v>
      </c>
      <c r="G11" s="155" t="s">
        <v>13947</v>
      </c>
      <c r="H11" s="113" t="s">
        <v>13923</v>
      </c>
      <c r="I11" s="4" t="s">
        <v>13947</v>
      </c>
      <c r="J11" s="155" t="s">
        <v>13949</v>
      </c>
      <c r="K11" s="2" t="s">
        <v>13947</v>
      </c>
    </row>
    <row r="12" spans="1:11" s="2" customFormat="1" x14ac:dyDescent="0.25">
      <c r="A12" s="114" t="s">
        <v>13950</v>
      </c>
      <c r="B12" s="4" t="s">
        <v>13951</v>
      </c>
      <c r="C12" s="113" t="s">
        <v>4</v>
      </c>
      <c r="D12" s="155" t="s">
        <v>9764</v>
      </c>
      <c r="E12" s="159">
        <v>318</v>
      </c>
      <c r="F12" s="157" t="s">
        <v>13952</v>
      </c>
      <c r="G12" s="155" t="s">
        <v>13951</v>
      </c>
      <c r="H12" s="113" t="s">
        <v>13923</v>
      </c>
      <c r="I12" s="4" t="s">
        <v>13951</v>
      </c>
      <c r="J12" s="155" t="s">
        <v>13952</v>
      </c>
      <c r="K12" s="2" t="s">
        <v>15378</v>
      </c>
    </row>
    <row r="13" spans="1:11" s="2" customFormat="1" x14ac:dyDescent="0.25">
      <c r="A13" s="114" t="s">
        <v>13953</v>
      </c>
      <c r="B13" s="4" t="s">
        <v>13954</v>
      </c>
      <c r="C13" s="113" t="s">
        <v>4</v>
      </c>
      <c r="D13" s="155" t="s">
        <v>13955</v>
      </c>
      <c r="E13" s="159">
        <v>100</v>
      </c>
      <c r="F13" s="157" t="s">
        <v>13956</v>
      </c>
      <c r="G13" s="155" t="s">
        <v>13954</v>
      </c>
      <c r="H13" s="113" t="s">
        <v>13923</v>
      </c>
      <c r="I13" s="4" t="s">
        <v>13954</v>
      </c>
      <c r="J13" s="155" t="s">
        <v>13956</v>
      </c>
      <c r="K13" s="2" t="s">
        <v>13947</v>
      </c>
    </row>
    <row r="14" spans="1:11" s="2" customFormat="1" x14ac:dyDescent="0.25">
      <c r="A14" s="114" t="s">
        <v>13957</v>
      </c>
      <c r="B14" s="4" t="s">
        <v>13958</v>
      </c>
      <c r="C14" s="113" t="s">
        <v>4</v>
      </c>
      <c r="D14" s="155" t="s">
        <v>9819</v>
      </c>
      <c r="E14" s="159">
        <v>569</v>
      </c>
      <c r="F14" s="157" t="s">
        <v>13959</v>
      </c>
      <c r="G14" s="155" t="s">
        <v>13958</v>
      </c>
      <c r="H14" s="113" t="s">
        <v>13923</v>
      </c>
      <c r="I14" s="4" t="s">
        <v>13958</v>
      </c>
      <c r="J14" s="155" t="s">
        <v>13959</v>
      </c>
      <c r="K14" s="2" t="s">
        <v>13979</v>
      </c>
    </row>
    <row r="15" spans="1:11" s="2" customFormat="1" x14ac:dyDescent="0.25">
      <c r="A15" s="114" t="s">
        <v>13960</v>
      </c>
      <c r="B15" s="4" t="s">
        <v>13961</v>
      </c>
      <c r="C15" s="113" t="s">
        <v>4</v>
      </c>
      <c r="D15" s="155" t="s">
        <v>13962</v>
      </c>
      <c r="E15" s="159">
        <v>351</v>
      </c>
      <c r="F15" s="157" t="s">
        <v>13963</v>
      </c>
      <c r="G15" s="155" t="s">
        <v>13961</v>
      </c>
      <c r="H15" s="113" t="s">
        <v>13923</v>
      </c>
      <c r="I15" s="4" t="s">
        <v>13961</v>
      </c>
      <c r="J15" s="155" t="s">
        <v>13963</v>
      </c>
      <c r="K15" s="2" t="s">
        <v>11759</v>
      </c>
    </row>
    <row r="16" spans="1:11" s="2" customFormat="1" x14ac:dyDescent="0.25">
      <c r="A16" s="114" t="s">
        <v>13964</v>
      </c>
      <c r="B16" s="4" t="s">
        <v>13965</v>
      </c>
      <c r="C16" s="113" t="s">
        <v>15363</v>
      </c>
      <c r="D16" s="155" t="s">
        <v>13966</v>
      </c>
      <c r="E16" s="159">
        <v>0</v>
      </c>
      <c r="F16" s="157" t="s">
        <v>13968</v>
      </c>
      <c r="G16" s="155" t="s">
        <v>13967</v>
      </c>
      <c r="H16" s="113" t="s">
        <v>13923</v>
      </c>
      <c r="I16" s="4" t="s">
        <v>13965</v>
      </c>
      <c r="J16" s="155" t="s">
        <v>13968</v>
      </c>
      <c r="K16" s="2" t="s">
        <v>11759</v>
      </c>
    </row>
    <row r="17" spans="1:11" s="2" customFormat="1" x14ac:dyDescent="0.25">
      <c r="A17" s="114" t="s">
        <v>13969</v>
      </c>
      <c r="B17" s="4" t="s">
        <v>13970</v>
      </c>
      <c r="C17" s="113" t="s">
        <v>15363</v>
      </c>
      <c r="D17" s="155" t="s">
        <v>13971</v>
      </c>
      <c r="E17" s="159">
        <v>201</v>
      </c>
      <c r="F17" s="157" t="s">
        <v>13972</v>
      </c>
      <c r="G17" s="155" t="s">
        <v>13970</v>
      </c>
      <c r="H17" s="113" t="s">
        <v>13923</v>
      </c>
      <c r="I17" s="4" t="s">
        <v>13970</v>
      </c>
      <c r="J17" s="155" t="s">
        <v>13972</v>
      </c>
      <c r="K17" s="2" t="s">
        <v>13970</v>
      </c>
    </row>
    <row r="18" spans="1:11" s="2" customFormat="1" x14ac:dyDescent="0.25">
      <c r="A18" s="114" t="s">
        <v>13973</v>
      </c>
      <c r="B18" s="4" t="s">
        <v>11007</v>
      </c>
      <c r="C18" s="113" t="s">
        <v>4</v>
      </c>
      <c r="D18" s="155" t="s">
        <v>11003</v>
      </c>
      <c r="E18" s="159">
        <v>0</v>
      </c>
      <c r="F18" s="157" t="s">
        <v>13974</v>
      </c>
      <c r="G18" s="155" t="s">
        <v>11007</v>
      </c>
      <c r="H18" s="113" t="s">
        <v>13923</v>
      </c>
      <c r="I18" s="4" t="s">
        <v>11007</v>
      </c>
      <c r="J18" s="155" t="s">
        <v>13974</v>
      </c>
      <c r="K18" s="2" t="s">
        <v>15378</v>
      </c>
    </row>
    <row r="19" spans="1:11" s="2" customFormat="1" x14ac:dyDescent="0.25">
      <c r="A19" s="114" t="s">
        <v>13975</v>
      </c>
      <c r="B19" s="4" t="s">
        <v>13976</v>
      </c>
      <c r="C19" s="113" t="s">
        <v>15363</v>
      </c>
      <c r="D19" s="155" t="s">
        <v>10443</v>
      </c>
      <c r="E19" s="159">
        <v>315</v>
      </c>
      <c r="F19" s="157" t="s">
        <v>13977</v>
      </c>
      <c r="G19" s="155" t="s">
        <v>13306</v>
      </c>
      <c r="H19" s="113" t="s">
        <v>13923</v>
      </c>
      <c r="I19" s="4" t="s">
        <v>13976</v>
      </c>
      <c r="J19" s="155" t="s">
        <v>13977</v>
      </c>
      <c r="K19" s="2" t="s">
        <v>15377</v>
      </c>
    </row>
    <row r="20" spans="1:11" s="2" customFormat="1" x14ac:dyDescent="0.25">
      <c r="A20" s="114" t="s">
        <v>13978</v>
      </c>
      <c r="B20" s="4" t="s">
        <v>13979</v>
      </c>
      <c r="C20" s="113" t="s">
        <v>15363</v>
      </c>
      <c r="D20" s="155" t="s">
        <v>13980</v>
      </c>
      <c r="E20" s="159">
        <v>358</v>
      </c>
      <c r="F20" s="157" t="s">
        <v>13981</v>
      </c>
      <c r="G20" s="155" t="s">
        <v>13979</v>
      </c>
      <c r="H20" s="113" t="s">
        <v>13923</v>
      </c>
      <c r="I20" s="4" t="s">
        <v>13979</v>
      </c>
      <c r="J20" s="155" t="s">
        <v>13981</v>
      </c>
      <c r="K20" s="2" t="s">
        <v>13979</v>
      </c>
    </row>
    <row r="21" spans="1:11" s="2" customFormat="1" x14ac:dyDescent="0.25">
      <c r="A21" s="114" t="s">
        <v>13982</v>
      </c>
      <c r="B21" s="4" t="s">
        <v>13983</v>
      </c>
      <c r="C21" s="113" t="s">
        <v>4</v>
      </c>
      <c r="D21" s="155" t="s">
        <v>11711</v>
      </c>
      <c r="E21" s="159">
        <v>625</v>
      </c>
      <c r="F21" s="157" t="s">
        <v>13984</v>
      </c>
      <c r="G21" s="155" t="s">
        <v>13983</v>
      </c>
      <c r="H21" s="113" t="s">
        <v>13923</v>
      </c>
      <c r="I21" s="4" t="s">
        <v>13983</v>
      </c>
      <c r="J21" s="155" t="s">
        <v>13984</v>
      </c>
      <c r="K21" s="2" t="s">
        <v>15378</v>
      </c>
    </row>
    <row r="22" spans="1:11" s="2" customFormat="1" x14ac:dyDescent="0.25">
      <c r="A22" s="114" t="s">
        <v>13985</v>
      </c>
      <c r="B22" s="4" t="s">
        <v>13986</v>
      </c>
      <c r="C22" s="113" t="s">
        <v>15363</v>
      </c>
      <c r="D22" s="155" t="s">
        <v>10500</v>
      </c>
      <c r="E22" s="159">
        <v>100</v>
      </c>
      <c r="F22" s="157" t="s">
        <v>13988</v>
      </c>
      <c r="G22" s="155" t="s">
        <v>13987</v>
      </c>
      <c r="H22" s="113" t="s">
        <v>13923</v>
      </c>
      <c r="I22" s="4" t="s">
        <v>13986</v>
      </c>
      <c r="J22" s="155" t="s">
        <v>13988</v>
      </c>
      <c r="K22" s="2" t="s">
        <v>11759</v>
      </c>
    </row>
    <row r="23" spans="1:11" s="2" customFormat="1" x14ac:dyDescent="0.25">
      <c r="A23" s="114" t="s">
        <v>13989</v>
      </c>
      <c r="B23" s="4" t="s">
        <v>10199</v>
      </c>
      <c r="C23" s="113" t="s">
        <v>4</v>
      </c>
      <c r="D23" s="155" t="s">
        <v>13990</v>
      </c>
      <c r="E23" s="159">
        <v>100</v>
      </c>
      <c r="F23" s="157" t="s">
        <v>13991</v>
      </c>
      <c r="G23" s="155" t="s">
        <v>10199</v>
      </c>
      <c r="H23" s="113" t="s">
        <v>13923</v>
      </c>
      <c r="I23" s="4" t="s">
        <v>10199</v>
      </c>
      <c r="J23" s="155" t="s">
        <v>13991</v>
      </c>
      <c r="K23" s="2" t="s">
        <v>10199</v>
      </c>
    </row>
    <row r="24" spans="1:11" s="2" customFormat="1" x14ac:dyDescent="0.25">
      <c r="A24" s="114" t="s">
        <v>13992</v>
      </c>
      <c r="B24" s="4" t="s">
        <v>13993</v>
      </c>
      <c r="C24" s="113" t="s">
        <v>15363</v>
      </c>
      <c r="D24" s="155" t="s">
        <v>13994</v>
      </c>
      <c r="E24" s="159">
        <v>296</v>
      </c>
      <c r="F24" s="157" t="s">
        <v>13995</v>
      </c>
      <c r="G24" s="155" t="s">
        <v>13993</v>
      </c>
      <c r="H24" s="113" t="s">
        <v>13923</v>
      </c>
      <c r="I24" s="4" t="s">
        <v>13993</v>
      </c>
      <c r="J24" s="155" t="s">
        <v>13995</v>
      </c>
      <c r="K24" s="2" t="s">
        <v>13993</v>
      </c>
    </row>
    <row r="25" spans="1:11" s="2" customFormat="1" x14ac:dyDescent="0.25">
      <c r="A25" s="114" t="s">
        <v>13996</v>
      </c>
      <c r="B25" s="4" t="s">
        <v>13997</v>
      </c>
      <c r="C25" s="113" t="s">
        <v>15363</v>
      </c>
      <c r="D25" s="155" t="s">
        <v>12372</v>
      </c>
      <c r="E25" s="159">
        <v>201</v>
      </c>
      <c r="F25" s="157" t="s">
        <v>13999</v>
      </c>
      <c r="G25" s="155" t="s">
        <v>13998</v>
      </c>
      <c r="H25" s="113" t="s">
        <v>13923</v>
      </c>
      <c r="I25" s="4" t="s">
        <v>13997</v>
      </c>
      <c r="J25" s="155" t="s">
        <v>13999</v>
      </c>
      <c r="K25" s="2" t="s">
        <v>13998</v>
      </c>
    </row>
    <row r="26" spans="1:11" s="2" customFormat="1" x14ac:dyDescent="0.25">
      <c r="A26" s="114" t="s">
        <v>14000</v>
      </c>
      <c r="B26" s="4" t="s">
        <v>14001</v>
      </c>
      <c r="C26" s="113" t="s">
        <v>4</v>
      </c>
      <c r="D26" s="155" t="s">
        <v>14002</v>
      </c>
      <c r="E26" s="159">
        <v>20</v>
      </c>
      <c r="F26" s="157" t="s">
        <v>14004</v>
      </c>
      <c r="G26" s="155" t="s">
        <v>14003</v>
      </c>
      <c r="H26" s="113" t="s">
        <v>13923</v>
      </c>
      <c r="I26" s="4" t="s">
        <v>14001</v>
      </c>
      <c r="J26" s="155" t="s">
        <v>14004</v>
      </c>
      <c r="K26" s="2" t="s">
        <v>15379</v>
      </c>
    </row>
    <row r="27" spans="1:11" s="2" customFormat="1" x14ac:dyDescent="0.25">
      <c r="A27" s="114" t="s">
        <v>14005</v>
      </c>
      <c r="B27" s="4" t="s">
        <v>12200</v>
      </c>
      <c r="C27" s="113" t="s">
        <v>4</v>
      </c>
      <c r="D27" s="155" t="s">
        <v>11003</v>
      </c>
      <c r="E27" s="159">
        <v>1</v>
      </c>
      <c r="F27" s="157" t="s">
        <v>14006</v>
      </c>
      <c r="G27" s="155" t="s">
        <v>12200</v>
      </c>
      <c r="H27" s="113" t="s">
        <v>13923</v>
      </c>
      <c r="I27" s="4" t="s">
        <v>12200</v>
      </c>
      <c r="J27" s="155" t="s">
        <v>14006</v>
      </c>
      <c r="K27" s="2" t="s">
        <v>12200</v>
      </c>
    </row>
    <row r="28" spans="1:11" s="2" customFormat="1" x14ac:dyDescent="0.25">
      <c r="A28" s="114" t="s">
        <v>14007</v>
      </c>
      <c r="B28" s="4" t="s">
        <v>14008</v>
      </c>
      <c r="C28" s="113" t="s">
        <v>15363</v>
      </c>
      <c r="D28" s="155" t="s">
        <v>14009</v>
      </c>
      <c r="E28" s="159">
        <v>402</v>
      </c>
      <c r="F28" s="157" t="s">
        <v>14010</v>
      </c>
      <c r="G28" s="155" t="s">
        <v>14008</v>
      </c>
      <c r="H28" s="113" t="s">
        <v>13923</v>
      </c>
      <c r="I28" s="4" t="s">
        <v>14008</v>
      </c>
      <c r="J28" s="155" t="s">
        <v>14010</v>
      </c>
      <c r="K28" s="2" t="s">
        <v>15378</v>
      </c>
    </row>
    <row r="29" spans="1:11" s="2" customFormat="1" x14ac:dyDescent="0.25">
      <c r="A29" s="114" t="s">
        <v>14011</v>
      </c>
      <c r="B29" s="4" t="s">
        <v>14012</v>
      </c>
      <c r="C29" s="113" t="s">
        <v>4</v>
      </c>
      <c r="D29" s="155" t="s">
        <v>14013</v>
      </c>
      <c r="E29" s="159">
        <v>150</v>
      </c>
      <c r="F29" s="157" t="s">
        <v>14014</v>
      </c>
      <c r="G29" s="155" t="s">
        <v>14012</v>
      </c>
      <c r="H29" s="113" t="s">
        <v>13923</v>
      </c>
      <c r="I29" s="4" t="s">
        <v>14012</v>
      </c>
      <c r="J29" s="155" t="s">
        <v>14014</v>
      </c>
      <c r="K29" s="2" t="s">
        <v>15380</v>
      </c>
    </row>
    <row r="30" spans="1:11" s="2" customFormat="1" x14ac:dyDescent="0.25">
      <c r="A30" s="114" t="s">
        <v>14015</v>
      </c>
      <c r="B30" s="4" t="s">
        <v>14016</v>
      </c>
      <c r="C30" s="113" t="s">
        <v>4</v>
      </c>
      <c r="D30" s="155" t="s">
        <v>10181</v>
      </c>
      <c r="E30" s="159">
        <v>153</v>
      </c>
      <c r="F30" s="157" t="s">
        <v>14018</v>
      </c>
      <c r="G30" s="155" t="s">
        <v>14017</v>
      </c>
      <c r="H30" s="113" t="s">
        <v>13923</v>
      </c>
      <c r="I30" s="4" t="s">
        <v>14016</v>
      </c>
      <c r="J30" s="155" t="s">
        <v>14018</v>
      </c>
      <c r="K30" s="2" t="s">
        <v>15381</v>
      </c>
    </row>
    <row r="31" spans="1:11" s="2" customFormat="1" x14ac:dyDescent="0.25">
      <c r="A31" s="114" t="s">
        <v>14019</v>
      </c>
      <c r="B31" s="4" t="s">
        <v>14020</v>
      </c>
      <c r="C31" s="113" t="s">
        <v>15363</v>
      </c>
      <c r="D31" s="155" t="s">
        <v>11003</v>
      </c>
      <c r="E31" s="159">
        <v>501</v>
      </c>
      <c r="F31" s="157" t="s">
        <v>14021</v>
      </c>
      <c r="G31" s="155" t="s">
        <v>14020</v>
      </c>
      <c r="H31" s="113" t="s">
        <v>13923</v>
      </c>
      <c r="I31" s="4" t="s">
        <v>14020</v>
      </c>
      <c r="J31" s="155" t="s">
        <v>14021</v>
      </c>
      <c r="K31" s="2" t="s">
        <v>11759</v>
      </c>
    </row>
    <row r="32" spans="1:11" s="2" customFormat="1" x14ac:dyDescent="0.25">
      <c r="A32" s="114" t="s">
        <v>14022</v>
      </c>
      <c r="B32" s="4" t="s">
        <v>14023</v>
      </c>
      <c r="C32" s="113" t="s">
        <v>4</v>
      </c>
      <c r="D32" s="155" t="s">
        <v>10244</v>
      </c>
      <c r="E32" s="159">
        <v>0</v>
      </c>
      <c r="F32" s="157" t="s">
        <v>14024</v>
      </c>
      <c r="G32" s="155" t="s">
        <v>14023</v>
      </c>
      <c r="H32" s="113" t="s">
        <v>13923</v>
      </c>
      <c r="I32" s="4" t="s">
        <v>14023</v>
      </c>
      <c r="J32" s="155" t="s">
        <v>14024</v>
      </c>
      <c r="K32" s="2" t="s">
        <v>14023</v>
      </c>
    </row>
    <row r="33" spans="1:26" s="2" customFormat="1" x14ac:dyDescent="0.25">
      <c r="A33" s="114" t="s">
        <v>14025</v>
      </c>
      <c r="B33" s="4" t="s">
        <v>14026</v>
      </c>
      <c r="C33" s="113" t="s">
        <v>15364</v>
      </c>
      <c r="D33" s="155" t="s">
        <v>11859</v>
      </c>
      <c r="E33" s="159"/>
      <c r="F33" s="157" t="s">
        <v>14027</v>
      </c>
      <c r="G33" s="155" t="s">
        <v>14026</v>
      </c>
      <c r="H33" s="113" t="s">
        <v>13923</v>
      </c>
      <c r="I33" s="4" t="s">
        <v>14026</v>
      </c>
      <c r="J33" s="155" t="s">
        <v>14027</v>
      </c>
      <c r="K33" s="2" t="s">
        <v>15376</v>
      </c>
    </row>
    <row r="34" spans="1:26" s="2" customFormat="1" x14ac:dyDescent="0.25">
      <c r="A34" s="114" t="s">
        <v>14028</v>
      </c>
      <c r="B34" s="4" t="s">
        <v>14029</v>
      </c>
      <c r="C34" s="113" t="s">
        <v>15364</v>
      </c>
      <c r="D34" s="155" t="s">
        <v>13142</v>
      </c>
      <c r="E34" s="159"/>
      <c r="F34" s="157" t="s">
        <v>14030</v>
      </c>
      <c r="G34" s="155" t="s">
        <v>14029</v>
      </c>
      <c r="H34" s="113" t="s">
        <v>13923</v>
      </c>
      <c r="I34" s="4" t="s">
        <v>14029</v>
      </c>
      <c r="J34" s="155" t="s">
        <v>14030</v>
      </c>
      <c r="K34" s="2" t="s">
        <v>13998</v>
      </c>
    </row>
    <row r="35" spans="1:26" s="2" customFormat="1" x14ac:dyDescent="0.25">
      <c r="A35" s="114" t="s">
        <v>14031</v>
      </c>
      <c r="B35" s="4" t="s">
        <v>14032</v>
      </c>
      <c r="C35" s="113" t="s">
        <v>4</v>
      </c>
      <c r="D35" s="155" t="s">
        <v>12836</v>
      </c>
      <c r="E35" s="159">
        <v>998</v>
      </c>
      <c r="F35" s="157" t="s">
        <v>14033</v>
      </c>
      <c r="G35" s="155" t="s">
        <v>13923</v>
      </c>
      <c r="H35" s="113" t="s">
        <v>13923</v>
      </c>
      <c r="I35" s="4" t="s">
        <v>14032</v>
      </c>
      <c r="J35" s="155" t="s">
        <v>14033</v>
      </c>
      <c r="K35" s="2" t="s">
        <v>15376</v>
      </c>
    </row>
    <row r="36" spans="1:26" s="2" customFormat="1" x14ac:dyDescent="0.25">
      <c r="A36" s="114" t="s">
        <v>14034</v>
      </c>
      <c r="B36" s="4" t="s">
        <v>14035</v>
      </c>
      <c r="C36" s="113" t="s">
        <v>4</v>
      </c>
      <c r="D36" s="155" t="s">
        <v>9819</v>
      </c>
      <c r="E36" s="159">
        <v>117</v>
      </c>
      <c r="F36" s="157" t="s">
        <v>14036</v>
      </c>
      <c r="G36" s="155" t="s">
        <v>14035</v>
      </c>
      <c r="H36" s="113" t="s">
        <v>13923</v>
      </c>
      <c r="I36" s="4" t="s">
        <v>14035</v>
      </c>
      <c r="J36" s="155" t="s">
        <v>14036</v>
      </c>
      <c r="K36" s="2" t="s">
        <v>14035</v>
      </c>
    </row>
    <row r="37" spans="1:26" s="4" customFormat="1" x14ac:dyDescent="0.25">
      <c r="A37" s="114" t="s">
        <v>14037</v>
      </c>
      <c r="B37" s="4" t="s">
        <v>14038</v>
      </c>
      <c r="C37" s="113" t="s">
        <v>4</v>
      </c>
      <c r="D37" s="155" t="s">
        <v>14039</v>
      </c>
      <c r="E37" s="159"/>
      <c r="F37" s="157" t="s">
        <v>14040</v>
      </c>
      <c r="G37" s="155" t="s">
        <v>14038</v>
      </c>
      <c r="H37" s="113" t="s">
        <v>13923</v>
      </c>
      <c r="I37" s="4" t="s">
        <v>14038</v>
      </c>
      <c r="J37" s="155" t="s">
        <v>14040</v>
      </c>
      <c r="K37" s="2" t="s">
        <v>10199</v>
      </c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s="2" customFormat="1" x14ac:dyDescent="0.25">
      <c r="A38" s="114" t="s">
        <v>14041</v>
      </c>
      <c r="B38" s="4" t="s">
        <v>14042</v>
      </c>
      <c r="C38" s="113" t="s">
        <v>15364</v>
      </c>
      <c r="D38" s="155" t="s">
        <v>14043</v>
      </c>
      <c r="E38" s="159"/>
      <c r="F38" s="157" t="s">
        <v>14045</v>
      </c>
      <c r="G38" s="155" t="s">
        <v>14044</v>
      </c>
      <c r="H38" s="113" t="s">
        <v>13923</v>
      </c>
      <c r="I38" s="4" t="s">
        <v>14042</v>
      </c>
      <c r="J38" s="155" t="s">
        <v>14045</v>
      </c>
      <c r="K38" s="2" t="s">
        <v>10199</v>
      </c>
    </row>
    <row r="39" spans="1:26" s="2" customFormat="1" x14ac:dyDescent="0.25">
      <c r="A39" s="114" t="s">
        <v>14046</v>
      </c>
      <c r="B39" s="4" t="s">
        <v>14047</v>
      </c>
      <c r="C39" s="113" t="s">
        <v>4</v>
      </c>
      <c r="D39" s="155" t="s">
        <v>11418</v>
      </c>
      <c r="E39" s="159">
        <v>0</v>
      </c>
      <c r="F39" s="157" t="s">
        <v>14048</v>
      </c>
      <c r="G39" s="155" t="s">
        <v>13923</v>
      </c>
      <c r="H39" s="113" t="s">
        <v>13923</v>
      </c>
      <c r="I39" s="4" t="s">
        <v>14047</v>
      </c>
      <c r="J39" s="155" t="s">
        <v>14048</v>
      </c>
      <c r="K39" s="2" t="s">
        <v>15376</v>
      </c>
    </row>
    <row r="40" spans="1:26" s="2" customFormat="1" x14ac:dyDescent="0.25">
      <c r="A40" s="114" t="s">
        <v>14049</v>
      </c>
      <c r="B40" s="4" t="s">
        <v>14050</v>
      </c>
      <c r="C40" s="113" t="s">
        <v>4</v>
      </c>
      <c r="D40" s="155" t="s">
        <v>14051</v>
      </c>
      <c r="E40" s="159">
        <v>0</v>
      </c>
      <c r="F40" s="157" t="s">
        <v>14052</v>
      </c>
      <c r="G40" s="155" t="s">
        <v>13923</v>
      </c>
      <c r="H40" s="113" t="s">
        <v>13923</v>
      </c>
      <c r="I40" s="4" t="s">
        <v>14050</v>
      </c>
      <c r="J40" s="155" t="s">
        <v>14052</v>
      </c>
      <c r="K40" s="2" t="s">
        <v>15376</v>
      </c>
    </row>
    <row r="41" spans="1:26" s="2" customFormat="1" x14ac:dyDescent="0.25">
      <c r="A41" s="114" t="s">
        <v>14053</v>
      </c>
      <c r="B41" s="4" t="s">
        <v>14054</v>
      </c>
      <c r="C41" s="113" t="s">
        <v>4</v>
      </c>
      <c r="D41" s="155" t="s">
        <v>10541</v>
      </c>
      <c r="E41" s="159">
        <v>0</v>
      </c>
      <c r="F41" s="157" t="s">
        <v>14055</v>
      </c>
      <c r="G41" s="155" t="s">
        <v>14054</v>
      </c>
      <c r="H41" s="113" t="s">
        <v>13923</v>
      </c>
      <c r="I41" s="4" t="s">
        <v>14054</v>
      </c>
      <c r="J41" s="155" t="s">
        <v>14055</v>
      </c>
      <c r="K41" s="2" t="s">
        <v>15377</v>
      </c>
    </row>
    <row r="42" spans="1:26" s="2" customFormat="1" x14ac:dyDescent="0.25">
      <c r="A42" s="114" t="s">
        <v>14056</v>
      </c>
      <c r="B42" s="4" t="s">
        <v>14057</v>
      </c>
      <c r="C42" s="113" t="s">
        <v>15363</v>
      </c>
      <c r="D42" s="155" t="s">
        <v>14058</v>
      </c>
      <c r="E42" s="159">
        <v>0</v>
      </c>
      <c r="F42" s="157" t="s">
        <v>14059</v>
      </c>
      <c r="G42" s="155" t="s">
        <v>13923</v>
      </c>
      <c r="H42" s="113" t="s">
        <v>13923</v>
      </c>
      <c r="I42" s="4" t="s">
        <v>14057</v>
      </c>
      <c r="J42" s="155" t="s">
        <v>14059</v>
      </c>
      <c r="K42" s="2" t="s">
        <v>15376</v>
      </c>
    </row>
    <row r="43" spans="1:26" s="2" customFormat="1" x14ac:dyDescent="0.25">
      <c r="A43" s="114" t="s">
        <v>9763</v>
      </c>
      <c r="B43" s="4" t="s">
        <v>9764</v>
      </c>
      <c r="C43" s="113" t="s">
        <v>15363</v>
      </c>
      <c r="D43" s="155" t="s">
        <v>9765</v>
      </c>
      <c r="E43" s="159">
        <v>1951</v>
      </c>
      <c r="F43" s="157" t="s">
        <v>9768</v>
      </c>
      <c r="G43" s="155" t="s">
        <v>9766</v>
      </c>
      <c r="H43" s="113" t="s">
        <v>9767</v>
      </c>
      <c r="I43" s="4" t="s">
        <v>9764</v>
      </c>
      <c r="J43" s="155" t="s">
        <v>9768</v>
      </c>
      <c r="K43" s="2" t="s">
        <v>9766</v>
      </c>
    </row>
    <row r="44" spans="1:26" s="2" customFormat="1" x14ac:dyDescent="0.25">
      <c r="A44" s="114" t="s">
        <v>9769</v>
      </c>
      <c r="B44" s="4" t="s">
        <v>9770</v>
      </c>
      <c r="C44" s="113" t="s">
        <v>15363</v>
      </c>
      <c r="D44" s="155" t="s">
        <v>9771</v>
      </c>
      <c r="E44" s="159">
        <v>1140</v>
      </c>
      <c r="F44" s="157" t="s">
        <v>9772</v>
      </c>
      <c r="G44" s="155" t="s">
        <v>9770</v>
      </c>
      <c r="H44" s="113" t="s">
        <v>9767</v>
      </c>
      <c r="I44" s="4" t="s">
        <v>9770</v>
      </c>
      <c r="J44" s="155" t="s">
        <v>9772</v>
      </c>
      <c r="K44" s="2" t="s">
        <v>9770</v>
      </c>
    </row>
    <row r="45" spans="1:26" s="2" customFormat="1" x14ac:dyDescent="0.25">
      <c r="A45" s="114" t="s">
        <v>9773</v>
      </c>
      <c r="B45" s="4" t="s">
        <v>9774</v>
      </c>
      <c r="C45" s="113" t="s">
        <v>15363</v>
      </c>
      <c r="D45" s="155" t="s">
        <v>9775</v>
      </c>
      <c r="E45" s="159">
        <v>1202</v>
      </c>
      <c r="F45" s="157" t="s">
        <v>9776</v>
      </c>
      <c r="G45" s="155" t="s">
        <v>9774</v>
      </c>
      <c r="H45" s="113" t="s">
        <v>9767</v>
      </c>
      <c r="I45" s="4" t="s">
        <v>9774</v>
      </c>
      <c r="J45" s="155" t="s">
        <v>9776</v>
      </c>
      <c r="K45" s="2" t="s">
        <v>9774</v>
      </c>
    </row>
    <row r="46" spans="1:26" s="2" customFormat="1" x14ac:dyDescent="0.25">
      <c r="A46" s="114" t="s">
        <v>9777</v>
      </c>
      <c r="B46" s="4" t="s">
        <v>9778</v>
      </c>
      <c r="C46" s="113" t="s">
        <v>15363</v>
      </c>
      <c r="D46" s="155" t="s">
        <v>9779</v>
      </c>
      <c r="E46" s="159">
        <v>6001</v>
      </c>
      <c r="F46" s="157" t="s">
        <v>9780</v>
      </c>
      <c r="G46" s="155" t="s">
        <v>9778</v>
      </c>
      <c r="H46" s="113" t="s">
        <v>9767</v>
      </c>
      <c r="I46" s="4" t="s">
        <v>9778</v>
      </c>
      <c r="J46" s="155" t="s">
        <v>9780</v>
      </c>
      <c r="K46" s="2" t="s">
        <v>9845</v>
      </c>
    </row>
    <row r="47" spans="1:26" s="2" customFormat="1" x14ac:dyDescent="0.25">
      <c r="A47" s="114" t="s">
        <v>9781</v>
      </c>
      <c r="B47" s="4" t="s">
        <v>9782</v>
      </c>
      <c r="C47" s="113" t="s">
        <v>15363</v>
      </c>
      <c r="D47" s="155" t="s">
        <v>9774</v>
      </c>
      <c r="E47" s="159">
        <v>3044</v>
      </c>
      <c r="F47" s="157" t="s">
        <v>9783</v>
      </c>
      <c r="G47" s="155" t="s">
        <v>9782</v>
      </c>
      <c r="H47" s="113" t="s">
        <v>9767</v>
      </c>
      <c r="I47" s="4" t="s">
        <v>9782</v>
      </c>
      <c r="J47" s="155" t="s">
        <v>9783</v>
      </c>
      <c r="K47" s="2" t="s">
        <v>9766</v>
      </c>
    </row>
    <row r="48" spans="1:26" s="2" customFormat="1" x14ac:dyDescent="0.25">
      <c r="A48" s="114" t="s">
        <v>9784</v>
      </c>
      <c r="B48" s="4" t="s">
        <v>9785</v>
      </c>
      <c r="C48" s="113" t="s">
        <v>15363</v>
      </c>
      <c r="D48" s="155" t="s">
        <v>9786</v>
      </c>
      <c r="E48" s="159">
        <v>3586</v>
      </c>
      <c r="F48" s="157" t="s">
        <v>9787</v>
      </c>
      <c r="G48" s="155" t="s">
        <v>9785</v>
      </c>
      <c r="H48" s="113" t="s">
        <v>9767</v>
      </c>
      <c r="I48" s="4" t="s">
        <v>9785</v>
      </c>
      <c r="J48" s="155" t="s">
        <v>9787</v>
      </c>
      <c r="K48" s="2" t="s">
        <v>9774</v>
      </c>
    </row>
    <row r="49" spans="1:11" s="2" customFormat="1" x14ac:dyDescent="0.25">
      <c r="A49" s="114" t="s">
        <v>9788</v>
      </c>
      <c r="B49" s="4" t="s">
        <v>9789</v>
      </c>
      <c r="C49" s="113" t="s">
        <v>15363</v>
      </c>
      <c r="D49" s="155" t="s">
        <v>9767</v>
      </c>
      <c r="E49" s="159">
        <v>7479</v>
      </c>
      <c r="F49" s="157" t="s">
        <v>9790</v>
      </c>
      <c r="G49" s="155" t="s">
        <v>9789</v>
      </c>
      <c r="H49" s="113" t="s">
        <v>9767</v>
      </c>
      <c r="I49" s="4" t="s">
        <v>9789</v>
      </c>
      <c r="J49" s="155" t="s">
        <v>9790</v>
      </c>
      <c r="K49" s="2" t="s">
        <v>9766</v>
      </c>
    </row>
    <row r="50" spans="1:11" s="2" customFormat="1" x14ac:dyDescent="0.25">
      <c r="A50" s="114" t="s">
        <v>9791</v>
      </c>
      <c r="B50" s="4" t="s">
        <v>9792</v>
      </c>
      <c r="C50" s="113" t="s">
        <v>15363</v>
      </c>
      <c r="D50" s="155" t="s">
        <v>9793</v>
      </c>
      <c r="E50" s="159">
        <v>9718</v>
      </c>
      <c r="F50" s="157" t="s">
        <v>9794</v>
      </c>
      <c r="G50" s="155" t="s">
        <v>9792</v>
      </c>
      <c r="H50" s="113" t="s">
        <v>9767</v>
      </c>
      <c r="I50" s="4" t="s">
        <v>9792</v>
      </c>
      <c r="J50" s="155" t="s">
        <v>9794</v>
      </c>
      <c r="K50" s="2" t="s">
        <v>15382</v>
      </c>
    </row>
    <row r="51" spans="1:11" s="2" customFormat="1" x14ac:dyDescent="0.25">
      <c r="A51" s="114" t="s">
        <v>9795</v>
      </c>
      <c r="B51" s="4" t="s">
        <v>9796</v>
      </c>
      <c r="C51" s="113" t="s">
        <v>15363</v>
      </c>
      <c r="D51" s="155" t="s">
        <v>9797</v>
      </c>
      <c r="E51" s="159">
        <v>766</v>
      </c>
      <c r="F51" s="157" t="s">
        <v>9798</v>
      </c>
      <c r="G51" s="155" t="s">
        <v>9796</v>
      </c>
      <c r="H51" s="113" t="s">
        <v>9767</v>
      </c>
      <c r="I51" s="4" t="s">
        <v>9796</v>
      </c>
      <c r="J51" s="155" t="s">
        <v>9798</v>
      </c>
      <c r="K51" s="2" t="s">
        <v>9845</v>
      </c>
    </row>
    <row r="52" spans="1:11" s="2" customFormat="1" x14ac:dyDescent="0.25">
      <c r="A52" s="114" t="s">
        <v>9799</v>
      </c>
      <c r="B52" s="4" t="s">
        <v>9800</v>
      </c>
      <c r="C52" s="113" t="s">
        <v>15363</v>
      </c>
      <c r="D52" s="155" t="s">
        <v>9801</v>
      </c>
      <c r="E52" s="159">
        <v>2647</v>
      </c>
      <c r="F52" s="157" t="s">
        <v>9803</v>
      </c>
      <c r="G52" s="155" t="s">
        <v>9802</v>
      </c>
      <c r="H52" s="113" t="s">
        <v>9767</v>
      </c>
      <c r="I52" s="4" t="s">
        <v>9800</v>
      </c>
      <c r="J52" s="155" t="s">
        <v>9803</v>
      </c>
      <c r="K52" s="2" t="s">
        <v>9845</v>
      </c>
    </row>
    <row r="53" spans="1:11" s="2" customFormat="1" x14ac:dyDescent="0.25">
      <c r="A53" s="114" t="s">
        <v>9804</v>
      </c>
      <c r="B53" s="4" t="s">
        <v>9805</v>
      </c>
      <c r="C53" s="113" t="s">
        <v>15363</v>
      </c>
      <c r="D53" s="155" t="s">
        <v>9779</v>
      </c>
      <c r="E53" s="159">
        <v>3745</v>
      </c>
      <c r="F53" s="157" t="s">
        <v>9807</v>
      </c>
      <c r="G53" s="155" t="s">
        <v>9806</v>
      </c>
      <c r="H53" s="113" t="s">
        <v>9767</v>
      </c>
      <c r="I53" s="4" t="s">
        <v>9805</v>
      </c>
      <c r="J53" s="155" t="s">
        <v>9807</v>
      </c>
      <c r="K53" s="2" t="s">
        <v>9845</v>
      </c>
    </row>
    <row r="54" spans="1:11" s="2" customFormat="1" x14ac:dyDescent="0.25">
      <c r="A54" s="114" t="s">
        <v>9808</v>
      </c>
      <c r="B54" s="4" t="s">
        <v>9809</v>
      </c>
      <c r="C54" s="113" t="s">
        <v>15363</v>
      </c>
      <c r="D54" s="155" t="s">
        <v>9810</v>
      </c>
      <c r="E54" s="159">
        <v>14</v>
      </c>
      <c r="F54" s="157" t="s">
        <v>9812</v>
      </c>
      <c r="G54" s="155" t="s">
        <v>9811</v>
      </c>
      <c r="H54" s="113" t="s">
        <v>9767</v>
      </c>
      <c r="I54" s="4" t="s">
        <v>9809</v>
      </c>
      <c r="J54" s="155" t="s">
        <v>9812</v>
      </c>
      <c r="K54" s="2" t="s">
        <v>11016</v>
      </c>
    </row>
    <row r="55" spans="1:11" s="2" customFormat="1" x14ac:dyDescent="0.25">
      <c r="A55" s="114" t="s">
        <v>9813</v>
      </c>
      <c r="B55" s="4" t="s">
        <v>9814</v>
      </c>
      <c r="C55" s="113" t="s">
        <v>15363</v>
      </c>
      <c r="D55" s="155" t="s">
        <v>9815</v>
      </c>
      <c r="E55" s="159">
        <v>2579</v>
      </c>
      <c r="F55" s="157" t="s">
        <v>9816</v>
      </c>
      <c r="G55" s="155" t="s">
        <v>9814</v>
      </c>
      <c r="H55" s="113" t="s">
        <v>9767</v>
      </c>
      <c r="I55" s="4" t="s">
        <v>9814</v>
      </c>
      <c r="J55" s="155" t="s">
        <v>9816</v>
      </c>
      <c r="K55" s="2" t="s">
        <v>9841</v>
      </c>
    </row>
    <row r="56" spans="1:11" s="2" customFormat="1" x14ac:dyDescent="0.25">
      <c r="A56" s="114" t="s">
        <v>9817</v>
      </c>
      <c r="B56" s="4" t="s">
        <v>9818</v>
      </c>
      <c r="C56" s="113" t="s">
        <v>15363</v>
      </c>
      <c r="D56" s="155" t="s">
        <v>9819</v>
      </c>
      <c r="E56" s="159">
        <v>2849</v>
      </c>
      <c r="F56" s="157" t="s">
        <v>9820</v>
      </c>
      <c r="G56" s="155" t="s">
        <v>9818</v>
      </c>
      <c r="H56" s="113" t="s">
        <v>9767</v>
      </c>
      <c r="I56" s="4" t="s">
        <v>9818</v>
      </c>
      <c r="J56" s="155" t="s">
        <v>9820</v>
      </c>
      <c r="K56" s="2" t="s">
        <v>9774</v>
      </c>
    </row>
    <row r="57" spans="1:11" s="2" customFormat="1" x14ac:dyDescent="0.25">
      <c r="A57" s="114" t="s">
        <v>9821</v>
      </c>
      <c r="B57" s="4" t="s">
        <v>9822</v>
      </c>
      <c r="C57" s="113" t="s">
        <v>15363</v>
      </c>
      <c r="D57" s="155" t="s">
        <v>9823</v>
      </c>
      <c r="E57" s="159">
        <v>532</v>
      </c>
      <c r="F57" s="157" t="s">
        <v>9824</v>
      </c>
      <c r="G57" s="155" t="s">
        <v>9822</v>
      </c>
      <c r="H57" s="113" t="s">
        <v>9767</v>
      </c>
      <c r="I57" s="4" t="s">
        <v>9822</v>
      </c>
      <c r="J57" s="155" t="s">
        <v>9824</v>
      </c>
      <c r="K57" s="2" t="s">
        <v>9770</v>
      </c>
    </row>
    <row r="58" spans="1:11" s="2" customFormat="1" x14ac:dyDescent="0.25">
      <c r="A58" s="114" t="s">
        <v>9825</v>
      </c>
      <c r="B58" s="4" t="s">
        <v>9826</v>
      </c>
      <c r="C58" s="113" t="s">
        <v>15363</v>
      </c>
      <c r="D58" s="155" t="s">
        <v>9827</v>
      </c>
      <c r="E58" s="159">
        <v>4041</v>
      </c>
      <c r="F58" s="157" t="s">
        <v>9828</v>
      </c>
      <c r="G58" s="155" t="s">
        <v>9826</v>
      </c>
      <c r="H58" s="113" t="s">
        <v>9767</v>
      </c>
      <c r="I58" s="4" t="s">
        <v>9826</v>
      </c>
      <c r="J58" s="155" t="s">
        <v>9828</v>
      </c>
      <c r="K58" s="2" t="s">
        <v>9766</v>
      </c>
    </row>
    <row r="59" spans="1:11" s="2" customFormat="1" x14ac:dyDescent="0.25">
      <c r="A59" s="114" t="s">
        <v>9829</v>
      </c>
      <c r="B59" s="4" t="s">
        <v>9830</v>
      </c>
      <c r="C59" s="113" t="s">
        <v>15363</v>
      </c>
      <c r="D59" s="155" t="s">
        <v>9831</v>
      </c>
      <c r="E59" s="159">
        <v>2683</v>
      </c>
      <c r="F59" s="157" t="s">
        <v>9832</v>
      </c>
      <c r="G59" s="155" t="s">
        <v>9830</v>
      </c>
      <c r="H59" s="113" t="s">
        <v>9767</v>
      </c>
      <c r="I59" s="4" t="s">
        <v>9830</v>
      </c>
      <c r="J59" s="155" t="s">
        <v>9832</v>
      </c>
      <c r="K59" s="2" t="s">
        <v>9774</v>
      </c>
    </row>
    <row r="60" spans="1:11" s="2" customFormat="1" x14ac:dyDescent="0.25">
      <c r="A60" s="114" t="s">
        <v>9833</v>
      </c>
      <c r="B60" s="4" t="s">
        <v>9834</v>
      </c>
      <c r="C60" s="113" t="s">
        <v>15363</v>
      </c>
      <c r="D60" s="155" t="s">
        <v>9831</v>
      </c>
      <c r="E60" s="159">
        <v>438</v>
      </c>
      <c r="F60" s="157" t="s">
        <v>9835</v>
      </c>
      <c r="G60" s="155" t="s">
        <v>9818</v>
      </c>
      <c r="H60" s="113" t="s">
        <v>9767</v>
      </c>
      <c r="I60" s="4" t="s">
        <v>9834</v>
      </c>
      <c r="J60" s="155" t="s">
        <v>9835</v>
      </c>
      <c r="K60" s="2" t="s">
        <v>9774</v>
      </c>
    </row>
    <row r="61" spans="1:11" s="2" customFormat="1" x14ac:dyDescent="0.25">
      <c r="A61" s="114" t="s">
        <v>9836</v>
      </c>
      <c r="B61" s="4" t="s">
        <v>9837</v>
      </c>
      <c r="C61" s="113" t="s">
        <v>15363</v>
      </c>
      <c r="D61" s="155" t="s">
        <v>9838</v>
      </c>
      <c r="E61" s="159">
        <v>3063</v>
      </c>
      <c r="F61" s="157" t="s">
        <v>9839</v>
      </c>
      <c r="G61" s="155" t="s">
        <v>9837</v>
      </c>
      <c r="H61" s="113" t="s">
        <v>9767</v>
      </c>
      <c r="I61" s="4" t="s">
        <v>9837</v>
      </c>
      <c r="J61" s="155" t="s">
        <v>9839</v>
      </c>
      <c r="K61" s="2" t="s">
        <v>9766</v>
      </c>
    </row>
    <row r="62" spans="1:11" s="2" customFormat="1" x14ac:dyDescent="0.25">
      <c r="A62" s="114" t="s">
        <v>9840</v>
      </c>
      <c r="B62" s="4" t="s">
        <v>9841</v>
      </c>
      <c r="C62" s="113" t="s">
        <v>15363</v>
      </c>
      <c r="D62" s="155" t="s">
        <v>9842</v>
      </c>
      <c r="E62" s="159">
        <v>555</v>
      </c>
      <c r="F62" s="157" t="s">
        <v>9843</v>
      </c>
      <c r="G62" s="155" t="s">
        <v>9841</v>
      </c>
      <c r="H62" s="113" t="s">
        <v>9767</v>
      </c>
      <c r="I62" s="4" t="s">
        <v>9841</v>
      </c>
      <c r="J62" s="155" t="s">
        <v>9843</v>
      </c>
      <c r="K62" s="2" t="s">
        <v>9841</v>
      </c>
    </row>
    <row r="63" spans="1:11" s="2" customFormat="1" x14ac:dyDescent="0.25">
      <c r="A63" s="114" t="s">
        <v>9844</v>
      </c>
      <c r="B63" s="4" t="s">
        <v>9845</v>
      </c>
      <c r="C63" s="113" t="s">
        <v>15363</v>
      </c>
      <c r="D63" s="155" t="s">
        <v>9846</v>
      </c>
      <c r="E63" s="159">
        <v>102</v>
      </c>
      <c r="F63" s="157" t="s">
        <v>9847</v>
      </c>
      <c r="G63" s="155" t="s">
        <v>9845</v>
      </c>
      <c r="H63" s="113" t="s">
        <v>9767</v>
      </c>
      <c r="I63" s="4" t="s">
        <v>9845</v>
      </c>
      <c r="J63" s="155" t="s">
        <v>9847</v>
      </c>
      <c r="K63" s="2" t="s">
        <v>9845</v>
      </c>
    </row>
    <row r="64" spans="1:11" s="2" customFormat="1" x14ac:dyDescent="0.25">
      <c r="A64" s="114" t="s">
        <v>9848</v>
      </c>
      <c r="B64" s="4" t="s">
        <v>9849</v>
      </c>
      <c r="C64" s="113" t="s">
        <v>15363</v>
      </c>
      <c r="D64" s="155" t="s">
        <v>9850</v>
      </c>
      <c r="E64" s="159">
        <v>1398</v>
      </c>
      <c r="F64" s="157" t="s">
        <v>9851</v>
      </c>
      <c r="G64" s="155" t="s">
        <v>9849</v>
      </c>
      <c r="H64" s="113" t="s">
        <v>9767</v>
      </c>
      <c r="I64" s="4" t="s">
        <v>9849</v>
      </c>
      <c r="J64" s="155" t="s">
        <v>9851</v>
      </c>
      <c r="K64" s="2" t="s">
        <v>9849</v>
      </c>
    </row>
    <row r="65" spans="1:11" s="2" customFormat="1" x14ac:dyDescent="0.25">
      <c r="A65" s="114" t="s">
        <v>9852</v>
      </c>
      <c r="B65" s="4" t="s">
        <v>9853</v>
      </c>
      <c r="C65" s="113" t="s">
        <v>15363</v>
      </c>
      <c r="D65" s="155" t="s">
        <v>9854</v>
      </c>
      <c r="E65" s="159">
        <v>1090</v>
      </c>
      <c r="F65" s="157" t="s">
        <v>9855</v>
      </c>
      <c r="G65" s="155" t="s">
        <v>9853</v>
      </c>
      <c r="H65" s="113" t="s">
        <v>9767</v>
      </c>
      <c r="I65" s="4" t="s">
        <v>9853</v>
      </c>
      <c r="J65" s="155" t="s">
        <v>9855</v>
      </c>
      <c r="K65" s="2" t="s">
        <v>9849</v>
      </c>
    </row>
    <row r="66" spans="1:11" s="2" customFormat="1" x14ac:dyDescent="0.25">
      <c r="A66" s="114" t="s">
        <v>9856</v>
      </c>
      <c r="B66" s="4" t="s">
        <v>9802</v>
      </c>
      <c r="C66" s="113" t="s">
        <v>15363</v>
      </c>
      <c r="D66" s="155" t="s">
        <v>9857</v>
      </c>
      <c r="E66" s="159">
        <v>2384</v>
      </c>
      <c r="F66" s="157" t="s">
        <v>9858</v>
      </c>
      <c r="G66" s="155" t="s">
        <v>9802</v>
      </c>
      <c r="H66" s="113" t="s">
        <v>9767</v>
      </c>
      <c r="I66" s="4" t="s">
        <v>9802</v>
      </c>
      <c r="J66" s="155" t="s">
        <v>9858</v>
      </c>
      <c r="K66" s="2" t="s">
        <v>9845</v>
      </c>
    </row>
    <row r="67" spans="1:11" s="2" customFormat="1" x14ac:dyDescent="0.25">
      <c r="A67" s="114" t="s">
        <v>9859</v>
      </c>
      <c r="B67" s="4" t="s">
        <v>9860</v>
      </c>
      <c r="C67" s="113" t="s">
        <v>15363</v>
      </c>
      <c r="D67" s="155" t="s">
        <v>9861</v>
      </c>
      <c r="E67" s="159">
        <v>1008</v>
      </c>
      <c r="F67" s="157" t="s">
        <v>9862</v>
      </c>
      <c r="G67" s="155" t="s">
        <v>9860</v>
      </c>
      <c r="H67" s="113" t="s">
        <v>9767</v>
      </c>
      <c r="I67" s="4" t="s">
        <v>9860</v>
      </c>
      <c r="J67" s="155" t="s">
        <v>9862</v>
      </c>
      <c r="K67" s="2" t="s">
        <v>9860</v>
      </c>
    </row>
    <row r="68" spans="1:11" s="2" customFormat="1" x14ac:dyDescent="0.25">
      <c r="A68" s="114" t="s">
        <v>9863</v>
      </c>
      <c r="B68" s="4" t="s">
        <v>9864</v>
      </c>
      <c r="C68" s="113" t="s">
        <v>15363</v>
      </c>
      <c r="D68" s="155" t="s">
        <v>9865</v>
      </c>
      <c r="E68" s="159">
        <v>5009</v>
      </c>
      <c r="F68" s="157" t="s">
        <v>9867</v>
      </c>
      <c r="G68" s="155" t="s">
        <v>9866</v>
      </c>
      <c r="H68" s="113" t="s">
        <v>9767</v>
      </c>
      <c r="I68" s="4" t="s">
        <v>9864</v>
      </c>
      <c r="J68" s="155" t="s">
        <v>9867</v>
      </c>
      <c r="K68" s="2" t="s">
        <v>9866</v>
      </c>
    </row>
    <row r="69" spans="1:11" s="2" customFormat="1" x14ac:dyDescent="0.25">
      <c r="A69" s="114" t="s">
        <v>9868</v>
      </c>
      <c r="B69" s="4" t="s">
        <v>9869</v>
      </c>
      <c r="C69" s="113" t="s">
        <v>15363</v>
      </c>
      <c r="D69" s="155" t="s">
        <v>9870</v>
      </c>
      <c r="E69" s="159">
        <v>444</v>
      </c>
      <c r="F69" s="157" t="s">
        <v>9872</v>
      </c>
      <c r="G69" s="155" t="s">
        <v>9871</v>
      </c>
      <c r="H69" s="113" t="s">
        <v>9767</v>
      </c>
      <c r="I69" s="4" t="s">
        <v>9869</v>
      </c>
      <c r="J69" s="155" t="s">
        <v>9872</v>
      </c>
      <c r="K69" s="2" t="s">
        <v>9860</v>
      </c>
    </row>
    <row r="70" spans="1:11" s="2" customFormat="1" x14ac:dyDescent="0.25">
      <c r="A70" s="114" t="s">
        <v>9873</v>
      </c>
      <c r="B70" s="4" t="s">
        <v>9874</v>
      </c>
      <c r="C70" s="113" t="s">
        <v>15363</v>
      </c>
      <c r="D70" s="155" t="s">
        <v>9875</v>
      </c>
      <c r="E70" s="159">
        <v>1539</v>
      </c>
      <c r="F70" s="157" t="s">
        <v>9876</v>
      </c>
      <c r="G70" s="155" t="s">
        <v>9874</v>
      </c>
      <c r="H70" s="113" t="s">
        <v>9767</v>
      </c>
      <c r="I70" s="4" t="s">
        <v>9874</v>
      </c>
      <c r="J70" s="155" t="s">
        <v>9876</v>
      </c>
      <c r="K70" s="2" t="s">
        <v>9770</v>
      </c>
    </row>
    <row r="71" spans="1:11" s="2" customFormat="1" x14ac:dyDescent="0.25">
      <c r="A71" s="114" t="s">
        <v>9877</v>
      </c>
      <c r="B71" s="4" t="s">
        <v>9878</v>
      </c>
      <c r="C71" s="113" t="s">
        <v>15363</v>
      </c>
      <c r="D71" s="155" t="s">
        <v>9879</v>
      </c>
      <c r="E71" s="159">
        <v>1722</v>
      </c>
      <c r="F71" s="157" t="s">
        <v>9880</v>
      </c>
      <c r="G71" s="155" t="s">
        <v>9878</v>
      </c>
      <c r="H71" s="113" t="s">
        <v>9767</v>
      </c>
      <c r="I71" s="4" t="s">
        <v>9878</v>
      </c>
      <c r="J71" s="155" t="s">
        <v>9880</v>
      </c>
      <c r="K71" s="2" t="s">
        <v>10313</v>
      </c>
    </row>
    <row r="72" spans="1:11" s="2" customFormat="1" x14ac:dyDescent="0.25">
      <c r="A72" s="114" t="s">
        <v>9881</v>
      </c>
      <c r="B72" s="4" t="s">
        <v>9882</v>
      </c>
      <c r="C72" s="113" t="s">
        <v>15363</v>
      </c>
      <c r="D72" s="155" t="s">
        <v>9883</v>
      </c>
      <c r="E72" s="159">
        <v>1395</v>
      </c>
      <c r="F72" s="157" t="s">
        <v>9884</v>
      </c>
      <c r="G72" s="155" t="s">
        <v>9882</v>
      </c>
      <c r="H72" s="113" t="s">
        <v>9767</v>
      </c>
      <c r="I72" s="4" t="s">
        <v>9882</v>
      </c>
      <c r="J72" s="155" t="s">
        <v>9884</v>
      </c>
      <c r="K72" s="2" t="s">
        <v>10704</v>
      </c>
    </row>
    <row r="73" spans="1:11" s="2" customFormat="1" x14ac:dyDescent="0.25">
      <c r="A73" s="114" t="s">
        <v>9885</v>
      </c>
      <c r="B73" s="4" t="s">
        <v>9886</v>
      </c>
      <c r="C73" s="113" t="s">
        <v>15363</v>
      </c>
      <c r="D73" s="155" t="s">
        <v>9887</v>
      </c>
      <c r="E73" s="159">
        <v>2639</v>
      </c>
      <c r="F73" s="157" t="s">
        <v>9888</v>
      </c>
      <c r="G73" s="155" t="s">
        <v>9886</v>
      </c>
      <c r="H73" s="113" t="s">
        <v>9767</v>
      </c>
      <c r="I73" s="4" t="s">
        <v>9886</v>
      </c>
      <c r="J73" s="155" t="s">
        <v>9888</v>
      </c>
      <c r="K73" s="2" t="s">
        <v>10313</v>
      </c>
    </row>
    <row r="74" spans="1:11" s="2" customFormat="1" x14ac:dyDescent="0.25">
      <c r="A74" s="114" t="s">
        <v>9889</v>
      </c>
      <c r="B74" s="4" t="s">
        <v>9890</v>
      </c>
      <c r="C74" s="113" t="s">
        <v>15363</v>
      </c>
      <c r="D74" s="155" t="s">
        <v>9891</v>
      </c>
      <c r="E74" s="159">
        <v>22</v>
      </c>
      <c r="F74" s="157" t="s">
        <v>9892</v>
      </c>
      <c r="G74" s="155" t="s">
        <v>9890</v>
      </c>
      <c r="H74" s="113" t="s">
        <v>9767</v>
      </c>
      <c r="I74" s="4" t="s">
        <v>9890</v>
      </c>
      <c r="J74" s="155" t="s">
        <v>9892</v>
      </c>
      <c r="K74" s="2" t="s">
        <v>10313</v>
      </c>
    </row>
    <row r="75" spans="1:11" s="2" customFormat="1" x14ac:dyDescent="0.25">
      <c r="A75" s="114" t="s">
        <v>9893</v>
      </c>
      <c r="B75" s="4" t="s">
        <v>9894</v>
      </c>
      <c r="C75" s="113" t="s">
        <v>4</v>
      </c>
      <c r="D75" s="155" t="s">
        <v>9895</v>
      </c>
      <c r="E75" s="159">
        <v>2882</v>
      </c>
      <c r="F75" s="157" t="s">
        <v>9896</v>
      </c>
      <c r="G75" s="155" t="s">
        <v>9894</v>
      </c>
      <c r="H75" s="113" t="s">
        <v>9767</v>
      </c>
      <c r="I75" s="4" t="s">
        <v>9894</v>
      </c>
      <c r="J75" s="155" t="s">
        <v>9896</v>
      </c>
      <c r="K75" s="2" t="s">
        <v>9770</v>
      </c>
    </row>
    <row r="76" spans="1:11" s="2" customFormat="1" x14ac:dyDescent="0.25">
      <c r="A76" s="114" t="s">
        <v>9897</v>
      </c>
      <c r="B76" s="4" t="s">
        <v>9898</v>
      </c>
      <c r="C76" s="113" t="s">
        <v>15363</v>
      </c>
      <c r="D76" s="155" t="s">
        <v>9899</v>
      </c>
      <c r="E76" s="159">
        <v>1899</v>
      </c>
      <c r="F76" s="157" t="s">
        <v>9901</v>
      </c>
      <c r="G76" s="155" t="s">
        <v>9900</v>
      </c>
      <c r="H76" s="113" t="s">
        <v>9767</v>
      </c>
      <c r="I76" s="4" t="s">
        <v>9898</v>
      </c>
      <c r="J76" s="155" t="s">
        <v>9901</v>
      </c>
      <c r="K76" s="2" t="s">
        <v>9912</v>
      </c>
    </row>
    <row r="77" spans="1:11" s="2" customFormat="1" x14ac:dyDescent="0.25">
      <c r="A77" s="114" t="s">
        <v>9902</v>
      </c>
      <c r="B77" s="4" t="s">
        <v>9903</v>
      </c>
      <c r="C77" s="113" t="s">
        <v>4</v>
      </c>
      <c r="D77" s="155" t="s">
        <v>9904</v>
      </c>
      <c r="E77" s="159">
        <v>0</v>
      </c>
      <c r="F77" s="157" t="s">
        <v>9905</v>
      </c>
      <c r="G77" s="155" t="s">
        <v>9903</v>
      </c>
      <c r="H77" s="113" t="s">
        <v>9767</v>
      </c>
      <c r="I77" s="4" t="s">
        <v>9903</v>
      </c>
      <c r="J77" s="155" t="s">
        <v>9905</v>
      </c>
      <c r="K77" s="2" t="s">
        <v>10038</v>
      </c>
    </row>
    <row r="78" spans="1:11" s="2" customFormat="1" x14ac:dyDescent="0.25">
      <c r="A78" s="114" t="s">
        <v>9906</v>
      </c>
      <c r="B78" s="4" t="s">
        <v>9907</v>
      </c>
      <c r="C78" s="113" t="s">
        <v>15363</v>
      </c>
      <c r="D78" s="155" t="s">
        <v>9908</v>
      </c>
      <c r="E78" s="159">
        <v>1076</v>
      </c>
      <c r="F78" s="157" t="s">
        <v>9910</v>
      </c>
      <c r="G78" s="155" t="s">
        <v>9909</v>
      </c>
      <c r="H78" s="113" t="s">
        <v>9767</v>
      </c>
      <c r="I78" s="4" t="s">
        <v>9907</v>
      </c>
      <c r="J78" s="155" t="s">
        <v>9910</v>
      </c>
      <c r="K78" s="2" t="s">
        <v>13686</v>
      </c>
    </row>
    <row r="79" spans="1:11" s="2" customFormat="1" x14ac:dyDescent="0.25">
      <c r="A79" s="114" t="s">
        <v>9911</v>
      </c>
      <c r="B79" s="4" t="s">
        <v>9912</v>
      </c>
      <c r="C79" s="113" t="s">
        <v>15363</v>
      </c>
      <c r="D79" s="155" t="s">
        <v>9913</v>
      </c>
      <c r="E79" s="159">
        <v>390</v>
      </c>
      <c r="F79" s="157" t="s">
        <v>9914</v>
      </c>
      <c r="G79" s="155" t="s">
        <v>9912</v>
      </c>
      <c r="H79" s="113" t="s">
        <v>9767</v>
      </c>
      <c r="I79" s="4" t="s">
        <v>9912</v>
      </c>
      <c r="J79" s="155" t="s">
        <v>9914</v>
      </c>
      <c r="K79" s="2" t="s">
        <v>9912</v>
      </c>
    </row>
    <row r="80" spans="1:11" s="2" customFormat="1" x14ac:dyDescent="0.25">
      <c r="A80" s="114" t="s">
        <v>9915</v>
      </c>
      <c r="B80" s="4" t="s">
        <v>9916</v>
      </c>
      <c r="C80" s="113" t="s">
        <v>15363</v>
      </c>
      <c r="D80" s="155" t="s">
        <v>9917</v>
      </c>
      <c r="E80" s="159">
        <v>4751</v>
      </c>
      <c r="F80" s="157" t="s">
        <v>9918</v>
      </c>
      <c r="G80" s="155" t="s">
        <v>9916</v>
      </c>
      <c r="H80" s="113" t="s">
        <v>9767</v>
      </c>
      <c r="I80" s="4" t="s">
        <v>9916</v>
      </c>
      <c r="J80" s="155" t="s">
        <v>9918</v>
      </c>
      <c r="K80" s="2" t="s">
        <v>9916</v>
      </c>
    </row>
    <row r="81" spans="1:11" s="2" customFormat="1" x14ac:dyDescent="0.25">
      <c r="A81" s="114" t="s">
        <v>9919</v>
      </c>
      <c r="B81" s="4" t="s">
        <v>9920</v>
      </c>
      <c r="C81" s="113" t="s">
        <v>15363</v>
      </c>
      <c r="D81" s="155" t="s">
        <v>9921</v>
      </c>
      <c r="E81" s="159">
        <v>4155</v>
      </c>
      <c r="F81" s="157" t="s">
        <v>9922</v>
      </c>
      <c r="G81" s="155" t="s">
        <v>9920</v>
      </c>
      <c r="H81" s="113" t="s">
        <v>9767</v>
      </c>
      <c r="I81" s="4" t="s">
        <v>9920</v>
      </c>
      <c r="J81" s="155" t="s">
        <v>9922</v>
      </c>
      <c r="K81" s="2" t="s">
        <v>15383</v>
      </c>
    </row>
    <row r="82" spans="1:11" s="2" customFormat="1" x14ac:dyDescent="0.25">
      <c r="A82" s="114" t="s">
        <v>9923</v>
      </c>
      <c r="B82" s="4" t="s">
        <v>9924</v>
      </c>
      <c r="C82" s="113" t="s">
        <v>15363</v>
      </c>
      <c r="D82" s="155" t="s">
        <v>15366</v>
      </c>
      <c r="E82" s="159">
        <v>3212</v>
      </c>
      <c r="F82" s="157" t="s">
        <v>9926</v>
      </c>
      <c r="G82" s="155" t="s">
        <v>9924</v>
      </c>
      <c r="H82" s="113" t="s">
        <v>9767</v>
      </c>
      <c r="I82" s="4" t="s">
        <v>9924</v>
      </c>
      <c r="J82" s="155" t="s">
        <v>9926</v>
      </c>
      <c r="K82" s="2" t="s">
        <v>9924</v>
      </c>
    </row>
    <row r="83" spans="1:11" s="2" customFormat="1" x14ac:dyDescent="0.25">
      <c r="A83" s="114" t="s">
        <v>9927</v>
      </c>
      <c r="B83" s="4" t="s">
        <v>9928</v>
      </c>
      <c r="C83" s="113" t="s">
        <v>15363</v>
      </c>
      <c r="D83" s="155" t="s">
        <v>9929</v>
      </c>
      <c r="E83" s="159">
        <v>2317</v>
      </c>
      <c r="F83" s="157" t="s">
        <v>9930</v>
      </c>
      <c r="G83" s="155" t="s">
        <v>9928</v>
      </c>
      <c r="H83" s="113" t="s">
        <v>9767</v>
      </c>
      <c r="I83" s="4" t="s">
        <v>9928</v>
      </c>
      <c r="J83" s="155" t="s">
        <v>9930</v>
      </c>
      <c r="K83" s="2" t="s">
        <v>9940</v>
      </c>
    </row>
    <row r="84" spans="1:11" s="2" customFormat="1" x14ac:dyDescent="0.25">
      <c r="A84" s="114" t="s">
        <v>9931</v>
      </c>
      <c r="B84" s="4" t="s">
        <v>9932</v>
      </c>
      <c r="C84" s="113" t="s">
        <v>15363</v>
      </c>
      <c r="D84" s="155" t="s">
        <v>9933</v>
      </c>
      <c r="E84" s="159">
        <v>6801</v>
      </c>
      <c r="F84" s="157" t="s">
        <v>9934</v>
      </c>
      <c r="G84" s="155" t="s">
        <v>9932</v>
      </c>
      <c r="H84" s="113" t="s">
        <v>9767</v>
      </c>
      <c r="I84" s="4" t="s">
        <v>9932</v>
      </c>
      <c r="J84" s="155" t="s">
        <v>9934</v>
      </c>
      <c r="K84" s="2" t="s">
        <v>15383</v>
      </c>
    </row>
    <row r="85" spans="1:11" s="2" customFormat="1" x14ac:dyDescent="0.25">
      <c r="A85" s="114" t="s">
        <v>9935</v>
      </c>
      <c r="B85" s="4" t="s">
        <v>9936</v>
      </c>
      <c r="C85" s="113" t="s">
        <v>15363</v>
      </c>
      <c r="D85" s="155" t="s">
        <v>9937</v>
      </c>
      <c r="E85" s="159">
        <v>2204</v>
      </c>
      <c r="F85" s="157" t="s">
        <v>9938</v>
      </c>
      <c r="G85" s="155" t="s">
        <v>9936</v>
      </c>
      <c r="H85" s="113" t="s">
        <v>9767</v>
      </c>
      <c r="I85" s="4" t="s">
        <v>9936</v>
      </c>
      <c r="J85" s="155" t="s">
        <v>9938</v>
      </c>
      <c r="K85" s="2" t="s">
        <v>13686</v>
      </c>
    </row>
    <row r="86" spans="1:11" s="2" customFormat="1" x14ac:dyDescent="0.25">
      <c r="A86" s="114" t="s">
        <v>9939</v>
      </c>
      <c r="B86" s="4" t="s">
        <v>9940</v>
      </c>
      <c r="C86" s="113" t="s">
        <v>15363</v>
      </c>
      <c r="D86" s="155" t="s">
        <v>9941</v>
      </c>
      <c r="E86" s="159">
        <v>2055</v>
      </c>
      <c r="F86" s="157" t="s">
        <v>9943</v>
      </c>
      <c r="G86" s="155" t="s">
        <v>9942</v>
      </c>
      <c r="H86" s="113" t="s">
        <v>9767</v>
      </c>
      <c r="I86" s="4" t="s">
        <v>9940</v>
      </c>
      <c r="J86" s="155" t="s">
        <v>9943</v>
      </c>
      <c r="K86" s="2" t="s">
        <v>9940</v>
      </c>
    </row>
    <row r="87" spans="1:11" s="2" customFormat="1" x14ac:dyDescent="0.25">
      <c r="A87" s="114" t="s">
        <v>9944</v>
      </c>
      <c r="B87" s="4" t="s">
        <v>9945</v>
      </c>
      <c r="C87" s="113" t="s">
        <v>4</v>
      </c>
      <c r="D87" s="155" t="s">
        <v>9946</v>
      </c>
      <c r="E87" s="159">
        <v>2407</v>
      </c>
      <c r="F87" s="157" t="s">
        <v>9948</v>
      </c>
      <c r="G87" s="155" t="s">
        <v>9947</v>
      </c>
      <c r="H87" s="113" t="s">
        <v>9767</v>
      </c>
      <c r="I87" s="4" t="s">
        <v>9945</v>
      </c>
      <c r="J87" s="155" t="s">
        <v>9948</v>
      </c>
      <c r="K87" s="2" t="s">
        <v>15383</v>
      </c>
    </row>
    <row r="88" spans="1:11" s="2" customFormat="1" x14ac:dyDescent="0.25">
      <c r="A88" s="114" t="s">
        <v>9949</v>
      </c>
      <c r="B88" s="4" t="s">
        <v>9950</v>
      </c>
      <c r="C88" s="113" t="s">
        <v>15363</v>
      </c>
      <c r="D88" s="155" t="s">
        <v>9933</v>
      </c>
      <c r="E88" s="159">
        <v>691</v>
      </c>
      <c r="F88" s="157" t="s">
        <v>9951</v>
      </c>
      <c r="G88" s="155" t="s">
        <v>9950</v>
      </c>
      <c r="H88" s="113" t="s">
        <v>9767</v>
      </c>
      <c r="I88" s="4" t="s">
        <v>9950</v>
      </c>
      <c r="J88" s="155" t="s">
        <v>9951</v>
      </c>
      <c r="K88" s="2" t="s">
        <v>15383</v>
      </c>
    </row>
    <row r="89" spans="1:11" s="2" customFormat="1" x14ac:dyDescent="0.25">
      <c r="A89" s="114" t="s">
        <v>9952</v>
      </c>
      <c r="B89" s="4" t="s">
        <v>9953</v>
      </c>
      <c r="C89" s="113" t="s">
        <v>15363</v>
      </c>
      <c r="D89" s="155" t="s">
        <v>9929</v>
      </c>
      <c r="E89" s="159">
        <v>6133</v>
      </c>
      <c r="F89" s="157" t="s">
        <v>9954</v>
      </c>
      <c r="G89" s="155" t="s">
        <v>9953</v>
      </c>
      <c r="H89" s="113" t="s">
        <v>9767</v>
      </c>
      <c r="I89" s="4" t="s">
        <v>9953</v>
      </c>
      <c r="J89" s="155" t="s">
        <v>9954</v>
      </c>
      <c r="K89" s="2" t="s">
        <v>9940</v>
      </c>
    </row>
    <row r="90" spans="1:11" s="2" customFormat="1" x14ac:dyDescent="0.25">
      <c r="A90" s="114" t="s">
        <v>9955</v>
      </c>
      <c r="B90" s="4" t="s">
        <v>9956</v>
      </c>
      <c r="C90" s="113" t="s">
        <v>15363</v>
      </c>
      <c r="D90" s="155" t="s">
        <v>9957</v>
      </c>
      <c r="E90" s="159">
        <v>3171</v>
      </c>
      <c r="F90" s="157" t="s">
        <v>9958</v>
      </c>
      <c r="G90" s="155" t="s">
        <v>9956</v>
      </c>
      <c r="H90" s="113" t="s">
        <v>9767</v>
      </c>
      <c r="I90" s="4" t="s">
        <v>9956</v>
      </c>
      <c r="J90" s="155" t="s">
        <v>9958</v>
      </c>
      <c r="K90" s="2" t="s">
        <v>15383</v>
      </c>
    </row>
    <row r="91" spans="1:11" s="2" customFormat="1" x14ac:dyDescent="0.25">
      <c r="A91" s="114" t="s">
        <v>9959</v>
      </c>
      <c r="B91" s="4" t="s">
        <v>9960</v>
      </c>
      <c r="C91" s="113" t="s">
        <v>15363</v>
      </c>
      <c r="D91" s="155" t="s">
        <v>9961</v>
      </c>
      <c r="E91" s="159">
        <v>3035</v>
      </c>
      <c r="F91" s="157" t="s">
        <v>9962</v>
      </c>
      <c r="G91" s="155" t="s">
        <v>9960</v>
      </c>
      <c r="H91" s="113" t="s">
        <v>9767</v>
      </c>
      <c r="I91" s="4" t="s">
        <v>9960</v>
      </c>
      <c r="J91" s="155" t="s">
        <v>9962</v>
      </c>
      <c r="K91" s="2" t="s">
        <v>15383</v>
      </c>
    </row>
    <row r="92" spans="1:11" s="2" customFormat="1" x14ac:dyDescent="0.25">
      <c r="A92" s="114" t="s">
        <v>9963</v>
      </c>
      <c r="B92" s="4" t="s">
        <v>9964</v>
      </c>
      <c r="C92" s="113" t="s">
        <v>15363</v>
      </c>
      <c r="D92" s="155" t="s">
        <v>9965</v>
      </c>
      <c r="E92" s="159">
        <v>13</v>
      </c>
      <c r="F92" s="157" t="s">
        <v>9966</v>
      </c>
      <c r="G92" s="155" t="s">
        <v>9947</v>
      </c>
      <c r="H92" s="113" t="s">
        <v>9767</v>
      </c>
      <c r="I92" s="4" t="s">
        <v>9964</v>
      </c>
      <c r="J92" s="155" t="s">
        <v>9966</v>
      </c>
      <c r="K92" s="2" t="s">
        <v>15383</v>
      </c>
    </row>
    <row r="93" spans="1:11" s="2" customFormat="1" x14ac:dyDescent="0.25">
      <c r="A93" s="114" t="s">
        <v>9967</v>
      </c>
      <c r="B93" s="4" t="s">
        <v>9968</v>
      </c>
      <c r="C93" s="113" t="s">
        <v>15363</v>
      </c>
      <c r="D93" s="155" t="s">
        <v>9969</v>
      </c>
      <c r="E93" s="159">
        <v>3394</v>
      </c>
      <c r="F93" s="157" t="s">
        <v>9970</v>
      </c>
      <c r="G93" s="155" t="s">
        <v>9968</v>
      </c>
      <c r="H93" s="113" t="s">
        <v>9767</v>
      </c>
      <c r="I93" s="4" t="s">
        <v>9968</v>
      </c>
      <c r="J93" s="155" t="s">
        <v>9970</v>
      </c>
      <c r="K93" s="2" t="s">
        <v>11023</v>
      </c>
    </row>
    <row r="94" spans="1:11" s="2" customFormat="1" x14ac:dyDescent="0.25">
      <c r="A94" s="114" t="s">
        <v>9971</v>
      </c>
      <c r="B94" s="4" t="s">
        <v>9972</v>
      </c>
      <c r="C94" s="113" t="s">
        <v>15363</v>
      </c>
      <c r="D94" s="155" t="s">
        <v>9973</v>
      </c>
      <c r="E94" s="159">
        <v>664</v>
      </c>
      <c r="F94" s="157" t="s">
        <v>9974</v>
      </c>
      <c r="G94" s="155" t="s">
        <v>9972</v>
      </c>
      <c r="H94" s="113" t="s">
        <v>9767</v>
      </c>
      <c r="I94" s="4" t="s">
        <v>9972</v>
      </c>
      <c r="J94" s="155" t="s">
        <v>9974</v>
      </c>
      <c r="K94" s="2" t="s">
        <v>9940</v>
      </c>
    </row>
    <row r="95" spans="1:11" s="2" customFormat="1" x14ac:dyDescent="0.25">
      <c r="A95" s="114" t="s">
        <v>9975</v>
      </c>
      <c r="B95" s="4" t="s">
        <v>9976</v>
      </c>
      <c r="C95" s="113" t="s">
        <v>15363</v>
      </c>
      <c r="D95" s="155" t="s">
        <v>9977</v>
      </c>
      <c r="E95" s="159">
        <v>3395</v>
      </c>
      <c r="F95" s="157" t="s">
        <v>9978</v>
      </c>
      <c r="G95" s="155" t="s">
        <v>9976</v>
      </c>
      <c r="H95" s="113" t="s">
        <v>9767</v>
      </c>
      <c r="I95" s="4" t="s">
        <v>9976</v>
      </c>
      <c r="J95" s="155" t="s">
        <v>9978</v>
      </c>
      <c r="K95" s="2" t="s">
        <v>13686</v>
      </c>
    </row>
    <row r="96" spans="1:11" s="2" customFormat="1" x14ac:dyDescent="0.25">
      <c r="A96" s="114" t="s">
        <v>9979</v>
      </c>
      <c r="B96" s="4" t="s">
        <v>9980</v>
      </c>
      <c r="C96" s="113" t="s">
        <v>15363</v>
      </c>
      <c r="D96" s="155" t="s">
        <v>9981</v>
      </c>
      <c r="E96" s="159">
        <v>2498</v>
      </c>
      <c r="F96" s="157" t="s">
        <v>9982</v>
      </c>
      <c r="G96" s="155" t="s">
        <v>9980</v>
      </c>
      <c r="H96" s="113" t="s">
        <v>9767</v>
      </c>
      <c r="I96" s="4" t="s">
        <v>9980</v>
      </c>
      <c r="J96" s="155" t="s">
        <v>9982</v>
      </c>
      <c r="K96" s="2" t="s">
        <v>11016</v>
      </c>
    </row>
    <row r="97" spans="1:26" s="2" customFormat="1" x14ac:dyDescent="0.25">
      <c r="A97" s="114" t="s">
        <v>9983</v>
      </c>
      <c r="B97" s="4" t="s">
        <v>9984</v>
      </c>
      <c r="C97" s="113" t="s">
        <v>15363</v>
      </c>
      <c r="D97" s="155" t="s">
        <v>9899</v>
      </c>
      <c r="E97" s="159">
        <v>3317</v>
      </c>
      <c r="F97" s="157" t="s">
        <v>9985</v>
      </c>
      <c r="G97" s="155" t="s">
        <v>9898</v>
      </c>
      <c r="H97" s="113" t="s">
        <v>9767</v>
      </c>
      <c r="I97" s="4" t="s">
        <v>9984</v>
      </c>
      <c r="J97" s="155" t="s">
        <v>9985</v>
      </c>
      <c r="K97" s="2" t="s">
        <v>9912</v>
      </c>
    </row>
    <row r="98" spans="1:26" s="2" customFormat="1" x14ac:dyDescent="0.25">
      <c r="A98" s="114" t="s">
        <v>9986</v>
      </c>
      <c r="B98" s="4" t="s">
        <v>9987</v>
      </c>
      <c r="C98" s="113" t="s">
        <v>15363</v>
      </c>
      <c r="D98" s="155" t="s">
        <v>9988</v>
      </c>
      <c r="E98" s="159">
        <v>1638</v>
      </c>
      <c r="F98" s="157" t="s">
        <v>9990</v>
      </c>
      <c r="G98" s="155" t="s">
        <v>9989</v>
      </c>
      <c r="H98" s="113" t="s">
        <v>9767</v>
      </c>
      <c r="I98" s="4" t="s">
        <v>9987</v>
      </c>
      <c r="J98" s="155" t="s">
        <v>9990</v>
      </c>
      <c r="K98" s="4" t="s">
        <v>9940</v>
      </c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s="2" customFormat="1" x14ac:dyDescent="0.25">
      <c r="A99" s="114" t="s">
        <v>9991</v>
      </c>
      <c r="B99" s="4" t="s">
        <v>9992</v>
      </c>
      <c r="C99" s="113" t="s">
        <v>15363</v>
      </c>
      <c r="D99" s="155" t="s">
        <v>9993</v>
      </c>
      <c r="E99" s="159">
        <v>10</v>
      </c>
      <c r="F99" s="157" t="s">
        <v>9994</v>
      </c>
      <c r="G99" s="155" t="s">
        <v>9960</v>
      </c>
      <c r="H99" s="113" t="s">
        <v>9767</v>
      </c>
      <c r="I99" s="4" t="s">
        <v>9992</v>
      </c>
      <c r="J99" s="155" t="s">
        <v>9994</v>
      </c>
      <c r="K99" s="2" t="s">
        <v>15383</v>
      </c>
    </row>
    <row r="100" spans="1:26" s="2" customFormat="1" x14ac:dyDescent="0.25">
      <c r="A100" s="114" t="s">
        <v>9995</v>
      </c>
      <c r="B100" s="4" t="s">
        <v>9996</v>
      </c>
      <c r="C100" s="113" t="s">
        <v>15363</v>
      </c>
      <c r="D100" s="155" t="s">
        <v>9997</v>
      </c>
      <c r="E100" s="159">
        <v>635</v>
      </c>
      <c r="F100" s="157" t="s">
        <v>9998</v>
      </c>
      <c r="G100" s="155" t="s">
        <v>15292</v>
      </c>
      <c r="H100" s="113" t="s">
        <v>9767</v>
      </c>
      <c r="I100" s="4" t="s">
        <v>9996</v>
      </c>
      <c r="J100" s="155" t="s">
        <v>9998</v>
      </c>
      <c r="K100" s="2" t="s">
        <v>9912</v>
      </c>
    </row>
    <row r="101" spans="1:26" s="2" customFormat="1" x14ac:dyDescent="0.25">
      <c r="A101" s="114" t="s">
        <v>9999</v>
      </c>
      <c r="B101" s="4" t="s">
        <v>10000</v>
      </c>
      <c r="C101" s="113" t="s">
        <v>15363</v>
      </c>
      <c r="D101" s="155" t="s">
        <v>10001</v>
      </c>
      <c r="E101" s="159">
        <v>6185</v>
      </c>
      <c r="F101" s="157" t="s">
        <v>10002</v>
      </c>
      <c r="G101" s="155" t="s">
        <v>10000</v>
      </c>
      <c r="H101" s="113" t="s">
        <v>9767</v>
      </c>
      <c r="I101" s="4" t="s">
        <v>10000</v>
      </c>
      <c r="J101" s="155" t="s">
        <v>10002</v>
      </c>
      <c r="K101" s="2" t="s">
        <v>9912</v>
      </c>
    </row>
    <row r="102" spans="1:26" s="2" customFormat="1" x14ac:dyDescent="0.25">
      <c r="A102" s="114" t="s">
        <v>10003</v>
      </c>
      <c r="B102" s="4" t="s">
        <v>10004</v>
      </c>
      <c r="C102" s="113" t="s">
        <v>15363</v>
      </c>
      <c r="D102" s="155" t="s">
        <v>10005</v>
      </c>
      <c r="E102" s="159">
        <v>1471</v>
      </c>
      <c r="F102" s="157" t="s">
        <v>10006</v>
      </c>
      <c r="G102" s="155" t="s">
        <v>9942</v>
      </c>
      <c r="H102" s="113" t="s">
        <v>9767</v>
      </c>
      <c r="I102" s="4" t="s">
        <v>10004</v>
      </c>
      <c r="J102" s="155" t="s">
        <v>10006</v>
      </c>
      <c r="K102" s="2" t="s">
        <v>9940</v>
      </c>
    </row>
    <row r="103" spans="1:26" s="2" customFormat="1" x14ac:dyDescent="0.25">
      <c r="A103" s="114" t="s">
        <v>10007</v>
      </c>
      <c r="B103" s="4" t="s">
        <v>10008</v>
      </c>
      <c r="C103" s="113" t="s">
        <v>15363</v>
      </c>
      <c r="D103" s="155" t="s">
        <v>10009</v>
      </c>
      <c r="E103" s="159">
        <v>379</v>
      </c>
      <c r="F103" s="157" t="s">
        <v>10011</v>
      </c>
      <c r="G103" s="155" t="s">
        <v>10010</v>
      </c>
      <c r="H103" s="113" t="s">
        <v>9767</v>
      </c>
      <c r="I103" s="4" t="s">
        <v>10008</v>
      </c>
      <c r="J103" s="155" t="s">
        <v>10011</v>
      </c>
      <c r="K103" s="2" t="s">
        <v>11016</v>
      </c>
    </row>
    <row r="104" spans="1:26" s="2" customFormat="1" x14ac:dyDescent="0.25">
      <c r="A104" s="114" t="s">
        <v>10012</v>
      </c>
      <c r="B104" s="4" t="s">
        <v>10013</v>
      </c>
      <c r="C104" s="113" t="s">
        <v>15363</v>
      </c>
      <c r="D104" s="155" t="s">
        <v>10014</v>
      </c>
      <c r="E104" s="159">
        <v>45</v>
      </c>
      <c r="F104" s="157" t="s">
        <v>10015</v>
      </c>
      <c r="G104" s="155" t="s">
        <v>10013</v>
      </c>
      <c r="H104" s="113" t="s">
        <v>9767</v>
      </c>
      <c r="I104" s="4" t="s">
        <v>10013</v>
      </c>
      <c r="J104" s="155" t="s">
        <v>10015</v>
      </c>
      <c r="K104" s="4" t="s">
        <v>11023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s="2" customFormat="1" x14ac:dyDescent="0.25">
      <c r="A105" s="114" t="s">
        <v>10016</v>
      </c>
      <c r="B105" s="4" t="s">
        <v>10017</v>
      </c>
      <c r="C105" s="113" t="s">
        <v>15363</v>
      </c>
      <c r="D105" s="155" t="s">
        <v>10018</v>
      </c>
      <c r="E105" s="159">
        <v>4115</v>
      </c>
      <c r="F105" s="157" t="s">
        <v>10019</v>
      </c>
      <c r="G105" s="155" t="s">
        <v>10017</v>
      </c>
      <c r="H105" s="113" t="s">
        <v>9767</v>
      </c>
      <c r="I105" s="4" t="s">
        <v>10017</v>
      </c>
      <c r="J105" s="155" t="s">
        <v>10019</v>
      </c>
      <c r="K105" s="2" t="s">
        <v>11016</v>
      </c>
    </row>
    <row r="106" spans="1:26" s="2" customFormat="1" x14ac:dyDescent="0.25">
      <c r="A106" s="114" t="s">
        <v>10020</v>
      </c>
      <c r="B106" s="4" t="s">
        <v>10021</v>
      </c>
      <c r="C106" s="113" t="s">
        <v>15363</v>
      </c>
      <c r="D106" s="155" t="s">
        <v>10022</v>
      </c>
      <c r="E106" s="159">
        <v>6006</v>
      </c>
      <c r="F106" s="157" t="s">
        <v>10024</v>
      </c>
      <c r="G106" s="155" t="s">
        <v>10023</v>
      </c>
      <c r="H106" s="113" t="s">
        <v>9767</v>
      </c>
      <c r="I106" s="4" t="s">
        <v>10021</v>
      </c>
      <c r="J106" s="155" t="s">
        <v>10024</v>
      </c>
      <c r="K106" s="2" t="s">
        <v>15383</v>
      </c>
    </row>
    <row r="107" spans="1:26" s="2" customFormat="1" x14ac:dyDescent="0.25">
      <c r="A107" s="114" t="s">
        <v>10025</v>
      </c>
      <c r="B107" s="4" t="s">
        <v>10026</v>
      </c>
      <c r="C107" s="113" t="s">
        <v>15363</v>
      </c>
      <c r="D107" s="155" t="s">
        <v>10027</v>
      </c>
      <c r="E107" s="159">
        <v>2009</v>
      </c>
      <c r="F107" s="157" t="s">
        <v>10028</v>
      </c>
      <c r="G107" s="155" t="s">
        <v>10026</v>
      </c>
      <c r="H107" s="113" t="s">
        <v>9767</v>
      </c>
      <c r="I107" s="4" t="s">
        <v>10026</v>
      </c>
      <c r="J107" s="155" t="s">
        <v>10028</v>
      </c>
      <c r="K107" s="2" t="s">
        <v>9916</v>
      </c>
    </row>
    <row r="108" spans="1:26" s="2" customFormat="1" x14ac:dyDescent="0.25">
      <c r="A108" s="114" t="s">
        <v>10029</v>
      </c>
      <c r="B108" s="4" t="s">
        <v>10030</v>
      </c>
      <c r="C108" s="113" t="s">
        <v>15363</v>
      </c>
      <c r="D108" s="155" t="s">
        <v>10031</v>
      </c>
      <c r="E108" s="159">
        <v>1071</v>
      </c>
      <c r="F108" s="157" t="s">
        <v>10032</v>
      </c>
      <c r="G108" s="155" t="s">
        <v>10030</v>
      </c>
      <c r="H108" s="113" t="s">
        <v>9767</v>
      </c>
      <c r="I108" s="4" t="s">
        <v>10030</v>
      </c>
      <c r="J108" s="155" t="s">
        <v>10032</v>
      </c>
      <c r="K108" s="2" t="s">
        <v>15383</v>
      </c>
    </row>
    <row r="109" spans="1:26" s="2" customFormat="1" x14ac:dyDescent="0.25">
      <c r="A109" s="114" t="s">
        <v>10033</v>
      </c>
      <c r="B109" s="4" t="s">
        <v>10034</v>
      </c>
      <c r="C109" s="113" t="s">
        <v>15363</v>
      </c>
      <c r="D109" s="155" t="s">
        <v>10035</v>
      </c>
      <c r="E109" s="159">
        <v>983</v>
      </c>
      <c r="F109" s="157" t="s">
        <v>10036</v>
      </c>
      <c r="G109" s="155" t="s">
        <v>10034</v>
      </c>
      <c r="H109" s="113" t="s">
        <v>9767</v>
      </c>
      <c r="I109" s="4" t="s">
        <v>10034</v>
      </c>
      <c r="J109" s="155" t="s">
        <v>10036</v>
      </c>
      <c r="K109" s="2" t="s">
        <v>13686</v>
      </c>
    </row>
    <row r="110" spans="1:26" s="2" customFormat="1" x14ac:dyDescent="0.25">
      <c r="A110" s="114" t="s">
        <v>10037</v>
      </c>
      <c r="B110" s="4" t="s">
        <v>10038</v>
      </c>
      <c r="C110" s="113" t="s">
        <v>15363</v>
      </c>
      <c r="D110" s="155" t="s">
        <v>10039</v>
      </c>
      <c r="E110" s="159">
        <v>198</v>
      </c>
      <c r="F110" s="157" t="s">
        <v>10040</v>
      </c>
      <c r="G110" s="155" t="s">
        <v>10038</v>
      </c>
      <c r="H110" s="113" t="s">
        <v>9767</v>
      </c>
      <c r="I110" s="4" t="s">
        <v>10038</v>
      </c>
      <c r="J110" s="155" t="s">
        <v>10040</v>
      </c>
      <c r="K110" s="2" t="s">
        <v>10038</v>
      </c>
    </row>
    <row r="111" spans="1:26" s="2" customFormat="1" x14ac:dyDescent="0.25">
      <c r="A111" s="114" t="s">
        <v>10041</v>
      </c>
      <c r="B111" s="4" t="s">
        <v>10042</v>
      </c>
      <c r="C111" s="113" t="s">
        <v>4</v>
      </c>
      <c r="D111" s="155" t="s">
        <v>10043</v>
      </c>
      <c r="E111" s="159">
        <v>50</v>
      </c>
      <c r="F111" s="157" t="s">
        <v>10044</v>
      </c>
      <c r="G111" s="155" t="s">
        <v>10042</v>
      </c>
      <c r="H111" s="113" t="s">
        <v>9767</v>
      </c>
      <c r="I111" s="4" t="s">
        <v>10042</v>
      </c>
      <c r="J111" s="155" t="s">
        <v>10044</v>
      </c>
      <c r="K111" s="2" t="s">
        <v>13686</v>
      </c>
    </row>
    <row r="112" spans="1:26" s="2" customFormat="1" x14ac:dyDescent="0.25">
      <c r="A112" s="114" t="s">
        <v>10045</v>
      </c>
      <c r="B112" s="4" t="s">
        <v>10046</v>
      </c>
      <c r="C112" s="113" t="s">
        <v>15363</v>
      </c>
      <c r="D112" s="155" t="s">
        <v>10047</v>
      </c>
      <c r="E112" s="159">
        <v>4491</v>
      </c>
      <c r="F112" s="157" t="s">
        <v>10048</v>
      </c>
      <c r="G112" s="155" t="s">
        <v>10046</v>
      </c>
      <c r="H112" s="113" t="s">
        <v>9767</v>
      </c>
      <c r="I112" s="4" t="s">
        <v>10046</v>
      </c>
      <c r="J112" s="155" t="s">
        <v>10048</v>
      </c>
      <c r="K112" s="2" t="s">
        <v>15383</v>
      </c>
    </row>
    <row r="113" spans="1:26" s="2" customFormat="1" x14ac:dyDescent="0.25">
      <c r="A113" s="114" t="s">
        <v>10049</v>
      </c>
      <c r="B113" s="4" t="s">
        <v>10050</v>
      </c>
      <c r="C113" s="113" t="s">
        <v>4</v>
      </c>
      <c r="D113" s="155" t="s">
        <v>10051</v>
      </c>
      <c r="E113" s="159">
        <v>5443</v>
      </c>
      <c r="F113" s="157" t="s">
        <v>10053</v>
      </c>
      <c r="G113" s="155" t="s">
        <v>10052</v>
      </c>
      <c r="H113" s="113" t="s">
        <v>9767</v>
      </c>
      <c r="I113" s="4" t="s">
        <v>10050</v>
      </c>
      <c r="J113" s="155" t="s">
        <v>10053</v>
      </c>
      <c r="K113" s="2" t="s">
        <v>9916</v>
      </c>
    </row>
    <row r="114" spans="1:26" s="2" customFormat="1" x14ac:dyDescent="0.25">
      <c r="A114" s="114" t="s">
        <v>10054</v>
      </c>
      <c r="B114" s="4" t="s">
        <v>10055</v>
      </c>
      <c r="C114" s="113" t="s">
        <v>15363</v>
      </c>
      <c r="D114" s="155" t="s">
        <v>10014</v>
      </c>
      <c r="E114" s="159">
        <v>1620</v>
      </c>
      <c r="F114" s="157" t="s">
        <v>10056</v>
      </c>
      <c r="G114" s="155" t="s">
        <v>10055</v>
      </c>
      <c r="H114" s="113" t="s">
        <v>9767</v>
      </c>
      <c r="I114" s="4" t="s">
        <v>10055</v>
      </c>
      <c r="J114" s="155" t="s">
        <v>10056</v>
      </c>
      <c r="K114" s="2" t="s">
        <v>11023</v>
      </c>
    </row>
    <row r="115" spans="1:26" s="4" customFormat="1" x14ac:dyDescent="0.25">
      <c r="A115" s="114" t="s">
        <v>10057</v>
      </c>
      <c r="B115" s="4" t="s">
        <v>10058</v>
      </c>
      <c r="C115" s="113" t="s">
        <v>15363</v>
      </c>
      <c r="D115" s="155" t="s">
        <v>10059</v>
      </c>
      <c r="E115" s="159">
        <v>1453</v>
      </c>
      <c r="F115" s="157" t="s">
        <v>10060</v>
      </c>
      <c r="G115" s="155" t="s">
        <v>10058</v>
      </c>
      <c r="H115" s="113" t="s">
        <v>9767</v>
      </c>
      <c r="I115" s="4" t="s">
        <v>10058</v>
      </c>
      <c r="J115" s="155" t="s">
        <v>10060</v>
      </c>
      <c r="K115" s="2" t="s">
        <v>13686</v>
      </c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s="2" customFormat="1" x14ac:dyDescent="0.25">
      <c r="A116" s="114" t="s">
        <v>10061</v>
      </c>
      <c r="B116" s="4" t="s">
        <v>10062</v>
      </c>
      <c r="C116" s="113" t="s">
        <v>15363</v>
      </c>
      <c r="D116" s="155" t="s">
        <v>9767</v>
      </c>
      <c r="E116" s="159">
        <v>1758</v>
      </c>
      <c r="F116" s="157" t="s">
        <v>10063</v>
      </c>
      <c r="G116" s="155" t="s">
        <v>10062</v>
      </c>
      <c r="H116" s="113" t="s">
        <v>9767</v>
      </c>
      <c r="I116" s="4" t="s">
        <v>10062</v>
      </c>
      <c r="J116" s="155" t="s">
        <v>10063</v>
      </c>
      <c r="K116" s="2" t="s">
        <v>15384</v>
      </c>
    </row>
    <row r="117" spans="1:26" s="2" customFormat="1" x14ac:dyDescent="0.25">
      <c r="A117" s="114" t="s">
        <v>10064</v>
      </c>
      <c r="B117" s="4" t="s">
        <v>10065</v>
      </c>
      <c r="C117" s="113" t="s">
        <v>15363</v>
      </c>
      <c r="D117" s="155" t="s">
        <v>9774</v>
      </c>
      <c r="E117" s="159">
        <v>448</v>
      </c>
      <c r="F117" s="157" t="s">
        <v>10066</v>
      </c>
      <c r="G117" s="155" t="s">
        <v>10065</v>
      </c>
      <c r="H117" s="113" t="s">
        <v>9767</v>
      </c>
      <c r="I117" s="4" t="s">
        <v>10065</v>
      </c>
      <c r="J117" s="155" t="s">
        <v>10066</v>
      </c>
      <c r="K117" s="2" t="s">
        <v>15384</v>
      </c>
    </row>
    <row r="118" spans="1:26" s="2" customFormat="1" x14ac:dyDescent="0.25">
      <c r="A118" s="114" t="s">
        <v>10067</v>
      </c>
      <c r="B118" s="4" t="s">
        <v>10068</v>
      </c>
      <c r="C118" s="113" t="s">
        <v>15363</v>
      </c>
      <c r="D118" s="155" t="s">
        <v>10069</v>
      </c>
      <c r="E118" s="159">
        <v>3156</v>
      </c>
      <c r="F118" s="157" t="s">
        <v>10070</v>
      </c>
      <c r="G118" s="155" t="s">
        <v>9968</v>
      </c>
      <c r="H118" s="113" t="s">
        <v>9767</v>
      </c>
      <c r="I118" s="4" t="s">
        <v>10068</v>
      </c>
      <c r="J118" s="155" t="s">
        <v>10070</v>
      </c>
      <c r="K118" s="2" t="s">
        <v>11023</v>
      </c>
    </row>
    <row r="119" spans="1:26" s="2" customFormat="1" x14ac:dyDescent="0.25">
      <c r="A119" s="114" t="s">
        <v>10071</v>
      </c>
      <c r="B119" s="4" t="s">
        <v>10072</v>
      </c>
      <c r="C119" s="113" t="s">
        <v>4</v>
      </c>
      <c r="D119" s="155" t="s">
        <v>10073</v>
      </c>
      <c r="E119" s="159">
        <v>721</v>
      </c>
      <c r="F119" s="157" t="s">
        <v>10074</v>
      </c>
      <c r="G119" s="155" t="s">
        <v>10072</v>
      </c>
      <c r="H119" s="113" t="s">
        <v>9767</v>
      </c>
      <c r="I119" s="4" t="s">
        <v>10072</v>
      </c>
      <c r="J119" s="155" t="s">
        <v>10074</v>
      </c>
      <c r="K119" s="2" t="s">
        <v>9916</v>
      </c>
    </row>
    <row r="120" spans="1:26" s="2" customFormat="1" x14ac:dyDescent="0.25">
      <c r="A120" s="114" t="s">
        <v>10075</v>
      </c>
      <c r="B120" s="4" t="s">
        <v>10076</v>
      </c>
      <c r="C120" s="113" t="s">
        <v>15363</v>
      </c>
      <c r="D120" s="155" t="s">
        <v>10077</v>
      </c>
      <c r="E120" s="159">
        <v>0</v>
      </c>
      <c r="F120" s="157" t="s">
        <v>10078</v>
      </c>
      <c r="G120" s="155" t="s">
        <v>9964</v>
      </c>
      <c r="H120" s="113" t="s">
        <v>9767</v>
      </c>
      <c r="I120" s="4" t="s">
        <v>10076</v>
      </c>
      <c r="J120" s="155" t="s">
        <v>10078</v>
      </c>
      <c r="K120" s="2" t="s">
        <v>15383</v>
      </c>
    </row>
    <row r="121" spans="1:26" s="2" customFormat="1" x14ac:dyDescent="0.25">
      <c r="A121" s="114" t="s">
        <v>10079</v>
      </c>
      <c r="B121" s="4" t="s">
        <v>10080</v>
      </c>
      <c r="C121" s="113" t="s">
        <v>15363</v>
      </c>
      <c r="D121" s="155" t="s">
        <v>10081</v>
      </c>
      <c r="E121" s="159">
        <v>6385</v>
      </c>
      <c r="F121" s="157" t="s">
        <v>10082</v>
      </c>
      <c r="G121" s="155" t="s">
        <v>9924</v>
      </c>
      <c r="H121" s="113" t="s">
        <v>9767</v>
      </c>
      <c r="I121" s="4" t="s">
        <v>10080</v>
      </c>
      <c r="J121" s="155" t="s">
        <v>10082</v>
      </c>
      <c r="K121" s="2" t="s">
        <v>9924</v>
      </c>
    </row>
    <row r="122" spans="1:26" s="2" customFormat="1" x14ac:dyDescent="0.25">
      <c r="A122" s="114" t="s">
        <v>10083</v>
      </c>
      <c r="B122" s="4" t="s">
        <v>10084</v>
      </c>
      <c r="C122" s="113" t="s">
        <v>15363</v>
      </c>
      <c r="D122" s="155" t="s">
        <v>10085</v>
      </c>
      <c r="E122" s="159">
        <v>4826</v>
      </c>
      <c r="F122" s="157" t="s">
        <v>10086</v>
      </c>
      <c r="G122" s="155" t="s">
        <v>10084</v>
      </c>
      <c r="H122" s="113" t="s">
        <v>9767</v>
      </c>
      <c r="I122" s="4" t="s">
        <v>10084</v>
      </c>
      <c r="J122" s="155" t="s">
        <v>10086</v>
      </c>
      <c r="K122" s="2" t="s">
        <v>15382</v>
      </c>
    </row>
    <row r="123" spans="1:26" s="2" customFormat="1" x14ac:dyDescent="0.25">
      <c r="A123" s="114" t="s">
        <v>10087</v>
      </c>
      <c r="B123" s="4" t="s">
        <v>10088</v>
      </c>
      <c r="C123" s="113" t="s">
        <v>15363</v>
      </c>
      <c r="D123" s="155" t="s">
        <v>10089</v>
      </c>
      <c r="E123" s="159">
        <v>484</v>
      </c>
      <c r="F123" s="157" t="s">
        <v>10090</v>
      </c>
      <c r="G123" s="155" t="s">
        <v>10088</v>
      </c>
      <c r="H123" s="113" t="s">
        <v>9767</v>
      </c>
      <c r="I123" s="4" t="s">
        <v>10088</v>
      </c>
      <c r="J123" s="155" t="s">
        <v>10090</v>
      </c>
      <c r="K123" s="2" t="s">
        <v>11026</v>
      </c>
    </row>
    <row r="124" spans="1:26" s="2" customFormat="1" x14ac:dyDescent="0.25">
      <c r="A124" s="114" t="s">
        <v>10091</v>
      </c>
      <c r="B124" s="4" t="s">
        <v>10092</v>
      </c>
      <c r="C124" s="113" t="s">
        <v>15363</v>
      </c>
      <c r="D124" s="155" t="s">
        <v>10093</v>
      </c>
      <c r="E124" s="159">
        <v>12580</v>
      </c>
      <c r="F124" s="157" t="s">
        <v>10094</v>
      </c>
      <c r="G124" s="155" t="s">
        <v>10092</v>
      </c>
      <c r="H124" s="113" t="s">
        <v>9767</v>
      </c>
      <c r="I124" s="4" t="s">
        <v>10092</v>
      </c>
      <c r="J124" s="155" t="s">
        <v>10094</v>
      </c>
      <c r="K124" s="2" t="s">
        <v>15382</v>
      </c>
    </row>
    <row r="125" spans="1:26" s="2" customFormat="1" x14ac:dyDescent="0.25">
      <c r="A125" s="114" t="s">
        <v>10095</v>
      </c>
      <c r="B125" s="4" t="s">
        <v>10096</v>
      </c>
      <c r="C125" s="113" t="s">
        <v>15363</v>
      </c>
      <c r="D125" s="155" t="s">
        <v>10097</v>
      </c>
      <c r="E125" s="159">
        <v>6595</v>
      </c>
      <c r="F125" s="157" t="s">
        <v>10099</v>
      </c>
      <c r="G125" s="155" t="s">
        <v>10098</v>
      </c>
      <c r="H125" s="113" t="s">
        <v>9767</v>
      </c>
      <c r="I125" s="4" t="s">
        <v>10096</v>
      </c>
      <c r="J125" s="155" t="s">
        <v>10099</v>
      </c>
      <c r="K125" s="2" t="s">
        <v>15382</v>
      </c>
    </row>
    <row r="126" spans="1:26" s="2" customFormat="1" x14ac:dyDescent="0.25">
      <c r="A126" s="114" t="s">
        <v>10100</v>
      </c>
      <c r="B126" s="4" t="s">
        <v>9895</v>
      </c>
      <c r="C126" s="113" t="s">
        <v>15363</v>
      </c>
      <c r="D126" s="155" t="s">
        <v>10101</v>
      </c>
      <c r="E126" s="159">
        <v>728</v>
      </c>
      <c r="F126" s="157" t="s">
        <v>10102</v>
      </c>
      <c r="G126" s="155" t="s">
        <v>9895</v>
      </c>
      <c r="H126" s="113" t="s">
        <v>9767</v>
      </c>
      <c r="I126" s="4" t="s">
        <v>9895</v>
      </c>
      <c r="J126" s="155" t="s">
        <v>10102</v>
      </c>
      <c r="K126" s="2" t="s">
        <v>9895</v>
      </c>
    </row>
    <row r="127" spans="1:26" s="2" customFormat="1" x14ac:dyDescent="0.25">
      <c r="A127" s="114" t="s">
        <v>10103</v>
      </c>
      <c r="B127" s="4" t="s">
        <v>10104</v>
      </c>
      <c r="C127" s="113" t="s">
        <v>15363</v>
      </c>
      <c r="D127" s="155" t="s">
        <v>10105</v>
      </c>
      <c r="E127" s="159">
        <v>2670</v>
      </c>
      <c r="F127" s="157" t="s">
        <v>10106</v>
      </c>
      <c r="G127" s="155" t="s">
        <v>10104</v>
      </c>
      <c r="H127" s="113" t="s">
        <v>9767</v>
      </c>
      <c r="I127" s="4" t="s">
        <v>10104</v>
      </c>
      <c r="J127" s="155" t="s">
        <v>10106</v>
      </c>
      <c r="K127" s="2" t="s">
        <v>10111</v>
      </c>
    </row>
    <row r="128" spans="1:26" s="2" customFormat="1" x14ac:dyDescent="0.25">
      <c r="A128" s="114" t="s">
        <v>10107</v>
      </c>
      <c r="B128" s="4" t="s">
        <v>10108</v>
      </c>
      <c r="C128" s="113" t="s">
        <v>15363</v>
      </c>
      <c r="D128" s="155" t="s">
        <v>10093</v>
      </c>
      <c r="E128" s="159">
        <v>16380</v>
      </c>
      <c r="F128" s="157" t="s">
        <v>10109</v>
      </c>
      <c r="G128" s="155" t="s">
        <v>10108</v>
      </c>
      <c r="H128" s="113" t="s">
        <v>9767</v>
      </c>
      <c r="I128" s="4" t="s">
        <v>10108</v>
      </c>
      <c r="J128" s="155" t="s">
        <v>10109</v>
      </c>
      <c r="K128" s="2" t="s">
        <v>11026</v>
      </c>
    </row>
    <row r="129" spans="1:11" s="2" customFormat="1" x14ac:dyDescent="0.25">
      <c r="A129" s="114" t="s">
        <v>10110</v>
      </c>
      <c r="B129" s="4" t="s">
        <v>10111</v>
      </c>
      <c r="C129" s="113" t="s">
        <v>15363</v>
      </c>
      <c r="D129" s="155" t="s">
        <v>9775</v>
      </c>
      <c r="E129" s="159">
        <v>556</v>
      </c>
      <c r="F129" s="157" t="s">
        <v>10112</v>
      </c>
      <c r="G129" s="155" t="s">
        <v>10111</v>
      </c>
      <c r="H129" s="113" t="s">
        <v>9767</v>
      </c>
      <c r="I129" s="4" t="s">
        <v>10111</v>
      </c>
      <c r="J129" s="155" t="s">
        <v>10112</v>
      </c>
      <c r="K129" s="2" t="s">
        <v>10111</v>
      </c>
    </row>
    <row r="130" spans="1:11" s="2" customFormat="1" x14ac:dyDescent="0.25">
      <c r="A130" s="114" t="s">
        <v>10113</v>
      </c>
      <c r="B130" s="4" t="s">
        <v>10114</v>
      </c>
      <c r="C130" s="113" t="s">
        <v>15363</v>
      </c>
      <c r="D130" s="155" t="s">
        <v>10115</v>
      </c>
      <c r="E130" s="159">
        <v>2402</v>
      </c>
      <c r="F130" s="157" t="s">
        <v>10116</v>
      </c>
      <c r="G130" s="155" t="s">
        <v>10114</v>
      </c>
      <c r="H130" s="113" t="s">
        <v>9767</v>
      </c>
      <c r="I130" s="4" t="s">
        <v>10114</v>
      </c>
      <c r="J130" s="155" t="s">
        <v>10116</v>
      </c>
      <c r="K130" s="2" t="s">
        <v>10114</v>
      </c>
    </row>
    <row r="131" spans="1:11" s="2" customFormat="1" x14ac:dyDescent="0.25">
      <c r="A131" s="114" t="s">
        <v>10117</v>
      </c>
      <c r="B131" s="4" t="s">
        <v>10118</v>
      </c>
      <c r="C131" s="113" t="s">
        <v>15363</v>
      </c>
      <c r="D131" s="155" t="s">
        <v>10093</v>
      </c>
      <c r="E131" s="159">
        <v>14178</v>
      </c>
      <c r="F131" s="157" t="s">
        <v>10119</v>
      </c>
      <c r="G131" s="155" t="s">
        <v>10118</v>
      </c>
      <c r="H131" s="113" t="s">
        <v>9767</v>
      </c>
      <c r="I131" s="4" t="s">
        <v>10118</v>
      </c>
      <c r="J131" s="155" t="s">
        <v>10119</v>
      </c>
      <c r="K131" s="2" t="s">
        <v>15383</v>
      </c>
    </row>
    <row r="132" spans="1:11" s="2" customFormat="1" x14ac:dyDescent="0.25">
      <c r="A132" s="114" t="s">
        <v>10120</v>
      </c>
      <c r="B132" s="4" t="s">
        <v>10121</v>
      </c>
      <c r="C132" s="113" t="s">
        <v>15363</v>
      </c>
      <c r="D132" s="155" t="s">
        <v>15367</v>
      </c>
      <c r="E132" s="159">
        <v>1846</v>
      </c>
      <c r="F132" s="157" t="s">
        <v>10122</v>
      </c>
      <c r="G132" s="155" t="s">
        <v>10121</v>
      </c>
      <c r="H132" s="113" t="s">
        <v>9767</v>
      </c>
      <c r="I132" s="4" t="s">
        <v>10121</v>
      </c>
      <c r="J132" s="155" t="s">
        <v>10122</v>
      </c>
      <c r="K132" s="2" t="s">
        <v>15382</v>
      </c>
    </row>
    <row r="133" spans="1:11" s="2" customFormat="1" x14ac:dyDescent="0.25">
      <c r="A133" s="114" t="s">
        <v>10123</v>
      </c>
      <c r="B133" s="4" t="s">
        <v>10124</v>
      </c>
      <c r="C133" s="113" t="s">
        <v>15363</v>
      </c>
      <c r="D133" s="155" t="s">
        <v>10125</v>
      </c>
      <c r="E133" s="159">
        <v>202</v>
      </c>
      <c r="F133" s="157" t="s">
        <v>10126</v>
      </c>
      <c r="G133" s="155" t="s">
        <v>10124</v>
      </c>
      <c r="H133" s="113" t="s">
        <v>9767</v>
      </c>
      <c r="I133" s="4" t="s">
        <v>10124</v>
      </c>
      <c r="J133" s="155" t="s">
        <v>10126</v>
      </c>
      <c r="K133" s="2" t="s">
        <v>10111</v>
      </c>
    </row>
    <row r="134" spans="1:11" s="2" customFormat="1" x14ac:dyDescent="0.25">
      <c r="A134" s="114" t="s">
        <v>10127</v>
      </c>
      <c r="B134" s="4" t="s">
        <v>10128</v>
      </c>
      <c r="C134" s="113" t="s">
        <v>15363</v>
      </c>
      <c r="D134" s="155" t="s">
        <v>10129</v>
      </c>
      <c r="E134" s="159">
        <v>6121</v>
      </c>
      <c r="F134" s="157" t="s">
        <v>10130</v>
      </c>
      <c r="G134" s="155" t="s">
        <v>10128</v>
      </c>
      <c r="H134" s="113" t="s">
        <v>9767</v>
      </c>
      <c r="I134" s="4" t="s">
        <v>10128</v>
      </c>
      <c r="J134" s="155" t="s">
        <v>10130</v>
      </c>
      <c r="K134" s="2" t="s">
        <v>15382</v>
      </c>
    </row>
    <row r="135" spans="1:11" s="2" customFormat="1" x14ac:dyDescent="0.25">
      <c r="A135" s="114" t="s">
        <v>10131</v>
      </c>
      <c r="B135" s="4" t="s">
        <v>10132</v>
      </c>
      <c r="C135" s="113" t="s">
        <v>15363</v>
      </c>
      <c r="D135" s="155" t="s">
        <v>10133</v>
      </c>
      <c r="E135" s="159">
        <v>52</v>
      </c>
      <c r="F135" s="157" t="s">
        <v>10134</v>
      </c>
      <c r="G135" s="155" t="s">
        <v>10132</v>
      </c>
      <c r="H135" s="113" t="s">
        <v>9767</v>
      </c>
      <c r="I135" s="4" t="s">
        <v>10132</v>
      </c>
      <c r="J135" s="155" t="s">
        <v>10134</v>
      </c>
      <c r="K135" s="2" t="s">
        <v>10114</v>
      </c>
    </row>
    <row r="136" spans="1:11" s="2" customFormat="1" x14ac:dyDescent="0.25">
      <c r="A136" s="114" t="s">
        <v>10135</v>
      </c>
      <c r="B136" s="4" t="s">
        <v>10136</v>
      </c>
      <c r="C136" s="113" t="s">
        <v>4</v>
      </c>
      <c r="D136" s="155" t="s">
        <v>10137</v>
      </c>
      <c r="E136" s="159">
        <v>2052</v>
      </c>
      <c r="F136" s="157" t="s">
        <v>10138</v>
      </c>
      <c r="G136" s="155" t="s">
        <v>10136</v>
      </c>
      <c r="H136" s="113" t="s">
        <v>9767</v>
      </c>
      <c r="I136" s="4" t="s">
        <v>10136</v>
      </c>
      <c r="J136" s="155" t="s">
        <v>10138</v>
      </c>
      <c r="K136" s="2" t="s">
        <v>10114</v>
      </c>
    </row>
    <row r="137" spans="1:11" s="2" customFormat="1" x14ac:dyDescent="0.25">
      <c r="A137" s="114" t="s">
        <v>10139</v>
      </c>
      <c r="B137" s="4" t="s">
        <v>10140</v>
      </c>
      <c r="C137" s="113" t="s">
        <v>4</v>
      </c>
      <c r="D137" s="155" t="s">
        <v>10141</v>
      </c>
      <c r="E137" s="159">
        <v>507</v>
      </c>
      <c r="F137" s="157" t="s">
        <v>10142</v>
      </c>
      <c r="G137" s="155" t="s">
        <v>10140</v>
      </c>
      <c r="H137" s="113" t="s">
        <v>9767</v>
      </c>
      <c r="I137" s="4" t="s">
        <v>10140</v>
      </c>
      <c r="J137" s="155" t="s">
        <v>10142</v>
      </c>
      <c r="K137" s="2" t="s">
        <v>10111</v>
      </c>
    </row>
    <row r="138" spans="1:11" s="2" customFormat="1" x14ac:dyDescent="0.25">
      <c r="A138" s="114" t="s">
        <v>10143</v>
      </c>
      <c r="B138" s="4" t="s">
        <v>10144</v>
      </c>
      <c r="C138" s="113" t="s">
        <v>15363</v>
      </c>
      <c r="D138" s="155" t="s">
        <v>10145</v>
      </c>
      <c r="E138" s="159">
        <v>456</v>
      </c>
      <c r="F138" s="157" t="s">
        <v>10146</v>
      </c>
      <c r="G138" s="155" t="s">
        <v>10144</v>
      </c>
      <c r="H138" s="113" t="s">
        <v>9767</v>
      </c>
      <c r="I138" s="4" t="s">
        <v>10144</v>
      </c>
      <c r="J138" s="155" t="s">
        <v>10146</v>
      </c>
      <c r="K138" s="2" t="s">
        <v>10144</v>
      </c>
    </row>
    <row r="139" spans="1:11" s="2" customFormat="1" x14ac:dyDescent="0.25">
      <c r="A139" s="114" t="s">
        <v>10147</v>
      </c>
      <c r="B139" s="4" t="s">
        <v>10148</v>
      </c>
      <c r="C139" s="113" t="s">
        <v>15363</v>
      </c>
      <c r="D139" s="155" t="s">
        <v>10149</v>
      </c>
      <c r="E139" s="159">
        <v>915</v>
      </c>
      <c r="F139" s="157" t="s">
        <v>10150</v>
      </c>
      <c r="G139" s="155" t="s">
        <v>10144</v>
      </c>
      <c r="H139" s="113" t="s">
        <v>9767</v>
      </c>
      <c r="I139" s="4" t="s">
        <v>10148</v>
      </c>
      <c r="J139" s="155" t="s">
        <v>10150</v>
      </c>
      <c r="K139" s="2" t="s">
        <v>10144</v>
      </c>
    </row>
    <row r="140" spans="1:11" s="2" customFormat="1" x14ac:dyDescent="0.25">
      <c r="A140" s="114" t="s">
        <v>10151</v>
      </c>
      <c r="B140" s="4" t="s">
        <v>10152</v>
      </c>
      <c r="C140" s="113" t="s">
        <v>4</v>
      </c>
      <c r="D140" s="155" t="s">
        <v>10153</v>
      </c>
      <c r="E140" s="159">
        <v>443</v>
      </c>
      <c r="F140" s="157" t="s">
        <v>10154</v>
      </c>
      <c r="G140" s="155" t="s">
        <v>10144</v>
      </c>
      <c r="H140" s="113" t="s">
        <v>9767</v>
      </c>
      <c r="I140" s="4" t="s">
        <v>10152</v>
      </c>
      <c r="J140" s="155" t="s">
        <v>10154</v>
      </c>
      <c r="K140" s="2" t="s">
        <v>10144</v>
      </c>
    </row>
    <row r="141" spans="1:11" s="2" customFormat="1" x14ac:dyDescent="0.25">
      <c r="A141" s="114" t="s">
        <v>10155</v>
      </c>
      <c r="B141" s="4" t="s">
        <v>10156</v>
      </c>
      <c r="C141" s="113" t="s">
        <v>15363</v>
      </c>
      <c r="D141" s="155" t="s">
        <v>10157</v>
      </c>
      <c r="E141" s="159">
        <v>1871</v>
      </c>
      <c r="F141" s="157" t="s">
        <v>10158</v>
      </c>
      <c r="G141" s="155" t="s">
        <v>10144</v>
      </c>
      <c r="H141" s="113" t="s">
        <v>9767</v>
      </c>
      <c r="I141" s="4" t="s">
        <v>10156</v>
      </c>
      <c r="J141" s="155" t="s">
        <v>10158</v>
      </c>
      <c r="K141" s="2" t="s">
        <v>10144</v>
      </c>
    </row>
    <row r="142" spans="1:11" s="2" customFormat="1" x14ac:dyDescent="0.25">
      <c r="A142" s="114" t="s">
        <v>10159</v>
      </c>
      <c r="B142" s="4" t="s">
        <v>10160</v>
      </c>
      <c r="C142" s="113" t="s">
        <v>15363</v>
      </c>
      <c r="D142" s="155" t="s">
        <v>10161</v>
      </c>
      <c r="E142" s="159">
        <v>1921</v>
      </c>
      <c r="F142" s="157" t="s">
        <v>10162</v>
      </c>
      <c r="G142" s="155" t="s">
        <v>10144</v>
      </c>
      <c r="H142" s="113" t="s">
        <v>9767</v>
      </c>
      <c r="I142" s="4" t="s">
        <v>10160</v>
      </c>
      <c r="J142" s="155" t="s">
        <v>10162</v>
      </c>
      <c r="K142" s="2" t="s">
        <v>10144</v>
      </c>
    </row>
    <row r="143" spans="1:11" s="2" customFormat="1" x14ac:dyDescent="0.25">
      <c r="A143" s="114" t="s">
        <v>10163</v>
      </c>
      <c r="B143" s="4" t="s">
        <v>10164</v>
      </c>
      <c r="C143" s="113" t="s">
        <v>15363</v>
      </c>
      <c r="D143" s="155" t="s">
        <v>10165</v>
      </c>
      <c r="E143" s="159">
        <v>1493</v>
      </c>
      <c r="F143" s="157" t="s">
        <v>10166</v>
      </c>
      <c r="G143" s="155" t="s">
        <v>10144</v>
      </c>
      <c r="H143" s="113" t="s">
        <v>9767</v>
      </c>
      <c r="I143" s="4" t="s">
        <v>10164</v>
      </c>
      <c r="J143" s="155" t="s">
        <v>10166</v>
      </c>
      <c r="K143" s="2" t="s">
        <v>10144</v>
      </c>
    </row>
    <row r="144" spans="1:11" s="2" customFormat="1" x14ac:dyDescent="0.25">
      <c r="A144" s="114" t="s">
        <v>10167</v>
      </c>
      <c r="B144" s="4" t="s">
        <v>10168</v>
      </c>
      <c r="C144" s="113" t="s">
        <v>15363</v>
      </c>
      <c r="D144" s="155" t="s">
        <v>10169</v>
      </c>
      <c r="E144" s="159">
        <v>1398</v>
      </c>
      <c r="F144" s="157" t="s">
        <v>10170</v>
      </c>
      <c r="G144" s="155" t="s">
        <v>10144</v>
      </c>
      <c r="H144" s="113" t="s">
        <v>9767</v>
      </c>
      <c r="I144" s="4" t="s">
        <v>10168</v>
      </c>
      <c r="J144" s="155" t="s">
        <v>10170</v>
      </c>
      <c r="K144" s="2" t="s">
        <v>10144</v>
      </c>
    </row>
    <row r="145" spans="1:11" s="2" customFormat="1" x14ac:dyDescent="0.25">
      <c r="A145" s="114" t="s">
        <v>10171</v>
      </c>
      <c r="B145" s="4" t="s">
        <v>10172</v>
      </c>
      <c r="C145" s="113" t="s">
        <v>15363</v>
      </c>
      <c r="D145" s="155" t="s">
        <v>10173</v>
      </c>
      <c r="E145" s="159">
        <v>1422</v>
      </c>
      <c r="F145" s="157" t="s">
        <v>10174</v>
      </c>
      <c r="G145" s="155" t="s">
        <v>10144</v>
      </c>
      <c r="H145" s="113" t="s">
        <v>9767</v>
      </c>
      <c r="I145" s="4" t="s">
        <v>10172</v>
      </c>
      <c r="J145" s="155" t="s">
        <v>10174</v>
      </c>
      <c r="K145" s="2" t="s">
        <v>10144</v>
      </c>
    </row>
    <row r="146" spans="1:11" s="2" customFormat="1" x14ac:dyDescent="0.25">
      <c r="A146" s="114" t="s">
        <v>10175</v>
      </c>
      <c r="B146" s="4" t="s">
        <v>10176</v>
      </c>
      <c r="C146" s="113" t="s">
        <v>4</v>
      </c>
      <c r="D146" s="155" t="s">
        <v>10177</v>
      </c>
      <c r="E146" s="159">
        <v>4984</v>
      </c>
      <c r="F146" s="157" t="s">
        <v>10178</v>
      </c>
      <c r="G146" s="155" t="s">
        <v>10176</v>
      </c>
      <c r="H146" s="113" t="s">
        <v>9767</v>
      </c>
      <c r="I146" s="4" t="s">
        <v>10176</v>
      </c>
      <c r="J146" s="155" t="s">
        <v>10178</v>
      </c>
      <c r="K146" s="2" t="s">
        <v>11161</v>
      </c>
    </row>
    <row r="147" spans="1:11" s="2" customFormat="1" x14ac:dyDescent="0.25">
      <c r="A147" s="114" t="s">
        <v>10179</v>
      </c>
      <c r="B147" s="4" t="s">
        <v>10180</v>
      </c>
      <c r="C147" s="113" t="s">
        <v>15363</v>
      </c>
      <c r="D147" s="155" t="s">
        <v>10181</v>
      </c>
      <c r="E147" s="159">
        <v>744</v>
      </c>
      <c r="F147" s="157" t="s">
        <v>10182</v>
      </c>
      <c r="G147" s="155" t="s">
        <v>10180</v>
      </c>
      <c r="H147" s="113" t="s">
        <v>9767</v>
      </c>
      <c r="I147" s="4" t="s">
        <v>10180</v>
      </c>
      <c r="J147" s="155" t="s">
        <v>10182</v>
      </c>
      <c r="K147" s="2" t="s">
        <v>10180</v>
      </c>
    </row>
    <row r="148" spans="1:11" s="2" customFormat="1" x14ac:dyDescent="0.25">
      <c r="A148" s="114" t="s">
        <v>10183</v>
      </c>
      <c r="B148" s="4" t="s">
        <v>10184</v>
      </c>
      <c r="C148" s="113" t="s">
        <v>15363</v>
      </c>
      <c r="D148" s="155" t="s">
        <v>10185</v>
      </c>
      <c r="E148" s="159">
        <v>4419</v>
      </c>
      <c r="F148" s="157" t="s">
        <v>10186</v>
      </c>
      <c r="G148" s="155" t="s">
        <v>10184</v>
      </c>
      <c r="H148" s="113" t="s">
        <v>9767</v>
      </c>
      <c r="I148" s="4" t="s">
        <v>10184</v>
      </c>
      <c r="J148" s="155" t="s">
        <v>10186</v>
      </c>
      <c r="K148" s="2" t="s">
        <v>10184</v>
      </c>
    </row>
    <row r="149" spans="1:11" s="2" customFormat="1" x14ac:dyDescent="0.25">
      <c r="A149" s="114" t="s">
        <v>10187</v>
      </c>
      <c r="B149" s="4" t="s">
        <v>10188</v>
      </c>
      <c r="C149" s="113" t="s">
        <v>4</v>
      </c>
      <c r="D149" s="155" t="s">
        <v>10189</v>
      </c>
      <c r="E149" s="159">
        <v>120</v>
      </c>
      <c r="F149" s="157" t="s">
        <v>10190</v>
      </c>
      <c r="G149" s="155" t="s">
        <v>10188</v>
      </c>
      <c r="H149" s="113" t="s">
        <v>9767</v>
      </c>
      <c r="I149" s="4" t="s">
        <v>10188</v>
      </c>
      <c r="J149" s="155" t="s">
        <v>10190</v>
      </c>
      <c r="K149" s="2" t="s">
        <v>10807</v>
      </c>
    </row>
    <row r="150" spans="1:11" s="2" customFormat="1" x14ac:dyDescent="0.25">
      <c r="A150" s="114" t="s">
        <v>10191</v>
      </c>
      <c r="B150" s="4" t="s">
        <v>15357</v>
      </c>
      <c r="C150" s="113" t="s">
        <v>15363</v>
      </c>
      <c r="D150" s="155" t="s">
        <v>9764</v>
      </c>
      <c r="E150" s="159">
        <v>466</v>
      </c>
      <c r="F150" s="157" t="s">
        <v>10193</v>
      </c>
      <c r="G150" s="155" t="s">
        <v>15357</v>
      </c>
      <c r="H150" s="113" t="s">
        <v>9767</v>
      </c>
      <c r="I150" s="4" t="s">
        <v>15357</v>
      </c>
      <c r="J150" s="155" t="s">
        <v>10193</v>
      </c>
      <c r="K150" s="2" t="s">
        <v>10192</v>
      </c>
    </row>
    <row r="151" spans="1:11" s="2" customFormat="1" x14ac:dyDescent="0.25">
      <c r="A151" s="114" t="s">
        <v>10194</v>
      </c>
      <c r="B151" s="4" t="s">
        <v>10195</v>
      </c>
      <c r="C151" s="113" t="s">
        <v>4</v>
      </c>
      <c r="D151" s="155" t="s">
        <v>9850</v>
      </c>
      <c r="E151" s="159">
        <v>1611</v>
      </c>
      <c r="F151" s="157" t="s">
        <v>10196</v>
      </c>
      <c r="G151" s="155" t="s">
        <v>10195</v>
      </c>
      <c r="H151" s="113" t="s">
        <v>9767</v>
      </c>
      <c r="I151" s="4" t="s">
        <v>10195</v>
      </c>
      <c r="J151" s="155" t="s">
        <v>10196</v>
      </c>
      <c r="K151" s="2" t="s">
        <v>10786</v>
      </c>
    </row>
    <row r="152" spans="1:11" s="2" customFormat="1" x14ac:dyDescent="0.25">
      <c r="A152" s="114" t="s">
        <v>10197</v>
      </c>
      <c r="B152" s="4" t="s">
        <v>10198</v>
      </c>
      <c r="C152" s="113" t="s">
        <v>15363</v>
      </c>
      <c r="D152" s="155" t="s">
        <v>10199</v>
      </c>
      <c r="E152" s="159">
        <v>210</v>
      </c>
      <c r="F152" s="157" t="s">
        <v>10200</v>
      </c>
      <c r="G152" s="155" t="s">
        <v>10198</v>
      </c>
      <c r="H152" s="113" t="s">
        <v>9767</v>
      </c>
      <c r="I152" s="4" t="s">
        <v>10198</v>
      </c>
      <c r="J152" s="155" t="s">
        <v>10200</v>
      </c>
      <c r="K152" s="2" t="s">
        <v>10198</v>
      </c>
    </row>
    <row r="153" spans="1:11" s="2" customFormat="1" x14ac:dyDescent="0.25">
      <c r="A153" s="114" t="s">
        <v>10201</v>
      </c>
      <c r="B153" s="4" t="s">
        <v>10202</v>
      </c>
      <c r="C153" s="113" t="s">
        <v>15363</v>
      </c>
      <c r="D153" s="155" t="s">
        <v>10203</v>
      </c>
      <c r="E153" s="159">
        <v>211</v>
      </c>
      <c r="F153" s="157" t="s">
        <v>10204</v>
      </c>
      <c r="G153" s="155" t="s">
        <v>10202</v>
      </c>
      <c r="H153" s="113" t="s">
        <v>9767</v>
      </c>
      <c r="I153" s="4" t="s">
        <v>10202</v>
      </c>
      <c r="J153" s="155" t="s">
        <v>10204</v>
      </c>
      <c r="K153" s="2" t="s">
        <v>10202</v>
      </c>
    </row>
    <row r="154" spans="1:11" s="2" customFormat="1" x14ac:dyDescent="0.25">
      <c r="A154" s="114" t="s">
        <v>10205</v>
      </c>
      <c r="B154" s="4" t="s">
        <v>10206</v>
      </c>
      <c r="C154" s="113" t="s">
        <v>15363</v>
      </c>
      <c r="D154" s="155" t="s">
        <v>10207</v>
      </c>
      <c r="E154" s="159">
        <v>1357</v>
      </c>
      <c r="F154" s="157" t="s">
        <v>10208</v>
      </c>
      <c r="G154" s="155" t="s">
        <v>10206</v>
      </c>
      <c r="H154" s="113" t="s">
        <v>9767</v>
      </c>
      <c r="I154" s="4" t="s">
        <v>10206</v>
      </c>
      <c r="J154" s="155" t="s">
        <v>10208</v>
      </c>
      <c r="K154" s="2" t="s">
        <v>10144</v>
      </c>
    </row>
    <row r="155" spans="1:11" s="2" customFormat="1" x14ac:dyDescent="0.25">
      <c r="A155" s="114" t="s">
        <v>10209</v>
      </c>
      <c r="B155" s="4" t="s">
        <v>10210</v>
      </c>
      <c r="C155" s="113" t="s">
        <v>15363</v>
      </c>
      <c r="D155" s="155" t="s">
        <v>10211</v>
      </c>
      <c r="E155" s="159">
        <v>1167</v>
      </c>
      <c r="F155" s="157" t="s">
        <v>10213</v>
      </c>
      <c r="G155" s="155" t="s">
        <v>10212</v>
      </c>
      <c r="H155" s="113" t="s">
        <v>9767</v>
      </c>
      <c r="I155" s="4" t="s">
        <v>10210</v>
      </c>
      <c r="J155" s="155" t="s">
        <v>10213</v>
      </c>
      <c r="K155" s="2" t="s">
        <v>10212</v>
      </c>
    </row>
    <row r="156" spans="1:11" s="2" customFormat="1" x14ac:dyDescent="0.25">
      <c r="A156" s="114" t="s">
        <v>10214</v>
      </c>
      <c r="B156" s="4" t="s">
        <v>10215</v>
      </c>
      <c r="C156" s="113" t="s">
        <v>15363</v>
      </c>
      <c r="D156" s="155" t="s">
        <v>9767</v>
      </c>
      <c r="E156" s="159">
        <v>132</v>
      </c>
      <c r="F156" s="157" t="s">
        <v>10216</v>
      </c>
      <c r="G156" s="155" t="s">
        <v>10215</v>
      </c>
      <c r="H156" s="113" t="s">
        <v>9767</v>
      </c>
      <c r="I156" s="4" t="s">
        <v>10215</v>
      </c>
      <c r="J156" s="155" t="s">
        <v>10216</v>
      </c>
      <c r="K156" s="2" t="s">
        <v>10215</v>
      </c>
    </row>
    <row r="157" spans="1:11" s="2" customFormat="1" x14ac:dyDescent="0.25">
      <c r="A157" s="114" t="s">
        <v>10217</v>
      </c>
      <c r="B157" s="4" t="s">
        <v>10218</v>
      </c>
      <c r="C157" s="113" t="s">
        <v>15363</v>
      </c>
      <c r="D157" s="155" t="s">
        <v>10219</v>
      </c>
      <c r="E157" s="159">
        <v>110</v>
      </c>
      <c r="F157" s="157" t="s">
        <v>10220</v>
      </c>
      <c r="G157" s="155" t="s">
        <v>10218</v>
      </c>
      <c r="H157" s="113" t="s">
        <v>9767</v>
      </c>
      <c r="I157" s="4" t="s">
        <v>10218</v>
      </c>
      <c r="J157" s="155" t="s">
        <v>10220</v>
      </c>
      <c r="K157" s="2" t="s">
        <v>10218</v>
      </c>
    </row>
    <row r="158" spans="1:11" s="2" customFormat="1" x14ac:dyDescent="0.25">
      <c r="A158" s="114" t="s">
        <v>10221</v>
      </c>
      <c r="B158" s="4" t="s">
        <v>10222</v>
      </c>
      <c r="C158" s="113" t="s">
        <v>4</v>
      </c>
      <c r="D158" s="155" t="s">
        <v>10222</v>
      </c>
      <c r="E158" s="159"/>
      <c r="F158" s="157" t="s">
        <v>10224</v>
      </c>
      <c r="G158" s="155" t="s">
        <v>10223</v>
      </c>
      <c r="H158" s="113" t="s">
        <v>9767</v>
      </c>
      <c r="I158" s="4" t="s">
        <v>10222</v>
      </c>
      <c r="J158" s="155" t="s">
        <v>10224</v>
      </c>
      <c r="K158" s="2" t="s">
        <v>10218</v>
      </c>
    </row>
    <row r="159" spans="1:11" s="2" customFormat="1" x14ac:dyDescent="0.25">
      <c r="A159" s="114" t="s">
        <v>10225</v>
      </c>
      <c r="B159" s="4" t="s">
        <v>10226</v>
      </c>
      <c r="C159" s="113" t="s">
        <v>15363</v>
      </c>
      <c r="D159" s="155" t="s">
        <v>9819</v>
      </c>
      <c r="E159" s="159">
        <v>1191</v>
      </c>
      <c r="F159" s="157" t="s">
        <v>10227</v>
      </c>
      <c r="G159" s="155" t="s">
        <v>10226</v>
      </c>
      <c r="H159" s="113" t="s">
        <v>9767</v>
      </c>
      <c r="I159" s="4" t="s">
        <v>10226</v>
      </c>
      <c r="J159" s="155" t="s">
        <v>10227</v>
      </c>
      <c r="K159" s="2" t="s">
        <v>10226</v>
      </c>
    </row>
    <row r="160" spans="1:11" s="2" customFormat="1" x14ac:dyDescent="0.25">
      <c r="A160" s="114" t="s">
        <v>10228</v>
      </c>
      <c r="B160" s="4" t="s">
        <v>10229</v>
      </c>
      <c r="C160" s="113" t="s">
        <v>15363</v>
      </c>
      <c r="D160" s="155" t="s">
        <v>10230</v>
      </c>
      <c r="E160" s="159">
        <v>632</v>
      </c>
      <c r="F160" s="157" t="s">
        <v>10232</v>
      </c>
      <c r="G160" s="155" t="s">
        <v>10231</v>
      </c>
      <c r="H160" s="113" t="s">
        <v>9767</v>
      </c>
      <c r="I160" s="4" t="s">
        <v>10229</v>
      </c>
      <c r="J160" s="155" t="s">
        <v>10232</v>
      </c>
      <c r="K160" s="2" t="s">
        <v>10231</v>
      </c>
    </row>
    <row r="161" spans="1:11" s="2" customFormat="1" x14ac:dyDescent="0.25">
      <c r="A161" s="114" t="s">
        <v>10233</v>
      </c>
      <c r="B161" s="4" t="s">
        <v>10234</v>
      </c>
      <c r="C161" s="113" t="s">
        <v>4</v>
      </c>
      <c r="D161" s="155" t="s">
        <v>10235</v>
      </c>
      <c r="E161" s="159">
        <v>86</v>
      </c>
      <c r="F161" s="157" t="s">
        <v>10237</v>
      </c>
      <c r="G161" s="155" t="s">
        <v>10236</v>
      </c>
      <c r="H161" s="113" t="s">
        <v>9767</v>
      </c>
      <c r="I161" s="4" t="s">
        <v>10234</v>
      </c>
      <c r="J161" s="155" t="s">
        <v>10237</v>
      </c>
      <c r="K161" s="2" t="s">
        <v>15385</v>
      </c>
    </row>
    <row r="162" spans="1:11" s="2" customFormat="1" x14ac:dyDescent="0.25">
      <c r="A162" s="114" t="s">
        <v>10238</v>
      </c>
      <c r="B162" s="4" t="s">
        <v>10239</v>
      </c>
      <c r="C162" s="113" t="s">
        <v>15363</v>
      </c>
      <c r="D162" s="155" t="s">
        <v>10240</v>
      </c>
      <c r="E162" s="159">
        <v>260</v>
      </c>
      <c r="F162" s="157" t="s">
        <v>10241</v>
      </c>
      <c r="G162" s="155" t="s">
        <v>10239</v>
      </c>
      <c r="H162" s="113" t="s">
        <v>9767</v>
      </c>
      <c r="I162" s="4" t="s">
        <v>10239</v>
      </c>
      <c r="J162" s="155" t="s">
        <v>10241</v>
      </c>
      <c r="K162" s="2" t="s">
        <v>15386</v>
      </c>
    </row>
    <row r="163" spans="1:11" s="2" customFormat="1" x14ac:dyDescent="0.25">
      <c r="A163" s="114" t="s">
        <v>10242</v>
      </c>
      <c r="B163" s="4" t="s">
        <v>10243</v>
      </c>
      <c r="C163" s="113" t="s">
        <v>4</v>
      </c>
      <c r="D163" s="155" t="s">
        <v>10244</v>
      </c>
      <c r="E163" s="159">
        <v>562</v>
      </c>
      <c r="F163" s="157" t="s">
        <v>10245</v>
      </c>
      <c r="G163" s="155" t="s">
        <v>10243</v>
      </c>
      <c r="H163" s="113" t="s">
        <v>9767</v>
      </c>
      <c r="I163" s="4" t="s">
        <v>10243</v>
      </c>
      <c r="J163" s="155" t="s">
        <v>10245</v>
      </c>
      <c r="K163" s="2" t="s">
        <v>10212</v>
      </c>
    </row>
    <row r="164" spans="1:11" s="2" customFormat="1" x14ac:dyDescent="0.25">
      <c r="A164" s="114" t="s">
        <v>10246</v>
      </c>
      <c r="B164" s="4" t="s">
        <v>10247</v>
      </c>
      <c r="C164" s="113" t="s">
        <v>4</v>
      </c>
      <c r="D164" s="155" t="s">
        <v>10248</v>
      </c>
      <c r="E164" s="159">
        <v>899</v>
      </c>
      <c r="F164" s="157" t="s">
        <v>10249</v>
      </c>
      <c r="G164" s="155" t="s">
        <v>10247</v>
      </c>
      <c r="H164" s="113" t="s">
        <v>9767</v>
      </c>
      <c r="I164" s="4" t="s">
        <v>10247</v>
      </c>
      <c r="J164" s="155" t="s">
        <v>10249</v>
      </c>
      <c r="K164" s="2" t="s">
        <v>15387</v>
      </c>
    </row>
    <row r="165" spans="1:11" s="2" customFormat="1" x14ac:dyDescent="0.25">
      <c r="A165" s="114" t="s">
        <v>10250</v>
      </c>
      <c r="B165" s="4" t="s">
        <v>10251</v>
      </c>
      <c r="C165" s="113" t="s">
        <v>15363</v>
      </c>
      <c r="D165" s="155" t="s">
        <v>10252</v>
      </c>
      <c r="E165" s="159">
        <v>564</v>
      </c>
      <c r="F165" s="157" t="s">
        <v>10253</v>
      </c>
      <c r="G165" s="155" t="s">
        <v>10251</v>
      </c>
      <c r="H165" s="113" t="s">
        <v>9767</v>
      </c>
      <c r="I165" s="4" t="s">
        <v>10251</v>
      </c>
      <c r="J165" s="155" t="s">
        <v>10253</v>
      </c>
      <c r="K165" s="2" t="s">
        <v>10251</v>
      </c>
    </row>
    <row r="166" spans="1:11" s="2" customFormat="1" x14ac:dyDescent="0.25">
      <c r="A166" s="114" t="s">
        <v>10254</v>
      </c>
      <c r="B166" s="4" t="s">
        <v>10255</v>
      </c>
      <c r="C166" s="113" t="s">
        <v>15363</v>
      </c>
      <c r="D166" s="155" t="s">
        <v>10256</v>
      </c>
      <c r="E166" s="159">
        <v>969</v>
      </c>
      <c r="F166" s="157" t="s">
        <v>10258</v>
      </c>
      <c r="G166" s="155" t="s">
        <v>10257</v>
      </c>
      <c r="H166" s="113" t="s">
        <v>9767</v>
      </c>
      <c r="I166" s="4" t="s">
        <v>10255</v>
      </c>
      <c r="J166" s="155" t="s">
        <v>10258</v>
      </c>
      <c r="K166" s="2" t="s">
        <v>10257</v>
      </c>
    </row>
    <row r="167" spans="1:11" s="2" customFormat="1" x14ac:dyDescent="0.25">
      <c r="A167" s="114" t="s">
        <v>10259</v>
      </c>
      <c r="B167" s="4" t="s">
        <v>10260</v>
      </c>
      <c r="C167" s="113" t="s">
        <v>15363</v>
      </c>
      <c r="D167" s="155" t="s">
        <v>10261</v>
      </c>
      <c r="E167" s="159">
        <v>132</v>
      </c>
      <c r="F167" s="157" t="s">
        <v>10262</v>
      </c>
      <c r="G167" s="155" t="s">
        <v>10260</v>
      </c>
      <c r="H167" s="113" t="s">
        <v>9767</v>
      </c>
      <c r="I167" s="4" t="s">
        <v>10260</v>
      </c>
      <c r="J167" s="155" t="s">
        <v>10262</v>
      </c>
      <c r="K167" s="2" t="s">
        <v>10260</v>
      </c>
    </row>
    <row r="168" spans="1:11" s="2" customFormat="1" x14ac:dyDescent="0.25">
      <c r="A168" s="114" t="s">
        <v>10263</v>
      </c>
      <c r="B168" s="4" t="s">
        <v>10264</v>
      </c>
      <c r="C168" s="113" t="s">
        <v>15363</v>
      </c>
      <c r="D168" s="155" t="s">
        <v>10157</v>
      </c>
      <c r="E168" s="159">
        <v>5278</v>
      </c>
      <c r="F168" s="157" t="s">
        <v>10266</v>
      </c>
      <c r="G168" s="155" t="s">
        <v>10265</v>
      </c>
      <c r="H168" s="113" t="s">
        <v>9767</v>
      </c>
      <c r="I168" s="4" t="s">
        <v>10264</v>
      </c>
      <c r="J168" s="155" t="s">
        <v>10266</v>
      </c>
      <c r="K168" s="2" t="s">
        <v>10144</v>
      </c>
    </row>
    <row r="169" spans="1:11" s="2" customFormat="1" x14ac:dyDescent="0.25">
      <c r="A169" s="114" t="s">
        <v>10267</v>
      </c>
      <c r="B169" s="4" t="s">
        <v>10268</v>
      </c>
      <c r="C169" s="113" t="s">
        <v>15363</v>
      </c>
      <c r="D169" s="155" t="s">
        <v>10269</v>
      </c>
      <c r="E169" s="159">
        <v>299</v>
      </c>
      <c r="F169" s="157" t="s">
        <v>10270</v>
      </c>
      <c r="G169" s="155" t="s">
        <v>10268</v>
      </c>
      <c r="H169" s="113" t="s">
        <v>9767</v>
      </c>
      <c r="I169" s="4" t="s">
        <v>10268</v>
      </c>
      <c r="J169" s="155" t="s">
        <v>10270</v>
      </c>
      <c r="K169" s="2" t="s">
        <v>10268</v>
      </c>
    </row>
    <row r="170" spans="1:11" s="2" customFormat="1" x14ac:dyDescent="0.25">
      <c r="A170" s="114" t="s">
        <v>10271</v>
      </c>
      <c r="B170" s="4" t="s">
        <v>10272</v>
      </c>
      <c r="C170" s="113" t="s">
        <v>4</v>
      </c>
      <c r="D170" s="155" t="s">
        <v>10273</v>
      </c>
      <c r="E170" s="159">
        <v>7476</v>
      </c>
      <c r="F170" s="157" t="s">
        <v>10274</v>
      </c>
      <c r="G170" s="155" t="s">
        <v>10272</v>
      </c>
      <c r="H170" s="113" t="s">
        <v>9767</v>
      </c>
      <c r="I170" s="4" t="s">
        <v>10272</v>
      </c>
      <c r="J170" s="155" t="s">
        <v>10274</v>
      </c>
      <c r="K170" s="2" t="s">
        <v>10144</v>
      </c>
    </row>
    <row r="171" spans="1:11" s="2" customFormat="1" x14ac:dyDescent="0.25">
      <c r="A171" s="114" t="s">
        <v>10275</v>
      </c>
      <c r="B171" s="4" t="s">
        <v>10276</v>
      </c>
      <c r="C171" s="113" t="s">
        <v>15363</v>
      </c>
      <c r="D171" s="155" t="s">
        <v>10277</v>
      </c>
      <c r="E171" s="159">
        <v>811</v>
      </c>
      <c r="F171" s="157" t="s">
        <v>10278</v>
      </c>
      <c r="G171" s="155" t="s">
        <v>10276</v>
      </c>
      <c r="H171" s="113" t="s">
        <v>9767</v>
      </c>
      <c r="I171" s="4" t="s">
        <v>10276</v>
      </c>
      <c r="J171" s="155" t="s">
        <v>10278</v>
      </c>
      <c r="K171" s="2" t="s">
        <v>10276</v>
      </c>
    </row>
    <row r="172" spans="1:11" s="2" customFormat="1" x14ac:dyDescent="0.25">
      <c r="A172" s="114" t="s">
        <v>10279</v>
      </c>
      <c r="B172" s="4" t="s">
        <v>10280</v>
      </c>
      <c r="C172" s="113" t="s">
        <v>15363</v>
      </c>
      <c r="D172" s="155" t="s">
        <v>10059</v>
      </c>
      <c r="E172" s="159">
        <v>2097</v>
      </c>
      <c r="F172" s="157" t="s">
        <v>10281</v>
      </c>
      <c r="G172" s="155" t="s">
        <v>10280</v>
      </c>
      <c r="H172" s="113" t="s">
        <v>9767</v>
      </c>
      <c r="I172" s="4" t="s">
        <v>10280</v>
      </c>
      <c r="J172" s="155" t="s">
        <v>10281</v>
      </c>
      <c r="K172" s="2" t="s">
        <v>10280</v>
      </c>
    </row>
    <row r="173" spans="1:11" s="2" customFormat="1" x14ac:dyDescent="0.25">
      <c r="A173" s="114" t="s">
        <v>10282</v>
      </c>
      <c r="B173" s="4" t="s">
        <v>10283</v>
      </c>
      <c r="C173" s="113" t="s">
        <v>15363</v>
      </c>
      <c r="D173" s="155" t="s">
        <v>10284</v>
      </c>
      <c r="E173" s="159">
        <v>878</v>
      </c>
      <c r="F173" s="157" t="s">
        <v>10285</v>
      </c>
      <c r="G173" s="155" t="s">
        <v>10283</v>
      </c>
      <c r="H173" s="113" t="s">
        <v>9767</v>
      </c>
      <c r="I173" s="4" t="s">
        <v>10283</v>
      </c>
      <c r="J173" s="155" t="s">
        <v>10285</v>
      </c>
      <c r="K173" s="2" t="s">
        <v>15388</v>
      </c>
    </row>
    <row r="174" spans="1:11" s="2" customFormat="1" x14ac:dyDescent="0.25">
      <c r="A174" s="114" t="s">
        <v>10286</v>
      </c>
      <c r="B174" s="4" t="s">
        <v>10287</v>
      </c>
      <c r="C174" s="113" t="s">
        <v>15363</v>
      </c>
      <c r="D174" s="155" t="s">
        <v>10288</v>
      </c>
      <c r="E174" s="159">
        <v>2032</v>
      </c>
      <c r="F174" s="157" t="s">
        <v>10290</v>
      </c>
      <c r="G174" s="155" t="s">
        <v>10289</v>
      </c>
      <c r="H174" s="113" t="s">
        <v>9767</v>
      </c>
      <c r="I174" s="4" t="s">
        <v>10287</v>
      </c>
      <c r="J174" s="155" t="s">
        <v>10290</v>
      </c>
      <c r="K174" s="2" t="s">
        <v>10144</v>
      </c>
    </row>
    <row r="175" spans="1:11" s="2" customFormat="1" x14ac:dyDescent="0.25">
      <c r="A175" s="114" t="s">
        <v>10291</v>
      </c>
      <c r="B175" s="4" t="s">
        <v>10292</v>
      </c>
      <c r="C175" s="113" t="s">
        <v>15363</v>
      </c>
      <c r="D175" s="155" t="s">
        <v>10293</v>
      </c>
      <c r="E175" s="159">
        <v>645</v>
      </c>
      <c r="F175" s="157" t="s">
        <v>10294</v>
      </c>
      <c r="G175" s="155" t="s">
        <v>10292</v>
      </c>
      <c r="H175" s="113" t="s">
        <v>9767</v>
      </c>
      <c r="I175" s="4" t="s">
        <v>10292</v>
      </c>
      <c r="J175" s="155" t="s">
        <v>10294</v>
      </c>
      <c r="K175" s="2" t="s">
        <v>10292</v>
      </c>
    </row>
    <row r="176" spans="1:11" s="2" customFormat="1" x14ac:dyDescent="0.25">
      <c r="A176" s="114" t="s">
        <v>10295</v>
      </c>
      <c r="B176" s="4" t="s">
        <v>10296</v>
      </c>
      <c r="C176" s="113" t="s">
        <v>4</v>
      </c>
      <c r="D176" s="155" t="s">
        <v>10297</v>
      </c>
      <c r="E176" s="159">
        <v>187</v>
      </c>
      <c r="F176" s="157" t="s">
        <v>10298</v>
      </c>
      <c r="G176" s="155" t="s">
        <v>10296</v>
      </c>
      <c r="H176" s="113" t="s">
        <v>9767</v>
      </c>
      <c r="I176" s="4" t="s">
        <v>10296</v>
      </c>
      <c r="J176" s="155" t="s">
        <v>10298</v>
      </c>
      <c r="K176" s="2" t="s">
        <v>10436</v>
      </c>
    </row>
    <row r="177" spans="1:26" s="2" customFormat="1" x14ac:dyDescent="0.25">
      <c r="A177" s="114" t="s">
        <v>10299</v>
      </c>
      <c r="B177" s="4" t="s">
        <v>10300</v>
      </c>
      <c r="C177" s="113" t="s">
        <v>15363</v>
      </c>
      <c r="D177" s="155" t="s">
        <v>9764</v>
      </c>
      <c r="E177" s="159">
        <v>152</v>
      </c>
      <c r="F177" s="157" t="s">
        <v>10301</v>
      </c>
      <c r="G177" s="155" t="s">
        <v>10300</v>
      </c>
      <c r="H177" s="113" t="s">
        <v>9767</v>
      </c>
      <c r="I177" s="4" t="s">
        <v>10300</v>
      </c>
      <c r="J177" s="155" t="s">
        <v>10301</v>
      </c>
      <c r="K177" s="2" t="s">
        <v>10300</v>
      </c>
    </row>
    <row r="178" spans="1:26" s="2" customFormat="1" x14ac:dyDescent="0.25">
      <c r="A178" s="114" t="s">
        <v>10302</v>
      </c>
      <c r="B178" s="4" t="s">
        <v>10303</v>
      </c>
      <c r="C178" s="113" t="s">
        <v>15363</v>
      </c>
      <c r="D178" s="155" t="s">
        <v>10304</v>
      </c>
      <c r="E178" s="159">
        <v>670</v>
      </c>
      <c r="F178" s="157" t="s">
        <v>10306</v>
      </c>
      <c r="G178" s="155" t="s">
        <v>10305</v>
      </c>
      <c r="H178" s="113" t="s">
        <v>9767</v>
      </c>
      <c r="I178" s="4" t="s">
        <v>10303</v>
      </c>
      <c r="J178" s="155" t="s">
        <v>10306</v>
      </c>
      <c r="K178" s="2" t="s">
        <v>10305</v>
      </c>
    </row>
    <row r="179" spans="1:26" s="2" customFormat="1" x14ac:dyDescent="0.25">
      <c r="A179" s="114" t="s">
        <v>10307</v>
      </c>
      <c r="B179" s="4" t="s">
        <v>10308</v>
      </c>
      <c r="C179" s="113" t="s">
        <v>15363</v>
      </c>
      <c r="D179" s="155" t="s">
        <v>10309</v>
      </c>
      <c r="E179" s="159">
        <v>221</v>
      </c>
      <c r="F179" s="157" t="s">
        <v>10310</v>
      </c>
      <c r="G179" s="155" t="s">
        <v>10308</v>
      </c>
      <c r="H179" s="113" t="s">
        <v>9767</v>
      </c>
      <c r="I179" s="4" t="s">
        <v>10308</v>
      </c>
      <c r="J179" s="155" t="s">
        <v>10310</v>
      </c>
      <c r="K179" s="2" t="s">
        <v>10199</v>
      </c>
    </row>
    <row r="180" spans="1:26" s="2" customFormat="1" x14ac:dyDescent="0.25">
      <c r="A180" s="114" t="s">
        <v>10311</v>
      </c>
      <c r="B180" s="4" t="s">
        <v>10312</v>
      </c>
      <c r="C180" s="113" t="s">
        <v>4</v>
      </c>
      <c r="D180" s="155" t="s">
        <v>10313</v>
      </c>
      <c r="E180" s="159">
        <v>264</v>
      </c>
      <c r="F180" s="157" t="s">
        <v>10314</v>
      </c>
      <c r="G180" s="155" t="s">
        <v>10312</v>
      </c>
      <c r="H180" s="113" t="s">
        <v>9767</v>
      </c>
      <c r="I180" s="4" t="s">
        <v>10312</v>
      </c>
      <c r="J180" s="155" t="s">
        <v>10314</v>
      </c>
      <c r="K180" s="2" t="s">
        <v>10484</v>
      </c>
    </row>
    <row r="181" spans="1:26" s="2" customFormat="1" x14ac:dyDescent="0.25">
      <c r="A181" s="114" t="s">
        <v>10315</v>
      </c>
      <c r="B181" s="4" t="s">
        <v>10316</v>
      </c>
      <c r="C181" s="113" t="s">
        <v>4</v>
      </c>
      <c r="D181" s="155" t="s">
        <v>10317</v>
      </c>
      <c r="E181" s="159">
        <v>30</v>
      </c>
      <c r="F181" s="157" t="s">
        <v>10318</v>
      </c>
      <c r="G181" s="155" t="s">
        <v>10316</v>
      </c>
      <c r="H181" s="113" t="s">
        <v>9767</v>
      </c>
      <c r="I181" s="4" t="s">
        <v>10316</v>
      </c>
      <c r="J181" s="155" t="s">
        <v>10318</v>
      </c>
      <c r="K181" s="2" t="s">
        <v>10420</v>
      </c>
    </row>
    <row r="182" spans="1:26" s="2" customFormat="1" x14ac:dyDescent="0.25">
      <c r="A182" s="114" t="s">
        <v>10319</v>
      </c>
      <c r="B182" s="4" t="s">
        <v>10320</v>
      </c>
      <c r="C182" s="113" t="s">
        <v>4</v>
      </c>
      <c r="D182" s="155" t="s">
        <v>10093</v>
      </c>
      <c r="E182" s="159">
        <v>0</v>
      </c>
      <c r="F182" s="157" t="s">
        <v>10321</v>
      </c>
      <c r="G182" s="155" t="s">
        <v>10320</v>
      </c>
      <c r="H182" s="113" t="s">
        <v>9767</v>
      </c>
      <c r="I182" s="4" t="s">
        <v>10320</v>
      </c>
      <c r="J182" s="155" t="s">
        <v>10321</v>
      </c>
      <c r="K182" s="2" t="s">
        <v>10574</v>
      </c>
    </row>
    <row r="183" spans="1:26" s="2" customFormat="1" x14ac:dyDescent="0.25">
      <c r="A183" s="114" t="s">
        <v>10322</v>
      </c>
      <c r="B183" s="4" t="s">
        <v>10323</v>
      </c>
      <c r="C183" s="113" t="s">
        <v>4</v>
      </c>
      <c r="D183" s="155" t="s">
        <v>10324</v>
      </c>
      <c r="E183" s="159">
        <v>36</v>
      </c>
      <c r="F183" s="157" t="s">
        <v>10326</v>
      </c>
      <c r="G183" s="155" t="s">
        <v>10325</v>
      </c>
      <c r="H183" s="113" t="s">
        <v>9767</v>
      </c>
      <c r="I183" s="4" t="s">
        <v>10323</v>
      </c>
      <c r="J183" s="155" t="s">
        <v>10326</v>
      </c>
      <c r="K183" s="2" t="s">
        <v>10420</v>
      </c>
    </row>
    <row r="184" spans="1:26" s="2" customFormat="1" x14ac:dyDescent="0.25">
      <c r="A184" s="114" t="s">
        <v>10327</v>
      </c>
      <c r="B184" s="4" t="s">
        <v>10328</v>
      </c>
      <c r="C184" s="113" t="s">
        <v>4</v>
      </c>
      <c r="D184" s="155" t="s">
        <v>10244</v>
      </c>
      <c r="E184" s="159">
        <v>206</v>
      </c>
      <c r="F184" s="157" t="s">
        <v>10329</v>
      </c>
      <c r="G184" s="155" t="s">
        <v>10328</v>
      </c>
      <c r="H184" s="113" t="s">
        <v>9767</v>
      </c>
      <c r="I184" s="4" t="s">
        <v>10328</v>
      </c>
      <c r="J184" s="155" t="s">
        <v>10329</v>
      </c>
      <c r="K184" s="2" t="s">
        <v>15389</v>
      </c>
    </row>
    <row r="185" spans="1:26" s="2" customFormat="1" x14ac:dyDescent="0.25">
      <c r="A185" s="114" t="s">
        <v>10330</v>
      </c>
      <c r="B185" s="4" t="s">
        <v>10331</v>
      </c>
      <c r="C185" s="113" t="s">
        <v>4</v>
      </c>
      <c r="D185" s="155" t="s">
        <v>10332</v>
      </c>
      <c r="E185" s="159">
        <v>105</v>
      </c>
      <c r="F185" s="157" t="s">
        <v>10333</v>
      </c>
      <c r="G185" s="155" t="s">
        <v>10331</v>
      </c>
      <c r="H185" s="113" t="s">
        <v>9767</v>
      </c>
      <c r="I185" s="4" t="s">
        <v>10331</v>
      </c>
      <c r="J185" s="155" t="s">
        <v>10333</v>
      </c>
      <c r="K185" s="2" t="s">
        <v>10436</v>
      </c>
    </row>
    <row r="186" spans="1:26" s="4" customFormat="1" x14ac:dyDescent="0.25">
      <c r="A186" s="114" t="s">
        <v>10334</v>
      </c>
      <c r="B186" s="4" t="s">
        <v>10335</v>
      </c>
      <c r="C186" s="113" t="s">
        <v>4</v>
      </c>
      <c r="D186" s="155" t="s">
        <v>10336</v>
      </c>
      <c r="E186" s="159">
        <v>0</v>
      </c>
      <c r="F186" s="157" t="s">
        <v>10337</v>
      </c>
      <c r="G186" s="155" t="s">
        <v>10335</v>
      </c>
      <c r="H186" s="113" t="s">
        <v>9767</v>
      </c>
      <c r="I186" s="4" t="s">
        <v>10335</v>
      </c>
      <c r="J186" s="155" t="s">
        <v>10337</v>
      </c>
      <c r="K186" s="2" t="s">
        <v>10484</v>
      </c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s="2" customFormat="1" x14ac:dyDescent="0.25">
      <c r="A187" s="114" t="s">
        <v>10338</v>
      </c>
      <c r="B187" s="4" t="s">
        <v>10339</v>
      </c>
      <c r="C187" s="113" t="s">
        <v>4</v>
      </c>
      <c r="D187" s="155" t="s">
        <v>10340</v>
      </c>
      <c r="E187" s="159">
        <v>551</v>
      </c>
      <c r="F187" s="157" t="s">
        <v>10342</v>
      </c>
      <c r="G187" s="155" t="s">
        <v>10341</v>
      </c>
      <c r="H187" s="113" t="s">
        <v>9767</v>
      </c>
      <c r="I187" s="4" t="s">
        <v>10339</v>
      </c>
      <c r="J187" s="155" t="s">
        <v>10342</v>
      </c>
      <c r="K187" s="2" t="s">
        <v>10598</v>
      </c>
    </row>
    <row r="188" spans="1:26" s="2" customFormat="1" x14ac:dyDescent="0.25">
      <c r="A188" s="114" t="s">
        <v>10343</v>
      </c>
      <c r="B188" s="4" t="s">
        <v>10344</v>
      </c>
      <c r="C188" s="113" t="s">
        <v>4</v>
      </c>
      <c r="D188" s="155" t="s">
        <v>10297</v>
      </c>
      <c r="E188" s="159">
        <v>174</v>
      </c>
      <c r="F188" s="157" t="s">
        <v>10345</v>
      </c>
      <c r="G188" s="155" t="s">
        <v>10344</v>
      </c>
      <c r="H188" s="113" t="s">
        <v>9767</v>
      </c>
      <c r="I188" s="4" t="s">
        <v>10344</v>
      </c>
      <c r="J188" s="155" t="s">
        <v>10345</v>
      </c>
      <c r="K188" s="2" t="s">
        <v>10305</v>
      </c>
    </row>
    <row r="189" spans="1:26" s="2" customFormat="1" x14ac:dyDescent="0.25">
      <c r="A189" s="114" t="s">
        <v>10346</v>
      </c>
      <c r="B189" s="4" t="s">
        <v>10347</v>
      </c>
      <c r="C189" s="113" t="s">
        <v>15363</v>
      </c>
      <c r="D189" s="155" t="s">
        <v>10348</v>
      </c>
      <c r="E189" s="159">
        <v>202</v>
      </c>
      <c r="F189" s="157" t="s">
        <v>10349</v>
      </c>
      <c r="G189" s="155" t="s">
        <v>10347</v>
      </c>
      <c r="H189" s="113" t="s">
        <v>9767</v>
      </c>
      <c r="I189" s="4" t="s">
        <v>10347</v>
      </c>
      <c r="J189" s="155" t="s">
        <v>10349</v>
      </c>
      <c r="K189" s="2" t="s">
        <v>10347</v>
      </c>
    </row>
    <row r="190" spans="1:26" s="2" customFormat="1" x14ac:dyDescent="0.25">
      <c r="A190" s="114" t="s">
        <v>10350</v>
      </c>
      <c r="B190" s="4" t="s">
        <v>10001</v>
      </c>
      <c r="C190" s="113" t="s">
        <v>15363</v>
      </c>
      <c r="D190" s="155" t="s">
        <v>10059</v>
      </c>
      <c r="E190" s="159">
        <v>1101</v>
      </c>
      <c r="F190" s="157" t="s">
        <v>10351</v>
      </c>
      <c r="G190" s="155" t="s">
        <v>10001</v>
      </c>
      <c r="H190" s="113" t="s">
        <v>9767</v>
      </c>
      <c r="I190" s="4" t="s">
        <v>10001</v>
      </c>
      <c r="J190" s="155" t="s">
        <v>10351</v>
      </c>
      <c r="K190" s="2" t="s">
        <v>10001</v>
      </c>
    </row>
    <row r="191" spans="1:26" s="2" customFormat="1" x14ac:dyDescent="0.25">
      <c r="A191" s="114" t="s">
        <v>10352</v>
      </c>
      <c r="B191" s="4" t="s">
        <v>15358</v>
      </c>
      <c r="C191" s="113" t="s">
        <v>4</v>
      </c>
      <c r="D191" s="155" t="s">
        <v>10353</v>
      </c>
      <c r="E191" s="159">
        <v>317</v>
      </c>
      <c r="F191" s="157" t="s">
        <v>10354</v>
      </c>
      <c r="G191" s="155" t="s">
        <v>15358</v>
      </c>
      <c r="H191" s="113" t="s">
        <v>9767</v>
      </c>
      <c r="I191" s="4" t="s">
        <v>15358</v>
      </c>
      <c r="J191" s="155" t="s">
        <v>10354</v>
      </c>
      <c r="K191" s="2" t="s">
        <v>10436</v>
      </c>
    </row>
    <row r="192" spans="1:26" s="2" customFormat="1" x14ac:dyDescent="0.25">
      <c r="A192" s="114" t="s">
        <v>10355</v>
      </c>
      <c r="B192" s="4" t="s">
        <v>10356</v>
      </c>
      <c r="C192" s="113" t="s">
        <v>15363</v>
      </c>
      <c r="D192" s="155" t="s">
        <v>10357</v>
      </c>
      <c r="E192" s="159">
        <v>253</v>
      </c>
      <c r="F192" s="157" t="s">
        <v>10358</v>
      </c>
      <c r="G192" s="155" t="s">
        <v>10356</v>
      </c>
      <c r="H192" s="113" t="s">
        <v>9767</v>
      </c>
      <c r="I192" s="4" t="s">
        <v>10356</v>
      </c>
      <c r="J192" s="155" t="s">
        <v>10358</v>
      </c>
      <c r="K192" s="2" t="s">
        <v>10356</v>
      </c>
    </row>
    <row r="193" spans="1:26" s="2" customFormat="1" x14ac:dyDescent="0.25">
      <c r="A193" s="114" t="s">
        <v>10359</v>
      </c>
      <c r="B193" s="4" t="s">
        <v>10360</v>
      </c>
      <c r="C193" s="113" t="s">
        <v>4</v>
      </c>
      <c r="D193" s="155" t="s">
        <v>10361</v>
      </c>
      <c r="E193" s="159">
        <v>0</v>
      </c>
      <c r="F193" s="157" t="s">
        <v>10363</v>
      </c>
      <c r="G193" s="155" t="s">
        <v>10362</v>
      </c>
      <c r="H193" s="113" t="s">
        <v>9767</v>
      </c>
      <c r="I193" s="4" t="s">
        <v>10360</v>
      </c>
      <c r="J193" s="155" t="s">
        <v>10363</v>
      </c>
      <c r="K193" s="2" t="s">
        <v>9810</v>
      </c>
    </row>
    <row r="194" spans="1:26" s="2" customFormat="1" x14ac:dyDescent="0.25">
      <c r="A194" s="114" t="s">
        <v>10364</v>
      </c>
      <c r="B194" s="4" t="s">
        <v>10365</v>
      </c>
      <c r="C194" s="113" t="s">
        <v>15363</v>
      </c>
      <c r="D194" s="155" t="s">
        <v>10366</v>
      </c>
      <c r="E194" s="159">
        <v>251</v>
      </c>
      <c r="F194" s="157" t="s">
        <v>10367</v>
      </c>
      <c r="G194" s="155" t="s">
        <v>10365</v>
      </c>
      <c r="H194" s="113" t="s">
        <v>9767</v>
      </c>
      <c r="I194" s="4" t="s">
        <v>10365</v>
      </c>
      <c r="J194" s="155" t="s">
        <v>10367</v>
      </c>
      <c r="K194" s="2" t="s">
        <v>10365</v>
      </c>
    </row>
    <row r="195" spans="1:26" s="2" customFormat="1" x14ac:dyDescent="0.25">
      <c r="A195" s="114" t="s">
        <v>10368</v>
      </c>
      <c r="B195" s="4" t="s">
        <v>10369</v>
      </c>
      <c r="C195" s="113" t="s">
        <v>15363</v>
      </c>
      <c r="D195" s="155" t="s">
        <v>10370</v>
      </c>
      <c r="E195" s="159">
        <v>621</v>
      </c>
      <c r="F195" s="157" t="s">
        <v>10371</v>
      </c>
      <c r="G195" s="155" t="s">
        <v>10369</v>
      </c>
      <c r="H195" s="113" t="s">
        <v>9767</v>
      </c>
      <c r="I195" s="4" t="s">
        <v>10369</v>
      </c>
      <c r="J195" s="155" t="s">
        <v>10371</v>
      </c>
      <c r="K195" s="2" t="s">
        <v>10369</v>
      </c>
    </row>
    <row r="196" spans="1:26" s="2" customFormat="1" x14ac:dyDescent="0.25">
      <c r="A196" s="114" t="s">
        <v>10372</v>
      </c>
      <c r="B196" s="4" t="s">
        <v>10269</v>
      </c>
      <c r="C196" s="113" t="s">
        <v>15363</v>
      </c>
      <c r="D196" s="155" t="s">
        <v>10353</v>
      </c>
      <c r="E196" s="159">
        <v>57</v>
      </c>
      <c r="F196" s="157" t="s">
        <v>10373</v>
      </c>
      <c r="G196" s="155" t="s">
        <v>10269</v>
      </c>
      <c r="H196" s="113" t="s">
        <v>9767</v>
      </c>
      <c r="I196" s="4" t="s">
        <v>10269</v>
      </c>
      <c r="J196" s="155" t="s">
        <v>10373</v>
      </c>
      <c r="K196" s="2" t="s">
        <v>10269</v>
      </c>
    </row>
    <row r="197" spans="1:26" s="2" customFormat="1" x14ac:dyDescent="0.25">
      <c r="A197" s="114" t="s">
        <v>10374</v>
      </c>
      <c r="B197" s="4" t="s">
        <v>10375</v>
      </c>
      <c r="C197" s="113" t="s">
        <v>15363</v>
      </c>
      <c r="D197" s="155" t="s">
        <v>9850</v>
      </c>
      <c r="E197" s="159">
        <v>7</v>
      </c>
      <c r="F197" s="157" t="s">
        <v>10376</v>
      </c>
      <c r="G197" s="155" t="s">
        <v>10375</v>
      </c>
      <c r="H197" s="113" t="s">
        <v>9767</v>
      </c>
      <c r="I197" s="4" t="s">
        <v>10375</v>
      </c>
      <c r="J197" s="155" t="s">
        <v>10376</v>
      </c>
      <c r="K197" s="2" t="s">
        <v>10375</v>
      </c>
    </row>
    <row r="198" spans="1:26" s="2" customFormat="1" x14ac:dyDescent="0.25">
      <c r="A198" s="114" t="s">
        <v>10377</v>
      </c>
      <c r="B198" s="4" t="s">
        <v>10378</v>
      </c>
      <c r="C198" s="113" t="s">
        <v>4</v>
      </c>
      <c r="D198" s="155" t="s">
        <v>10379</v>
      </c>
      <c r="E198" s="159">
        <v>0</v>
      </c>
      <c r="F198" s="157" t="s">
        <v>10381</v>
      </c>
      <c r="G198" s="155" t="s">
        <v>10380</v>
      </c>
      <c r="H198" s="113" t="s">
        <v>9767</v>
      </c>
      <c r="I198" s="4" t="s">
        <v>10378</v>
      </c>
      <c r="J198" s="155" t="s">
        <v>10381</v>
      </c>
      <c r="K198" s="2" t="s">
        <v>10436</v>
      </c>
    </row>
    <row r="199" spans="1:26" s="2" customFormat="1" x14ac:dyDescent="0.25">
      <c r="A199" s="114" t="s">
        <v>10382</v>
      </c>
      <c r="B199" s="4" t="s">
        <v>10383</v>
      </c>
      <c r="C199" s="113" t="s">
        <v>4</v>
      </c>
      <c r="D199" s="155" t="s">
        <v>9957</v>
      </c>
      <c r="E199" s="159">
        <v>0</v>
      </c>
      <c r="F199" s="157" t="s">
        <v>10385</v>
      </c>
      <c r="G199" s="155" t="s">
        <v>10384</v>
      </c>
      <c r="H199" s="113" t="s">
        <v>9767</v>
      </c>
      <c r="I199" s="4" t="s">
        <v>10383</v>
      </c>
      <c r="J199" s="155" t="s">
        <v>10385</v>
      </c>
      <c r="K199" s="2" t="s">
        <v>10427</v>
      </c>
    </row>
    <row r="200" spans="1:26" s="2" customFormat="1" x14ac:dyDescent="0.25">
      <c r="A200" s="114" t="s">
        <v>10386</v>
      </c>
      <c r="B200" s="4" t="s">
        <v>10387</v>
      </c>
      <c r="C200" s="113" t="s">
        <v>4</v>
      </c>
      <c r="D200" s="155" t="s">
        <v>10388</v>
      </c>
      <c r="E200" s="159">
        <v>245</v>
      </c>
      <c r="F200" s="157" t="s">
        <v>10389</v>
      </c>
      <c r="G200" s="155" t="s">
        <v>10387</v>
      </c>
      <c r="H200" s="113" t="s">
        <v>9767</v>
      </c>
      <c r="I200" s="4" t="s">
        <v>10387</v>
      </c>
      <c r="J200" s="155" t="s">
        <v>10389</v>
      </c>
      <c r="K200" s="2" t="s">
        <v>10300</v>
      </c>
    </row>
    <row r="201" spans="1:26" s="2" customFormat="1" x14ac:dyDescent="0.25">
      <c r="A201" s="114" t="s">
        <v>10390</v>
      </c>
      <c r="B201" s="4" t="s">
        <v>10391</v>
      </c>
      <c r="C201" s="113" t="s">
        <v>4</v>
      </c>
      <c r="D201" s="155" t="s">
        <v>10392</v>
      </c>
      <c r="E201" s="159">
        <v>0</v>
      </c>
      <c r="F201" s="157" t="s">
        <v>10393</v>
      </c>
      <c r="G201" s="155" t="s">
        <v>10391</v>
      </c>
      <c r="H201" s="113" t="s">
        <v>9767</v>
      </c>
      <c r="I201" s="4" t="s">
        <v>10391</v>
      </c>
      <c r="J201" s="155" t="s">
        <v>10393</v>
      </c>
      <c r="K201" s="2" t="s">
        <v>9887</v>
      </c>
    </row>
    <row r="202" spans="1:26" s="2" customFormat="1" x14ac:dyDescent="0.25">
      <c r="A202" s="114" t="s">
        <v>10394</v>
      </c>
      <c r="B202" s="4" t="s">
        <v>10395</v>
      </c>
      <c r="C202" s="113" t="s">
        <v>4</v>
      </c>
      <c r="D202" s="155" t="s">
        <v>10396</v>
      </c>
      <c r="E202" s="159">
        <v>633</v>
      </c>
      <c r="F202" s="157" t="s">
        <v>10397</v>
      </c>
      <c r="G202" s="155" t="s">
        <v>10395</v>
      </c>
      <c r="H202" s="113" t="s">
        <v>9767</v>
      </c>
      <c r="I202" s="4" t="s">
        <v>10395</v>
      </c>
      <c r="J202" s="155" t="s">
        <v>10397</v>
      </c>
      <c r="K202" s="2" t="s">
        <v>9810</v>
      </c>
    </row>
    <row r="203" spans="1:26" s="2" customFormat="1" x14ac:dyDescent="0.25">
      <c r="A203" s="114" t="s">
        <v>10398</v>
      </c>
      <c r="B203" s="4" t="s">
        <v>10399</v>
      </c>
      <c r="C203" s="113" t="s">
        <v>4</v>
      </c>
      <c r="D203" s="155" t="s">
        <v>9819</v>
      </c>
      <c r="E203" s="159">
        <v>129</v>
      </c>
      <c r="F203" s="157" t="s">
        <v>10400</v>
      </c>
      <c r="G203" s="155" t="s">
        <v>10399</v>
      </c>
      <c r="H203" s="113" t="s">
        <v>9767</v>
      </c>
      <c r="I203" s="4" t="s">
        <v>10399</v>
      </c>
      <c r="J203" s="155" t="s">
        <v>10400</v>
      </c>
      <c r="K203" s="4" t="s">
        <v>10484</v>
      </c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s="2" customFormat="1" x14ac:dyDescent="0.25">
      <c r="A204" s="114" t="s">
        <v>10401</v>
      </c>
      <c r="B204" s="4" t="s">
        <v>10402</v>
      </c>
      <c r="C204" s="113" t="s">
        <v>4</v>
      </c>
      <c r="D204" s="155" t="s">
        <v>10403</v>
      </c>
      <c r="E204" s="159">
        <v>616</v>
      </c>
      <c r="F204" s="157" t="s">
        <v>10405</v>
      </c>
      <c r="G204" s="155" t="s">
        <v>10404</v>
      </c>
      <c r="H204" s="113" t="s">
        <v>9767</v>
      </c>
      <c r="I204" s="4" t="s">
        <v>10402</v>
      </c>
      <c r="J204" s="155" t="s">
        <v>10405</v>
      </c>
      <c r="K204" s="2" t="s">
        <v>10436</v>
      </c>
    </row>
    <row r="205" spans="1:26" s="2" customFormat="1" x14ac:dyDescent="0.25">
      <c r="A205" s="114" t="s">
        <v>10406</v>
      </c>
      <c r="B205" s="4" t="s">
        <v>10407</v>
      </c>
      <c r="C205" s="113" t="s">
        <v>4</v>
      </c>
      <c r="D205" s="155" t="s">
        <v>9767</v>
      </c>
      <c r="E205" s="159">
        <v>187</v>
      </c>
      <c r="F205" s="157" t="s">
        <v>10408</v>
      </c>
      <c r="G205" s="155" t="s">
        <v>10407</v>
      </c>
      <c r="H205" s="113" t="s">
        <v>9767</v>
      </c>
      <c r="I205" s="4" t="s">
        <v>10407</v>
      </c>
      <c r="J205" s="155" t="s">
        <v>10408</v>
      </c>
      <c r="K205" s="2" t="s">
        <v>10420</v>
      </c>
    </row>
    <row r="206" spans="1:26" s="2" customFormat="1" x14ac:dyDescent="0.25">
      <c r="A206" s="114" t="s">
        <v>10409</v>
      </c>
      <c r="B206" s="4" t="s">
        <v>10410</v>
      </c>
      <c r="C206" s="113" t="s">
        <v>4</v>
      </c>
      <c r="D206" s="155" t="s">
        <v>10043</v>
      </c>
      <c r="E206" s="159">
        <v>1</v>
      </c>
      <c r="F206" s="157" t="s">
        <v>10411</v>
      </c>
      <c r="G206" s="155" t="s">
        <v>10410</v>
      </c>
      <c r="H206" s="113" t="s">
        <v>9767</v>
      </c>
      <c r="I206" s="4" t="s">
        <v>10410</v>
      </c>
      <c r="J206" s="155" t="s">
        <v>10411</v>
      </c>
      <c r="K206" s="2" t="s">
        <v>10199</v>
      </c>
    </row>
    <row r="207" spans="1:26" s="2" customFormat="1" x14ac:dyDescent="0.25">
      <c r="A207" s="114" t="s">
        <v>10412</v>
      </c>
      <c r="B207" s="4" t="s">
        <v>10413</v>
      </c>
      <c r="C207" s="113" t="s">
        <v>4</v>
      </c>
      <c r="D207" s="155" t="s">
        <v>10181</v>
      </c>
      <c r="E207" s="159">
        <v>1</v>
      </c>
      <c r="F207" s="157" t="s">
        <v>10414</v>
      </c>
      <c r="G207" s="155" t="s">
        <v>10413</v>
      </c>
      <c r="H207" s="113" t="s">
        <v>9767</v>
      </c>
      <c r="I207" s="4" t="s">
        <v>10413</v>
      </c>
      <c r="J207" s="155" t="s">
        <v>10414</v>
      </c>
      <c r="K207" s="2" t="s">
        <v>10533</v>
      </c>
    </row>
    <row r="208" spans="1:26" s="2" customFormat="1" x14ac:dyDescent="0.25">
      <c r="A208" s="114" t="s">
        <v>10415</v>
      </c>
      <c r="B208" s="4" t="s">
        <v>10039</v>
      </c>
      <c r="C208" s="113" t="s">
        <v>4</v>
      </c>
      <c r="D208" s="155" t="s">
        <v>10244</v>
      </c>
      <c r="E208" s="159">
        <v>0</v>
      </c>
      <c r="F208" s="157" t="s">
        <v>10416</v>
      </c>
      <c r="G208" s="155" t="s">
        <v>10039</v>
      </c>
      <c r="H208" s="113" t="s">
        <v>9767</v>
      </c>
      <c r="I208" s="4" t="s">
        <v>10039</v>
      </c>
      <c r="J208" s="155" t="s">
        <v>10416</v>
      </c>
      <c r="K208" s="2" t="s">
        <v>9810</v>
      </c>
    </row>
    <row r="209" spans="1:11" s="2" customFormat="1" x14ac:dyDescent="0.25">
      <c r="A209" s="114" t="s">
        <v>10417</v>
      </c>
      <c r="B209" s="4" t="s">
        <v>10418</v>
      </c>
      <c r="C209" s="113" t="s">
        <v>15363</v>
      </c>
      <c r="D209" s="155" t="s">
        <v>10419</v>
      </c>
      <c r="E209" s="159">
        <v>145</v>
      </c>
      <c r="F209" s="157" t="s">
        <v>10421</v>
      </c>
      <c r="G209" s="155" t="s">
        <v>10420</v>
      </c>
      <c r="H209" s="113" t="s">
        <v>9767</v>
      </c>
      <c r="I209" s="4" t="s">
        <v>10418</v>
      </c>
      <c r="J209" s="155" t="s">
        <v>10421</v>
      </c>
      <c r="K209" s="2" t="s">
        <v>10420</v>
      </c>
    </row>
    <row r="210" spans="1:11" s="2" customFormat="1" x14ac:dyDescent="0.25">
      <c r="A210" s="114" t="s">
        <v>10422</v>
      </c>
      <c r="B210" s="4" t="s">
        <v>10423</v>
      </c>
      <c r="C210" s="113" t="s">
        <v>4</v>
      </c>
      <c r="D210" s="155" t="s">
        <v>9887</v>
      </c>
      <c r="E210" s="159">
        <v>48</v>
      </c>
      <c r="F210" s="157" t="s">
        <v>10424</v>
      </c>
      <c r="G210" s="155" t="s">
        <v>10423</v>
      </c>
      <c r="H210" s="113" t="s">
        <v>9767</v>
      </c>
      <c r="I210" s="4" t="s">
        <v>10423</v>
      </c>
      <c r="J210" s="155" t="s">
        <v>10424</v>
      </c>
      <c r="K210" s="2" t="s">
        <v>10001</v>
      </c>
    </row>
    <row r="211" spans="1:11" s="2" customFormat="1" x14ac:dyDescent="0.25">
      <c r="A211" s="114" t="s">
        <v>10425</v>
      </c>
      <c r="B211" s="4" t="s">
        <v>10426</v>
      </c>
      <c r="C211" s="113" t="s">
        <v>15363</v>
      </c>
      <c r="D211" s="155" t="s">
        <v>9819</v>
      </c>
      <c r="E211" s="159">
        <v>339</v>
      </c>
      <c r="F211" s="157" t="s">
        <v>10428</v>
      </c>
      <c r="G211" s="155" t="s">
        <v>10427</v>
      </c>
      <c r="H211" s="113" t="s">
        <v>9767</v>
      </c>
      <c r="I211" s="4" t="s">
        <v>10426</v>
      </c>
      <c r="J211" s="155" t="s">
        <v>10428</v>
      </c>
      <c r="K211" s="2" t="s">
        <v>10427</v>
      </c>
    </row>
    <row r="212" spans="1:11" s="2" customFormat="1" x14ac:dyDescent="0.25">
      <c r="A212" s="114" t="s">
        <v>10429</v>
      </c>
      <c r="B212" s="4" t="s">
        <v>10430</v>
      </c>
      <c r="C212" s="113" t="s">
        <v>15363</v>
      </c>
      <c r="D212" s="155" t="s">
        <v>10431</v>
      </c>
      <c r="E212" s="159">
        <v>233</v>
      </c>
      <c r="F212" s="157" t="s">
        <v>10433</v>
      </c>
      <c r="G212" s="155" t="s">
        <v>10432</v>
      </c>
      <c r="H212" s="113" t="s">
        <v>9767</v>
      </c>
      <c r="I212" s="4" t="s">
        <v>10430</v>
      </c>
      <c r="J212" s="155" t="s">
        <v>10433</v>
      </c>
      <c r="K212" s="2" t="s">
        <v>10432</v>
      </c>
    </row>
    <row r="213" spans="1:11" s="2" customFormat="1" x14ac:dyDescent="0.25">
      <c r="A213" s="114" t="s">
        <v>10434</v>
      </c>
      <c r="B213" s="4" t="s">
        <v>10435</v>
      </c>
      <c r="C213" s="113" t="s">
        <v>15363</v>
      </c>
      <c r="D213" s="155" t="s">
        <v>10244</v>
      </c>
      <c r="E213" s="159">
        <v>453</v>
      </c>
      <c r="F213" s="157" t="s">
        <v>10437</v>
      </c>
      <c r="G213" s="155" t="s">
        <v>10436</v>
      </c>
      <c r="H213" s="113" t="s">
        <v>9767</v>
      </c>
      <c r="I213" s="4" t="s">
        <v>10435</v>
      </c>
      <c r="J213" s="155" t="s">
        <v>10437</v>
      </c>
      <c r="K213" s="2" t="s">
        <v>10436</v>
      </c>
    </row>
    <row r="214" spans="1:11" s="2" customFormat="1" x14ac:dyDescent="0.25">
      <c r="A214" s="114" t="s">
        <v>10438</v>
      </c>
      <c r="B214" s="4" t="s">
        <v>10439</v>
      </c>
      <c r="C214" s="113" t="s">
        <v>4</v>
      </c>
      <c r="D214" s="155" t="s">
        <v>9767</v>
      </c>
      <c r="E214" s="159">
        <v>677</v>
      </c>
      <c r="F214" s="157" t="s">
        <v>10440</v>
      </c>
      <c r="G214" s="155" t="s">
        <v>10439</v>
      </c>
      <c r="H214" s="113" t="s">
        <v>9767</v>
      </c>
      <c r="I214" s="4" t="s">
        <v>10439</v>
      </c>
      <c r="J214" s="155" t="s">
        <v>10440</v>
      </c>
      <c r="K214" s="2" t="s">
        <v>10427</v>
      </c>
    </row>
    <row r="215" spans="1:11" s="2" customFormat="1" x14ac:dyDescent="0.25">
      <c r="A215" s="114" t="s">
        <v>10441</v>
      </c>
      <c r="B215" s="4" t="s">
        <v>10442</v>
      </c>
      <c r="C215" s="113" t="s">
        <v>4</v>
      </c>
      <c r="D215" s="155" t="s">
        <v>10443</v>
      </c>
      <c r="E215" s="159">
        <v>209</v>
      </c>
      <c r="F215" s="157" t="s">
        <v>10445</v>
      </c>
      <c r="G215" s="155" t="s">
        <v>10444</v>
      </c>
      <c r="H215" s="113" t="s">
        <v>9767</v>
      </c>
      <c r="I215" s="4" t="s">
        <v>10442</v>
      </c>
      <c r="J215" s="155" t="s">
        <v>10445</v>
      </c>
      <c r="K215" s="2" t="s">
        <v>9887</v>
      </c>
    </row>
    <row r="216" spans="1:11" s="2" customFormat="1" x14ac:dyDescent="0.25">
      <c r="A216" s="114" t="s">
        <v>10446</v>
      </c>
      <c r="B216" s="4" t="s">
        <v>10447</v>
      </c>
      <c r="C216" s="113" t="s">
        <v>4</v>
      </c>
      <c r="D216" s="155" t="s">
        <v>10448</v>
      </c>
      <c r="E216" s="159">
        <v>499</v>
      </c>
      <c r="F216" s="157" t="s">
        <v>10449</v>
      </c>
      <c r="G216" s="155" t="s">
        <v>10447</v>
      </c>
      <c r="H216" s="113" t="s">
        <v>9767</v>
      </c>
      <c r="I216" s="4" t="s">
        <v>10447</v>
      </c>
      <c r="J216" s="155" t="s">
        <v>10449</v>
      </c>
      <c r="K216" s="2" t="s">
        <v>10199</v>
      </c>
    </row>
    <row r="217" spans="1:11" s="2" customFormat="1" x14ac:dyDescent="0.25">
      <c r="A217" s="114" t="s">
        <v>10450</v>
      </c>
      <c r="B217" s="4" t="s">
        <v>10451</v>
      </c>
      <c r="C217" s="113" t="s">
        <v>4</v>
      </c>
      <c r="D217" s="155" t="s">
        <v>9861</v>
      </c>
      <c r="E217" s="159">
        <v>0</v>
      </c>
      <c r="F217" s="157" t="s">
        <v>10452</v>
      </c>
      <c r="G217" s="155" t="s">
        <v>10451</v>
      </c>
      <c r="H217" s="113" t="s">
        <v>9767</v>
      </c>
      <c r="I217" s="4" t="s">
        <v>10451</v>
      </c>
      <c r="J217" s="155" t="s">
        <v>10452</v>
      </c>
      <c r="K217" s="2" t="s">
        <v>10533</v>
      </c>
    </row>
    <row r="218" spans="1:11" s="2" customFormat="1" x14ac:dyDescent="0.25">
      <c r="A218" s="114" t="s">
        <v>10453</v>
      </c>
      <c r="B218" s="4" t="s">
        <v>10454</v>
      </c>
      <c r="C218" s="113" t="s">
        <v>15363</v>
      </c>
      <c r="D218" s="155" t="s">
        <v>9957</v>
      </c>
      <c r="E218" s="159">
        <v>601</v>
      </c>
      <c r="F218" s="157" t="s">
        <v>10455</v>
      </c>
      <c r="G218" s="155" t="s">
        <v>10454</v>
      </c>
      <c r="H218" s="113" t="s">
        <v>9767</v>
      </c>
      <c r="I218" s="4" t="s">
        <v>10454</v>
      </c>
      <c r="J218" s="155" t="s">
        <v>10455</v>
      </c>
      <c r="K218" s="2" t="s">
        <v>11007</v>
      </c>
    </row>
    <row r="219" spans="1:11" s="2" customFormat="1" x14ac:dyDescent="0.25">
      <c r="A219" s="114" t="s">
        <v>10456</v>
      </c>
      <c r="B219" s="4" t="s">
        <v>10457</v>
      </c>
      <c r="C219" s="113" t="s">
        <v>4</v>
      </c>
      <c r="D219" s="155" t="s">
        <v>10458</v>
      </c>
      <c r="E219" s="159">
        <v>128</v>
      </c>
      <c r="F219" s="157" t="s">
        <v>10459</v>
      </c>
      <c r="G219" s="155" t="s">
        <v>10457</v>
      </c>
      <c r="H219" s="113" t="s">
        <v>9767</v>
      </c>
      <c r="I219" s="4" t="s">
        <v>10457</v>
      </c>
      <c r="J219" s="155" t="s">
        <v>10459</v>
      </c>
      <c r="K219" s="2" t="s">
        <v>10574</v>
      </c>
    </row>
    <row r="220" spans="1:11" s="2" customFormat="1" x14ac:dyDescent="0.25">
      <c r="A220" s="114" t="s">
        <v>10460</v>
      </c>
      <c r="B220" s="4" t="s">
        <v>10461</v>
      </c>
      <c r="C220" s="113" t="s">
        <v>4</v>
      </c>
      <c r="D220" s="155" t="s">
        <v>10462</v>
      </c>
      <c r="E220" s="159">
        <v>248</v>
      </c>
      <c r="F220" s="157" t="s">
        <v>10464</v>
      </c>
      <c r="G220" s="155" t="s">
        <v>10463</v>
      </c>
      <c r="H220" s="113" t="s">
        <v>9767</v>
      </c>
      <c r="I220" s="4" t="s">
        <v>10461</v>
      </c>
      <c r="J220" s="155" t="s">
        <v>10464</v>
      </c>
      <c r="K220" s="2" t="s">
        <v>10491</v>
      </c>
    </row>
    <row r="221" spans="1:11" s="2" customFormat="1" x14ac:dyDescent="0.25">
      <c r="A221" s="114" t="s">
        <v>10465</v>
      </c>
      <c r="B221" s="4" t="s">
        <v>10466</v>
      </c>
      <c r="C221" s="113" t="s">
        <v>4</v>
      </c>
      <c r="D221" s="155" t="s">
        <v>10467</v>
      </c>
      <c r="E221" s="159">
        <v>250</v>
      </c>
      <c r="F221" s="157" t="s">
        <v>10469</v>
      </c>
      <c r="G221" s="155" t="s">
        <v>10468</v>
      </c>
      <c r="H221" s="113" t="s">
        <v>9767</v>
      </c>
      <c r="I221" s="4" t="s">
        <v>10466</v>
      </c>
      <c r="J221" s="155" t="s">
        <v>10469</v>
      </c>
      <c r="K221" s="2" t="s">
        <v>10481</v>
      </c>
    </row>
    <row r="222" spans="1:11" s="2" customFormat="1" x14ac:dyDescent="0.25">
      <c r="A222" s="114" t="s">
        <v>10470</v>
      </c>
      <c r="B222" s="4" t="s">
        <v>10471</v>
      </c>
      <c r="C222" s="113" t="s">
        <v>4</v>
      </c>
      <c r="D222" s="155" t="s">
        <v>10472</v>
      </c>
      <c r="E222" s="159">
        <v>323</v>
      </c>
      <c r="F222" s="157" t="s">
        <v>10474</v>
      </c>
      <c r="G222" s="155" t="s">
        <v>10473</v>
      </c>
      <c r="H222" s="113" t="s">
        <v>9767</v>
      </c>
      <c r="I222" s="4" t="s">
        <v>10471</v>
      </c>
      <c r="J222" s="155" t="s">
        <v>10474</v>
      </c>
      <c r="K222" s="2" t="s">
        <v>10533</v>
      </c>
    </row>
    <row r="223" spans="1:11" s="2" customFormat="1" x14ac:dyDescent="0.25">
      <c r="A223" s="114" t="s">
        <v>10475</v>
      </c>
      <c r="B223" s="4" t="s">
        <v>10476</v>
      </c>
      <c r="C223" s="113" t="s">
        <v>15363</v>
      </c>
      <c r="D223" s="155" t="s">
        <v>10093</v>
      </c>
      <c r="E223" s="159">
        <v>5</v>
      </c>
      <c r="F223" s="157" t="s">
        <v>10477</v>
      </c>
      <c r="G223" s="155" t="s">
        <v>10476</v>
      </c>
      <c r="H223" s="113" t="s">
        <v>9767</v>
      </c>
      <c r="I223" s="4" t="s">
        <v>10476</v>
      </c>
      <c r="J223" s="155" t="s">
        <v>10477</v>
      </c>
      <c r="K223" s="2" t="s">
        <v>10476</v>
      </c>
    </row>
    <row r="224" spans="1:11" s="2" customFormat="1" x14ac:dyDescent="0.25">
      <c r="A224" s="114" t="s">
        <v>10478</v>
      </c>
      <c r="B224" s="4" t="s">
        <v>10479</v>
      </c>
      <c r="C224" s="113" t="s">
        <v>4</v>
      </c>
      <c r="D224" s="155" t="s">
        <v>10480</v>
      </c>
      <c r="E224" s="159">
        <v>573</v>
      </c>
      <c r="F224" s="157" t="s">
        <v>10482</v>
      </c>
      <c r="G224" s="155" t="s">
        <v>10481</v>
      </c>
      <c r="H224" s="113" t="s">
        <v>9767</v>
      </c>
      <c r="I224" s="4" t="s">
        <v>10479</v>
      </c>
      <c r="J224" s="155" t="s">
        <v>10482</v>
      </c>
      <c r="K224" s="2" t="s">
        <v>10481</v>
      </c>
    </row>
    <row r="225" spans="1:11" s="2" customFormat="1" x14ac:dyDescent="0.25">
      <c r="A225" s="114" t="s">
        <v>10483</v>
      </c>
      <c r="B225" s="4" t="s">
        <v>10484</v>
      </c>
      <c r="C225" s="113" t="s">
        <v>15363</v>
      </c>
      <c r="D225" s="155" t="s">
        <v>10485</v>
      </c>
      <c r="E225" s="159">
        <v>98</v>
      </c>
      <c r="F225" s="157" t="s">
        <v>10486</v>
      </c>
      <c r="G225" s="155" t="s">
        <v>10484</v>
      </c>
      <c r="H225" s="113" t="s">
        <v>9767</v>
      </c>
      <c r="I225" s="4" t="s">
        <v>10484</v>
      </c>
      <c r="J225" s="155" t="s">
        <v>10486</v>
      </c>
      <c r="K225" s="2" t="s">
        <v>10484</v>
      </c>
    </row>
    <row r="226" spans="1:11" s="2" customFormat="1" x14ac:dyDescent="0.25">
      <c r="A226" s="114" t="s">
        <v>10487</v>
      </c>
      <c r="B226" s="4" t="s">
        <v>10488</v>
      </c>
      <c r="C226" s="113" t="s">
        <v>15363</v>
      </c>
      <c r="D226" s="155" t="s">
        <v>9912</v>
      </c>
      <c r="E226" s="159">
        <v>464</v>
      </c>
      <c r="F226" s="157" t="s">
        <v>10489</v>
      </c>
      <c r="G226" s="155" t="s">
        <v>10488</v>
      </c>
      <c r="H226" s="113" t="s">
        <v>9767</v>
      </c>
      <c r="I226" s="4" t="s">
        <v>10488</v>
      </c>
      <c r="J226" s="155" t="s">
        <v>10489</v>
      </c>
      <c r="K226" s="2" t="s">
        <v>15389</v>
      </c>
    </row>
    <row r="227" spans="1:11" s="2" customFormat="1" x14ac:dyDescent="0.25">
      <c r="A227" s="114" t="s">
        <v>10490</v>
      </c>
      <c r="B227" s="4" t="s">
        <v>10491</v>
      </c>
      <c r="C227" s="113" t="s">
        <v>15363</v>
      </c>
      <c r="D227" s="155" t="s">
        <v>10492</v>
      </c>
      <c r="E227" s="159">
        <v>571</v>
      </c>
      <c r="F227" s="157" t="s">
        <v>10493</v>
      </c>
      <c r="G227" s="155" t="s">
        <v>10491</v>
      </c>
      <c r="H227" s="113" t="s">
        <v>9767</v>
      </c>
      <c r="I227" s="4" t="s">
        <v>10491</v>
      </c>
      <c r="J227" s="155" t="s">
        <v>10493</v>
      </c>
      <c r="K227" s="2" t="s">
        <v>10491</v>
      </c>
    </row>
    <row r="228" spans="1:11" s="2" customFormat="1" x14ac:dyDescent="0.25">
      <c r="A228" s="114" t="s">
        <v>10494</v>
      </c>
      <c r="B228" s="4" t="s">
        <v>10495</v>
      </c>
      <c r="C228" s="113" t="s">
        <v>4</v>
      </c>
      <c r="D228" s="155" t="s">
        <v>10496</v>
      </c>
      <c r="E228" s="159">
        <v>2015</v>
      </c>
      <c r="F228" s="157" t="s">
        <v>10497</v>
      </c>
      <c r="G228" s="155" t="s">
        <v>10495</v>
      </c>
      <c r="H228" s="113" t="s">
        <v>9767</v>
      </c>
      <c r="I228" s="4" t="s">
        <v>10495</v>
      </c>
      <c r="J228" s="155" t="s">
        <v>10497</v>
      </c>
      <c r="K228" s="2" t="s">
        <v>10001</v>
      </c>
    </row>
    <row r="229" spans="1:11" s="2" customFormat="1" x14ac:dyDescent="0.25">
      <c r="A229" s="114" t="s">
        <v>10498</v>
      </c>
      <c r="B229" s="4" t="s">
        <v>10499</v>
      </c>
      <c r="C229" s="113" t="s">
        <v>4</v>
      </c>
      <c r="D229" s="155" t="s">
        <v>10500</v>
      </c>
      <c r="E229" s="159">
        <v>0</v>
      </c>
      <c r="F229" s="157" t="s">
        <v>10501</v>
      </c>
      <c r="G229" s="155" t="s">
        <v>10499</v>
      </c>
      <c r="H229" s="113" t="s">
        <v>9767</v>
      </c>
      <c r="I229" s="4" t="s">
        <v>10499</v>
      </c>
      <c r="J229" s="155" t="s">
        <v>10501</v>
      </c>
      <c r="K229" s="2" t="s">
        <v>10356</v>
      </c>
    </row>
    <row r="230" spans="1:11" s="2" customFormat="1" x14ac:dyDescent="0.25">
      <c r="A230" s="114" t="s">
        <v>10502</v>
      </c>
      <c r="B230" s="4" t="s">
        <v>10503</v>
      </c>
      <c r="C230" s="113" t="s">
        <v>4</v>
      </c>
      <c r="D230" s="155" t="s">
        <v>10504</v>
      </c>
      <c r="E230" s="159">
        <v>395</v>
      </c>
      <c r="F230" s="157" t="s">
        <v>10505</v>
      </c>
      <c r="G230" s="155" t="s">
        <v>10503</v>
      </c>
      <c r="H230" s="113" t="s">
        <v>9767</v>
      </c>
      <c r="I230" s="4" t="s">
        <v>10503</v>
      </c>
      <c r="J230" s="155" t="s">
        <v>10505</v>
      </c>
      <c r="K230" s="2" t="s">
        <v>10533</v>
      </c>
    </row>
    <row r="231" spans="1:11" s="2" customFormat="1" x14ac:dyDescent="0.25">
      <c r="A231" s="114" t="s">
        <v>10506</v>
      </c>
      <c r="B231" s="4" t="s">
        <v>10507</v>
      </c>
      <c r="C231" s="113" t="s">
        <v>4</v>
      </c>
      <c r="D231" s="155" t="s">
        <v>10508</v>
      </c>
      <c r="E231" s="159">
        <v>53</v>
      </c>
      <c r="F231" s="157" t="s">
        <v>10509</v>
      </c>
      <c r="G231" s="155" t="s">
        <v>10507</v>
      </c>
      <c r="H231" s="113" t="s">
        <v>9767</v>
      </c>
      <c r="I231" s="4" t="s">
        <v>10507</v>
      </c>
      <c r="J231" s="155" t="s">
        <v>10509</v>
      </c>
      <c r="K231" s="2" t="s">
        <v>10476</v>
      </c>
    </row>
    <row r="232" spans="1:11" s="2" customFormat="1" x14ac:dyDescent="0.25">
      <c r="A232" s="114" t="s">
        <v>10510</v>
      </c>
      <c r="B232" s="4" t="s">
        <v>10511</v>
      </c>
      <c r="C232" s="113" t="s">
        <v>4</v>
      </c>
      <c r="D232" s="155" t="s">
        <v>10512</v>
      </c>
      <c r="E232" s="159">
        <v>234</v>
      </c>
      <c r="F232" s="157" t="s">
        <v>10514</v>
      </c>
      <c r="G232" s="155" t="s">
        <v>10513</v>
      </c>
      <c r="H232" s="113" t="s">
        <v>9767</v>
      </c>
      <c r="I232" s="4" t="s">
        <v>10511</v>
      </c>
      <c r="J232" s="155" t="s">
        <v>10514</v>
      </c>
      <c r="K232" s="2" t="s">
        <v>9887</v>
      </c>
    </row>
    <row r="233" spans="1:11" s="2" customFormat="1" x14ac:dyDescent="0.25">
      <c r="A233" s="114" t="s">
        <v>10515</v>
      </c>
      <c r="B233" s="4" t="s">
        <v>9810</v>
      </c>
      <c r="C233" s="113" t="s">
        <v>15363</v>
      </c>
      <c r="D233" s="155" t="s">
        <v>10115</v>
      </c>
      <c r="E233" s="159">
        <v>794</v>
      </c>
      <c r="F233" s="157" t="s">
        <v>10516</v>
      </c>
      <c r="G233" s="155" t="s">
        <v>9810</v>
      </c>
      <c r="H233" s="113" t="s">
        <v>9767</v>
      </c>
      <c r="I233" s="4" t="s">
        <v>9810</v>
      </c>
      <c r="J233" s="155" t="s">
        <v>10516</v>
      </c>
      <c r="K233" s="2" t="s">
        <v>9810</v>
      </c>
    </row>
    <row r="234" spans="1:11" s="2" customFormat="1" x14ac:dyDescent="0.25">
      <c r="A234" s="114" t="s">
        <v>10517</v>
      </c>
      <c r="B234" s="4" t="s">
        <v>10518</v>
      </c>
      <c r="C234" s="113" t="s">
        <v>4</v>
      </c>
      <c r="D234" s="155" t="s">
        <v>10519</v>
      </c>
      <c r="E234" s="159">
        <v>589</v>
      </c>
      <c r="F234" s="157" t="s">
        <v>10520</v>
      </c>
      <c r="G234" s="155" t="s">
        <v>10518</v>
      </c>
      <c r="H234" s="113" t="s">
        <v>9767</v>
      </c>
      <c r="I234" s="4" t="s">
        <v>10518</v>
      </c>
      <c r="J234" s="155" t="s">
        <v>10520</v>
      </c>
      <c r="K234" s="2" t="s">
        <v>10491</v>
      </c>
    </row>
    <row r="235" spans="1:11" s="2" customFormat="1" x14ac:dyDescent="0.25">
      <c r="A235" s="114" t="s">
        <v>10521</v>
      </c>
      <c r="B235" s="4" t="s">
        <v>10522</v>
      </c>
      <c r="C235" s="113" t="s">
        <v>4</v>
      </c>
      <c r="D235" s="155" t="s">
        <v>10523</v>
      </c>
      <c r="E235" s="159">
        <v>176</v>
      </c>
      <c r="F235" s="157" t="s">
        <v>10524</v>
      </c>
      <c r="G235" s="155" t="s">
        <v>10522</v>
      </c>
      <c r="H235" s="113" t="s">
        <v>9767</v>
      </c>
      <c r="I235" s="4" t="s">
        <v>10522</v>
      </c>
      <c r="J235" s="155" t="s">
        <v>10524</v>
      </c>
      <c r="K235" s="2" t="s">
        <v>10269</v>
      </c>
    </row>
    <row r="236" spans="1:11" s="2" customFormat="1" x14ac:dyDescent="0.25">
      <c r="A236" s="114" t="s">
        <v>10525</v>
      </c>
      <c r="B236" s="4" t="s">
        <v>10526</v>
      </c>
      <c r="C236" s="113" t="s">
        <v>4</v>
      </c>
      <c r="D236" s="155" t="s">
        <v>10527</v>
      </c>
      <c r="E236" s="159">
        <v>635</v>
      </c>
      <c r="F236" s="157" t="s">
        <v>10528</v>
      </c>
      <c r="G236" s="155" t="s">
        <v>10526</v>
      </c>
      <c r="H236" s="113" t="s">
        <v>9767</v>
      </c>
      <c r="I236" s="4" t="s">
        <v>10526</v>
      </c>
      <c r="J236" s="155" t="s">
        <v>10528</v>
      </c>
      <c r="K236" s="2" t="s">
        <v>10484</v>
      </c>
    </row>
    <row r="237" spans="1:11" s="2" customFormat="1" x14ac:dyDescent="0.25">
      <c r="A237" s="114" t="s">
        <v>10529</v>
      </c>
      <c r="B237" s="4" t="s">
        <v>10530</v>
      </c>
      <c r="C237" s="113" t="s">
        <v>4</v>
      </c>
      <c r="D237" s="155" t="s">
        <v>10059</v>
      </c>
      <c r="E237" s="159">
        <v>401</v>
      </c>
      <c r="F237" s="157" t="s">
        <v>10531</v>
      </c>
      <c r="G237" s="155" t="s">
        <v>10530</v>
      </c>
      <c r="H237" s="113" t="s">
        <v>9767</v>
      </c>
      <c r="I237" s="4" t="s">
        <v>10530</v>
      </c>
      <c r="J237" s="155" t="s">
        <v>10531</v>
      </c>
      <c r="K237" s="2" t="s">
        <v>9887</v>
      </c>
    </row>
    <row r="238" spans="1:11" s="2" customFormat="1" x14ac:dyDescent="0.25">
      <c r="A238" s="114" t="s">
        <v>10532</v>
      </c>
      <c r="B238" s="4" t="s">
        <v>10533</v>
      </c>
      <c r="C238" s="113" t="s">
        <v>15363</v>
      </c>
      <c r="D238" s="155" t="s">
        <v>10534</v>
      </c>
      <c r="E238" s="159">
        <v>345</v>
      </c>
      <c r="F238" s="157" t="s">
        <v>10535</v>
      </c>
      <c r="G238" s="155" t="s">
        <v>10533</v>
      </c>
      <c r="H238" s="113" t="s">
        <v>9767</v>
      </c>
      <c r="I238" s="4" t="s">
        <v>10533</v>
      </c>
      <c r="J238" s="155" t="s">
        <v>10535</v>
      </c>
      <c r="K238" s="2" t="s">
        <v>10533</v>
      </c>
    </row>
    <row r="239" spans="1:11" s="2" customFormat="1" x14ac:dyDescent="0.25">
      <c r="A239" s="114" t="s">
        <v>10536</v>
      </c>
      <c r="B239" s="4" t="s">
        <v>10537</v>
      </c>
      <c r="C239" s="113" t="s">
        <v>15363</v>
      </c>
      <c r="D239" s="155" t="s">
        <v>9764</v>
      </c>
      <c r="E239" s="159">
        <v>197</v>
      </c>
      <c r="F239" s="157" t="s">
        <v>10538</v>
      </c>
      <c r="G239" s="155" t="s">
        <v>10537</v>
      </c>
      <c r="H239" s="113" t="s">
        <v>9767</v>
      </c>
      <c r="I239" s="4" t="s">
        <v>10537</v>
      </c>
      <c r="J239" s="155" t="s">
        <v>10538</v>
      </c>
      <c r="K239" s="2" t="s">
        <v>10537</v>
      </c>
    </row>
    <row r="240" spans="1:11" s="2" customFormat="1" x14ac:dyDescent="0.25">
      <c r="A240" s="114" t="s">
        <v>10539</v>
      </c>
      <c r="B240" s="4" t="s">
        <v>10540</v>
      </c>
      <c r="C240" s="113" t="s">
        <v>4</v>
      </c>
      <c r="D240" s="155" t="s">
        <v>10541</v>
      </c>
      <c r="E240" s="159">
        <v>624</v>
      </c>
      <c r="F240" s="157" t="s">
        <v>10542</v>
      </c>
      <c r="G240" s="155" t="s">
        <v>10540</v>
      </c>
      <c r="H240" s="113" t="s">
        <v>9767</v>
      </c>
      <c r="I240" s="4" t="s">
        <v>10540</v>
      </c>
      <c r="J240" s="155" t="s">
        <v>10542</v>
      </c>
      <c r="K240" s="2" t="s">
        <v>10436</v>
      </c>
    </row>
    <row r="241" spans="1:11" s="2" customFormat="1" x14ac:dyDescent="0.25">
      <c r="A241" s="114" t="s">
        <v>10543</v>
      </c>
      <c r="B241" s="4" t="s">
        <v>10544</v>
      </c>
      <c r="C241" s="113" t="s">
        <v>4</v>
      </c>
      <c r="D241" s="155" t="s">
        <v>10545</v>
      </c>
      <c r="E241" s="159">
        <v>214</v>
      </c>
      <c r="F241" s="157" t="s">
        <v>10546</v>
      </c>
      <c r="G241" s="155" t="s">
        <v>10544</v>
      </c>
      <c r="H241" s="113" t="s">
        <v>9767</v>
      </c>
      <c r="I241" s="4" t="s">
        <v>10544</v>
      </c>
      <c r="J241" s="155" t="s">
        <v>10546</v>
      </c>
      <c r="K241" s="2" t="s">
        <v>10347</v>
      </c>
    </row>
    <row r="242" spans="1:11" s="2" customFormat="1" x14ac:dyDescent="0.25">
      <c r="A242" s="114" t="s">
        <v>10547</v>
      </c>
      <c r="B242" s="4" t="s">
        <v>10548</v>
      </c>
      <c r="C242" s="113" t="s">
        <v>4</v>
      </c>
      <c r="D242" s="155" t="s">
        <v>10549</v>
      </c>
      <c r="E242" s="159">
        <v>3</v>
      </c>
      <c r="F242" s="157" t="s">
        <v>10550</v>
      </c>
      <c r="G242" s="155" t="s">
        <v>10548</v>
      </c>
      <c r="H242" s="113" t="s">
        <v>9767</v>
      </c>
      <c r="I242" s="4" t="s">
        <v>10548</v>
      </c>
      <c r="J242" s="155" t="s">
        <v>10550</v>
      </c>
      <c r="K242" s="2" t="s">
        <v>10570</v>
      </c>
    </row>
    <row r="243" spans="1:11" s="2" customFormat="1" x14ac:dyDescent="0.25">
      <c r="A243" s="114" t="s">
        <v>10551</v>
      </c>
      <c r="B243" s="4" t="s">
        <v>10552</v>
      </c>
      <c r="C243" s="113" t="s">
        <v>4</v>
      </c>
      <c r="D243" s="155" t="s">
        <v>10553</v>
      </c>
      <c r="E243" s="159">
        <v>517</v>
      </c>
      <c r="F243" s="157" t="s">
        <v>10554</v>
      </c>
      <c r="G243" s="155" t="s">
        <v>10552</v>
      </c>
      <c r="H243" s="113" t="s">
        <v>9767</v>
      </c>
      <c r="I243" s="4" t="s">
        <v>10552</v>
      </c>
      <c r="J243" s="155" t="s">
        <v>10554</v>
      </c>
      <c r="K243" s="2" t="s">
        <v>9810</v>
      </c>
    </row>
    <row r="244" spans="1:11" s="2" customFormat="1" x14ac:dyDescent="0.25">
      <c r="A244" s="114" t="s">
        <v>10555</v>
      </c>
      <c r="B244" s="4" t="s">
        <v>10556</v>
      </c>
      <c r="C244" s="113" t="s">
        <v>4</v>
      </c>
      <c r="D244" s="155" t="s">
        <v>10557</v>
      </c>
      <c r="E244" s="159">
        <v>146</v>
      </c>
      <c r="F244" s="157" t="s">
        <v>10558</v>
      </c>
      <c r="G244" s="155" t="s">
        <v>10556</v>
      </c>
      <c r="H244" s="113" t="s">
        <v>9767</v>
      </c>
      <c r="I244" s="4" t="s">
        <v>10556</v>
      </c>
      <c r="J244" s="155" t="s">
        <v>10558</v>
      </c>
      <c r="K244" s="2" t="s">
        <v>10567</v>
      </c>
    </row>
    <row r="245" spans="1:11" s="2" customFormat="1" x14ac:dyDescent="0.25">
      <c r="A245" s="114" t="s">
        <v>10559</v>
      </c>
      <c r="B245" s="4" t="s">
        <v>10560</v>
      </c>
      <c r="C245" s="113" t="s">
        <v>4</v>
      </c>
      <c r="D245" s="155" t="s">
        <v>10199</v>
      </c>
      <c r="E245" s="159">
        <v>156</v>
      </c>
      <c r="F245" s="157" t="s">
        <v>10561</v>
      </c>
      <c r="G245" s="155" t="s">
        <v>10560</v>
      </c>
      <c r="H245" s="113" t="s">
        <v>9767</v>
      </c>
      <c r="I245" s="4" t="s">
        <v>10560</v>
      </c>
      <c r="J245" s="155" t="s">
        <v>10561</v>
      </c>
      <c r="K245" s="2" t="s">
        <v>10269</v>
      </c>
    </row>
    <row r="246" spans="1:11" s="2" customFormat="1" x14ac:dyDescent="0.25">
      <c r="A246" s="114" t="s">
        <v>10562</v>
      </c>
      <c r="B246" s="4" t="s">
        <v>10563</v>
      </c>
      <c r="C246" s="113" t="s">
        <v>4</v>
      </c>
      <c r="D246" s="155" t="s">
        <v>10564</v>
      </c>
      <c r="E246" s="159">
        <v>1340</v>
      </c>
      <c r="F246" s="157" t="s">
        <v>10565</v>
      </c>
      <c r="G246" s="155" t="s">
        <v>10563</v>
      </c>
      <c r="H246" s="113" t="s">
        <v>9767</v>
      </c>
      <c r="I246" s="4" t="s">
        <v>10563</v>
      </c>
      <c r="J246" s="155" t="s">
        <v>10565</v>
      </c>
      <c r="K246" s="2" t="s">
        <v>10484</v>
      </c>
    </row>
    <row r="247" spans="1:11" s="2" customFormat="1" x14ac:dyDescent="0.25">
      <c r="A247" s="114" t="s">
        <v>10566</v>
      </c>
      <c r="B247" s="4" t="s">
        <v>10567</v>
      </c>
      <c r="C247" s="113" t="s">
        <v>15363</v>
      </c>
      <c r="D247" s="155" t="s">
        <v>10485</v>
      </c>
      <c r="E247" s="159">
        <v>597</v>
      </c>
      <c r="F247" s="157" t="s">
        <v>10568</v>
      </c>
      <c r="G247" s="155" t="s">
        <v>10567</v>
      </c>
      <c r="H247" s="113" t="s">
        <v>9767</v>
      </c>
      <c r="I247" s="4" t="s">
        <v>10567</v>
      </c>
      <c r="J247" s="155" t="s">
        <v>10568</v>
      </c>
      <c r="K247" s="2" t="s">
        <v>10567</v>
      </c>
    </row>
    <row r="248" spans="1:11" s="2" customFormat="1" x14ac:dyDescent="0.25">
      <c r="A248" s="114" t="s">
        <v>10569</v>
      </c>
      <c r="B248" s="4" t="s">
        <v>10570</v>
      </c>
      <c r="C248" s="113" t="s">
        <v>15363</v>
      </c>
      <c r="D248" s="155" t="s">
        <v>10571</v>
      </c>
      <c r="E248" s="159">
        <v>5</v>
      </c>
      <c r="F248" s="157" t="s">
        <v>10572</v>
      </c>
      <c r="G248" s="155" t="s">
        <v>10570</v>
      </c>
      <c r="H248" s="113" t="s">
        <v>9767</v>
      </c>
      <c r="I248" s="4" t="s">
        <v>10570</v>
      </c>
      <c r="J248" s="155" t="s">
        <v>10572</v>
      </c>
      <c r="K248" s="2" t="s">
        <v>10570</v>
      </c>
    </row>
    <row r="249" spans="1:11" s="2" customFormat="1" x14ac:dyDescent="0.25">
      <c r="A249" s="114" t="s">
        <v>10573</v>
      </c>
      <c r="B249" s="4" t="s">
        <v>10574</v>
      </c>
      <c r="C249" s="113" t="s">
        <v>15363</v>
      </c>
      <c r="D249" s="155" t="s">
        <v>10043</v>
      </c>
      <c r="E249" s="159">
        <v>86</v>
      </c>
      <c r="F249" s="157" t="s">
        <v>10575</v>
      </c>
      <c r="G249" s="155" t="s">
        <v>10574</v>
      </c>
      <c r="H249" s="113" t="s">
        <v>9767</v>
      </c>
      <c r="I249" s="4" t="s">
        <v>10574</v>
      </c>
      <c r="J249" s="155" t="s">
        <v>10575</v>
      </c>
      <c r="K249" s="2" t="s">
        <v>10574</v>
      </c>
    </row>
    <row r="250" spans="1:11" s="2" customFormat="1" x14ac:dyDescent="0.25">
      <c r="A250" s="114" t="s">
        <v>10576</v>
      </c>
      <c r="B250" s="4" t="s">
        <v>10577</v>
      </c>
      <c r="C250" s="113" t="s">
        <v>15363</v>
      </c>
      <c r="D250" s="155" t="s">
        <v>10578</v>
      </c>
      <c r="E250" s="159">
        <v>501</v>
      </c>
      <c r="F250" s="157" t="s">
        <v>10579</v>
      </c>
      <c r="G250" s="155" t="s">
        <v>10577</v>
      </c>
      <c r="H250" s="113" t="s">
        <v>9767</v>
      </c>
      <c r="I250" s="4" t="s">
        <v>10577</v>
      </c>
      <c r="J250" s="155" t="s">
        <v>10579</v>
      </c>
      <c r="K250" s="2" t="s">
        <v>10577</v>
      </c>
    </row>
    <row r="251" spans="1:11" s="2" customFormat="1" x14ac:dyDescent="0.25">
      <c r="A251" s="114" t="s">
        <v>10580</v>
      </c>
      <c r="B251" s="4" t="s">
        <v>10581</v>
      </c>
      <c r="C251" s="113" t="s">
        <v>4</v>
      </c>
      <c r="D251" s="155" t="s">
        <v>10104</v>
      </c>
      <c r="E251" s="159">
        <v>0</v>
      </c>
      <c r="F251" s="157" t="s">
        <v>10582</v>
      </c>
      <c r="G251" s="155" t="s">
        <v>10581</v>
      </c>
      <c r="H251" s="113" t="s">
        <v>9767</v>
      </c>
      <c r="I251" s="4" t="s">
        <v>10581</v>
      </c>
      <c r="J251" s="155" t="s">
        <v>10582</v>
      </c>
      <c r="K251" s="2" t="s">
        <v>10436</v>
      </c>
    </row>
    <row r="252" spans="1:11" s="2" customFormat="1" x14ac:dyDescent="0.25">
      <c r="A252" s="114" t="s">
        <v>10583</v>
      </c>
      <c r="B252" s="4" t="s">
        <v>10388</v>
      </c>
      <c r="C252" s="113" t="s">
        <v>15363</v>
      </c>
      <c r="D252" s="155" t="s">
        <v>9764</v>
      </c>
      <c r="E252" s="159">
        <v>213</v>
      </c>
      <c r="F252" s="157" t="s">
        <v>10584</v>
      </c>
      <c r="G252" s="155" t="s">
        <v>10388</v>
      </c>
      <c r="H252" s="113" t="s">
        <v>9767</v>
      </c>
      <c r="I252" s="4" t="s">
        <v>10388</v>
      </c>
      <c r="J252" s="155" t="s">
        <v>10584</v>
      </c>
      <c r="K252" s="2" t="s">
        <v>10388</v>
      </c>
    </row>
    <row r="253" spans="1:11" s="2" customFormat="1" x14ac:dyDescent="0.25">
      <c r="A253" s="114" t="s">
        <v>10585</v>
      </c>
      <c r="B253" s="4" t="s">
        <v>10586</v>
      </c>
      <c r="C253" s="113" t="s">
        <v>4</v>
      </c>
      <c r="D253" s="155" t="s">
        <v>10587</v>
      </c>
      <c r="E253" s="159">
        <v>268</v>
      </c>
      <c r="F253" s="157" t="s">
        <v>10588</v>
      </c>
      <c r="G253" s="155" t="s">
        <v>10586</v>
      </c>
      <c r="H253" s="113" t="s">
        <v>9767</v>
      </c>
      <c r="I253" s="4" t="s">
        <v>10586</v>
      </c>
      <c r="J253" s="155" t="s">
        <v>10588</v>
      </c>
      <c r="K253" s="2" t="s">
        <v>10365</v>
      </c>
    </row>
    <row r="254" spans="1:11" s="4" customFormat="1" x14ac:dyDescent="0.25">
      <c r="A254" s="114" t="s">
        <v>10589</v>
      </c>
      <c r="B254" s="4" t="s">
        <v>10590</v>
      </c>
      <c r="C254" s="113" t="s">
        <v>4</v>
      </c>
      <c r="D254" s="155" t="s">
        <v>10591</v>
      </c>
      <c r="E254" s="159">
        <v>757</v>
      </c>
      <c r="F254" s="157" t="s">
        <v>10592</v>
      </c>
      <c r="G254" s="155" t="s">
        <v>10590</v>
      </c>
      <c r="H254" s="113" t="s">
        <v>9767</v>
      </c>
      <c r="I254" s="4" t="s">
        <v>10590</v>
      </c>
      <c r="J254" s="155" t="s">
        <v>10592</v>
      </c>
      <c r="K254" s="4" t="s">
        <v>10491</v>
      </c>
    </row>
    <row r="255" spans="1:11" s="2" customFormat="1" x14ac:dyDescent="0.25">
      <c r="A255" s="114" t="s">
        <v>10593</v>
      </c>
      <c r="B255" s="4" t="s">
        <v>10594</v>
      </c>
      <c r="C255" s="113" t="s">
        <v>4</v>
      </c>
      <c r="D255" s="155" t="s">
        <v>10595</v>
      </c>
      <c r="E255" s="159">
        <v>48</v>
      </c>
      <c r="F255" s="157" t="s">
        <v>10596</v>
      </c>
      <c r="G255" s="155" t="s">
        <v>10594</v>
      </c>
      <c r="H255" s="113" t="s">
        <v>9767</v>
      </c>
      <c r="I255" s="4" t="s">
        <v>10594</v>
      </c>
      <c r="J255" s="155" t="s">
        <v>10596</v>
      </c>
      <c r="K255" s="2" t="s">
        <v>10598</v>
      </c>
    </row>
    <row r="256" spans="1:11" s="2" customFormat="1" x14ac:dyDescent="0.25">
      <c r="A256" s="114" t="s">
        <v>10597</v>
      </c>
      <c r="B256" s="4" t="s">
        <v>10598</v>
      </c>
      <c r="C256" s="113" t="s">
        <v>15363</v>
      </c>
      <c r="D256" s="155" t="s">
        <v>10599</v>
      </c>
      <c r="E256" s="159">
        <v>542</v>
      </c>
      <c r="F256" s="157" t="s">
        <v>10600</v>
      </c>
      <c r="G256" s="155" t="s">
        <v>10598</v>
      </c>
      <c r="H256" s="113" t="s">
        <v>9767</v>
      </c>
      <c r="I256" s="4" t="s">
        <v>10598</v>
      </c>
      <c r="J256" s="155" t="s">
        <v>10600</v>
      </c>
      <c r="K256" s="2" t="s">
        <v>10598</v>
      </c>
    </row>
    <row r="257" spans="1:11" s="2" customFormat="1" x14ac:dyDescent="0.25">
      <c r="A257" s="114" t="s">
        <v>10601</v>
      </c>
      <c r="B257" s="4" t="s">
        <v>10602</v>
      </c>
      <c r="C257" s="113" t="s">
        <v>4</v>
      </c>
      <c r="D257" s="155" t="s">
        <v>10181</v>
      </c>
      <c r="E257" s="159">
        <v>455</v>
      </c>
      <c r="F257" s="157" t="s">
        <v>10603</v>
      </c>
      <c r="G257" s="155" t="s">
        <v>10602</v>
      </c>
      <c r="H257" s="113" t="s">
        <v>9767</v>
      </c>
      <c r="I257" s="4" t="s">
        <v>10602</v>
      </c>
      <c r="J257" s="155" t="s">
        <v>10603</v>
      </c>
      <c r="K257" s="2" t="s">
        <v>10365</v>
      </c>
    </row>
    <row r="258" spans="1:11" s="2" customFormat="1" x14ac:dyDescent="0.25">
      <c r="A258" s="114" t="s">
        <v>10604</v>
      </c>
      <c r="B258" s="4" t="s">
        <v>10605</v>
      </c>
      <c r="C258" s="113" t="s">
        <v>15363</v>
      </c>
      <c r="D258" s="155" t="s">
        <v>9810</v>
      </c>
      <c r="E258" s="159">
        <v>649</v>
      </c>
      <c r="F258" s="157" t="s">
        <v>10606</v>
      </c>
      <c r="G258" s="155" t="s">
        <v>10605</v>
      </c>
      <c r="H258" s="113" t="s">
        <v>9767</v>
      </c>
      <c r="I258" s="4" t="s">
        <v>10605</v>
      </c>
      <c r="J258" s="155" t="s">
        <v>10606</v>
      </c>
      <c r="K258" s="2" t="s">
        <v>10605</v>
      </c>
    </row>
    <row r="259" spans="1:11" s="2" customFormat="1" x14ac:dyDescent="0.25">
      <c r="A259" s="114" t="s">
        <v>10607</v>
      </c>
      <c r="B259" s="4" t="s">
        <v>10608</v>
      </c>
      <c r="C259" s="113" t="s">
        <v>4</v>
      </c>
      <c r="D259" s="155" t="s">
        <v>10609</v>
      </c>
      <c r="E259" s="159">
        <v>299</v>
      </c>
      <c r="F259" s="157" t="s">
        <v>10610</v>
      </c>
      <c r="G259" s="155" t="s">
        <v>10608</v>
      </c>
      <c r="H259" s="113" t="s">
        <v>9767</v>
      </c>
      <c r="I259" s="4" t="s">
        <v>10608</v>
      </c>
      <c r="J259" s="155" t="s">
        <v>10610</v>
      </c>
      <c r="K259" s="2" t="s">
        <v>10347</v>
      </c>
    </row>
    <row r="260" spans="1:11" s="2" customFormat="1" x14ac:dyDescent="0.25">
      <c r="A260" s="114" t="s">
        <v>10611</v>
      </c>
      <c r="B260" s="4" t="s">
        <v>10612</v>
      </c>
      <c r="C260" s="113" t="s">
        <v>15363</v>
      </c>
      <c r="D260" s="155" t="s">
        <v>10613</v>
      </c>
      <c r="E260" s="159">
        <v>102</v>
      </c>
      <c r="F260" s="157" t="s">
        <v>10614</v>
      </c>
      <c r="G260" s="155" t="s">
        <v>10612</v>
      </c>
      <c r="H260" s="113" t="s">
        <v>9767</v>
      </c>
      <c r="I260" s="4" t="s">
        <v>10612</v>
      </c>
      <c r="J260" s="155" t="s">
        <v>10614</v>
      </c>
      <c r="K260" s="2" t="s">
        <v>10481</v>
      </c>
    </row>
    <row r="261" spans="1:11" s="2" customFormat="1" x14ac:dyDescent="0.25">
      <c r="A261" s="114" t="s">
        <v>10615</v>
      </c>
      <c r="B261" s="4" t="s">
        <v>9887</v>
      </c>
      <c r="C261" s="113" t="s">
        <v>15363</v>
      </c>
      <c r="D261" s="155" t="s">
        <v>10616</v>
      </c>
      <c r="E261" s="159">
        <v>825</v>
      </c>
      <c r="F261" s="157" t="s">
        <v>10617</v>
      </c>
      <c r="G261" s="155" t="s">
        <v>9887</v>
      </c>
      <c r="H261" s="113" t="s">
        <v>9767</v>
      </c>
      <c r="I261" s="4" t="s">
        <v>9887</v>
      </c>
      <c r="J261" s="155" t="s">
        <v>10617</v>
      </c>
      <c r="K261" s="2" t="s">
        <v>9887</v>
      </c>
    </row>
    <row r="262" spans="1:11" s="2" customFormat="1" x14ac:dyDescent="0.25">
      <c r="A262" s="114" t="s">
        <v>10618</v>
      </c>
      <c r="B262" s="4" t="s">
        <v>10619</v>
      </c>
      <c r="C262" s="113" t="s">
        <v>4</v>
      </c>
      <c r="D262" s="155" t="s">
        <v>10620</v>
      </c>
      <c r="E262" s="159">
        <v>396</v>
      </c>
      <c r="F262" s="157" t="s">
        <v>10621</v>
      </c>
      <c r="G262" s="155" t="s">
        <v>10619</v>
      </c>
      <c r="H262" s="113" t="s">
        <v>9767</v>
      </c>
      <c r="I262" s="4" t="s">
        <v>10619</v>
      </c>
      <c r="J262" s="155" t="s">
        <v>10621</v>
      </c>
      <c r="K262" s="2" t="s">
        <v>10375</v>
      </c>
    </row>
    <row r="263" spans="1:11" s="2" customFormat="1" x14ac:dyDescent="0.25">
      <c r="A263" s="114" t="s">
        <v>10622</v>
      </c>
      <c r="B263" s="4" t="s">
        <v>10623</v>
      </c>
      <c r="C263" s="113" t="s">
        <v>15363</v>
      </c>
      <c r="D263" s="155" t="s">
        <v>10624</v>
      </c>
      <c r="E263" s="159">
        <v>173</v>
      </c>
      <c r="F263" s="157" t="s">
        <v>10625</v>
      </c>
      <c r="G263" s="155" t="s">
        <v>10623</v>
      </c>
      <c r="H263" s="113" t="s">
        <v>9767</v>
      </c>
      <c r="I263" s="4" t="s">
        <v>10623</v>
      </c>
      <c r="J263" s="155" t="s">
        <v>10625</v>
      </c>
      <c r="K263" s="2" t="s">
        <v>10623</v>
      </c>
    </row>
    <row r="264" spans="1:11" s="2" customFormat="1" x14ac:dyDescent="0.25">
      <c r="A264" s="114" t="s">
        <v>10626</v>
      </c>
      <c r="B264" s="4" t="s">
        <v>10627</v>
      </c>
      <c r="C264" s="113" t="s">
        <v>4</v>
      </c>
      <c r="D264" s="155" t="s">
        <v>10628</v>
      </c>
      <c r="E264" s="159">
        <v>589</v>
      </c>
      <c r="F264" s="157" t="s">
        <v>10629</v>
      </c>
      <c r="G264" s="155" t="s">
        <v>10627</v>
      </c>
      <c r="H264" s="113" t="s">
        <v>9767</v>
      </c>
      <c r="I264" s="4" t="s">
        <v>10627</v>
      </c>
      <c r="J264" s="155" t="s">
        <v>10629</v>
      </c>
      <c r="K264" s="2" t="s">
        <v>10623</v>
      </c>
    </row>
    <row r="265" spans="1:11" s="2" customFormat="1" x14ac:dyDescent="0.25">
      <c r="A265" s="114" t="s">
        <v>10630</v>
      </c>
      <c r="B265" s="4" t="s">
        <v>9846</v>
      </c>
      <c r="C265" s="113" t="s">
        <v>4</v>
      </c>
      <c r="D265" s="155" t="s">
        <v>9819</v>
      </c>
      <c r="E265" s="159">
        <v>280</v>
      </c>
      <c r="F265" s="157" t="s">
        <v>10631</v>
      </c>
      <c r="G265" s="155" t="s">
        <v>9846</v>
      </c>
      <c r="H265" s="113" t="s">
        <v>9767</v>
      </c>
      <c r="I265" s="4" t="s">
        <v>9846</v>
      </c>
      <c r="J265" s="155" t="s">
        <v>10631</v>
      </c>
      <c r="K265" s="2" t="s">
        <v>10636</v>
      </c>
    </row>
    <row r="266" spans="1:11" s="2" customFormat="1" x14ac:dyDescent="0.25">
      <c r="A266" s="114" t="s">
        <v>10632</v>
      </c>
      <c r="B266" s="4" t="s">
        <v>10633</v>
      </c>
      <c r="C266" s="113" t="s">
        <v>15363</v>
      </c>
      <c r="D266" s="155" t="s">
        <v>9913</v>
      </c>
      <c r="E266" s="159">
        <v>42</v>
      </c>
      <c r="F266" s="157" t="s">
        <v>10634</v>
      </c>
      <c r="G266" s="155" t="s">
        <v>10633</v>
      </c>
      <c r="H266" s="113" t="s">
        <v>9767</v>
      </c>
      <c r="I266" s="4" t="s">
        <v>10633</v>
      </c>
      <c r="J266" s="155" t="s">
        <v>10634</v>
      </c>
      <c r="K266" s="2" t="s">
        <v>10633</v>
      </c>
    </row>
    <row r="267" spans="1:11" s="2" customFormat="1" x14ac:dyDescent="0.25">
      <c r="A267" s="114" t="s">
        <v>10635</v>
      </c>
      <c r="B267" s="4" t="s">
        <v>10636</v>
      </c>
      <c r="C267" s="113" t="s">
        <v>15363</v>
      </c>
      <c r="D267" s="155" t="s">
        <v>10637</v>
      </c>
      <c r="E267" s="159">
        <v>999</v>
      </c>
      <c r="F267" s="157" t="s">
        <v>10638</v>
      </c>
      <c r="G267" s="155" t="s">
        <v>10636</v>
      </c>
      <c r="H267" s="113" t="s">
        <v>9767</v>
      </c>
      <c r="I267" s="4" t="s">
        <v>10636</v>
      </c>
      <c r="J267" s="155" t="s">
        <v>10638</v>
      </c>
      <c r="K267" s="2" t="s">
        <v>10636</v>
      </c>
    </row>
    <row r="268" spans="1:11" s="2" customFormat="1" x14ac:dyDescent="0.25">
      <c r="A268" s="114" t="s">
        <v>10639</v>
      </c>
      <c r="B268" s="4" t="s">
        <v>10640</v>
      </c>
      <c r="C268" s="113" t="s">
        <v>15363</v>
      </c>
      <c r="D268" s="155" t="s">
        <v>9764</v>
      </c>
      <c r="E268" s="159">
        <v>274</v>
      </c>
      <c r="F268" s="157" t="s">
        <v>10641</v>
      </c>
      <c r="G268" s="155" t="s">
        <v>10640</v>
      </c>
      <c r="H268" s="113" t="s">
        <v>9767</v>
      </c>
      <c r="I268" s="4" t="s">
        <v>10640</v>
      </c>
      <c r="J268" s="155" t="s">
        <v>10641</v>
      </c>
      <c r="K268" s="2" t="s">
        <v>10640</v>
      </c>
    </row>
    <row r="269" spans="1:11" s="2" customFormat="1" x14ac:dyDescent="0.25">
      <c r="A269" s="114" t="s">
        <v>10642</v>
      </c>
      <c r="B269" s="4" t="s">
        <v>15359</v>
      </c>
      <c r="C269" s="113" t="s">
        <v>15363</v>
      </c>
      <c r="D269" s="155" t="s">
        <v>10181</v>
      </c>
      <c r="E269" s="159">
        <v>709</v>
      </c>
      <c r="F269" s="157" t="s">
        <v>10643</v>
      </c>
      <c r="G269" s="155" t="s">
        <v>15359</v>
      </c>
      <c r="H269" s="113" t="s">
        <v>9767</v>
      </c>
      <c r="I269" s="4" t="s">
        <v>15359</v>
      </c>
      <c r="J269" s="155" t="s">
        <v>10643</v>
      </c>
      <c r="K269" s="2" t="s">
        <v>15390</v>
      </c>
    </row>
    <row r="270" spans="1:11" s="2" customFormat="1" x14ac:dyDescent="0.25">
      <c r="A270" s="114" t="s">
        <v>10644</v>
      </c>
      <c r="B270" s="4" t="s">
        <v>10645</v>
      </c>
      <c r="C270" s="113" t="s">
        <v>15363</v>
      </c>
      <c r="D270" s="155" t="s">
        <v>10115</v>
      </c>
      <c r="E270" s="159">
        <v>272</v>
      </c>
      <c r="F270" s="157" t="s">
        <v>10647</v>
      </c>
      <c r="G270" s="155" t="s">
        <v>10646</v>
      </c>
      <c r="H270" s="113" t="s">
        <v>9767</v>
      </c>
      <c r="I270" s="4" t="s">
        <v>10645</v>
      </c>
      <c r="J270" s="155" t="s">
        <v>10647</v>
      </c>
      <c r="K270" s="2" t="s">
        <v>10646</v>
      </c>
    </row>
    <row r="271" spans="1:11" s="2" customFormat="1" x14ac:dyDescent="0.25">
      <c r="A271" s="114" t="s">
        <v>10648</v>
      </c>
      <c r="B271" s="4" t="s">
        <v>9977</v>
      </c>
      <c r="C271" s="113" t="s">
        <v>15363</v>
      </c>
      <c r="D271" s="155" t="s">
        <v>10649</v>
      </c>
      <c r="E271" s="159">
        <v>850</v>
      </c>
      <c r="F271" s="157" t="s">
        <v>10650</v>
      </c>
      <c r="G271" s="155" t="s">
        <v>9977</v>
      </c>
      <c r="H271" s="113" t="s">
        <v>9767</v>
      </c>
      <c r="I271" s="4" t="s">
        <v>9977</v>
      </c>
      <c r="J271" s="155" t="s">
        <v>10650</v>
      </c>
      <c r="K271" s="2" t="s">
        <v>9977</v>
      </c>
    </row>
    <row r="272" spans="1:11" s="2" customFormat="1" x14ac:dyDescent="0.25">
      <c r="A272" s="114" t="s">
        <v>10651</v>
      </c>
      <c r="B272" s="4" t="s">
        <v>10652</v>
      </c>
      <c r="C272" s="113" t="s">
        <v>4</v>
      </c>
      <c r="D272" s="155" t="s">
        <v>10653</v>
      </c>
      <c r="E272" s="159">
        <v>88</v>
      </c>
      <c r="F272" s="157" t="s">
        <v>10654</v>
      </c>
      <c r="G272" s="155" t="s">
        <v>10236</v>
      </c>
      <c r="H272" s="113" t="s">
        <v>9767</v>
      </c>
      <c r="I272" s="4" t="s">
        <v>10652</v>
      </c>
      <c r="J272" s="155" t="s">
        <v>10654</v>
      </c>
      <c r="K272" s="2" t="s">
        <v>10721</v>
      </c>
    </row>
    <row r="273" spans="1:11" s="2" customFormat="1" x14ac:dyDescent="0.25">
      <c r="A273" s="114" t="s">
        <v>10655</v>
      </c>
      <c r="B273" s="4" t="s">
        <v>10656</v>
      </c>
      <c r="C273" s="113" t="s">
        <v>4</v>
      </c>
      <c r="D273" s="155" t="s">
        <v>10657</v>
      </c>
      <c r="E273" s="159">
        <v>0</v>
      </c>
      <c r="F273" s="157" t="s">
        <v>10658</v>
      </c>
      <c r="G273" s="155" t="s">
        <v>10656</v>
      </c>
      <c r="H273" s="113" t="s">
        <v>9767</v>
      </c>
      <c r="I273" s="4" t="s">
        <v>10656</v>
      </c>
      <c r="J273" s="155" t="s">
        <v>10658</v>
      </c>
      <c r="K273" s="2" t="s">
        <v>10672</v>
      </c>
    </row>
    <row r="274" spans="1:11" s="2" customFormat="1" x14ac:dyDescent="0.25">
      <c r="A274" s="114" t="s">
        <v>10659</v>
      </c>
      <c r="B274" s="4" t="s">
        <v>10660</v>
      </c>
      <c r="C274" s="113" t="s">
        <v>4</v>
      </c>
      <c r="D274" s="155" t="s">
        <v>10661</v>
      </c>
      <c r="E274" s="159">
        <v>630</v>
      </c>
      <c r="F274" s="157" t="s">
        <v>10662</v>
      </c>
      <c r="G274" s="155" t="s">
        <v>10660</v>
      </c>
      <c r="H274" s="113" t="s">
        <v>9767</v>
      </c>
      <c r="I274" s="4" t="s">
        <v>10660</v>
      </c>
      <c r="J274" s="155" t="s">
        <v>10662</v>
      </c>
      <c r="K274" s="2" t="s">
        <v>10623</v>
      </c>
    </row>
    <row r="275" spans="1:11" s="2" customFormat="1" x14ac:dyDescent="0.25">
      <c r="A275" s="114" t="s">
        <v>10663</v>
      </c>
      <c r="B275" s="4" t="s">
        <v>10664</v>
      </c>
      <c r="C275" s="113" t="s">
        <v>15363</v>
      </c>
      <c r="D275" s="155" t="s">
        <v>10199</v>
      </c>
      <c r="E275" s="159">
        <v>302</v>
      </c>
      <c r="F275" s="157" t="s">
        <v>10666</v>
      </c>
      <c r="G275" s="155" t="s">
        <v>10665</v>
      </c>
      <c r="H275" s="113" t="s">
        <v>9767</v>
      </c>
      <c r="I275" s="4" t="s">
        <v>10664</v>
      </c>
      <c r="J275" s="155" t="s">
        <v>10666</v>
      </c>
      <c r="K275" s="2" t="s">
        <v>10664</v>
      </c>
    </row>
    <row r="276" spans="1:11" s="2" customFormat="1" x14ac:dyDescent="0.25">
      <c r="A276" s="114" t="s">
        <v>10667</v>
      </c>
      <c r="B276" s="4" t="s">
        <v>10668</v>
      </c>
      <c r="C276" s="113" t="s">
        <v>15363</v>
      </c>
      <c r="D276" s="155" t="s">
        <v>10088</v>
      </c>
      <c r="E276" s="159">
        <v>974</v>
      </c>
      <c r="F276" s="157" t="s">
        <v>10669</v>
      </c>
      <c r="G276" s="155" t="s">
        <v>10668</v>
      </c>
      <c r="H276" s="113" t="s">
        <v>9767</v>
      </c>
      <c r="I276" s="4" t="s">
        <v>10668</v>
      </c>
      <c r="J276" s="155" t="s">
        <v>10669</v>
      </c>
      <c r="K276" s="2" t="s">
        <v>10664</v>
      </c>
    </row>
    <row r="277" spans="1:11" s="2" customFormat="1" x14ac:dyDescent="0.25">
      <c r="A277" s="114" t="s">
        <v>10670</v>
      </c>
      <c r="B277" s="4" t="s">
        <v>10671</v>
      </c>
      <c r="C277" s="113" t="s">
        <v>4</v>
      </c>
      <c r="D277" s="155" t="s">
        <v>10672</v>
      </c>
      <c r="E277" s="159">
        <v>1</v>
      </c>
      <c r="F277" s="157" t="s">
        <v>10673</v>
      </c>
      <c r="G277" s="155" t="s">
        <v>10671</v>
      </c>
      <c r="H277" s="113" t="s">
        <v>9767</v>
      </c>
      <c r="I277" s="4" t="s">
        <v>10671</v>
      </c>
      <c r="J277" s="155" t="s">
        <v>10673</v>
      </c>
      <c r="K277" s="2" t="s">
        <v>10721</v>
      </c>
    </row>
    <row r="278" spans="1:11" s="2" customFormat="1" x14ac:dyDescent="0.25">
      <c r="A278" s="114" t="s">
        <v>10674</v>
      </c>
      <c r="B278" s="4" t="s">
        <v>10675</v>
      </c>
      <c r="C278" s="113" t="s">
        <v>4</v>
      </c>
      <c r="D278" s="155" t="s">
        <v>10443</v>
      </c>
      <c r="E278" s="159">
        <v>500</v>
      </c>
      <c r="F278" s="157" t="s">
        <v>10677</v>
      </c>
      <c r="G278" s="155" t="s">
        <v>10676</v>
      </c>
      <c r="H278" s="113" t="s">
        <v>9767</v>
      </c>
      <c r="I278" s="4" t="s">
        <v>10675</v>
      </c>
      <c r="J278" s="155" t="s">
        <v>10677</v>
      </c>
      <c r="K278" s="2" t="s">
        <v>10729</v>
      </c>
    </row>
    <row r="279" spans="1:11" s="2" customFormat="1" x14ac:dyDescent="0.25">
      <c r="A279" s="114" t="s">
        <v>10678</v>
      </c>
      <c r="B279" s="4" t="s">
        <v>10679</v>
      </c>
      <c r="C279" s="113" t="s">
        <v>15363</v>
      </c>
      <c r="D279" s="155" t="s">
        <v>10144</v>
      </c>
      <c r="E279" s="159">
        <v>1125</v>
      </c>
      <c r="F279" s="157" t="s">
        <v>10681</v>
      </c>
      <c r="G279" s="155" t="s">
        <v>10680</v>
      </c>
      <c r="H279" s="113" t="s">
        <v>9767</v>
      </c>
      <c r="I279" s="4" t="s">
        <v>10679</v>
      </c>
      <c r="J279" s="155" t="s">
        <v>10681</v>
      </c>
      <c r="K279" s="2" t="s">
        <v>10664</v>
      </c>
    </row>
    <row r="280" spans="1:11" s="2" customFormat="1" x14ac:dyDescent="0.25">
      <c r="A280" s="114" t="s">
        <v>10682</v>
      </c>
      <c r="B280" s="4" t="s">
        <v>10683</v>
      </c>
      <c r="C280" s="113" t="s">
        <v>4</v>
      </c>
      <c r="D280" s="155" t="s">
        <v>10684</v>
      </c>
      <c r="E280" s="159">
        <v>335</v>
      </c>
      <c r="F280" s="157" t="s">
        <v>10686</v>
      </c>
      <c r="G280" s="155" t="s">
        <v>10685</v>
      </c>
      <c r="H280" s="113" t="s">
        <v>9767</v>
      </c>
      <c r="I280" s="4" t="s">
        <v>10683</v>
      </c>
      <c r="J280" s="155" t="s">
        <v>10686</v>
      </c>
      <c r="K280" s="2" t="s">
        <v>10721</v>
      </c>
    </row>
    <row r="281" spans="1:11" s="2" customFormat="1" x14ac:dyDescent="0.25">
      <c r="A281" s="114" t="s">
        <v>10687</v>
      </c>
      <c r="B281" s="4" t="s">
        <v>10688</v>
      </c>
      <c r="C281" s="113" t="s">
        <v>4</v>
      </c>
      <c r="D281" s="155" t="s">
        <v>10689</v>
      </c>
      <c r="E281" s="159">
        <v>171</v>
      </c>
      <c r="F281" s="157" t="s">
        <v>10690</v>
      </c>
      <c r="G281" s="155" t="s">
        <v>10688</v>
      </c>
      <c r="H281" s="113" t="s">
        <v>9767</v>
      </c>
      <c r="I281" s="4" t="s">
        <v>10688</v>
      </c>
      <c r="J281" s="155" t="s">
        <v>10690</v>
      </c>
      <c r="K281" s="2" t="s">
        <v>10740</v>
      </c>
    </row>
    <row r="282" spans="1:11" s="2" customFormat="1" x14ac:dyDescent="0.25">
      <c r="A282" s="114" t="s">
        <v>10691</v>
      </c>
      <c r="B282" s="4" t="s">
        <v>10692</v>
      </c>
      <c r="C282" s="113" t="s">
        <v>4</v>
      </c>
      <c r="D282" s="155" t="s">
        <v>10114</v>
      </c>
      <c r="E282" s="159">
        <v>226</v>
      </c>
      <c r="F282" s="157" t="s">
        <v>10693</v>
      </c>
      <c r="G282" s="155" t="s">
        <v>10692</v>
      </c>
      <c r="H282" s="113" t="s">
        <v>9767</v>
      </c>
      <c r="I282" s="4" t="s">
        <v>10692</v>
      </c>
      <c r="J282" s="155" t="s">
        <v>10693</v>
      </c>
      <c r="K282" s="2" t="s">
        <v>10664</v>
      </c>
    </row>
    <row r="283" spans="1:11" s="2" customFormat="1" x14ac:dyDescent="0.25">
      <c r="A283" s="114" t="s">
        <v>10694</v>
      </c>
      <c r="B283" s="4" t="s">
        <v>10695</v>
      </c>
      <c r="C283" s="113" t="s">
        <v>4</v>
      </c>
      <c r="D283" s="155" t="s">
        <v>10696</v>
      </c>
      <c r="E283" s="159">
        <v>122</v>
      </c>
      <c r="F283" s="157" t="s">
        <v>10698</v>
      </c>
      <c r="G283" s="155" t="s">
        <v>10697</v>
      </c>
      <c r="H283" s="113" t="s">
        <v>9767</v>
      </c>
      <c r="I283" s="4" t="s">
        <v>10695</v>
      </c>
      <c r="J283" s="155" t="s">
        <v>10698</v>
      </c>
      <c r="K283" s="2" t="s">
        <v>10664</v>
      </c>
    </row>
    <row r="284" spans="1:11" s="2" customFormat="1" x14ac:dyDescent="0.25">
      <c r="A284" s="114" t="s">
        <v>10699</v>
      </c>
      <c r="B284" s="4" t="s">
        <v>10700</v>
      </c>
      <c r="C284" s="113" t="s">
        <v>4</v>
      </c>
      <c r="D284" s="155" t="s">
        <v>10701</v>
      </c>
      <c r="E284" s="159">
        <v>672</v>
      </c>
      <c r="F284" s="157" t="s">
        <v>10702</v>
      </c>
      <c r="G284" s="155" t="s">
        <v>10700</v>
      </c>
      <c r="H284" s="113" t="s">
        <v>9767</v>
      </c>
      <c r="I284" s="4" t="s">
        <v>10700</v>
      </c>
      <c r="J284" s="155" t="s">
        <v>10702</v>
      </c>
      <c r="K284" s="2" t="s">
        <v>10672</v>
      </c>
    </row>
    <row r="285" spans="1:11" s="2" customFormat="1" x14ac:dyDescent="0.25">
      <c r="A285" s="114" t="s">
        <v>10703</v>
      </c>
      <c r="B285" s="4" t="s">
        <v>10704</v>
      </c>
      <c r="C285" s="113" t="s">
        <v>15363</v>
      </c>
      <c r="D285" s="155" t="s">
        <v>10705</v>
      </c>
      <c r="E285" s="159">
        <v>451</v>
      </c>
      <c r="F285" s="157" t="s">
        <v>10706</v>
      </c>
      <c r="G285" s="155" t="s">
        <v>10704</v>
      </c>
      <c r="H285" s="113" t="s">
        <v>9767</v>
      </c>
      <c r="I285" s="4" t="s">
        <v>10704</v>
      </c>
      <c r="J285" s="155" t="s">
        <v>10706</v>
      </c>
      <c r="K285" s="2" t="s">
        <v>10704</v>
      </c>
    </row>
    <row r="286" spans="1:11" s="2" customFormat="1" x14ac:dyDescent="0.25">
      <c r="A286" s="114" t="s">
        <v>10707</v>
      </c>
      <c r="B286" s="4" t="s">
        <v>10708</v>
      </c>
      <c r="C286" s="113" t="s">
        <v>4</v>
      </c>
      <c r="D286" s="155" t="s">
        <v>10199</v>
      </c>
      <c r="E286" s="159">
        <v>389</v>
      </c>
      <c r="F286" s="157" t="s">
        <v>10709</v>
      </c>
      <c r="G286" s="155" t="s">
        <v>10708</v>
      </c>
      <c r="H286" s="113" t="s">
        <v>9767</v>
      </c>
      <c r="I286" s="4" t="s">
        <v>10708</v>
      </c>
      <c r="J286" s="155" t="s">
        <v>10709</v>
      </c>
      <c r="K286" s="2" t="s">
        <v>10704</v>
      </c>
    </row>
    <row r="287" spans="1:11" s="2" customFormat="1" x14ac:dyDescent="0.25">
      <c r="A287" s="114" t="s">
        <v>10710</v>
      </c>
      <c r="B287" s="4" t="s">
        <v>10672</v>
      </c>
      <c r="C287" s="113" t="s">
        <v>15363</v>
      </c>
      <c r="D287" s="155" t="s">
        <v>10711</v>
      </c>
      <c r="E287" s="159">
        <v>698</v>
      </c>
      <c r="F287" s="157" t="s">
        <v>10712</v>
      </c>
      <c r="G287" s="155" t="s">
        <v>10672</v>
      </c>
      <c r="H287" s="113" t="s">
        <v>9767</v>
      </c>
      <c r="I287" s="4" t="s">
        <v>10672</v>
      </c>
      <c r="J287" s="155" t="s">
        <v>10712</v>
      </c>
      <c r="K287" s="2" t="s">
        <v>10672</v>
      </c>
    </row>
    <row r="288" spans="1:11" s="2" customFormat="1" x14ac:dyDescent="0.25">
      <c r="A288" s="114" t="s">
        <v>10713</v>
      </c>
      <c r="B288" s="4" t="s">
        <v>10714</v>
      </c>
      <c r="C288" s="113" t="s">
        <v>4</v>
      </c>
      <c r="D288" s="155" t="s">
        <v>10467</v>
      </c>
      <c r="E288" s="159">
        <v>115</v>
      </c>
      <c r="F288" s="157" t="s">
        <v>10715</v>
      </c>
      <c r="G288" s="155" t="s">
        <v>10714</v>
      </c>
      <c r="H288" s="113" t="s">
        <v>9767</v>
      </c>
      <c r="I288" s="4" t="s">
        <v>10714</v>
      </c>
      <c r="J288" s="155" t="s">
        <v>10715</v>
      </c>
      <c r="K288" s="2" t="s">
        <v>10729</v>
      </c>
    </row>
    <row r="289" spans="1:11" s="2" customFormat="1" x14ac:dyDescent="0.25">
      <c r="A289" s="114" t="s">
        <v>10716</v>
      </c>
      <c r="B289" s="4" t="s">
        <v>10717</v>
      </c>
      <c r="C289" s="113" t="s">
        <v>15363</v>
      </c>
      <c r="D289" s="155" t="s">
        <v>10595</v>
      </c>
      <c r="E289" s="159">
        <v>355</v>
      </c>
      <c r="F289" s="157" t="s">
        <v>10719</v>
      </c>
      <c r="G289" s="155" t="s">
        <v>10718</v>
      </c>
      <c r="H289" s="113" t="s">
        <v>9767</v>
      </c>
      <c r="I289" s="4" t="s">
        <v>10717</v>
      </c>
      <c r="J289" s="155" t="s">
        <v>10719</v>
      </c>
      <c r="K289" s="2" t="s">
        <v>10718</v>
      </c>
    </row>
    <row r="290" spans="1:11" s="2" customFormat="1" x14ac:dyDescent="0.25">
      <c r="A290" s="114" t="s">
        <v>10720</v>
      </c>
      <c r="B290" s="4" t="s">
        <v>10721</v>
      </c>
      <c r="C290" s="113" t="s">
        <v>15363</v>
      </c>
      <c r="D290" s="155" t="s">
        <v>10722</v>
      </c>
      <c r="E290" s="159">
        <v>175</v>
      </c>
      <c r="F290" s="157" t="s">
        <v>10723</v>
      </c>
      <c r="G290" s="155" t="s">
        <v>10685</v>
      </c>
      <c r="H290" s="113" t="s">
        <v>9767</v>
      </c>
      <c r="I290" s="4" t="s">
        <v>10721</v>
      </c>
      <c r="J290" s="155" t="s">
        <v>10723</v>
      </c>
      <c r="K290" s="2" t="s">
        <v>10721</v>
      </c>
    </row>
    <row r="291" spans="1:11" s="2" customFormat="1" x14ac:dyDescent="0.25">
      <c r="A291" s="114" t="s">
        <v>10724</v>
      </c>
      <c r="B291" s="4" t="s">
        <v>10725</v>
      </c>
      <c r="C291" s="113" t="s">
        <v>4</v>
      </c>
      <c r="D291" s="155" t="s">
        <v>10726</v>
      </c>
      <c r="E291" s="159">
        <v>629</v>
      </c>
      <c r="F291" s="157" t="s">
        <v>10727</v>
      </c>
      <c r="G291" s="155" t="s">
        <v>10685</v>
      </c>
      <c r="H291" s="113" t="s">
        <v>9767</v>
      </c>
      <c r="I291" s="4" t="s">
        <v>10725</v>
      </c>
      <c r="J291" s="155" t="s">
        <v>10727</v>
      </c>
      <c r="K291" s="2" t="s">
        <v>10721</v>
      </c>
    </row>
    <row r="292" spans="1:11" s="2" customFormat="1" x14ac:dyDescent="0.25">
      <c r="A292" s="114" t="s">
        <v>10728</v>
      </c>
      <c r="B292" s="4" t="s">
        <v>10729</v>
      </c>
      <c r="C292" s="113" t="s">
        <v>15363</v>
      </c>
      <c r="D292" s="155" t="s">
        <v>10556</v>
      </c>
      <c r="E292" s="159">
        <v>58</v>
      </c>
      <c r="F292" s="157" t="s">
        <v>10730</v>
      </c>
      <c r="G292" s="155" t="s">
        <v>10729</v>
      </c>
      <c r="H292" s="113" t="s">
        <v>9767</v>
      </c>
      <c r="I292" s="4" t="s">
        <v>10729</v>
      </c>
      <c r="J292" s="155" t="s">
        <v>10730</v>
      </c>
      <c r="K292" s="2" t="s">
        <v>10729</v>
      </c>
    </row>
    <row r="293" spans="1:11" s="2" customFormat="1" x14ac:dyDescent="0.25">
      <c r="A293" s="114" t="s">
        <v>10731</v>
      </c>
      <c r="B293" s="4" t="s">
        <v>10732</v>
      </c>
      <c r="C293" s="113" t="s">
        <v>4</v>
      </c>
      <c r="D293" s="155" t="s">
        <v>10733</v>
      </c>
      <c r="E293" s="159">
        <v>498</v>
      </c>
      <c r="F293" s="157" t="s">
        <v>10734</v>
      </c>
      <c r="G293" s="155" t="s">
        <v>10732</v>
      </c>
      <c r="H293" s="113" t="s">
        <v>9767</v>
      </c>
      <c r="I293" s="4" t="s">
        <v>10732</v>
      </c>
      <c r="J293" s="155" t="s">
        <v>10734</v>
      </c>
      <c r="K293" s="2" t="s">
        <v>10729</v>
      </c>
    </row>
    <row r="294" spans="1:11" s="2" customFormat="1" x14ac:dyDescent="0.25">
      <c r="A294" s="114" t="s">
        <v>10735</v>
      </c>
      <c r="B294" s="4" t="s">
        <v>10736</v>
      </c>
      <c r="C294" s="113" t="s">
        <v>4</v>
      </c>
      <c r="D294" s="155" t="s">
        <v>10199</v>
      </c>
      <c r="E294" s="159">
        <v>711</v>
      </c>
      <c r="F294" s="157" t="s">
        <v>10738</v>
      </c>
      <c r="G294" s="155" t="s">
        <v>10737</v>
      </c>
      <c r="H294" s="113" t="s">
        <v>9767</v>
      </c>
      <c r="I294" s="4" t="s">
        <v>10736</v>
      </c>
      <c r="J294" s="155" t="s">
        <v>10738</v>
      </c>
      <c r="K294" s="2" t="s">
        <v>10672</v>
      </c>
    </row>
    <row r="295" spans="1:11" s="2" customFormat="1" x14ac:dyDescent="0.25">
      <c r="A295" s="114" t="s">
        <v>10739</v>
      </c>
      <c r="B295" s="4" t="s">
        <v>10740</v>
      </c>
      <c r="C295" s="113" t="s">
        <v>15363</v>
      </c>
      <c r="D295" s="155" t="s">
        <v>10741</v>
      </c>
      <c r="E295" s="159">
        <v>35</v>
      </c>
      <c r="F295" s="157" t="s">
        <v>10742</v>
      </c>
      <c r="G295" s="155" t="s">
        <v>10740</v>
      </c>
      <c r="H295" s="113" t="s">
        <v>9767</v>
      </c>
      <c r="I295" s="4" t="s">
        <v>10740</v>
      </c>
      <c r="J295" s="155" t="s">
        <v>10742</v>
      </c>
      <c r="K295" s="2" t="s">
        <v>10740</v>
      </c>
    </row>
    <row r="296" spans="1:11" s="2" customFormat="1" x14ac:dyDescent="0.25">
      <c r="A296" s="114" t="s">
        <v>10743</v>
      </c>
      <c r="B296" s="4" t="s">
        <v>10744</v>
      </c>
      <c r="C296" s="113" t="s">
        <v>15363</v>
      </c>
      <c r="D296" s="155" t="s">
        <v>10114</v>
      </c>
      <c r="E296" s="159">
        <v>34</v>
      </c>
      <c r="F296" s="157" t="s">
        <v>10745</v>
      </c>
      <c r="G296" s="155" t="s">
        <v>10744</v>
      </c>
      <c r="H296" s="113" t="s">
        <v>9767</v>
      </c>
      <c r="I296" s="4" t="s">
        <v>10744</v>
      </c>
      <c r="J296" s="155" t="s">
        <v>10745</v>
      </c>
      <c r="K296" s="2" t="s">
        <v>10744</v>
      </c>
    </row>
    <row r="297" spans="1:11" s="2" customFormat="1" x14ac:dyDescent="0.25">
      <c r="A297" s="114" t="s">
        <v>10746</v>
      </c>
      <c r="B297" s="4" t="s">
        <v>10747</v>
      </c>
      <c r="C297" s="113" t="s">
        <v>15363</v>
      </c>
      <c r="D297" s="155" t="s">
        <v>10748</v>
      </c>
      <c r="E297" s="159">
        <v>1524</v>
      </c>
      <c r="F297" s="157" t="s">
        <v>10749</v>
      </c>
      <c r="G297" s="155" t="s">
        <v>10744</v>
      </c>
      <c r="H297" s="113" t="s">
        <v>9767</v>
      </c>
      <c r="I297" s="4" t="s">
        <v>10747</v>
      </c>
      <c r="J297" s="155" t="s">
        <v>10749</v>
      </c>
      <c r="K297" s="2" t="s">
        <v>10744</v>
      </c>
    </row>
    <row r="298" spans="1:11" s="2" customFormat="1" x14ac:dyDescent="0.25">
      <c r="A298" s="114" t="s">
        <v>10750</v>
      </c>
      <c r="B298" s="4" t="s">
        <v>10751</v>
      </c>
      <c r="C298" s="113" t="s">
        <v>4</v>
      </c>
      <c r="D298" s="155" t="s">
        <v>10752</v>
      </c>
      <c r="E298" s="159">
        <v>1021</v>
      </c>
      <c r="F298" s="157" t="s">
        <v>10753</v>
      </c>
      <c r="G298" s="155" t="s">
        <v>10744</v>
      </c>
      <c r="H298" s="113" t="s">
        <v>9767</v>
      </c>
      <c r="I298" s="4" t="s">
        <v>10751</v>
      </c>
      <c r="J298" s="155" t="s">
        <v>10753</v>
      </c>
      <c r="K298" s="2" t="s">
        <v>10744</v>
      </c>
    </row>
    <row r="299" spans="1:11" s="2" customFormat="1" x14ac:dyDescent="0.25">
      <c r="A299" s="114" t="s">
        <v>10754</v>
      </c>
      <c r="B299" s="4" t="s">
        <v>10755</v>
      </c>
      <c r="C299" s="113" t="s">
        <v>4</v>
      </c>
      <c r="D299" s="155" t="s">
        <v>10571</v>
      </c>
      <c r="E299" s="159">
        <v>76</v>
      </c>
      <c r="F299" s="157" t="s">
        <v>10756</v>
      </c>
      <c r="G299" s="155" t="s">
        <v>10755</v>
      </c>
      <c r="H299" s="113" t="s">
        <v>9767</v>
      </c>
      <c r="I299" s="4" t="s">
        <v>10755</v>
      </c>
      <c r="J299" s="155" t="s">
        <v>10756</v>
      </c>
      <c r="K299" s="2" t="s">
        <v>15391</v>
      </c>
    </row>
    <row r="300" spans="1:11" s="2" customFormat="1" x14ac:dyDescent="0.25">
      <c r="A300" s="114" t="s">
        <v>10757</v>
      </c>
      <c r="B300" s="4" t="s">
        <v>10758</v>
      </c>
      <c r="C300" s="113" t="s">
        <v>15363</v>
      </c>
      <c r="D300" s="155" t="s">
        <v>10759</v>
      </c>
      <c r="E300" s="159">
        <v>198</v>
      </c>
      <c r="F300" s="157" t="s">
        <v>10760</v>
      </c>
      <c r="G300" s="155" t="s">
        <v>10758</v>
      </c>
      <c r="H300" s="113" t="s">
        <v>9767</v>
      </c>
      <c r="I300" s="4" t="s">
        <v>10758</v>
      </c>
      <c r="J300" s="155" t="s">
        <v>10760</v>
      </c>
      <c r="K300" s="2" t="s">
        <v>10758</v>
      </c>
    </row>
    <row r="301" spans="1:11" s="2" customFormat="1" x14ac:dyDescent="0.25">
      <c r="A301" s="114" t="s">
        <v>10761</v>
      </c>
      <c r="B301" s="4" t="s">
        <v>10762</v>
      </c>
      <c r="C301" s="113" t="s">
        <v>15363</v>
      </c>
      <c r="D301" s="155" t="s">
        <v>10763</v>
      </c>
      <c r="E301" s="159">
        <v>218</v>
      </c>
      <c r="F301" s="157" t="s">
        <v>10764</v>
      </c>
      <c r="G301" s="155" t="s">
        <v>10762</v>
      </c>
      <c r="H301" s="113" t="s">
        <v>9767</v>
      </c>
      <c r="I301" s="4" t="s">
        <v>10762</v>
      </c>
      <c r="J301" s="155" t="s">
        <v>10764</v>
      </c>
      <c r="K301" s="2" t="s">
        <v>10762</v>
      </c>
    </row>
    <row r="302" spans="1:11" s="2" customFormat="1" x14ac:dyDescent="0.25">
      <c r="A302" s="114" t="s">
        <v>10765</v>
      </c>
      <c r="B302" s="4" t="s">
        <v>10766</v>
      </c>
      <c r="C302" s="113" t="s">
        <v>4</v>
      </c>
      <c r="D302" s="155" t="s">
        <v>10767</v>
      </c>
      <c r="E302" s="159">
        <v>7</v>
      </c>
      <c r="F302" s="157" t="s">
        <v>10768</v>
      </c>
      <c r="G302" s="155" t="s">
        <v>10766</v>
      </c>
      <c r="H302" s="113" t="s">
        <v>9767</v>
      </c>
      <c r="I302" s="4" t="s">
        <v>10766</v>
      </c>
      <c r="J302" s="155" t="s">
        <v>10768</v>
      </c>
      <c r="K302" s="2" t="s">
        <v>10954</v>
      </c>
    </row>
    <row r="303" spans="1:11" s="2" customFormat="1" x14ac:dyDescent="0.25">
      <c r="A303" s="114" t="s">
        <v>10769</v>
      </c>
      <c r="B303" s="4" t="s">
        <v>10770</v>
      </c>
      <c r="C303" s="113" t="s">
        <v>4</v>
      </c>
      <c r="D303" s="155" t="s">
        <v>10771</v>
      </c>
      <c r="E303" s="159">
        <v>170</v>
      </c>
      <c r="F303" s="157" t="s">
        <v>10772</v>
      </c>
      <c r="G303" s="155" t="s">
        <v>10770</v>
      </c>
      <c r="H303" s="113" t="s">
        <v>9767</v>
      </c>
      <c r="I303" s="4" t="s">
        <v>10770</v>
      </c>
      <c r="J303" s="155" t="s">
        <v>10772</v>
      </c>
      <c r="K303" s="2" t="s">
        <v>15391</v>
      </c>
    </row>
    <row r="304" spans="1:11" s="2" customFormat="1" x14ac:dyDescent="0.25">
      <c r="A304" s="114" t="s">
        <v>10773</v>
      </c>
      <c r="B304" s="4" t="s">
        <v>10774</v>
      </c>
      <c r="C304" s="113" t="s">
        <v>15363</v>
      </c>
      <c r="D304" s="155" t="s">
        <v>10775</v>
      </c>
      <c r="E304" s="159">
        <v>267</v>
      </c>
      <c r="F304" s="157" t="s">
        <v>10776</v>
      </c>
      <c r="G304" s="155" t="s">
        <v>10774</v>
      </c>
      <c r="H304" s="113" t="s">
        <v>9767</v>
      </c>
      <c r="I304" s="4" t="s">
        <v>10774</v>
      </c>
      <c r="J304" s="155" t="s">
        <v>10776</v>
      </c>
      <c r="K304" s="2" t="s">
        <v>10774</v>
      </c>
    </row>
    <row r="305" spans="1:26" s="2" customFormat="1" x14ac:dyDescent="0.25">
      <c r="A305" s="114" t="s">
        <v>10777</v>
      </c>
      <c r="B305" s="4" t="s">
        <v>10778</v>
      </c>
      <c r="C305" s="113" t="s">
        <v>4</v>
      </c>
      <c r="D305" s="155" t="s">
        <v>10779</v>
      </c>
      <c r="E305" s="159">
        <v>283</v>
      </c>
      <c r="F305" s="157" t="s">
        <v>10780</v>
      </c>
      <c r="G305" s="155" t="s">
        <v>10778</v>
      </c>
      <c r="H305" s="113" t="s">
        <v>9767</v>
      </c>
      <c r="I305" s="4" t="s">
        <v>10778</v>
      </c>
      <c r="J305" s="155" t="s">
        <v>10780</v>
      </c>
      <c r="K305" s="4" t="s">
        <v>15392</v>
      </c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s="2" customFormat="1" x14ac:dyDescent="0.25">
      <c r="A306" s="114" t="s">
        <v>10781</v>
      </c>
      <c r="B306" s="4" t="s">
        <v>10782</v>
      </c>
      <c r="C306" s="113" t="s">
        <v>4</v>
      </c>
      <c r="D306" s="155" t="s">
        <v>10783</v>
      </c>
      <c r="E306" s="159">
        <v>57</v>
      </c>
      <c r="F306" s="157" t="s">
        <v>10784</v>
      </c>
      <c r="G306" s="155" t="s">
        <v>10782</v>
      </c>
      <c r="H306" s="113" t="s">
        <v>9767</v>
      </c>
      <c r="I306" s="4" t="s">
        <v>10782</v>
      </c>
      <c r="J306" s="155" t="s">
        <v>10784</v>
      </c>
      <c r="K306" s="2" t="s">
        <v>10970</v>
      </c>
    </row>
    <row r="307" spans="1:26" s="2" customFormat="1" x14ac:dyDescent="0.25">
      <c r="A307" s="114" t="s">
        <v>10785</v>
      </c>
      <c r="B307" s="4" t="s">
        <v>10786</v>
      </c>
      <c r="C307" s="113" t="s">
        <v>15363</v>
      </c>
      <c r="D307" s="155" t="s">
        <v>10787</v>
      </c>
      <c r="E307" s="159">
        <v>549</v>
      </c>
      <c r="F307" s="157" t="s">
        <v>10788</v>
      </c>
      <c r="G307" s="155" t="s">
        <v>10786</v>
      </c>
      <c r="H307" s="113" t="s">
        <v>9767</v>
      </c>
      <c r="I307" s="4" t="s">
        <v>10786</v>
      </c>
      <c r="J307" s="155" t="s">
        <v>10788</v>
      </c>
      <c r="K307" s="2" t="s">
        <v>10786</v>
      </c>
    </row>
    <row r="308" spans="1:26" s="2" customFormat="1" x14ac:dyDescent="0.25">
      <c r="A308" s="114" t="s">
        <v>10789</v>
      </c>
      <c r="B308" s="4" t="s">
        <v>10790</v>
      </c>
      <c r="C308" s="113" t="s">
        <v>4</v>
      </c>
      <c r="D308" s="155" t="s">
        <v>10791</v>
      </c>
      <c r="E308" s="159">
        <v>375</v>
      </c>
      <c r="F308" s="157" t="s">
        <v>10792</v>
      </c>
      <c r="G308" s="155" t="s">
        <v>10790</v>
      </c>
      <c r="H308" s="113" t="s">
        <v>9767</v>
      </c>
      <c r="I308" s="4" t="s">
        <v>10790</v>
      </c>
      <c r="J308" s="155" t="s">
        <v>10792</v>
      </c>
      <c r="K308" s="2" t="s">
        <v>10762</v>
      </c>
    </row>
    <row r="309" spans="1:26" s="2" customFormat="1" x14ac:dyDescent="0.25">
      <c r="A309" s="114" t="s">
        <v>10793</v>
      </c>
      <c r="B309" s="4" t="s">
        <v>10794</v>
      </c>
      <c r="C309" s="113" t="s">
        <v>15363</v>
      </c>
      <c r="D309" s="155" t="s">
        <v>10795</v>
      </c>
      <c r="E309" s="159">
        <v>363</v>
      </c>
      <c r="F309" s="157" t="s">
        <v>10796</v>
      </c>
      <c r="G309" s="155" t="s">
        <v>10794</v>
      </c>
      <c r="H309" s="113" t="s">
        <v>9767</v>
      </c>
      <c r="I309" s="4" t="s">
        <v>10794</v>
      </c>
      <c r="J309" s="155" t="s">
        <v>10796</v>
      </c>
      <c r="K309" s="2" t="s">
        <v>10794</v>
      </c>
    </row>
    <row r="310" spans="1:26" s="2" customFormat="1" x14ac:dyDescent="0.25">
      <c r="A310" s="114" t="s">
        <v>10797</v>
      </c>
      <c r="B310" s="4" t="s">
        <v>10798</v>
      </c>
      <c r="C310" s="113" t="s">
        <v>4</v>
      </c>
      <c r="D310" s="155" t="s">
        <v>10799</v>
      </c>
      <c r="E310" s="159"/>
      <c r="F310" s="157" t="s">
        <v>10801</v>
      </c>
      <c r="G310" s="155" t="s">
        <v>10800</v>
      </c>
      <c r="H310" s="113" t="s">
        <v>9767</v>
      </c>
      <c r="I310" s="4" t="s">
        <v>10798</v>
      </c>
      <c r="J310" s="155" t="s">
        <v>10801</v>
      </c>
      <c r="K310" s="2" t="s">
        <v>10744</v>
      </c>
    </row>
    <row r="311" spans="1:26" s="2" customFormat="1" x14ac:dyDescent="0.25">
      <c r="A311" s="114" t="s">
        <v>10802</v>
      </c>
      <c r="B311" s="4" t="s">
        <v>10803</v>
      </c>
      <c r="C311" s="113" t="s">
        <v>4</v>
      </c>
      <c r="D311" s="155" t="s">
        <v>10804</v>
      </c>
      <c r="E311" s="159"/>
      <c r="F311" s="157" t="s">
        <v>10805</v>
      </c>
      <c r="G311" s="155" t="s">
        <v>10803</v>
      </c>
      <c r="H311" s="113" t="s">
        <v>9767</v>
      </c>
      <c r="I311" s="4" t="s">
        <v>10803</v>
      </c>
      <c r="J311" s="155" t="s">
        <v>10805</v>
      </c>
      <c r="K311" s="2" t="s">
        <v>15393</v>
      </c>
    </row>
    <row r="312" spans="1:26" s="2" customFormat="1" x14ac:dyDescent="0.25">
      <c r="A312" s="114" t="s">
        <v>10806</v>
      </c>
      <c r="B312" s="4" t="s">
        <v>10807</v>
      </c>
      <c r="C312" s="113" t="s">
        <v>15363</v>
      </c>
      <c r="D312" s="155" t="s">
        <v>10808</v>
      </c>
      <c r="E312" s="159">
        <v>2</v>
      </c>
      <c r="F312" s="157" t="s">
        <v>10809</v>
      </c>
      <c r="G312" s="155" t="s">
        <v>10807</v>
      </c>
      <c r="H312" s="113" t="s">
        <v>9767</v>
      </c>
      <c r="I312" s="4" t="s">
        <v>10807</v>
      </c>
      <c r="J312" s="155" t="s">
        <v>10809</v>
      </c>
      <c r="K312" s="2" t="s">
        <v>10807</v>
      </c>
    </row>
    <row r="313" spans="1:26" s="2" customFormat="1" x14ac:dyDescent="0.25">
      <c r="A313" s="114" t="s">
        <v>10810</v>
      </c>
      <c r="B313" s="4" t="s">
        <v>10811</v>
      </c>
      <c r="C313" s="113" t="s">
        <v>15363</v>
      </c>
      <c r="D313" s="155" t="s">
        <v>15368</v>
      </c>
      <c r="E313" s="159"/>
      <c r="F313" s="157" t="s">
        <v>10812</v>
      </c>
      <c r="G313" s="155" t="s">
        <v>10811</v>
      </c>
      <c r="H313" s="113" t="s">
        <v>9767</v>
      </c>
      <c r="I313" s="4" t="s">
        <v>10811</v>
      </c>
      <c r="J313" s="155" t="s">
        <v>10812</v>
      </c>
      <c r="K313" s="2" t="s">
        <v>10889</v>
      </c>
    </row>
    <row r="314" spans="1:26" s="2" customFormat="1" x14ac:dyDescent="0.25">
      <c r="A314" s="114" t="s">
        <v>10813</v>
      </c>
      <c r="B314" s="4" t="s">
        <v>10814</v>
      </c>
      <c r="C314" s="113" t="s">
        <v>4</v>
      </c>
      <c r="D314" s="155" t="s">
        <v>10815</v>
      </c>
      <c r="E314" s="159">
        <v>102</v>
      </c>
      <c r="F314" s="157" t="s">
        <v>10816</v>
      </c>
      <c r="G314" s="155" t="s">
        <v>10814</v>
      </c>
      <c r="H314" s="113" t="s">
        <v>9767</v>
      </c>
      <c r="I314" s="4" t="s">
        <v>10814</v>
      </c>
      <c r="J314" s="155" t="s">
        <v>10816</v>
      </c>
      <c r="K314" s="2" t="s">
        <v>10954</v>
      </c>
    </row>
    <row r="315" spans="1:26" s="2" customFormat="1" x14ac:dyDescent="0.25">
      <c r="A315" s="114" t="s">
        <v>10817</v>
      </c>
      <c r="B315" s="4" t="s">
        <v>10818</v>
      </c>
      <c r="C315" s="113" t="s">
        <v>15363</v>
      </c>
      <c r="D315" s="155" t="s">
        <v>10819</v>
      </c>
      <c r="E315" s="159">
        <v>2</v>
      </c>
      <c r="F315" s="157" t="s">
        <v>10820</v>
      </c>
      <c r="G315" s="155" t="s">
        <v>10818</v>
      </c>
      <c r="H315" s="113" t="s">
        <v>9767</v>
      </c>
      <c r="I315" s="4" t="s">
        <v>10818</v>
      </c>
      <c r="J315" s="155" t="s">
        <v>10820</v>
      </c>
      <c r="K315" s="2" t="s">
        <v>10744</v>
      </c>
    </row>
    <row r="316" spans="1:26" s="2" customFormat="1" x14ac:dyDescent="0.25">
      <c r="A316" s="114" t="s">
        <v>10821</v>
      </c>
      <c r="B316" s="4" t="s">
        <v>10822</v>
      </c>
      <c r="C316" s="113" t="s">
        <v>15363</v>
      </c>
      <c r="D316" s="155" t="s">
        <v>10492</v>
      </c>
      <c r="E316" s="159">
        <v>998</v>
      </c>
      <c r="F316" s="157" t="s">
        <v>10823</v>
      </c>
      <c r="G316" s="155" t="s">
        <v>10822</v>
      </c>
      <c r="H316" s="113" t="s">
        <v>9767</v>
      </c>
      <c r="I316" s="4" t="s">
        <v>10822</v>
      </c>
      <c r="J316" s="155" t="s">
        <v>10823</v>
      </c>
      <c r="K316" s="2" t="s">
        <v>15394</v>
      </c>
    </row>
    <row r="317" spans="1:26" s="2" customFormat="1" x14ac:dyDescent="0.25">
      <c r="A317" s="114" t="s">
        <v>10824</v>
      </c>
      <c r="B317" s="4" t="s">
        <v>10825</v>
      </c>
      <c r="C317" s="113" t="s">
        <v>15363</v>
      </c>
      <c r="D317" s="155" t="s">
        <v>10826</v>
      </c>
      <c r="E317" s="159">
        <v>38</v>
      </c>
      <c r="F317" s="157" t="s">
        <v>10828</v>
      </c>
      <c r="G317" s="155" t="s">
        <v>10827</v>
      </c>
      <c r="H317" s="113" t="s">
        <v>9767</v>
      </c>
      <c r="I317" s="4" t="s">
        <v>10825</v>
      </c>
      <c r="J317" s="155" t="s">
        <v>10828</v>
      </c>
      <c r="K317" s="2" t="s">
        <v>15391</v>
      </c>
    </row>
    <row r="318" spans="1:26" s="2" customFormat="1" x14ac:dyDescent="0.25">
      <c r="A318" s="114" t="s">
        <v>10829</v>
      </c>
      <c r="B318" s="4" t="s">
        <v>10830</v>
      </c>
      <c r="C318" s="113" t="s">
        <v>4</v>
      </c>
      <c r="D318" s="155" t="s">
        <v>10317</v>
      </c>
      <c r="E318" s="159">
        <v>259</v>
      </c>
      <c r="F318" s="157" t="s">
        <v>10831</v>
      </c>
      <c r="G318" s="155" t="s">
        <v>10830</v>
      </c>
      <c r="H318" s="113" t="s">
        <v>9767</v>
      </c>
      <c r="I318" s="4" t="s">
        <v>10830</v>
      </c>
      <c r="J318" s="155" t="s">
        <v>10831</v>
      </c>
      <c r="K318" s="2" t="s">
        <v>10889</v>
      </c>
    </row>
    <row r="319" spans="1:26" s="2" customFormat="1" x14ac:dyDescent="0.25">
      <c r="A319" s="114" t="s">
        <v>10832</v>
      </c>
      <c r="B319" s="4" t="s">
        <v>10833</v>
      </c>
      <c r="C319" s="113" t="s">
        <v>4</v>
      </c>
      <c r="D319" s="155" t="s">
        <v>10834</v>
      </c>
      <c r="E319" s="159">
        <v>1172</v>
      </c>
      <c r="F319" s="157" t="s">
        <v>10835</v>
      </c>
      <c r="G319" s="155" t="s">
        <v>10833</v>
      </c>
      <c r="H319" s="113" t="s">
        <v>9767</v>
      </c>
      <c r="I319" s="4" t="s">
        <v>10833</v>
      </c>
      <c r="J319" s="155" t="s">
        <v>10835</v>
      </c>
      <c r="K319" s="2" t="s">
        <v>10786</v>
      </c>
    </row>
    <row r="320" spans="1:26" s="2" customFormat="1" x14ac:dyDescent="0.25">
      <c r="A320" s="114" t="s">
        <v>10836</v>
      </c>
      <c r="B320" s="4" t="s">
        <v>10837</v>
      </c>
      <c r="C320" s="113" t="s">
        <v>4</v>
      </c>
      <c r="D320" s="155" t="s">
        <v>10838</v>
      </c>
      <c r="E320" s="159">
        <v>509</v>
      </c>
      <c r="F320" s="157" t="s">
        <v>10839</v>
      </c>
      <c r="G320" s="155" t="s">
        <v>10837</v>
      </c>
      <c r="H320" s="113" t="s">
        <v>9767</v>
      </c>
      <c r="I320" s="4" t="s">
        <v>10837</v>
      </c>
      <c r="J320" s="155" t="s">
        <v>10839</v>
      </c>
      <c r="K320" s="2" t="s">
        <v>10762</v>
      </c>
    </row>
    <row r="321" spans="1:11" s="2" customFormat="1" x14ac:dyDescent="0.25">
      <c r="A321" s="114" t="s">
        <v>10840</v>
      </c>
      <c r="B321" s="4" t="s">
        <v>10841</v>
      </c>
      <c r="C321" s="113" t="s">
        <v>15363</v>
      </c>
      <c r="D321" s="155" t="s">
        <v>10842</v>
      </c>
      <c r="E321" s="159">
        <v>645</v>
      </c>
      <c r="F321" s="157" t="s">
        <v>10844</v>
      </c>
      <c r="G321" s="155" t="s">
        <v>10843</v>
      </c>
      <c r="H321" s="113" t="s">
        <v>9767</v>
      </c>
      <c r="I321" s="4" t="s">
        <v>10841</v>
      </c>
      <c r="J321" s="155" t="s">
        <v>10844</v>
      </c>
      <c r="K321" s="2" t="s">
        <v>10843</v>
      </c>
    </row>
    <row r="322" spans="1:11" s="2" customFormat="1" x14ac:dyDescent="0.25">
      <c r="A322" s="114" t="s">
        <v>10845</v>
      </c>
      <c r="B322" s="4" t="s">
        <v>10846</v>
      </c>
      <c r="C322" s="113" t="s">
        <v>15363</v>
      </c>
      <c r="D322" s="155" t="s">
        <v>10847</v>
      </c>
      <c r="E322" s="159">
        <v>405</v>
      </c>
      <c r="F322" s="157" t="s">
        <v>10849</v>
      </c>
      <c r="G322" s="155" t="s">
        <v>10848</v>
      </c>
      <c r="H322" s="113" t="s">
        <v>9767</v>
      </c>
      <c r="I322" s="4" t="s">
        <v>10846</v>
      </c>
      <c r="J322" s="155" t="s">
        <v>10849</v>
      </c>
      <c r="K322" s="2" t="s">
        <v>10848</v>
      </c>
    </row>
    <row r="323" spans="1:11" s="2" customFormat="1" x14ac:dyDescent="0.25">
      <c r="A323" s="114" t="s">
        <v>10850</v>
      </c>
      <c r="B323" s="4" t="s">
        <v>10851</v>
      </c>
      <c r="C323" s="113" t="s">
        <v>15363</v>
      </c>
      <c r="D323" s="155" t="s">
        <v>10852</v>
      </c>
      <c r="E323" s="159">
        <v>270</v>
      </c>
      <c r="F323" s="157" t="s">
        <v>10853</v>
      </c>
      <c r="G323" s="155" t="s">
        <v>10851</v>
      </c>
      <c r="H323" s="113" t="s">
        <v>9767</v>
      </c>
      <c r="I323" s="4" t="s">
        <v>10851</v>
      </c>
      <c r="J323" s="155" t="s">
        <v>10853</v>
      </c>
      <c r="K323" s="2" t="s">
        <v>10851</v>
      </c>
    </row>
    <row r="324" spans="1:11" s="2" customFormat="1" x14ac:dyDescent="0.25">
      <c r="A324" s="114" t="s">
        <v>10854</v>
      </c>
      <c r="B324" s="4" t="s">
        <v>10855</v>
      </c>
      <c r="C324" s="113" t="s">
        <v>15363</v>
      </c>
      <c r="D324" s="155" t="s">
        <v>10523</v>
      </c>
      <c r="E324" s="159">
        <v>53</v>
      </c>
      <c r="F324" s="157" t="s">
        <v>10856</v>
      </c>
      <c r="G324" s="155" t="s">
        <v>10855</v>
      </c>
      <c r="H324" s="113" t="s">
        <v>9767</v>
      </c>
      <c r="I324" s="4" t="s">
        <v>10855</v>
      </c>
      <c r="J324" s="155" t="s">
        <v>10856</v>
      </c>
      <c r="K324" s="2" t="s">
        <v>10855</v>
      </c>
    </row>
    <row r="325" spans="1:11" s="2" customFormat="1" x14ac:dyDescent="0.25">
      <c r="A325" s="114" t="s">
        <v>10857</v>
      </c>
      <c r="B325" s="4" t="s">
        <v>10858</v>
      </c>
      <c r="C325" s="113" t="s">
        <v>15363</v>
      </c>
      <c r="D325" s="155" t="s">
        <v>10859</v>
      </c>
      <c r="E325" s="159">
        <v>195</v>
      </c>
      <c r="F325" s="157" t="s">
        <v>10860</v>
      </c>
      <c r="G325" s="155" t="s">
        <v>10858</v>
      </c>
      <c r="H325" s="113" t="s">
        <v>9767</v>
      </c>
      <c r="I325" s="4" t="s">
        <v>10858</v>
      </c>
      <c r="J325" s="155" t="s">
        <v>10860</v>
      </c>
      <c r="K325" s="2" t="s">
        <v>10954</v>
      </c>
    </row>
    <row r="326" spans="1:11" s="2" customFormat="1" x14ac:dyDescent="0.25">
      <c r="A326" s="114" t="s">
        <v>10861</v>
      </c>
      <c r="B326" s="4" t="s">
        <v>10862</v>
      </c>
      <c r="C326" s="113" t="s">
        <v>4</v>
      </c>
      <c r="D326" s="155" t="s">
        <v>10863</v>
      </c>
      <c r="E326" s="159">
        <v>65</v>
      </c>
      <c r="F326" s="157" t="s">
        <v>10864</v>
      </c>
      <c r="G326" s="155" t="s">
        <v>10862</v>
      </c>
      <c r="H326" s="113" t="s">
        <v>9767</v>
      </c>
      <c r="I326" s="4" t="s">
        <v>10862</v>
      </c>
      <c r="J326" s="155" t="s">
        <v>10864</v>
      </c>
      <c r="K326" s="2" t="s">
        <v>10774</v>
      </c>
    </row>
    <row r="327" spans="1:11" s="2" customFormat="1" x14ac:dyDescent="0.25">
      <c r="A327" s="114" t="s">
        <v>10865</v>
      </c>
      <c r="B327" s="4" t="s">
        <v>10866</v>
      </c>
      <c r="C327" s="113" t="s">
        <v>4</v>
      </c>
      <c r="D327" s="155" t="s">
        <v>10867</v>
      </c>
      <c r="E327" s="159">
        <v>441</v>
      </c>
      <c r="F327" s="157" t="s">
        <v>10868</v>
      </c>
      <c r="G327" s="155" t="s">
        <v>10866</v>
      </c>
      <c r="H327" s="113" t="s">
        <v>9767</v>
      </c>
      <c r="I327" s="4" t="s">
        <v>10866</v>
      </c>
      <c r="J327" s="155" t="s">
        <v>10868</v>
      </c>
      <c r="K327" s="2" t="s">
        <v>10970</v>
      </c>
    </row>
    <row r="328" spans="1:11" s="2" customFormat="1" x14ac:dyDescent="0.25">
      <c r="A328" s="114" t="s">
        <v>10869</v>
      </c>
      <c r="B328" s="4" t="s">
        <v>10870</v>
      </c>
      <c r="C328" s="113" t="s">
        <v>4</v>
      </c>
      <c r="D328" s="155" t="s">
        <v>10871</v>
      </c>
      <c r="E328" s="159">
        <v>362</v>
      </c>
      <c r="F328" s="157" t="s">
        <v>10872</v>
      </c>
      <c r="G328" s="155" t="s">
        <v>10870</v>
      </c>
      <c r="H328" s="113" t="s">
        <v>9767</v>
      </c>
      <c r="I328" s="4" t="s">
        <v>10870</v>
      </c>
      <c r="J328" s="155" t="s">
        <v>10872</v>
      </c>
      <c r="K328" s="2" t="s">
        <v>10954</v>
      </c>
    </row>
    <row r="329" spans="1:11" s="2" customFormat="1" x14ac:dyDescent="0.25">
      <c r="A329" s="114" t="s">
        <v>10873</v>
      </c>
      <c r="B329" s="4" t="s">
        <v>10874</v>
      </c>
      <c r="C329" s="113" t="s">
        <v>4</v>
      </c>
      <c r="D329" s="155" t="s">
        <v>10500</v>
      </c>
      <c r="E329" s="159">
        <v>633</v>
      </c>
      <c r="F329" s="157" t="s">
        <v>10875</v>
      </c>
      <c r="G329" s="155" t="s">
        <v>10874</v>
      </c>
      <c r="H329" s="113" t="s">
        <v>9767</v>
      </c>
      <c r="I329" s="4" t="s">
        <v>10874</v>
      </c>
      <c r="J329" s="155" t="s">
        <v>10875</v>
      </c>
      <c r="K329" s="2" t="s">
        <v>10598</v>
      </c>
    </row>
    <row r="330" spans="1:11" s="2" customFormat="1" x14ac:dyDescent="0.25">
      <c r="A330" s="114" t="s">
        <v>10876</v>
      </c>
      <c r="B330" s="4" t="s">
        <v>10877</v>
      </c>
      <c r="C330" s="113" t="s">
        <v>4</v>
      </c>
      <c r="D330" s="155" t="s">
        <v>10878</v>
      </c>
      <c r="E330" s="159">
        <v>502</v>
      </c>
      <c r="F330" s="157" t="s">
        <v>10880</v>
      </c>
      <c r="G330" s="155" t="s">
        <v>10879</v>
      </c>
      <c r="H330" s="113" t="s">
        <v>9767</v>
      </c>
      <c r="I330" s="4" t="s">
        <v>10877</v>
      </c>
      <c r="J330" s="155" t="s">
        <v>10880</v>
      </c>
      <c r="K330" s="2" t="s">
        <v>10744</v>
      </c>
    </row>
    <row r="331" spans="1:11" s="2" customFormat="1" x14ac:dyDescent="0.25">
      <c r="A331" s="114" t="s">
        <v>10881</v>
      </c>
      <c r="B331" s="4" t="s">
        <v>10882</v>
      </c>
      <c r="C331" s="113" t="s">
        <v>15363</v>
      </c>
      <c r="D331" s="155" t="s">
        <v>9887</v>
      </c>
      <c r="E331" s="159">
        <v>429</v>
      </c>
      <c r="F331" s="157" t="s">
        <v>10884</v>
      </c>
      <c r="G331" s="155" t="s">
        <v>10883</v>
      </c>
      <c r="H331" s="113" t="s">
        <v>9767</v>
      </c>
      <c r="I331" s="4" t="s">
        <v>10882</v>
      </c>
      <c r="J331" s="155" t="s">
        <v>10884</v>
      </c>
      <c r="K331" s="2" t="s">
        <v>10883</v>
      </c>
    </row>
    <row r="332" spans="1:11" s="2" customFormat="1" x14ac:dyDescent="0.25">
      <c r="A332" s="114" t="s">
        <v>10885</v>
      </c>
      <c r="B332" s="4" t="s">
        <v>10886</v>
      </c>
      <c r="C332" s="113" t="s">
        <v>4</v>
      </c>
      <c r="D332" s="155" t="s">
        <v>15366</v>
      </c>
      <c r="E332" s="159">
        <v>213</v>
      </c>
      <c r="F332" s="157" t="s">
        <v>10887</v>
      </c>
      <c r="G332" s="155" t="s">
        <v>10886</v>
      </c>
      <c r="H332" s="113" t="s">
        <v>9767</v>
      </c>
      <c r="I332" s="4" t="s">
        <v>10886</v>
      </c>
      <c r="J332" s="155" t="s">
        <v>10887</v>
      </c>
      <c r="K332" s="2" t="s">
        <v>10970</v>
      </c>
    </row>
    <row r="333" spans="1:11" s="2" customFormat="1" x14ac:dyDescent="0.25">
      <c r="A333" s="114" t="s">
        <v>10888</v>
      </c>
      <c r="B333" s="4" t="s">
        <v>10889</v>
      </c>
      <c r="C333" s="113" t="s">
        <v>15363</v>
      </c>
      <c r="D333" s="155" t="s">
        <v>9846</v>
      </c>
      <c r="E333" s="159">
        <v>653</v>
      </c>
      <c r="F333" s="157" t="s">
        <v>10890</v>
      </c>
      <c r="G333" s="155" t="s">
        <v>10889</v>
      </c>
      <c r="H333" s="113" t="s">
        <v>9767</v>
      </c>
      <c r="I333" s="4" t="s">
        <v>10889</v>
      </c>
      <c r="J333" s="155" t="s">
        <v>10890</v>
      </c>
      <c r="K333" s="2" t="s">
        <v>10889</v>
      </c>
    </row>
    <row r="334" spans="1:11" s="2" customFormat="1" x14ac:dyDescent="0.25">
      <c r="A334" s="114" t="s">
        <v>10891</v>
      </c>
      <c r="B334" s="4" t="s">
        <v>10892</v>
      </c>
      <c r="C334" s="113" t="s">
        <v>4</v>
      </c>
      <c r="D334" s="155" t="s">
        <v>10893</v>
      </c>
      <c r="E334" s="159">
        <v>61</v>
      </c>
      <c r="F334" s="157" t="s">
        <v>10894</v>
      </c>
      <c r="G334" s="155" t="s">
        <v>10892</v>
      </c>
      <c r="H334" s="113" t="s">
        <v>9767</v>
      </c>
      <c r="I334" s="4" t="s">
        <v>10892</v>
      </c>
      <c r="J334" s="155" t="s">
        <v>10894</v>
      </c>
      <c r="K334" s="2" t="s">
        <v>15392</v>
      </c>
    </row>
    <row r="335" spans="1:11" s="2" customFormat="1" x14ac:dyDescent="0.25">
      <c r="A335" s="114" t="s">
        <v>10895</v>
      </c>
      <c r="B335" s="4" t="s">
        <v>10896</v>
      </c>
      <c r="C335" s="113" t="s">
        <v>4</v>
      </c>
      <c r="D335" s="155" t="s">
        <v>10616</v>
      </c>
      <c r="E335" s="159">
        <v>0</v>
      </c>
      <c r="F335" s="157" t="s">
        <v>10897</v>
      </c>
      <c r="G335" s="155" t="s">
        <v>10896</v>
      </c>
      <c r="H335" s="113" t="s">
        <v>9767</v>
      </c>
      <c r="I335" s="4" t="s">
        <v>10896</v>
      </c>
      <c r="J335" s="155" t="s">
        <v>10897</v>
      </c>
      <c r="K335" s="2" t="s">
        <v>10937</v>
      </c>
    </row>
    <row r="336" spans="1:11" s="2" customFormat="1" x14ac:dyDescent="0.25">
      <c r="A336" s="114" t="s">
        <v>10898</v>
      </c>
      <c r="B336" s="4" t="s">
        <v>10899</v>
      </c>
      <c r="C336" s="113" t="s">
        <v>15363</v>
      </c>
      <c r="D336" s="155" t="s">
        <v>10900</v>
      </c>
      <c r="E336" s="159">
        <v>364</v>
      </c>
      <c r="F336" s="157" t="s">
        <v>10901</v>
      </c>
      <c r="G336" s="155" t="s">
        <v>10899</v>
      </c>
      <c r="H336" s="113" t="s">
        <v>9767</v>
      </c>
      <c r="I336" s="4" t="s">
        <v>10899</v>
      </c>
      <c r="J336" s="155" t="s">
        <v>10901</v>
      </c>
      <c r="K336" s="2" t="s">
        <v>10851</v>
      </c>
    </row>
    <row r="337" spans="1:11" s="2" customFormat="1" x14ac:dyDescent="0.25">
      <c r="A337" s="114" t="s">
        <v>10902</v>
      </c>
      <c r="B337" s="4" t="s">
        <v>10903</v>
      </c>
      <c r="C337" s="113" t="s">
        <v>4</v>
      </c>
      <c r="D337" s="155" t="s">
        <v>10904</v>
      </c>
      <c r="E337" s="159">
        <v>50</v>
      </c>
      <c r="F337" s="157" t="s">
        <v>10905</v>
      </c>
      <c r="G337" s="155" t="s">
        <v>10903</v>
      </c>
      <c r="H337" s="113" t="s">
        <v>9767</v>
      </c>
      <c r="I337" s="4" t="s">
        <v>10903</v>
      </c>
      <c r="J337" s="155" t="s">
        <v>10905</v>
      </c>
      <c r="K337" s="2" t="s">
        <v>10848</v>
      </c>
    </row>
    <row r="338" spans="1:11" s="2" customFormat="1" x14ac:dyDescent="0.25">
      <c r="A338" s="114" t="s">
        <v>10906</v>
      </c>
      <c r="B338" s="4" t="s">
        <v>10907</v>
      </c>
      <c r="C338" s="113" t="s">
        <v>15363</v>
      </c>
      <c r="D338" s="155" t="s">
        <v>10443</v>
      </c>
      <c r="E338" s="159">
        <v>3654</v>
      </c>
      <c r="F338" s="157" t="s">
        <v>10909</v>
      </c>
      <c r="G338" s="155" t="s">
        <v>10908</v>
      </c>
      <c r="H338" s="113" t="s">
        <v>9767</v>
      </c>
      <c r="I338" s="4" t="s">
        <v>10907</v>
      </c>
      <c r="J338" s="155" t="s">
        <v>10909</v>
      </c>
      <c r="K338" s="2" t="s">
        <v>10744</v>
      </c>
    </row>
    <row r="339" spans="1:11" s="2" customFormat="1" x14ac:dyDescent="0.25">
      <c r="A339" s="114" t="s">
        <v>10910</v>
      </c>
      <c r="B339" s="4" t="s">
        <v>10911</v>
      </c>
      <c r="C339" s="113" t="s">
        <v>4</v>
      </c>
      <c r="D339" s="155" t="s">
        <v>15366</v>
      </c>
      <c r="E339" s="159">
        <v>948</v>
      </c>
      <c r="F339" s="157" t="s">
        <v>10913</v>
      </c>
      <c r="G339" s="155" t="s">
        <v>10912</v>
      </c>
      <c r="H339" s="113" t="s">
        <v>9767</v>
      </c>
      <c r="I339" s="4" t="s">
        <v>10911</v>
      </c>
      <c r="J339" s="155" t="s">
        <v>10913</v>
      </c>
      <c r="K339" s="2" t="s">
        <v>10843</v>
      </c>
    </row>
    <row r="340" spans="1:11" s="2" customFormat="1" x14ac:dyDescent="0.25">
      <c r="A340" s="114" t="s">
        <v>10914</v>
      </c>
      <c r="B340" s="4" t="s">
        <v>10915</v>
      </c>
      <c r="C340" s="113" t="s">
        <v>4</v>
      </c>
      <c r="D340" s="155" t="s">
        <v>15369</v>
      </c>
      <c r="E340" s="159">
        <v>75</v>
      </c>
      <c r="F340" s="157" t="s">
        <v>10916</v>
      </c>
      <c r="G340" s="155" t="s">
        <v>10915</v>
      </c>
      <c r="H340" s="113" t="s">
        <v>9767</v>
      </c>
      <c r="I340" s="4" t="s">
        <v>10915</v>
      </c>
      <c r="J340" s="155" t="s">
        <v>10916</v>
      </c>
      <c r="K340" s="2" t="s">
        <v>10883</v>
      </c>
    </row>
    <row r="341" spans="1:11" s="2" customFormat="1" x14ac:dyDescent="0.25">
      <c r="A341" s="114" t="s">
        <v>10917</v>
      </c>
      <c r="B341" s="4" t="s">
        <v>9786</v>
      </c>
      <c r="C341" s="113" t="s">
        <v>15363</v>
      </c>
      <c r="D341" s="155" t="s">
        <v>10918</v>
      </c>
      <c r="E341" s="159">
        <v>1133</v>
      </c>
      <c r="F341" s="157" t="s">
        <v>10919</v>
      </c>
      <c r="G341" s="155" t="s">
        <v>9786</v>
      </c>
      <c r="H341" s="113" t="s">
        <v>9767</v>
      </c>
      <c r="I341" s="4" t="s">
        <v>9786</v>
      </c>
      <c r="J341" s="155" t="s">
        <v>10919</v>
      </c>
      <c r="K341" s="2" t="s">
        <v>9786</v>
      </c>
    </row>
    <row r="342" spans="1:11" s="2" customFormat="1" x14ac:dyDescent="0.25">
      <c r="A342" s="114" t="s">
        <v>10920</v>
      </c>
      <c r="B342" s="4" t="s">
        <v>10921</v>
      </c>
      <c r="C342" s="113" t="s">
        <v>4</v>
      </c>
      <c r="D342" s="155" t="s">
        <v>10922</v>
      </c>
      <c r="E342" s="159">
        <v>1101</v>
      </c>
      <c r="F342" s="157" t="s">
        <v>10923</v>
      </c>
      <c r="G342" s="155" t="s">
        <v>10921</v>
      </c>
      <c r="H342" s="113" t="s">
        <v>9767</v>
      </c>
      <c r="I342" s="4" t="s">
        <v>10921</v>
      </c>
      <c r="J342" s="155" t="s">
        <v>10923</v>
      </c>
      <c r="K342" s="2" t="s">
        <v>15392</v>
      </c>
    </row>
    <row r="343" spans="1:11" s="2" customFormat="1" x14ac:dyDescent="0.25">
      <c r="A343" s="114" t="s">
        <v>10924</v>
      </c>
      <c r="B343" s="4" t="s">
        <v>10925</v>
      </c>
      <c r="C343" s="113" t="s">
        <v>4</v>
      </c>
      <c r="D343" s="155" t="s">
        <v>10485</v>
      </c>
      <c r="E343" s="159">
        <v>265</v>
      </c>
      <c r="F343" s="157" t="s">
        <v>10927</v>
      </c>
      <c r="G343" s="155" t="s">
        <v>10926</v>
      </c>
      <c r="H343" s="113" t="s">
        <v>9767</v>
      </c>
      <c r="I343" s="4" t="s">
        <v>10925</v>
      </c>
      <c r="J343" s="155" t="s">
        <v>10927</v>
      </c>
      <c r="K343" s="2" t="s">
        <v>15394</v>
      </c>
    </row>
    <row r="344" spans="1:11" s="2" customFormat="1" x14ac:dyDescent="0.25">
      <c r="A344" s="114" t="s">
        <v>10928</v>
      </c>
      <c r="B344" s="4" t="s">
        <v>10930</v>
      </c>
      <c r="C344" s="113" t="s">
        <v>15363</v>
      </c>
      <c r="D344" s="155" t="s">
        <v>10929</v>
      </c>
      <c r="E344" s="159">
        <v>650</v>
      </c>
      <c r="F344" s="157" t="s">
        <v>10931</v>
      </c>
      <c r="G344" s="155" t="s">
        <v>10930</v>
      </c>
      <c r="H344" s="113" t="s">
        <v>9767</v>
      </c>
      <c r="I344" s="4" t="s">
        <v>10930</v>
      </c>
      <c r="J344" s="155" t="s">
        <v>10931</v>
      </c>
      <c r="K344" s="2" t="s">
        <v>15392</v>
      </c>
    </row>
    <row r="345" spans="1:11" s="2" customFormat="1" x14ac:dyDescent="0.25">
      <c r="A345" s="114" t="s">
        <v>10932</v>
      </c>
      <c r="B345" s="4" t="s">
        <v>10933</v>
      </c>
      <c r="C345" s="113" t="s">
        <v>4</v>
      </c>
      <c r="D345" s="155" t="s">
        <v>10934</v>
      </c>
      <c r="E345" s="159">
        <v>300</v>
      </c>
      <c r="F345" s="157" t="s">
        <v>10935</v>
      </c>
      <c r="G345" s="155" t="s">
        <v>10933</v>
      </c>
      <c r="H345" s="113" t="s">
        <v>9767</v>
      </c>
      <c r="I345" s="4" t="s">
        <v>10933</v>
      </c>
      <c r="J345" s="155" t="s">
        <v>10935</v>
      </c>
      <c r="K345" s="2" t="s">
        <v>10762</v>
      </c>
    </row>
    <row r="346" spans="1:11" s="2" customFormat="1" x14ac:dyDescent="0.25">
      <c r="A346" s="114" t="s">
        <v>10936</v>
      </c>
      <c r="B346" s="4" t="s">
        <v>10937</v>
      </c>
      <c r="C346" s="113" t="s">
        <v>15363</v>
      </c>
      <c r="D346" s="155" t="s">
        <v>10775</v>
      </c>
      <c r="E346" s="159">
        <v>2973</v>
      </c>
      <c r="F346" s="157" t="s">
        <v>10938</v>
      </c>
      <c r="G346" s="155" t="s">
        <v>10937</v>
      </c>
      <c r="H346" s="113" t="s">
        <v>9767</v>
      </c>
      <c r="I346" s="4" t="s">
        <v>10937</v>
      </c>
      <c r="J346" s="155" t="s">
        <v>10938</v>
      </c>
      <c r="K346" s="2" t="s">
        <v>10937</v>
      </c>
    </row>
    <row r="347" spans="1:11" s="2" customFormat="1" x14ac:dyDescent="0.25">
      <c r="A347" s="114" t="s">
        <v>10939</v>
      </c>
      <c r="B347" s="4" t="s">
        <v>10940</v>
      </c>
      <c r="C347" s="113" t="s">
        <v>4</v>
      </c>
      <c r="D347" s="155" t="s">
        <v>9819</v>
      </c>
      <c r="E347" s="159">
        <v>257</v>
      </c>
      <c r="F347" s="157" t="s">
        <v>10941</v>
      </c>
      <c r="G347" s="155" t="s">
        <v>10940</v>
      </c>
      <c r="H347" s="113" t="s">
        <v>9767</v>
      </c>
      <c r="I347" s="4" t="s">
        <v>10940</v>
      </c>
      <c r="J347" s="155" t="s">
        <v>10941</v>
      </c>
      <c r="K347" s="2" t="s">
        <v>10762</v>
      </c>
    </row>
    <row r="348" spans="1:11" s="2" customFormat="1" x14ac:dyDescent="0.25">
      <c r="A348" s="114" t="s">
        <v>10942</v>
      </c>
      <c r="B348" s="4" t="s">
        <v>10943</v>
      </c>
      <c r="C348" s="113" t="s">
        <v>15363</v>
      </c>
      <c r="D348" s="155" t="s">
        <v>10944</v>
      </c>
      <c r="E348" s="159">
        <v>253</v>
      </c>
      <c r="F348" s="157" t="s">
        <v>10945</v>
      </c>
      <c r="G348" s="155" t="s">
        <v>10943</v>
      </c>
      <c r="H348" s="113" t="s">
        <v>9767</v>
      </c>
      <c r="I348" s="4" t="s">
        <v>10943</v>
      </c>
      <c r="J348" s="155" t="s">
        <v>10945</v>
      </c>
      <c r="K348" s="2" t="s">
        <v>10843</v>
      </c>
    </row>
    <row r="349" spans="1:11" s="2" customFormat="1" x14ac:dyDescent="0.25">
      <c r="A349" s="114" t="s">
        <v>10946</v>
      </c>
      <c r="B349" s="4" t="s">
        <v>10947</v>
      </c>
      <c r="C349" s="113" t="s">
        <v>15363</v>
      </c>
      <c r="D349" s="155" t="s">
        <v>10948</v>
      </c>
      <c r="E349" s="159">
        <v>141</v>
      </c>
      <c r="F349" s="157" t="s">
        <v>10949</v>
      </c>
      <c r="G349" s="155" t="s">
        <v>10947</v>
      </c>
      <c r="H349" s="113" t="s">
        <v>9767</v>
      </c>
      <c r="I349" s="4" t="s">
        <v>10947</v>
      </c>
      <c r="J349" s="155" t="s">
        <v>10949</v>
      </c>
      <c r="K349" s="2" t="s">
        <v>15392</v>
      </c>
    </row>
    <row r="350" spans="1:11" s="2" customFormat="1" x14ac:dyDescent="0.25">
      <c r="A350" s="114" t="s">
        <v>10950</v>
      </c>
      <c r="B350" s="4" t="s">
        <v>10951</v>
      </c>
      <c r="C350" s="113" t="s">
        <v>15363</v>
      </c>
      <c r="D350" s="155" t="s">
        <v>9801</v>
      </c>
      <c r="E350" s="159">
        <v>47</v>
      </c>
      <c r="F350" s="157" t="s">
        <v>10952</v>
      </c>
      <c r="G350" s="155" t="s">
        <v>10951</v>
      </c>
      <c r="H350" s="113" t="s">
        <v>9767</v>
      </c>
      <c r="I350" s="4" t="s">
        <v>10951</v>
      </c>
      <c r="J350" s="155" t="s">
        <v>10952</v>
      </c>
      <c r="K350" s="2" t="s">
        <v>10970</v>
      </c>
    </row>
    <row r="351" spans="1:11" s="2" customFormat="1" x14ac:dyDescent="0.25">
      <c r="A351" s="114" t="s">
        <v>10953</v>
      </c>
      <c r="B351" s="4" t="s">
        <v>15360</v>
      </c>
      <c r="C351" s="113" t="s">
        <v>15363</v>
      </c>
      <c r="D351" s="155" t="s">
        <v>10114</v>
      </c>
      <c r="E351" s="159">
        <v>682</v>
      </c>
      <c r="F351" s="157" t="s">
        <v>10955</v>
      </c>
      <c r="G351" s="155" t="s">
        <v>10954</v>
      </c>
      <c r="H351" s="113" t="s">
        <v>9767</v>
      </c>
      <c r="I351" s="4" t="s">
        <v>15360</v>
      </c>
      <c r="J351" s="155" t="s">
        <v>10955</v>
      </c>
      <c r="K351" s="2" t="s">
        <v>10954</v>
      </c>
    </row>
    <row r="352" spans="1:11" s="2" customFormat="1" x14ac:dyDescent="0.25">
      <c r="A352" s="114" t="s">
        <v>10956</v>
      </c>
      <c r="B352" s="4" t="s">
        <v>10957</v>
      </c>
      <c r="C352" s="113" t="s">
        <v>4</v>
      </c>
      <c r="D352" s="155" t="s">
        <v>10958</v>
      </c>
      <c r="E352" s="159">
        <v>4325</v>
      </c>
      <c r="F352" s="157" t="s">
        <v>10959</v>
      </c>
      <c r="G352" s="155" t="s">
        <v>10957</v>
      </c>
      <c r="H352" s="113" t="s">
        <v>9767</v>
      </c>
      <c r="I352" s="4" t="s">
        <v>10957</v>
      </c>
      <c r="J352" s="155" t="s">
        <v>10959</v>
      </c>
      <c r="K352" s="2" t="s">
        <v>10851</v>
      </c>
    </row>
    <row r="353" spans="1:11" s="2" customFormat="1" x14ac:dyDescent="0.25">
      <c r="A353" s="114" t="s">
        <v>10960</v>
      </c>
      <c r="B353" s="4" t="s">
        <v>10961</v>
      </c>
      <c r="C353" s="113" t="s">
        <v>4</v>
      </c>
      <c r="D353" s="155" t="s">
        <v>10962</v>
      </c>
      <c r="E353" s="159">
        <v>0</v>
      </c>
      <c r="F353" s="157" t="s">
        <v>10963</v>
      </c>
      <c r="G353" s="155" t="s">
        <v>10961</v>
      </c>
      <c r="H353" s="113" t="s">
        <v>9767</v>
      </c>
      <c r="I353" s="4" t="s">
        <v>10961</v>
      </c>
      <c r="J353" s="155" t="s">
        <v>10963</v>
      </c>
      <c r="K353" s="2" t="s">
        <v>15393</v>
      </c>
    </row>
    <row r="354" spans="1:11" s="2" customFormat="1" x14ac:dyDescent="0.25">
      <c r="A354" s="114" t="s">
        <v>10964</v>
      </c>
      <c r="B354" s="4" t="s">
        <v>10965</v>
      </c>
      <c r="C354" s="113" t="s">
        <v>15363</v>
      </c>
      <c r="D354" s="155" t="s">
        <v>9912</v>
      </c>
      <c r="E354" s="159">
        <v>602</v>
      </c>
      <c r="F354" s="157" t="s">
        <v>10966</v>
      </c>
      <c r="G354" s="155" t="s">
        <v>10965</v>
      </c>
      <c r="H354" s="113" t="s">
        <v>9767</v>
      </c>
      <c r="I354" s="4" t="s">
        <v>10965</v>
      </c>
      <c r="J354" s="155" t="s">
        <v>10966</v>
      </c>
      <c r="K354" s="2" t="s">
        <v>15393</v>
      </c>
    </row>
    <row r="355" spans="1:11" s="2" customFormat="1" x14ac:dyDescent="0.25">
      <c r="A355" s="114" t="s">
        <v>10967</v>
      </c>
      <c r="B355" s="4" t="s">
        <v>9946</v>
      </c>
      <c r="C355" s="113" t="s">
        <v>15363</v>
      </c>
      <c r="D355" s="155" t="s">
        <v>9887</v>
      </c>
      <c r="E355" s="159">
        <v>310</v>
      </c>
      <c r="F355" s="157" t="s">
        <v>10968</v>
      </c>
      <c r="G355" s="155" t="s">
        <v>9946</v>
      </c>
      <c r="H355" s="113" t="s">
        <v>9767</v>
      </c>
      <c r="I355" s="4" t="s">
        <v>9946</v>
      </c>
      <c r="J355" s="155" t="s">
        <v>10968</v>
      </c>
      <c r="K355" s="2" t="s">
        <v>15394</v>
      </c>
    </row>
    <row r="356" spans="1:11" s="2" customFormat="1" x14ac:dyDescent="0.25">
      <c r="A356" s="114" t="s">
        <v>10969</v>
      </c>
      <c r="B356" s="4" t="s">
        <v>10970</v>
      </c>
      <c r="C356" s="113" t="s">
        <v>4</v>
      </c>
      <c r="D356" s="155" t="s">
        <v>10971</v>
      </c>
      <c r="E356" s="159">
        <v>300</v>
      </c>
      <c r="F356" s="157" t="s">
        <v>10972</v>
      </c>
      <c r="G356" s="155" t="s">
        <v>10970</v>
      </c>
      <c r="H356" s="113" t="s">
        <v>9767</v>
      </c>
      <c r="I356" s="4" t="s">
        <v>10970</v>
      </c>
      <c r="J356" s="155" t="s">
        <v>10972</v>
      </c>
      <c r="K356" s="2" t="s">
        <v>10970</v>
      </c>
    </row>
    <row r="357" spans="1:11" s="2" customFormat="1" x14ac:dyDescent="0.25">
      <c r="A357" s="114" t="s">
        <v>10973</v>
      </c>
      <c r="B357" s="4" t="s">
        <v>10974</v>
      </c>
      <c r="C357" s="113" t="s">
        <v>4</v>
      </c>
      <c r="D357" s="155" t="s">
        <v>10975</v>
      </c>
      <c r="E357" s="159">
        <v>453</v>
      </c>
      <c r="F357" s="157" t="s">
        <v>10976</v>
      </c>
      <c r="G357" s="155" t="s">
        <v>10974</v>
      </c>
      <c r="H357" s="113" t="s">
        <v>9767</v>
      </c>
      <c r="I357" s="4" t="s">
        <v>10974</v>
      </c>
      <c r="J357" s="155" t="s">
        <v>10976</v>
      </c>
      <c r="K357" s="2" t="s">
        <v>10855</v>
      </c>
    </row>
    <row r="358" spans="1:11" s="2" customFormat="1" x14ac:dyDescent="0.25">
      <c r="A358" s="114" t="s">
        <v>10977</v>
      </c>
      <c r="B358" s="4" t="s">
        <v>10978</v>
      </c>
      <c r="C358" s="113" t="s">
        <v>4</v>
      </c>
      <c r="D358" s="155" t="s">
        <v>10144</v>
      </c>
      <c r="E358" s="159">
        <v>324</v>
      </c>
      <c r="F358" s="157" t="s">
        <v>10979</v>
      </c>
      <c r="G358" s="155" t="s">
        <v>10978</v>
      </c>
      <c r="H358" s="113" t="s">
        <v>9767</v>
      </c>
      <c r="I358" s="4" t="s">
        <v>10978</v>
      </c>
      <c r="J358" s="155" t="s">
        <v>10979</v>
      </c>
      <c r="K358" s="2" t="s">
        <v>10758</v>
      </c>
    </row>
    <row r="359" spans="1:11" s="2" customFormat="1" x14ac:dyDescent="0.25">
      <c r="A359" s="114" t="s">
        <v>10980</v>
      </c>
      <c r="B359" s="4" t="s">
        <v>10981</v>
      </c>
      <c r="C359" s="113" t="s">
        <v>4</v>
      </c>
      <c r="D359" s="155" t="s">
        <v>10982</v>
      </c>
      <c r="E359" s="159">
        <v>567</v>
      </c>
      <c r="F359" s="157" t="s">
        <v>10984</v>
      </c>
      <c r="G359" s="155" t="s">
        <v>10983</v>
      </c>
      <c r="H359" s="113" t="s">
        <v>9767</v>
      </c>
      <c r="I359" s="4" t="s">
        <v>10981</v>
      </c>
      <c r="J359" s="155" t="s">
        <v>10984</v>
      </c>
      <c r="K359" s="2" t="s">
        <v>10762</v>
      </c>
    </row>
    <row r="360" spans="1:11" s="2" customFormat="1" x14ac:dyDescent="0.25">
      <c r="A360" s="114" t="s">
        <v>10985</v>
      </c>
      <c r="B360" s="4" t="s">
        <v>10986</v>
      </c>
      <c r="C360" s="113" t="s">
        <v>4</v>
      </c>
      <c r="D360" s="155" t="s">
        <v>10987</v>
      </c>
      <c r="E360" s="159">
        <v>175</v>
      </c>
      <c r="F360" s="157" t="s">
        <v>10988</v>
      </c>
      <c r="G360" s="155" t="s">
        <v>10986</v>
      </c>
      <c r="H360" s="113" t="s">
        <v>9767</v>
      </c>
      <c r="I360" s="4" t="s">
        <v>10986</v>
      </c>
      <c r="J360" s="155" t="s">
        <v>10988</v>
      </c>
      <c r="K360" s="2" t="s">
        <v>15394</v>
      </c>
    </row>
    <row r="361" spans="1:11" s="2" customFormat="1" x14ac:dyDescent="0.25">
      <c r="A361" s="114" t="s">
        <v>10989</v>
      </c>
      <c r="B361" s="4" t="s">
        <v>10990</v>
      </c>
      <c r="C361" s="113" t="s">
        <v>4</v>
      </c>
      <c r="D361" s="155" t="s">
        <v>10991</v>
      </c>
      <c r="E361" s="159">
        <v>195</v>
      </c>
      <c r="F361" s="157" t="s">
        <v>10992</v>
      </c>
      <c r="G361" s="155" t="s">
        <v>10990</v>
      </c>
      <c r="H361" s="113" t="s">
        <v>9767</v>
      </c>
      <c r="I361" s="4" t="s">
        <v>10990</v>
      </c>
      <c r="J361" s="155" t="s">
        <v>10992</v>
      </c>
      <c r="K361" s="2" t="s">
        <v>10758</v>
      </c>
    </row>
    <row r="362" spans="1:11" s="2" customFormat="1" x14ac:dyDescent="0.25">
      <c r="A362" s="114" t="s">
        <v>10993</v>
      </c>
      <c r="B362" s="4" t="s">
        <v>10994</v>
      </c>
      <c r="C362" s="113" t="s">
        <v>4</v>
      </c>
      <c r="D362" s="155" t="s">
        <v>10995</v>
      </c>
      <c r="E362" s="159">
        <v>2190</v>
      </c>
      <c r="F362" s="157" t="s">
        <v>10996</v>
      </c>
      <c r="G362" s="155" t="s">
        <v>10994</v>
      </c>
      <c r="H362" s="113" t="s">
        <v>9767</v>
      </c>
      <c r="I362" s="4" t="s">
        <v>10994</v>
      </c>
      <c r="J362" s="155" t="s">
        <v>10996</v>
      </c>
      <c r="K362" s="2" t="s">
        <v>10937</v>
      </c>
    </row>
    <row r="363" spans="1:11" s="2" customFormat="1" x14ac:dyDescent="0.25">
      <c r="A363" s="114" t="s">
        <v>10997</v>
      </c>
      <c r="B363" s="4" t="s">
        <v>10998</v>
      </c>
      <c r="C363" s="113" t="s">
        <v>4</v>
      </c>
      <c r="D363" s="155" t="s">
        <v>10900</v>
      </c>
      <c r="E363" s="159">
        <v>1958</v>
      </c>
      <c r="F363" s="157" t="s">
        <v>11000</v>
      </c>
      <c r="G363" s="155" t="s">
        <v>10999</v>
      </c>
      <c r="H363" s="113" t="s">
        <v>9767</v>
      </c>
      <c r="I363" s="4" t="s">
        <v>10998</v>
      </c>
      <c r="J363" s="155" t="s">
        <v>11000</v>
      </c>
      <c r="K363" s="2" t="s">
        <v>15395</v>
      </c>
    </row>
    <row r="364" spans="1:11" s="2" customFormat="1" x14ac:dyDescent="0.25">
      <c r="A364" s="114" t="s">
        <v>11001</v>
      </c>
      <c r="B364" s="4" t="s">
        <v>11002</v>
      </c>
      <c r="C364" s="113" t="s">
        <v>4</v>
      </c>
      <c r="D364" s="155" t="s">
        <v>11003</v>
      </c>
      <c r="E364" s="159">
        <v>2714</v>
      </c>
      <c r="F364" s="157" t="s">
        <v>11004</v>
      </c>
      <c r="G364" s="155" t="s">
        <v>10999</v>
      </c>
      <c r="H364" s="113" t="s">
        <v>9767</v>
      </c>
      <c r="I364" s="4" t="s">
        <v>11002</v>
      </c>
      <c r="J364" s="155" t="s">
        <v>11004</v>
      </c>
      <c r="K364" s="2" t="s">
        <v>15395</v>
      </c>
    </row>
    <row r="365" spans="1:11" s="2" customFormat="1" x14ac:dyDescent="0.25">
      <c r="A365" s="114" t="s">
        <v>11005</v>
      </c>
      <c r="B365" s="4" t="s">
        <v>11006</v>
      </c>
      <c r="C365" s="113" t="s">
        <v>4</v>
      </c>
      <c r="D365" s="155" t="s">
        <v>11007</v>
      </c>
      <c r="E365" s="159">
        <v>1333</v>
      </c>
      <c r="F365" s="157" t="s">
        <v>11008</v>
      </c>
      <c r="G365" s="155" t="s">
        <v>10999</v>
      </c>
      <c r="H365" s="113" t="s">
        <v>9767</v>
      </c>
      <c r="I365" s="4" t="s">
        <v>11006</v>
      </c>
      <c r="J365" s="155" t="s">
        <v>11008</v>
      </c>
      <c r="K365" s="2" t="s">
        <v>15395</v>
      </c>
    </row>
    <row r="366" spans="1:11" s="2" customFormat="1" x14ac:dyDescent="0.25">
      <c r="A366" s="114" t="s">
        <v>11009</v>
      </c>
      <c r="B366" s="4" t="s">
        <v>11010</v>
      </c>
      <c r="C366" s="113" t="s">
        <v>4</v>
      </c>
      <c r="D366" s="155" t="s">
        <v>11011</v>
      </c>
      <c r="E366" s="159">
        <v>4001</v>
      </c>
      <c r="F366" s="157" t="s">
        <v>11012</v>
      </c>
      <c r="G366" s="155" t="s">
        <v>11010</v>
      </c>
      <c r="H366" s="113" t="s">
        <v>9767</v>
      </c>
      <c r="I366" s="4" t="s">
        <v>11010</v>
      </c>
      <c r="J366" s="155" t="s">
        <v>11012</v>
      </c>
      <c r="K366" s="2" t="s">
        <v>11010</v>
      </c>
    </row>
    <row r="367" spans="1:11" s="2" customFormat="1" x14ac:dyDescent="0.25">
      <c r="A367" s="114" t="s">
        <v>11013</v>
      </c>
      <c r="B367" s="4" t="s">
        <v>9806</v>
      </c>
      <c r="C367" s="113" t="s">
        <v>15363</v>
      </c>
      <c r="D367" s="155" t="s">
        <v>9797</v>
      </c>
      <c r="E367" s="159">
        <v>2052</v>
      </c>
      <c r="F367" s="157" t="s">
        <v>11014</v>
      </c>
      <c r="G367" s="155" t="s">
        <v>9806</v>
      </c>
      <c r="H367" s="113" t="s">
        <v>9767</v>
      </c>
      <c r="I367" s="4" t="s">
        <v>9806</v>
      </c>
      <c r="J367" s="155" t="s">
        <v>11014</v>
      </c>
      <c r="K367" s="2" t="s">
        <v>9845</v>
      </c>
    </row>
    <row r="368" spans="1:11" s="2" customFormat="1" x14ac:dyDescent="0.25">
      <c r="A368" s="114" t="s">
        <v>11015</v>
      </c>
      <c r="B368" s="4" t="s">
        <v>11016</v>
      </c>
      <c r="C368" s="113" t="s">
        <v>15363</v>
      </c>
      <c r="D368" s="155" t="s">
        <v>11007</v>
      </c>
      <c r="E368" s="159">
        <v>405</v>
      </c>
      <c r="F368" s="157" t="s">
        <v>11017</v>
      </c>
      <c r="G368" s="155" t="s">
        <v>11016</v>
      </c>
      <c r="H368" s="113" t="s">
        <v>9767</v>
      </c>
      <c r="I368" s="4" t="s">
        <v>11016</v>
      </c>
      <c r="J368" s="155" t="s">
        <v>11017</v>
      </c>
      <c r="K368" s="2" t="s">
        <v>11016</v>
      </c>
    </row>
    <row r="369" spans="1:11" s="2" customFormat="1" x14ac:dyDescent="0.25">
      <c r="A369" s="114" t="s">
        <v>11018</v>
      </c>
      <c r="B369" s="4" t="s">
        <v>11019</v>
      </c>
      <c r="C369" s="113" t="s">
        <v>15363</v>
      </c>
      <c r="D369" s="155" t="s">
        <v>11020</v>
      </c>
      <c r="E369" s="159">
        <v>4319</v>
      </c>
      <c r="F369" s="157" t="s">
        <v>11021</v>
      </c>
      <c r="G369" s="155" t="s">
        <v>11019</v>
      </c>
      <c r="H369" s="113" t="s">
        <v>9767</v>
      </c>
      <c r="I369" s="4" t="s">
        <v>11019</v>
      </c>
      <c r="J369" s="155" t="s">
        <v>11021</v>
      </c>
      <c r="K369" s="2" t="s">
        <v>9774</v>
      </c>
    </row>
    <row r="370" spans="1:11" s="2" customFormat="1" x14ac:dyDescent="0.25">
      <c r="A370" s="114" t="s">
        <v>11022</v>
      </c>
      <c r="B370" s="4" t="s">
        <v>11023</v>
      </c>
      <c r="C370" s="113" t="s">
        <v>15363</v>
      </c>
      <c r="D370" s="155" t="s">
        <v>9929</v>
      </c>
      <c r="E370" s="159">
        <v>9109</v>
      </c>
      <c r="F370" s="157" t="s">
        <v>11024</v>
      </c>
      <c r="G370" s="155" t="s">
        <v>11023</v>
      </c>
      <c r="H370" s="113" t="s">
        <v>9767</v>
      </c>
      <c r="I370" s="4" t="s">
        <v>11023</v>
      </c>
      <c r="J370" s="155" t="s">
        <v>11024</v>
      </c>
      <c r="K370" s="2" t="s">
        <v>11023</v>
      </c>
    </row>
    <row r="371" spans="1:11" s="2" customFormat="1" x14ac:dyDescent="0.25">
      <c r="A371" s="114" t="s">
        <v>11025</v>
      </c>
      <c r="B371" s="4" t="s">
        <v>11026</v>
      </c>
      <c r="C371" s="113" t="s">
        <v>15363</v>
      </c>
      <c r="D371" s="155" t="s">
        <v>10443</v>
      </c>
      <c r="E371" s="159">
        <v>252</v>
      </c>
      <c r="F371" s="157" t="s">
        <v>11027</v>
      </c>
      <c r="G371" s="155" t="s">
        <v>11026</v>
      </c>
      <c r="H371" s="113" t="s">
        <v>9767</v>
      </c>
      <c r="I371" s="4" t="s">
        <v>11026</v>
      </c>
      <c r="J371" s="155" t="s">
        <v>11027</v>
      </c>
      <c r="K371" s="2" t="s">
        <v>11026</v>
      </c>
    </row>
    <row r="372" spans="1:11" s="2" customFormat="1" x14ac:dyDescent="0.25">
      <c r="A372" s="114" t="s">
        <v>11028</v>
      </c>
      <c r="B372" s="4" t="s">
        <v>11029</v>
      </c>
      <c r="C372" s="113" t="s">
        <v>15363</v>
      </c>
      <c r="D372" s="155" t="s">
        <v>11030</v>
      </c>
      <c r="E372" s="159">
        <v>658</v>
      </c>
      <c r="F372" s="157" t="s">
        <v>11031</v>
      </c>
      <c r="G372" s="155" t="s">
        <v>11029</v>
      </c>
      <c r="H372" s="113" t="s">
        <v>9767</v>
      </c>
      <c r="I372" s="4" t="s">
        <v>11029</v>
      </c>
      <c r="J372" s="155" t="s">
        <v>11031</v>
      </c>
      <c r="K372" s="2" t="s">
        <v>11023</v>
      </c>
    </row>
    <row r="373" spans="1:11" s="2" customFormat="1" x14ac:dyDescent="0.25">
      <c r="A373" s="114" t="s">
        <v>11032</v>
      </c>
      <c r="B373" s="4" t="s">
        <v>10999</v>
      </c>
      <c r="C373" s="113" t="s">
        <v>15363</v>
      </c>
      <c r="D373" s="155" t="s">
        <v>11033</v>
      </c>
      <c r="E373" s="159">
        <v>2460</v>
      </c>
      <c r="F373" s="157" t="s">
        <v>11034</v>
      </c>
      <c r="G373" s="155" t="s">
        <v>10999</v>
      </c>
      <c r="H373" s="113" t="s">
        <v>9767</v>
      </c>
      <c r="I373" s="4" t="s">
        <v>10999</v>
      </c>
      <c r="J373" s="155" t="s">
        <v>11034</v>
      </c>
      <c r="K373" s="2" t="s">
        <v>15395</v>
      </c>
    </row>
    <row r="374" spans="1:11" s="2" customFormat="1" x14ac:dyDescent="0.25">
      <c r="A374" s="114" t="s">
        <v>11035</v>
      </c>
      <c r="B374" s="4" t="s">
        <v>11036</v>
      </c>
      <c r="C374" s="113" t="s">
        <v>15363</v>
      </c>
      <c r="D374" s="155" t="s">
        <v>11037</v>
      </c>
      <c r="E374" s="159">
        <v>5556</v>
      </c>
      <c r="F374" s="157" t="s">
        <v>11038</v>
      </c>
      <c r="G374" s="155" t="s">
        <v>10999</v>
      </c>
      <c r="H374" s="113" t="s">
        <v>9767</v>
      </c>
      <c r="I374" s="4" t="s">
        <v>11036</v>
      </c>
      <c r="J374" s="155" t="s">
        <v>11038</v>
      </c>
      <c r="K374" s="2" t="s">
        <v>15395</v>
      </c>
    </row>
    <row r="375" spans="1:11" s="2" customFormat="1" x14ac:dyDescent="0.25">
      <c r="A375" s="114" t="s">
        <v>11039</v>
      </c>
      <c r="B375" s="4" t="s">
        <v>11040</v>
      </c>
      <c r="C375" s="113" t="s">
        <v>15363</v>
      </c>
      <c r="D375" s="155" t="s">
        <v>11041</v>
      </c>
      <c r="E375" s="159">
        <v>350</v>
      </c>
      <c r="F375" s="157" t="s">
        <v>11042</v>
      </c>
      <c r="G375" s="155" t="s">
        <v>10999</v>
      </c>
      <c r="H375" s="113" t="s">
        <v>9767</v>
      </c>
      <c r="I375" s="4" t="s">
        <v>11040</v>
      </c>
      <c r="J375" s="155" t="s">
        <v>11042</v>
      </c>
      <c r="K375" s="2" t="s">
        <v>15395</v>
      </c>
    </row>
    <row r="376" spans="1:11" s="2" customFormat="1" x14ac:dyDescent="0.25">
      <c r="A376" s="114" t="s">
        <v>11043</v>
      </c>
      <c r="B376" s="4" t="s">
        <v>11044</v>
      </c>
      <c r="C376" s="113" t="s">
        <v>15363</v>
      </c>
      <c r="D376" s="155" t="s">
        <v>11045</v>
      </c>
      <c r="E376" s="159">
        <v>865</v>
      </c>
      <c r="F376" s="157" t="s">
        <v>11046</v>
      </c>
      <c r="G376" s="155" t="s">
        <v>10999</v>
      </c>
      <c r="H376" s="113" t="s">
        <v>9767</v>
      </c>
      <c r="I376" s="4" t="s">
        <v>11044</v>
      </c>
      <c r="J376" s="155" t="s">
        <v>11046</v>
      </c>
      <c r="K376" s="2" t="s">
        <v>15395</v>
      </c>
    </row>
    <row r="377" spans="1:11" s="2" customFormat="1" x14ac:dyDescent="0.25">
      <c r="A377" s="114" t="s">
        <v>11047</v>
      </c>
      <c r="B377" s="4" t="s">
        <v>11048</v>
      </c>
      <c r="C377" s="113" t="s">
        <v>15363</v>
      </c>
      <c r="D377" s="155" t="s">
        <v>10317</v>
      </c>
      <c r="E377" s="159">
        <v>2702</v>
      </c>
      <c r="F377" s="157" t="s">
        <v>11049</v>
      </c>
      <c r="G377" s="155" t="s">
        <v>10999</v>
      </c>
      <c r="H377" s="113" t="s">
        <v>9767</v>
      </c>
      <c r="I377" s="4" t="s">
        <v>11048</v>
      </c>
      <c r="J377" s="155" t="s">
        <v>11049</v>
      </c>
      <c r="K377" s="2" t="s">
        <v>15395</v>
      </c>
    </row>
    <row r="378" spans="1:11" s="4" customFormat="1" x14ac:dyDescent="0.25">
      <c r="A378" s="114" t="s">
        <v>11050</v>
      </c>
      <c r="B378" s="4" t="s">
        <v>11051</v>
      </c>
      <c r="C378" s="113" t="s">
        <v>4</v>
      </c>
      <c r="D378" s="155" t="s">
        <v>11052</v>
      </c>
      <c r="E378" s="159">
        <v>4264</v>
      </c>
      <c r="F378" s="157" t="s">
        <v>11053</v>
      </c>
      <c r="G378" s="155" t="s">
        <v>11051</v>
      </c>
      <c r="H378" s="113" t="s">
        <v>9767</v>
      </c>
      <c r="I378" s="4" t="s">
        <v>11051</v>
      </c>
      <c r="J378" s="155" t="s">
        <v>11053</v>
      </c>
      <c r="K378" s="4" t="s">
        <v>15395</v>
      </c>
    </row>
    <row r="379" spans="1:11" s="2" customFormat="1" x14ac:dyDescent="0.25">
      <c r="A379" s="114" t="s">
        <v>11054</v>
      </c>
      <c r="B379" s="4" t="s">
        <v>11055</v>
      </c>
      <c r="C379" s="113" t="s">
        <v>15363</v>
      </c>
      <c r="D379" s="155" t="s">
        <v>11056</v>
      </c>
      <c r="E379" s="159">
        <v>2374</v>
      </c>
      <c r="F379" s="157" t="s">
        <v>11058</v>
      </c>
      <c r="G379" s="155" t="s">
        <v>11057</v>
      </c>
      <c r="H379" s="113" t="s">
        <v>9767</v>
      </c>
      <c r="I379" s="4" t="s">
        <v>11055</v>
      </c>
      <c r="J379" s="155" t="s">
        <v>11058</v>
      </c>
      <c r="K379" s="2" t="s">
        <v>15396</v>
      </c>
    </row>
    <row r="380" spans="1:11" s="2" customFormat="1" x14ac:dyDescent="0.25">
      <c r="A380" s="114" t="s">
        <v>11059</v>
      </c>
      <c r="B380" s="4" t="s">
        <v>11060</v>
      </c>
      <c r="C380" s="113" t="s">
        <v>15363</v>
      </c>
      <c r="D380" s="155" t="s">
        <v>10775</v>
      </c>
      <c r="E380" s="159">
        <v>538</v>
      </c>
      <c r="F380" s="157" t="s">
        <v>11061</v>
      </c>
      <c r="G380" s="155" t="s">
        <v>11060</v>
      </c>
      <c r="H380" s="113" t="s">
        <v>9767</v>
      </c>
      <c r="I380" s="4" t="s">
        <v>11060</v>
      </c>
      <c r="J380" s="155" t="s">
        <v>11061</v>
      </c>
      <c r="K380" s="2" t="s">
        <v>15397</v>
      </c>
    </row>
    <row r="381" spans="1:11" s="2" customFormat="1" x14ac:dyDescent="0.25">
      <c r="A381" s="114" t="s">
        <v>11062</v>
      </c>
      <c r="B381" s="4" t="s">
        <v>11063</v>
      </c>
      <c r="C381" s="113" t="s">
        <v>4</v>
      </c>
      <c r="D381" s="155" t="s">
        <v>9887</v>
      </c>
      <c r="E381" s="159">
        <v>250</v>
      </c>
      <c r="F381" s="157" t="s">
        <v>11065</v>
      </c>
      <c r="G381" s="155" t="s">
        <v>11064</v>
      </c>
      <c r="H381" s="113" t="s">
        <v>9767</v>
      </c>
      <c r="I381" s="4" t="s">
        <v>11063</v>
      </c>
      <c r="J381" s="155" t="s">
        <v>11065</v>
      </c>
      <c r="K381" s="2" t="s">
        <v>11064</v>
      </c>
    </row>
    <row r="382" spans="1:11" s="2" customFormat="1" x14ac:dyDescent="0.25">
      <c r="A382" s="114" t="s">
        <v>11066</v>
      </c>
      <c r="B382" s="4" t="s">
        <v>11067</v>
      </c>
      <c r="C382" s="113" t="s">
        <v>4</v>
      </c>
      <c r="D382" s="155" t="s">
        <v>11068</v>
      </c>
      <c r="E382" s="159">
        <v>1186</v>
      </c>
      <c r="F382" s="157" t="s">
        <v>11070</v>
      </c>
      <c r="G382" s="155" t="s">
        <v>11069</v>
      </c>
      <c r="H382" s="113" t="s">
        <v>9767</v>
      </c>
      <c r="I382" s="4" t="s">
        <v>11067</v>
      </c>
      <c r="J382" s="155" t="s">
        <v>11070</v>
      </c>
      <c r="K382" s="2" t="s">
        <v>11069</v>
      </c>
    </row>
    <row r="383" spans="1:11" s="2" customFormat="1" x14ac:dyDescent="0.25">
      <c r="A383" s="114" t="s">
        <v>11071</v>
      </c>
      <c r="B383" s="4" t="s">
        <v>11072</v>
      </c>
      <c r="C383" s="113" t="s">
        <v>4</v>
      </c>
      <c r="D383" s="155" t="s">
        <v>9937</v>
      </c>
      <c r="E383" s="159">
        <v>712</v>
      </c>
      <c r="F383" s="157" t="s">
        <v>11074</v>
      </c>
      <c r="G383" s="155" t="s">
        <v>11073</v>
      </c>
      <c r="H383" s="113" t="s">
        <v>9767</v>
      </c>
      <c r="I383" s="4" t="s">
        <v>11072</v>
      </c>
      <c r="J383" s="155" t="s">
        <v>11074</v>
      </c>
      <c r="K383" s="2" t="s">
        <v>11073</v>
      </c>
    </row>
    <row r="384" spans="1:11" s="2" customFormat="1" x14ac:dyDescent="0.25">
      <c r="A384" s="114" t="s">
        <v>11075</v>
      </c>
      <c r="B384" s="4" t="s">
        <v>11076</v>
      </c>
      <c r="C384" s="113" t="s">
        <v>4</v>
      </c>
      <c r="D384" s="155" t="s">
        <v>10808</v>
      </c>
      <c r="E384" s="159">
        <v>599</v>
      </c>
      <c r="F384" s="157" t="s">
        <v>11078</v>
      </c>
      <c r="G384" s="155" t="s">
        <v>11077</v>
      </c>
      <c r="H384" s="113" t="s">
        <v>9767</v>
      </c>
      <c r="I384" s="4" t="s">
        <v>11076</v>
      </c>
      <c r="J384" s="155" t="s">
        <v>11078</v>
      </c>
      <c r="K384" s="2" t="s">
        <v>15397</v>
      </c>
    </row>
    <row r="385" spans="1:11" s="2" customFormat="1" x14ac:dyDescent="0.25">
      <c r="A385" s="114" t="s">
        <v>11079</v>
      </c>
      <c r="B385" s="4" t="s">
        <v>11080</v>
      </c>
      <c r="C385" s="113" t="s">
        <v>4</v>
      </c>
      <c r="D385" s="155" t="s">
        <v>11081</v>
      </c>
      <c r="E385" s="159">
        <v>1298</v>
      </c>
      <c r="F385" s="157" t="s">
        <v>11083</v>
      </c>
      <c r="G385" s="155" t="s">
        <v>11082</v>
      </c>
      <c r="H385" s="113" t="s">
        <v>9767</v>
      </c>
      <c r="I385" s="4" t="s">
        <v>11080</v>
      </c>
      <c r="J385" s="155" t="s">
        <v>11083</v>
      </c>
      <c r="K385" s="2" t="s">
        <v>11104</v>
      </c>
    </row>
    <row r="386" spans="1:11" s="2" customFormat="1" x14ac:dyDescent="0.25">
      <c r="A386" s="114" t="s">
        <v>11084</v>
      </c>
      <c r="B386" s="4" t="s">
        <v>11085</v>
      </c>
      <c r="C386" s="113" t="s">
        <v>4</v>
      </c>
      <c r="D386" s="155" t="s">
        <v>10948</v>
      </c>
      <c r="E386" s="159">
        <v>875</v>
      </c>
      <c r="F386" s="157" t="s">
        <v>11086</v>
      </c>
      <c r="G386" s="155" t="s">
        <v>11085</v>
      </c>
      <c r="H386" s="113" t="s">
        <v>9767</v>
      </c>
      <c r="I386" s="4" t="s">
        <v>11085</v>
      </c>
      <c r="J386" s="155" t="s">
        <v>11086</v>
      </c>
      <c r="K386" s="2" t="s">
        <v>11104</v>
      </c>
    </row>
    <row r="387" spans="1:11" s="2" customFormat="1" x14ac:dyDescent="0.25">
      <c r="A387" s="114" t="s">
        <v>11087</v>
      </c>
      <c r="B387" s="4" t="s">
        <v>11088</v>
      </c>
      <c r="C387" s="113" t="s">
        <v>15363</v>
      </c>
      <c r="D387" s="155" t="s">
        <v>11089</v>
      </c>
      <c r="E387" s="159">
        <v>49</v>
      </c>
      <c r="F387" s="157" t="s">
        <v>11090</v>
      </c>
      <c r="G387" s="155" t="s">
        <v>11088</v>
      </c>
      <c r="H387" s="113" t="s">
        <v>9767</v>
      </c>
      <c r="I387" s="4" t="s">
        <v>11088</v>
      </c>
      <c r="J387" s="155" t="s">
        <v>11090</v>
      </c>
      <c r="K387" s="2" t="s">
        <v>11088</v>
      </c>
    </row>
    <row r="388" spans="1:11" s="2" customFormat="1" x14ac:dyDescent="0.25">
      <c r="A388" s="114" t="s">
        <v>11091</v>
      </c>
      <c r="B388" s="4" t="s">
        <v>11092</v>
      </c>
      <c r="C388" s="113" t="s">
        <v>15363</v>
      </c>
      <c r="D388" s="155" t="s">
        <v>11093</v>
      </c>
      <c r="E388" s="159">
        <v>552</v>
      </c>
      <c r="F388" s="157" t="s">
        <v>11094</v>
      </c>
      <c r="G388" s="155" t="s">
        <v>11092</v>
      </c>
      <c r="H388" s="113" t="s">
        <v>9767</v>
      </c>
      <c r="I388" s="4" t="s">
        <v>11092</v>
      </c>
      <c r="J388" s="155" t="s">
        <v>11094</v>
      </c>
      <c r="K388" s="2" t="s">
        <v>11092</v>
      </c>
    </row>
    <row r="389" spans="1:11" s="2" customFormat="1" x14ac:dyDescent="0.25">
      <c r="A389" s="114" t="s">
        <v>11095</v>
      </c>
      <c r="B389" s="4" t="s">
        <v>11096</v>
      </c>
      <c r="C389" s="113" t="s">
        <v>15363</v>
      </c>
      <c r="D389" s="155" t="s">
        <v>11097</v>
      </c>
      <c r="E389" s="159">
        <v>1602</v>
      </c>
      <c r="F389" s="157" t="s">
        <v>11098</v>
      </c>
      <c r="G389" s="155" t="s">
        <v>11096</v>
      </c>
      <c r="H389" s="113" t="s">
        <v>9767</v>
      </c>
      <c r="I389" s="4" t="s">
        <v>11096</v>
      </c>
      <c r="J389" s="155" t="s">
        <v>11098</v>
      </c>
      <c r="K389" s="2" t="s">
        <v>15396</v>
      </c>
    </row>
    <row r="390" spans="1:11" s="2" customFormat="1" x14ac:dyDescent="0.25">
      <c r="A390" s="114" t="s">
        <v>11099</v>
      </c>
      <c r="B390" s="4" t="s">
        <v>11100</v>
      </c>
      <c r="C390" s="113" t="s">
        <v>15363</v>
      </c>
      <c r="D390" s="155" t="s">
        <v>11101</v>
      </c>
      <c r="E390" s="159">
        <v>7454</v>
      </c>
      <c r="F390" s="157" t="s">
        <v>11102</v>
      </c>
      <c r="G390" s="155" t="s">
        <v>11100</v>
      </c>
      <c r="H390" s="113" t="s">
        <v>9767</v>
      </c>
      <c r="I390" s="4" t="s">
        <v>11100</v>
      </c>
      <c r="J390" s="155" t="s">
        <v>11102</v>
      </c>
      <c r="K390" s="2" t="s">
        <v>15387</v>
      </c>
    </row>
    <row r="391" spans="1:11" s="2" customFormat="1" x14ac:dyDescent="0.25">
      <c r="A391" s="114" t="s">
        <v>11103</v>
      </c>
      <c r="B391" s="4" t="s">
        <v>11104</v>
      </c>
      <c r="C391" s="113" t="s">
        <v>15363</v>
      </c>
      <c r="D391" s="155" t="s">
        <v>11105</v>
      </c>
      <c r="E391" s="159">
        <v>3088</v>
      </c>
      <c r="F391" s="157" t="s">
        <v>11106</v>
      </c>
      <c r="G391" s="155" t="s">
        <v>11104</v>
      </c>
      <c r="H391" s="113" t="s">
        <v>9767</v>
      </c>
      <c r="I391" s="4" t="s">
        <v>11104</v>
      </c>
      <c r="J391" s="155" t="s">
        <v>11106</v>
      </c>
      <c r="K391" s="2" t="s">
        <v>11104</v>
      </c>
    </row>
    <row r="392" spans="1:11" s="2" customFormat="1" x14ac:dyDescent="0.25">
      <c r="A392" s="114" t="s">
        <v>11107</v>
      </c>
      <c r="B392" s="4" t="s">
        <v>11108</v>
      </c>
      <c r="C392" s="113" t="s">
        <v>4</v>
      </c>
      <c r="D392" s="155" t="s">
        <v>11109</v>
      </c>
      <c r="E392" s="159">
        <v>337</v>
      </c>
      <c r="F392" s="157" t="s">
        <v>11110</v>
      </c>
      <c r="G392" s="155" t="s">
        <v>11104</v>
      </c>
      <c r="H392" s="113" t="s">
        <v>9767</v>
      </c>
      <c r="I392" s="4" t="s">
        <v>11108</v>
      </c>
      <c r="J392" s="155" t="s">
        <v>11110</v>
      </c>
      <c r="K392" s="2" t="s">
        <v>11104</v>
      </c>
    </row>
    <row r="393" spans="1:11" s="2" customFormat="1" x14ac:dyDescent="0.25">
      <c r="A393" s="114" t="s">
        <v>11111</v>
      </c>
      <c r="B393" s="4" t="s">
        <v>11112</v>
      </c>
      <c r="C393" s="113" t="s">
        <v>15363</v>
      </c>
      <c r="D393" s="155" t="s">
        <v>11113</v>
      </c>
      <c r="E393" s="159">
        <v>1660</v>
      </c>
      <c r="F393" s="157" t="s">
        <v>11114</v>
      </c>
      <c r="G393" s="155" t="s">
        <v>11112</v>
      </c>
      <c r="H393" s="113" t="s">
        <v>9767</v>
      </c>
      <c r="I393" s="4" t="s">
        <v>11112</v>
      </c>
      <c r="J393" s="155" t="s">
        <v>11114</v>
      </c>
      <c r="K393" s="2" t="s">
        <v>15387</v>
      </c>
    </row>
    <row r="394" spans="1:11" s="2" customFormat="1" x14ac:dyDescent="0.25">
      <c r="A394" s="114" t="s">
        <v>11115</v>
      </c>
      <c r="B394" s="4" t="s">
        <v>11116</v>
      </c>
      <c r="C394" s="113" t="s">
        <v>15363</v>
      </c>
      <c r="D394" s="155" t="s">
        <v>11117</v>
      </c>
      <c r="E394" s="159">
        <v>51</v>
      </c>
      <c r="F394" s="157" t="s">
        <v>11118</v>
      </c>
      <c r="G394" s="155" t="s">
        <v>11116</v>
      </c>
      <c r="H394" s="113" t="s">
        <v>9767</v>
      </c>
      <c r="I394" s="4" t="s">
        <v>11116</v>
      </c>
      <c r="J394" s="155" t="s">
        <v>11118</v>
      </c>
      <c r="K394" s="2" t="s">
        <v>11116</v>
      </c>
    </row>
    <row r="395" spans="1:11" s="2" customFormat="1" x14ac:dyDescent="0.25">
      <c r="A395" s="114" t="s">
        <v>11119</v>
      </c>
      <c r="B395" s="4" t="s">
        <v>11120</v>
      </c>
      <c r="C395" s="113" t="s">
        <v>15363</v>
      </c>
      <c r="D395" s="155" t="s">
        <v>10273</v>
      </c>
      <c r="E395" s="159">
        <v>2602</v>
      </c>
      <c r="F395" s="157" t="s">
        <v>11121</v>
      </c>
      <c r="G395" s="155" t="s">
        <v>11120</v>
      </c>
      <c r="H395" s="113" t="s">
        <v>9767</v>
      </c>
      <c r="I395" s="4" t="s">
        <v>11120</v>
      </c>
      <c r="J395" s="155" t="s">
        <v>11121</v>
      </c>
      <c r="K395" s="2" t="s">
        <v>11104</v>
      </c>
    </row>
    <row r="396" spans="1:11" s="2" customFormat="1" x14ac:dyDescent="0.25">
      <c r="A396" s="114" t="s">
        <v>11122</v>
      </c>
      <c r="B396" s="4" t="s">
        <v>11123</v>
      </c>
      <c r="C396" s="113" t="s">
        <v>4</v>
      </c>
      <c r="D396" s="155" t="s">
        <v>10492</v>
      </c>
      <c r="E396" s="159">
        <v>325</v>
      </c>
      <c r="F396" s="157" t="s">
        <v>11124</v>
      </c>
      <c r="G396" s="155" t="s">
        <v>11123</v>
      </c>
      <c r="H396" s="113" t="s">
        <v>9767</v>
      </c>
      <c r="I396" s="4" t="s">
        <v>11123</v>
      </c>
      <c r="J396" s="155" t="s">
        <v>11124</v>
      </c>
      <c r="K396" s="2" t="s">
        <v>11123</v>
      </c>
    </row>
    <row r="397" spans="1:11" s="2" customFormat="1" x14ac:dyDescent="0.25">
      <c r="A397" s="114" t="s">
        <v>11125</v>
      </c>
      <c r="B397" s="4" t="s">
        <v>11126</v>
      </c>
      <c r="C397" s="113" t="s">
        <v>15363</v>
      </c>
      <c r="D397" s="155" t="s">
        <v>11127</v>
      </c>
      <c r="E397" s="159">
        <v>2037</v>
      </c>
      <c r="F397" s="157" t="s">
        <v>11128</v>
      </c>
      <c r="G397" s="155" t="s">
        <v>11126</v>
      </c>
      <c r="H397" s="113" t="s">
        <v>9767</v>
      </c>
      <c r="I397" s="4" t="s">
        <v>11126</v>
      </c>
      <c r="J397" s="155" t="s">
        <v>11128</v>
      </c>
      <c r="K397" s="2" t="s">
        <v>15387</v>
      </c>
    </row>
    <row r="398" spans="1:11" s="2" customFormat="1" x14ac:dyDescent="0.25">
      <c r="A398" s="114" t="s">
        <v>11129</v>
      </c>
      <c r="B398" s="4" t="s">
        <v>11130</v>
      </c>
      <c r="C398" s="113" t="s">
        <v>15363</v>
      </c>
      <c r="D398" s="155" t="s">
        <v>11081</v>
      </c>
      <c r="E398" s="159">
        <v>226</v>
      </c>
      <c r="F398" s="157" t="s">
        <v>11131</v>
      </c>
      <c r="G398" s="155" t="s">
        <v>11130</v>
      </c>
      <c r="H398" s="113" t="s">
        <v>9767</v>
      </c>
      <c r="I398" s="4" t="s">
        <v>11130</v>
      </c>
      <c r="J398" s="155" t="s">
        <v>11131</v>
      </c>
      <c r="K398" s="2" t="s">
        <v>15387</v>
      </c>
    </row>
    <row r="399" spans="1:11" s="2" customFormat="1" x14ac:dyDescent="0.25">
      <c r="A399" s="114" t="s">
        <v>11132</v>
      </c>
      <c r="B399" s="4" t="s">
        <v>11133</v>
      </c>
      <c r="C399" s="113" t="s">
        <v>4</v>
      </c>
      <c r="D399" s="155" t="s">
        <v>11134</v>
      </c>
      <c r="E399" s="159">
        <v>472</v>
      </c>
      <c r="F399" s="157" t="s">
        <v>11135</v>
      </c>
      <c r="G399" s="155" t="s">
        <v>11133</v>
      </c>
      <c r="H399" s="113" t="s">
        <v>9767</v>
      </c>
      <c r="I399" s="4" t="s">
        <v>11133</v>
      </c>
      <c r="J399" s="155" t="s">
        <v>11135</v>
      </c>
      <c r="K399" s="2" t="s">
        <v>15397</v>
      </c>
    </row>
    <row r="400" spans="1:11" s="2" customFormat="1" x14ac:dyDescent="0.25">
      <c r="A400" s="114" t="s">
        <v>11136</v>
      </c>
      <c r="B400" s="4" t="s">
        <v>11010</v>
      </c>
      <c r="C400" s="113" t="s">
        <v>15363</v>
      </c>
      <c r="D400" s="155" t="s">
        <v>11137</v>
      </c>
      <c r="E400" s="159">
        <v>806</v>
      </c>
      <c r="F400" s="157" t="s">
        <v>11138</v>
      </c>
      <c r="G400" s="155" t="s">
        <v>11010</v>
      </c>
      <c r="H400" s="113" t="s">
        <v>9767</v>
      </c>
      <c r="I400" s="4" t="s">
        <v>11010</v>
      </c>
      <c r="J400" s="155" t="s">
        <v>11138</v>
      </c>
      <c r="K400" s="2" t="s">
        <v>11010</v>
      </c>
    </row>
    <row r="401" spans="1:11" s="2" customFormat="1" x14ac:dyDescent="0.25">
      <c r="A401" s="114" t="s">
        <v>11139</v>
      </c>
      <c r="B401" s="4" t="s">
        <v>11140</v>
      </c>
      <c r="C401" s="113" t="s">
        <v>15363</v>
      </c>
      <c r="D401" s="155" t="s">
        <v>11141</v>
      </c>
      <c r="E401" s="159">
        <v>167</v>
      </c>
      <c r="F401" s="157" t="s">
        <v>11142</v>
      </c>
      <c r="G401" s="155" t="s">
        <v>11140</v>
      </c>
      <c r="H401" s="113" t="s">
        <v>9767</v>
      </c>
      <c r="I401" s="4" t="s">
        <v>11140</v>
      </c>
      <c r="J401" s="155" t="s">
        <v>11142</v>
      </c>
      <c r="K401" s="2" t="s">
        <v>11140</v>
      </c>
    </row>
    <row r="402" spans="1:11" s="2" customFormat="1" x14ac:dyDescent="0.25">
      <c r="A402" s="114" t="s">
        <v>11143</v>
      </c>
      <c r="B402" s="4" t="s">
        <v>11144</v>
      </c>
      <c r="C402" s="113" t="s">
        <v>15363</v>
      </c>
      <c r="D402" s="155" t="s">
        <v>10181</v>
      </c>
      <c r="E402" s="159">
        <v>117</v>
      </c>
      <c r="F402" s="157" t="s">
        <v>11145</v>
      </c>
      <c r="G402" s="155" t="s">
        <v>11144</v>
      </c>
      <c r="H402" s="113" t="s">
        <v>9767</v>
      </c>
      <c r="I402" s="4" t="s">
        <v>11144</v>
      </c>
      <c r="J402" s="155" t="s">
        <v>11145</v>
      </c>
      <c r="K402" s="2" t="s">
        <v>11144</v>
      </c>
    </row>
    <row r="403" spans="1:11" s="2" customFormat="1" x14ac:dyDescent="0.25">
      <c r="A403" s="114" t="s">
        <v>11146</v>
      </c>
      <c r="B403" s="4" t="s">
        <v>11147</v>
      </c>
      <c r="C403" s="113" t="s">
        <v>15363</v>
      </c>
      <c r="D403" s="155" t="s">
        <v>11148</v>
      </c>
      <c r="E403" s="159">
        <v>2836</v>
      </c>
      <c r="F403" s="157" t="s">
        <v>11149</v>
      </c>
      <c r="G403" s="155" t="s">
        <v>11147</v>
      </c>
      <c r="H403" s="113" t="s">
        <v>9767</v>
      </c>
      <c r="I403" s="4" t="s">
        <v>11147</v>
      </c>
      <c r="J403" s="155" t="s">
        <v>11149</v>
      </c>
      <c r="K403" s="2" t="s">
        <v>15398</v>
      </c>
    </row>
    <row r="404" spans="1:11" s="2" customFormat="1" x14ac:dyDescent="0.25">
      <c r="A404" s="114" t="s">
        <v>11150</v>
      </c>
      <c r="B404" s="4" t="s">
        <v>11151</v>
      </c>
      <c r="C404" s="113" t="s">
        <v>15363</v>
      </c>
      <c r="D404" s="155" t="s">
        <v>11152</v>
      </c>
      <c r="E404" s="159">
        <v>416</v>
      </c>
      <c r="F404" s="157" t="s">
        <v>11153</v>
      </c>
      <c r="G404" s="155" t="s">
        <v>11151</v>
      </c>
      <c r="H404" s="113" t="s">
        <v>9767</v>
      </c>
      <c r="I404" s="4" t="s">
        <v>11151</v>
      </c>
      <c r="J404" s="155" t="s">
        <v>11153</v>
      </c>
      <c r="K404" s="2" t="s">
        <v>11151</v>
      </c>
    </row>
    <row r="405" spans="1:11" s="2" customFormat="1" x14ac:dyDescent="0.25">
      <c r="A405" s="114" t="s">
        <v>11154</v>
      </c>
      <c r="B405" s="4" t="s">
        <v>11155</v>
      </c>
      <c r="C405" s="113" t="s">
        <v>15363</v>
      </c>
      <c r="D405" s="155" t="s">
        <v>9846</v>
      </c>
      <c r="E405" s="159">
        <v>1144</v>
      </c>
      <c r="F405" s="157" t="s">
        <v>11156</v>
      </c>
      <c r="G405" s="155" t="s">
        <v>11155</v>
      </c>
      <c r="H405" s="113" t="s">
        <v>9767</v>
      </c>
      <c r="I405" s="4" t="s">
        <v>11155</v>
      </c>
      <c r="J405" s="155" t="s">
        <v>11156</v>
      </c>
      <c r="K405" s="2" t="s">
        <v>11155</v>
      </c>
    </row>
    <row r="406" spans="1:11" s="2" customFormat="1" x14ac:dyDescent="0.25">
      <c r="A406" s="114" t="s">
        <v>11157</v>
      </c>
      <c r="B406" s="4" t="s">
        <v>11158</v>
      </c>
      <c r="C406" s="113" t="s">
        <v>15363</v>
      </c>
      <c r="D406" s="155" t="s">
        <v>10609</v>
      </c>
      <c r="E406" s="159">
        <v>3001</v>
      </c>
      <c r="F406" s="157" t="s">
        <v>11159</v>
      </c>
      <c r="G406" s="155" t="s">
        <v>11158</v>
      </c>
      <c r="H406" s="113" t="s">
        <v>9767</v>
      </c>
      <c r="I406" s="4" t="s">
        <v>11158</v>
      </c>
      <c r="J406" s="155" t="s">
        <v>11159</v>
      </c>
      <c r="K406" s="2" t="s">
        <v>11158</v>
      </c>
    </row>
    <row r="407" spans="1:11" s="2" customFormat="1" x14ac:dyDescent="0.25">
      <c r="A407" s="114" t="s">
        <v>11160</v>
      </c>
      <c r="B407" s="4" t="s">
        <v>11161</v>
      </c>
      <c r="C407" s="113" t="s">
        <v>15363</v>
      </c>
      <c r="D407" s="155" t="s">
        <v>9810</v>
      </c>
      <c r="E407" s="159">
        <v>37</v>
      </c>
      <c r="F407" s="157" t="s">
        <v>11162</v>
      </c>
      <c r="G407" s="155" t="s">
        <v>11161</v>
      </c>
      <c r="H407" s="113" t="s">
        <v>9767</v>
      </c>
      <c r="I407" s="4" t="s">
        <v>11161</v>
      </c>
      <c r="J407" s="155" t="s">
        <v>11162</v>
      </c>
      <c r="K407" s="2" t="s">
        <v>11161</v>
      </c>
    </row>
    <row r="408" spans="1:11" s="2" customFormat="1" x14ac:dyDescent="0.25">
      <c r="A408" s="114" t="s">
        <v>11163</v>
      </c>
      <c r="B408" s="4" t="s">
        <v>11164</v>
      </c>
      <c r="C408" s="113" t="s">
        <v>15363</v>
      </c>
      <c r="D408" s="155" t="s">
        <v>11165</v>
      </c>
      <c r="E408" s="159">
        <v>623</v>
      </c>
      <c r="F408" s="157" t="s">
        <v>11166</v>
      </c>
      <c r="G408" s="155" t="s">
        <v>11164</v>
      </c>
      <c r="H408" s="113" t="s">
        <v>9767</v>
      </c>
      <c r="I408" s="4" t="s">
        <v>11164</v>
      </c>
      <c r="J408" s="155" t="s">
        <v>11166</v>
      </c>
      <c r="K408" s="2" t="s">
        <v>11164</v>
      </c>
    </row>
    <row r="409" spans="1:11" s="2" customFormat="1" x14ac:dyDescent="0.25">
      <c r="A409" s="114" t="s">
        <v>11167</v>
      </c>
      <c r="B409" s="4" t="s">
        <v>11168</v>
      </c>
      <c r="C409" s="113" t="s">
        <v>15363</v>
      </c>
      <c r="D409" s="155" t="s">
        <v>10485</v>
      </c>
      <c r="E409" s="159">
        <v>599</v>
      </c>
      <c r="F409" s="157" t="s">
        <v>11169</v>
      </c>
      <c r="G409" s="155" t="s">
        <v>11168</v>
      </c>
      <c r="H409" s="113" t="s">
        <v>9767</v>
      </c>
      <c r="I409" s="4" t="s">
        <v>11168</v>
      </c>
      <c r="J409" s="155" t="s">
        <v>11169</v>
      </c>
      <c r="K409" s="2" t="s">
        <v>11168</v>
      </c>
    </row>
    <row r="410" spans="1:11" s="2" customFormat="1" x14ac:dyDescent="0.25">
      <c r="A410" s="114" t="s">
        <v>11170</v>
      </c>
      <c r="B410" s="4" t="s">
        <v>11171</v>
      </c>
      <c r="C410" s="113" t="s">
        <v>4</v>
      </c>
      <c r="D410" s="155" t="s">
        <v>11172</v>
      </c>
      <c r="E410" s="159">
        <v>575</v>
      </c>
      <c r="F410" s="157" t="s">
        <v>11173</v>
      </c>
      <c r="G410" s="155" t="s">
        <v>11171</v>
      </c>
      <c r="H410" s="113" t="s">
        <v>9767</v>
      </c>
      <c r="I410" s="4" t="s">
        <v>11171</v>
      </c>
      <c r="J410" s="155" t="s">
        <v>11173</v>
      </c>
      <c r="K410" s="2" t="s">
        <v>11164</v>
      </c>
    </row>
    <row r="411" spans="1:11" s="2" customFormat="1" x14ac:dyDescent="0.25">
      <c r="A411" s="114" t="s">
        <v>11174</v>
      </c>
      <c r="B411" s="4" t="s">
        <v>11175</v>
      </c>
      <c r="C411" s="113" t="s">
        <v>15363</v>
      </c>
      <c r="D411" s="155" t="s">
        <v>11176</v>
      </c>
      <c r="E411" s="159">
        <v>1597</v>
      </c>
      <c r="F411" s="157" t="s">
        <v>11177</v>
      </c>
      <c r="G411" s="155" t="s">
        <v>11175</v>
      </c>
      <c r="H411" s="113" t="s">
        <v>9767</v>
      </c>
      <c r="I411" s="4" t="s">
        <v>11175</v>
      </c>
      <c r="J411" s="155" t="s">
        <v>11177</v>
      </c>
      <c r="K411" s="2" t="s">
        <v>11208</v>
      </c>
    </row>
    <row r="412" spans="1:11" s="2" customFormat="1" x14ac:dyDescent="0.25">
      <c r="A412" s="114" t="s">
        <v>11178</v>
      </c>
      <c r="B412" s="4" t="s">
        <v>11179</v>
      </c>
      <c r="C412" s="113" t="s">
        <v>15363</v>
      </c>
      <c r="D412" s="155" t="s">
        <v>11180</v>
      </c>
      <c r="E412" s="159">
        <v>322</v>
      </c>
      <c r="F412" s="157" t="s">
        <v>11181</v>
      </c>
      <c r="G412" s="155" t="s">
        <v>11179</v>
      </c>
      <c r="H412" s="113" t="s">
        <v>9767</v>
      </c>
      <c r="I412" s="4" t="s">
        <v>11179</v>
      </c>
      <c r="J412" s="155" t="s">
        <v>11181</v>
      </c>
      <c r="K412" s="2" t="s">
        <v>10144</v>
      </c>
    </row>
    <row r="413" spans="1:11" s="2" customFormat="1" x14ac:dyDescent="0.25">
      <c r="A413" s="114" t="s">
        <v>11182</v>
      </c>
      <c r="B413" s="4" t="s">
        <v>10748</v>
      </c>
      <c r="C413" s="113" t="s">
        <v>15363</v>
      </c>
      <c r="D413" s="155" t="s">
        <v>9850</v>
      </c>
      <c r="E413" s="159">
        <v>359</v>
      </c>
      <c r="F413" s="157" t="s">
        <v>11183</v>
      </c>
      <c r="G413" s="155" t="s">
        <v>10748</v>
      </c>
      <c r="H413" s="113" t="s">
        <v>9767</v>
      </c>
      <c r="I413" s="4" t="s">
        <v>10748</v>
      </c>
      <c r="J413" s="155" t="s">
        <v>11183</v>
      </c>
      <c r="K413" s="2" t="s">
        <v>10748</v>
      </c>
    </row>
    <row r="414" spans="1:11" s="2" customFormat="1" x14ac:dyDescent="0.25">
      <c r="A414" s="114" t="s">
        <v>11184</v>
      </c>
      <c r="B414" s="4" t="s">
        <v>11185</v>
      </c>
      <c r="C414" s="113" t="s">
        <v>15363</v>
      </c>
      <c r="D414" s="155" t="s">
        <v>11186</v>
      </c>
      <c r="E414" s="159">
        <v>55</v>
      </c>
      <c r="F414" s="157" t="s">
        <v>11187</v>
      </c>
      <c r="G414" s="155" t="s">
        <v>11185</v>
      </c>
      <c r="H414" s="113" t="s">
        <v>9767</v>
      </c>
      <c r="I414" s="4" t="s">
        <v>11185</v>
      </c>
      <c r="J414" s="155" t="s">
        <v>11187</v>
      </c>
      <c r="K414" s="2" t="s">
        <v>15387</v>
      </c>
    </row>
    <row r="415" spans="1:11" s="2" customFormat="1" x14ac:dyDescent="0.25">
      <c r="A415" s="114" t="s">
        <v>11188</v>
      </c>
      <c r="B415" s="4" t="s">
        <v>11189</v>
      </c>
      <c r="C415" s="113" t="s">
        <v>4</v>
      </c>
      <c r="D415" s="155" t="s">
        <v>11190</v>
      </c>
      <c r="E415" s="159">
        <v>2450</v>
      </c>
      <c r="F415" s="157" t="s">
        <v>11191</v>
      </c>
      <c r="G415" s="155" t="s">
        <v>11029</v>
      </c>
      <c r="H415" s="113" t="s">
        <v>9767</v>
      </c>
      <c r="I415" s="4" t="s">
        <v>11189</v>
      </c>
      <c r="J415" s="155" t="s">
        <v>11191</v>
      </c>
      <c r="K415" s="2" t="s">
        <v>11023</v>
      </c>
    </row>
    <row r="416" spans="1:11" s="2" customFormat="1" x14ac:dyDescent="0.25">
      <c r="A416" s="114" t="s">
        <v>11192</v>
      </c>
      <c r="B416" s="4" t="s">
        <v>11193</v>
      </c>
      <c r="C416" s="113" t="s">
        <v>4</v>
      </c>
      <c r="D416" s="155" t="s">
        <v>11194</v>
      </c>
      <c r="E416" s="159">
        <v>1101</v>
      </c>
      <c r="F416" s="157" t="s">
        <v>11195</v>
      </c>
      <c r="G416" s="155" t="s">
        <v>10065</v>
      </c>
      <c r="H416" s="113" t="s">
        <v>9767</v>
      </c>
      <c r="I416" s="4" t="s">
        <v>11193</v>
      </c>
      <c r="J416" s="155" t="s">
        <v>11195</v>
      </c>
      <c r="K416" s="2" t="s">
        <v>15384</v>
      </c>
    </row>
    <row r="417" spans="1:11" s="2" customFormat="1" x14ac:dyDescent="0.25">
      <c r="A417" s="114" t="s">
        <v>11196</v>
      </c>
      <c r="B417" s="4" t="s">
        <v>11197</v>
      </c>
      <c r="C417" s="113" t="s">
        <v>4</v>
      </c>
      <c r="D417" s="155" t="s">
        <v>10059</v>
      </c>
      <c r="E417" s="159">
        <v>90</v>
      </c>
      <c r="F417" s="157" t="s">
        <v>11198</v>
      </c>
      <c r="G417" s="155" t="s">
        <v>11197</v>
      </c>
      <c r="H417" s="113" t="s">
        <v>9767</v>
      </c>
      <c r="I417" s="4" t="s">
        <v>11197</v>
      </c>
      <c r="J417" s="155" t="s">
        <v>11198</v>
      </c>
      <c r="K417" s="2" t="s">
        <v>10038</v>
      </c>
    </row>
    <row r="418" spans="1:11" s="2" customFormat="1" x14ac:dyDescent="0.25">
      <c r="A418" s="114" t="s">
        <v>11199</v>
      </c>
      <c r="B418" s="4" t="s">
        <v>11200</v>
      </c>
      <c r="C418" s="113" t="s">
        <v>15364</v>
      </c>
      <c r="D418" s="155" t="s">
        <v>10317</v>
      </c>
      <c r="E418" s="159">
        <v>164</v>
      </c>
      <c r="F418" s="157" t="s">
        <v>11201</v>
      </c>
      <c r="G418" s="155" t="s">
        <v>11200</v>
      </c>
      <c r="H418" s="113" t="s">
        <v>9767</v>
      </c>
      <c r="I418" s="4" t="s">
        <v>11200</v>
      </c>
      <c r="J418" s="155" t="s">
        <v>11201</v>
      </c>
      <c r="K418" s="2" t="s">
        <v>11088</v>
      </c>
    </row>
    <row r="419" spans="1:11" s="2" customFormat="1" x14ac:dyDescent="0.25">
      <c r="A419" s="114" t="s">
        <v>11202</v>
      </c>
      <c r="B419" s="4" t="s">
        <v>11203</v>
      </c>
      <c r="C419" s="113" t="s">
        <v>15364</v>
      </c>
      <c r="D419" s="155" t="s">
        <v>11204</v>
      </c>
      <c r="E419" s="159">
        <v>0</v>
      </c>
      <c r="F419" s="157" t="s">
        <v>11206</v>
      </c>
      <c r="G419" s="155" t="s">
        <v>11205</v>
      </c>
      <c r="H419" s="113" t="s">
        <v>9767</v>
      </c>
      <c r="I419" s="4" t="s">
        <v>11203</v>
      </c>
      <c r="J419" s="155" t="s">
        <v>11206</v>
      </c>
      <c r="K419" s="2" t="s">
        <v>15395</v>
      </c>
    </row>
    <row r="420" spans="1:11" s="2" customFormat="1" x14ac:dyDescent="0.25">
      <c r="A420" s="114" t="s">
        <v>11207</v>
      </c>
      <c r="B420" s="4" t="s">
        <v>11208</v>
      </c>
      <c r="C420" s="113" t="s">
        <v>4</v>
      </c>
      <c r="D420" s="155" t="s">
        <v>11209</v>
      </c>
      <c r="E420" s="159">
        <v>0</v>
      </c>
      <c r="F420" s="157" t="s">
        <v>11210</v>
      </c>
      <c r="G420" s="155" t="s">
        <v>11208</v>
      </c>
      <c r="H420" s="113" t="s">
        <v>9767</v>
      </c>
      <c r="I420" s="4" t="s">
        <v>11208</v>
      </c>
      <c r="J420" s="155" t="s">
        <v>11210</v>
      </c>
      <c r="K420" s="2" t="s">
        <v>11208</v>
      </c>
    </row>
    <row r="421" spans="1:11" s="2" customFormat="1" x14ac:dyDescent="0.25">
      <c r="A421" s="114" t="s">
        <v>11211</v>
      </c>
      <c r="B421" s="4" t="s">
        <v>11212</v>
      </c>
      <c r="C421" s="113" t="s">
        <v>15364</v>
      </c>
      <c r="D421" s="155" t="s">
        <v>11213</v>
      </c>
      <c r="E421" s="159">
        <v>0</v>
      </c>
      <c r="F421" s="157" t="s">
        <v>11214</v>
      </c>
      <c r="G421" s="155" t="s">
        <v>11212</v>
      </c>
      <c r="H421" s="113" t="s">
        <v>9767</v>
      </c>
      <c r="I421" s="4" t="s">
        <v>11212</v>
      </c>
      <c r="J421" s="155" t="s">
        <v>11214</v>
      </c>
      <c r="K421" s="2" t="s">
        <v>10144</v>
      </c>
    </row>
    <row r="422" spans="1:11" s="2" customFormat="1" x14ac:dyDescent="0.25">
      <c r="A422" s="114" t="s">
        <v>11215</v>
      </c>
      <c r="B422" s="4" t="s">
        <v>11216</v>
      </c>
      <c r="C422" s="113" t="s">
        <v>4</v>
      </c>
      <c r="D422" s="155" t="s">
        <v>11217</v>
      </c>
      <c r="E422" s="159">
        <v>399</v>
      </c>
      <c r="F422" s="157" t="s">
        <v>11218</v>
      </c>
      <c r="G422" s="155" t="s">
        <v>10744</v>
      </c>
      <c r="H422" s="113" t="s">
        <v>9767</v>
      </c>
      <c r="I422" s="4" t="s">
        <v>11216</v>
      </c>
      <c r="J422" s="155" t="s">
        <v>11218</v>
      </c>
      <c r="K422" s="2" t="s">
        <v>10744</v>
      </c>
    </row>
    <row r="423" spans="1:11" s="2" customFormat="1" x14ac:dyDescent="0.25">
      <c r="A423" s="114" t="s">
        <v>11219</v>
      </c>
      <c r="B423" s="4" t="s">
        <v>11220</v>
      </c>
      <c r="C423" s="113" t="s">
        <v>4</v>
      </c>
      <c r="D423" s="155" t="s">
        <v>11221</v>
      </c>
      <c r="E423" s="159">
        <v>1363</v>
      </c>
      <c r="F423" s="157" t="s">
        <v>11222</v>
      </c>
      <c r="G423" s="155" t="s">
        <v>11220</v>
      </c>
      <c r="H423" s="113" t="s">
        <v>9767</v>
      </c>
      <c r="I423" s="4" t="s">
        <v>11220</v>
      </c>
      <c r="J423" s="155" t="s">
        <v>11222</v>
      </c>
      <c r="K423" s="2" t="s">
        <v>10937</v>
      </c>
    </row>
    <row r="424" spans="1:11" s="2" customFormat="1" x14ac:dyDescent="0.25">
      <c r="A424" s="114" t="s">
        <v>11223</v>
      </c>
      <c r="B424" s="4" t="s">
        <v>11224</v>
      </c>
      <c r="C424" s="113" t="s">
        <v>4</v>
      </c>
      <c r="D424" s="155" t="s">
        <v>10309</v>
      </c>
      <c r="E424" s="159">
        <v>173</v>
      </c>
      <c r="F424" s="157" t="s">
        <v>11225</v>
      </c>
      <c r="G424" s="155" t="s">
        <v>11224</v>
      </c>
      <c r="H424" s="113" t="s">
        <v>9767</v>
      </c>
      <c r="I424" s="4" t="s">
        <v>11224</v>
      </c>
      <c r="J424" s="155" t="s">
        <v>11225</v>
      </c>
      <c r="K424" s="2" t="s">
        <v>15390</v>
      </c>
    </row>
    <row r="425" spans="1:11" s="2" customFormat="1" x14ac:dyDescent="0.25">
      <c r="A425" s="114" t="s">
        <v>11226</v>
      </c>
      <c r="B425" s="4" t="s">
        <v>11227</v>
      </c>
      <c r="C425" s="113" t="s">
        <v>4</v>
      </c>
      <c r="D425" s="155" t="s">
        <v>11228</v>
      </c>
      <c r="E425" s="159">
        <v>177</v>
      </c>
      <c r="F425" s="157" t="s">
        <v>11229</v>
      </c>
      <c r="G425" s="155" t="s">
        <v>11227</v>
      </c>
      <c r="H425" s="113" t="s">
        <v>9767</v>
      </c>
      <c r="I425" s="4" t="s">
        <v>11227</v>
      </c>
      <c r="J425" s="155" t="s">
        <v>11229</v>
      </c>
      <c r="K425" s="2" t="s">
        <v>15390</v>
      </c>
    </row>
    <row r="426" spans="1:11" s="2" customFormat="1" x14ac:dyDescent="0.25">
      <c r="A426" s="114" t="s">
        <v>11230</v>
      </c>
      <c r="B426" s="4" t="s">
        <v>11231</v>
      </c>
      <c r="C426" s="113" t="s">
        <v>4</v>
      </c>
      <c r="D426" s="155" t="s">
        <v>10161</v>
      </c>
      <c r="E426" s="159">
        <v>670</v>
      </c>
      <c r="F426" s="157" t="s">
        <v>11232</v>
      </c>
      <c r="G426" s="155" t="s">
        <v>10144</v>
      </c>
      <c r="H426" s="113" t="s">
        <v>9767</v>
      </c>
      <c r="I426" s="4" t="s">
        <v>11231</v>
      </c>
      <c r="J426" s="155" t="s">
        <v>11232</v>
      </c>
      <c r="K426" s="2" t="s">
        <v>10144</v>
      </c>
    </row>
    <row r="427" spans="1:11" s="2" customFormat="1" x14ac:dyDescent="0.25">
      <c r="A427" s="114" t="s">
        <v>11233</v>
      </c>
      <c r="B427" s="4" t="s">
        <v>11234</v>
      </c>
      <c r="C427" s="113" t="s">
        <v>4</v>
      </c>
      <c r="D427" s="155" t="s">
        <v>10616</v>
      </c>
      <c r="E427" s="159">
        <v>0</v>
      </c>
      <c r="F427" s="157" t="s">
        <v>11235</v>
      </c>
      <c r="G427" s="155" t="s">
        <v>11234</v>
      </c>
      <c r="H427" s="113" t="s">
        <v>9767</v>
      </c>
      <c r="I427" s="4" t="s">
        <v>11234</v>
      </c>
      <c r="J427" s="155" t="s">
        <v>11235</v>
      </c>
      <c r="K427" s="2" t="s">
        <v>10268</v>
      </c>
    </row>
    <row r="428" spans="1:11" s="2" customFormat="1" x14ac:dyDescent="0.25">
      <c r="A428" s="114" t="s">
        <v>11236</v>
      </c>
      <c r="B428" s="4" t="s">
        <v>11237</v>
      </c>
      <c r="C428" s="113" t="s">
        <v>4</v>
      </c>
      <c r="D428" s="155" t="s">
        <v>9895</v>
      </c>
      <c r="E428" s="159">
        <v>429</v>
      </c>
      <c r="F428" s="157" t="s">
        <v>11238</v>
      </c>
      <c r="G428" s="155" t="s">
        <v>9845</v>
      </c>
      <c r="H428" s="113" t="s">
        <v>9767</v>
      </c>
      <c r="I428" s="4" t="s">
        <v>11237</v>
      </c>
      <c r="J428" s="155" t="s">
        <v>11238</v>
      </c>
      <c r="K428" s="2" t="s">
        <v>9845</v>
      </c>
    </row>
    <row r="429" spans="1:11" s="2" customFormat="1" x14ac:dyDescent="0.25">
      <c r="A429" s="114" t="s">
        <v>11239</v>
      </c>
      <c r="B429" s="4" t="s">
        <v>11240</v>
      </c>
      <c r="C429" s="113" t="s">
        <v>15363</v>
      </c>
      <c r="D429" s="155" t="s">
        <v>11241</v>
      </c>
      <c r="E429" s="159">
        <v>1342</v>
      </c>
      <c r="F429" s="157" t="s">
        <v>11242</v>
      </c>
      <c r="G429" s="155" t="s">
        <v>10144</v>
      </c>
      <c r="H429" s="113" t="s">
        <v>9767</v>
      </c>
      <c r="I429" s="4" t="s">
        <v>11240</v>
      </c>
      <c r="J429" s="155" t="s">
        <v>11242</v>
      </c>
      <c r="K429" s="2" t="s">
        <v>10144</v>
      </c>
    </row>
    <row r="430" spans="1:11" s="2" customFormat="1" x14ac:dyDescent="0.25">
      <c r="A430" s="114" t="s">
        <v>11243</v>
      </c>
      <c r="B430" s="4" t="s">
        <v>11244</v>
      </c>
      <c r="C430" s="113" t="s">
        <v>4</v>
      </c>
      <c r="D430" s="155" t="s">
        <v>10203</v>
      </c>
      <c r="E430" s="159">
        <v>579</v>
      </c>
      <c r="F430" s="157" t="s">
        <v>11245</v>
      </c>
      <c r="G430" s="155" t="s">
        <v>10744</v>
      </c>
      <c r="H430" s="113" t="s">
        <v>9767</v>
      </c>
      <c r="I430" s="4" t="s">
        <v>11244</v>
      </c>
      <c r="J430" s="155" t="s">
        <v>11245</v>
      </c>
      <c r="K430" s="2" t="s">
        <v>10744</v>
      </c>
    </row>
    <row r="431" spans="1:11" s="2" customFormat="1" x14ac:dyDescent="0.25">
      <c r="A431" s="114" t="s">
        <v>11246</v>
      </c>
      <c r="B431" s="4" t="s">
        <v>11247</v>
      </c>
      <c r="C431" s="113" t="s">
        <v>15363</v>
      </c>
      <c r="D431" s="155" t="s">
        <v>11248</v>
      </c>
      <c r="E431" s="159">
        <v>2766</v>
      </c>
      <c r="F431" s="157" t="s">
        <v>11249</v>
      </c>
      <c r="G431" s="155" t="s">
        <v>11247</v>
      </c>
      <c r="H431" s="113" t="s">
        <v>9767</v>
      </c>
      <c r="I431" s="4" t="s">
        <v>11247</v>
      </c>
      <c r="J431" s="155" t="s">
        <v>11249</v>
      </c>
      <c r="K431" s="2" t="s">
        <v>15384</v>
      </c>
    </row>
    <row r="432" spans="1:11" s="2" customFormat="1" x14ac:dyDescent="0.25">
      <c r="A432" s="114" t="s">
        <v>11250</v>
      </c>
      <c r="B432" s="4" t="s">
        <v>11251</v>
      </c>
      <c r="C432" s="113" t="s">
        <v>15363</v>
      </c>
      <c r="D432" s="155" t="s">
        <v>11252</v>
      </c>
      <c r="E432" s="159">
        <v>1764</v>
      </c>
      <c r="F432" s="157" t="s">
        <v>11253</v>
      </c>
      <c r="G432" s="155" t="s">
        <v>11251</v>
      </c>
      <c r="H432" s="113" t="s">
        <v>9767</v>
      </c>
      <c r="I432" s="4" t="s">
        <v>11251</v>
      </c>
      <c r="J432" s="155" t="s">
        <v>11253</v>
      </c>
      <c r="K432" s="2" t="s">
        <v>9860</v>
      </c>
    </row>
    <row r="433" spans="1:11" s="2" customFormat="1" x14ac:dyDescent="0.25">
      <c r="A433" s="114" t="s">
        <v>11254</v>
      </c>
      <c r="B433" s="4" t="s">
        <v>11255</v>
      </c>
      <c r="C433" s="113" t="s">
        <v>4</v>
      </c>
      <c r="D433" s="155" t="s">
        <v>11256</v>
      </c>
      <c r="E433" s="159">
        <v>1753</v>
      </c>
      <c r="F433" s="157" t="s">
        <v>11257</v>
      </c>
      <c r="G433" s="155" t="s">
        <v>9766</v>
      </c>
      <c r="H433" s="113" t="s">
        <v>9767</v>
      </c>
      <c r="I433" s="4" t="s">
        <v>11255</v>
      </c>
      <c r="J433" s="155" t="s">
        <v>11257</v>
      </c>
      <c r="K433" s="2" t="s">
        <v>9766</v>
      </c>
    </row>
    <row r="434" spans="1:11" s="2" customFormat="1" x14ac:dyDescent="0.25">
      <c r="A434" s="114" t="s">
        <v>11258</v>
      </c>
      <c r="B434" s="4" t="s">
        <v>11259</v>
      </c>
      <c r="C434" s="113" t="s">
        <v>15364</v>
      </c>
      <c r="D434" s="155" t="s">
        <v>11259</v>
      </c>
      <c r="E434" s="159"/>
      <c r="F434" s="157" t="s">
        <v>11260</v>
      </c>
      <c r="G434" s="155" t="s">
        <v>11259</v>
      </c>
      <c r="H434" s="113" t="s">
        <v>9767</v>
      </c>
      <c r="I434" s="4" t="s">
        <v>11259</v>
      </c>
      <c r="J434" s="155" t="s">
        <v>11260</v>
      </c>
      <c r="K434" s="2" t="s">
        <v>10144</v>
      </c>
    </row>
    <row r="435" spans="1:11" s="2" customFormat="1" x14ac:dyDescent="0.25">
      <c r="A435" s="114" t="s">
        <v>11261</v>
      </c>
      <c r="B435" s="4" t="s">
        <v>11262</v>
      </c>
      <c r="C435" s="113" t="s">
        <v>15364</v>
      </c>
      <c r="D435" s="155" t="s">
        <v>10043</v>
      </c>
      <c r="E435" s="159">
        <v>0</v>
      </c>
      <c r="F435" s="157" t="s">
        <v>11264</v>
      </c>
      <c r="G435" s="155" t="s">
        <v>11263</v>
      </c>
      <c r="H435" s="113" t="s">
        <v>9767</v>
      </c>
      <c r="I435" s="4" t="s">
        <v>11262</v>
      </c>
      <c r="J435" s="155" t="s">
        <v>11264</v>
      </c>
      <c r="K435" s="2" t="s">
        <v>9770</v>
      </c>
    </row>
    <row r="436" spans="1:11" s="2" customFormat="1" x14ac:dyDescent="0.25">
      <c r="A436" s="114" t="s">
        <v>11265</v>
      </c>
      <c r="B436" s="4" t="s">
        <v>11266</v>
      </c>
      <c r="C436" s="113" t="s">
        <v>15363</v>
      </c>
      <c r="D436" s="155" t="s">
        <v>11267</v>
      </c>
      <c r="E436" s="159">
        <v>1043</v>
      </c>
      <c r="F436" s="157" t="s">
        <v>11268</v>
      </c>
      <c r="G436" s="155" t="s">
        <v>11266</v>
      </c>
      <c r="H436" s="113" t="s">
        <v>9767</v>
      </c>
      <c r="I436" s="4" t="s">
        <v>11266</v>
      </c>
      <c r="J436" s="155" t="s">
        <v>11268</v>
      </c>
      <c r="K436" s="2" t="s">
        <v>9912</v>
      </c>
    </row>
    <row r="437" spans="1:11" s="2" customFormat="1" x14ac:dyDescent="0.25">
      <c r="A437" s="114" t="s">
        <v>11269</v>
      </c>
      <c r="B437" s="4" t="s">
        <v>11270</v>
      </c>
      <c r="C437" s="113" t="s">
        <v>15364</v>
      </c>
      <c r="D437" s="155" t="s">
        <v>10043</v>
      </c>
      <c r="E437" s="159">
        <v>26</v>
      </c>
      <c r="F437" s="157" t="s">
        <v>11271</v>
      </c>
      <c r="G437" s="155" t="s">
        <v>11270</v>
      </c>
      <c r="H437" s="113" t="s">
        <v>9767</v>
      </c>
      <c r="I437" s="4" t="s">
        <v>11270</v>
      </c>
      <c r="J437" s="155" t="s">
        <v>11271</v>
      </c>
      <c r="K437" s="2" t="s">
        <v>10633</v>
      </c>
    </row>
    <row r="438" spans="1:11" s="2" customFormat="1" x14ac:dyDescent="0.25">
      <c r="A438" s="114" t="s">
        <v>11272</v>
      </c>
      <c r="B438" s="4" t="s">
        <v>11273</v>
      </c>
      <c r="C438" s="113" t="s">
        <v>4</v>
      </c>
      <c r="D438" s="155" t="s">
        <v>11274</v>
      </c>
      <c r="E438" s="159">
        <v>1960</v>
      </c>
      <c r="F438" s="157" t="s">
        <v>11276</v>
      </c>
      <c r="G438" s="155" t="s">
        <v>11275</v>
      </c>
      <c r="H438" s="113" t="s">
        <v>9767</v>
      </c>
      <c r="I438" s="4" t="s">
        <v>11273</v>
      </c>
      <c r="J438" s="155" t="s">
        <v>11276</v>
      </c>
      <c r="K438" s="2" t="s">
        <v>9916</v>
      </c>
    </row>
    <row r="439" spans="1:11" s="2" customFormat="1" x14ac:dyDescent="0.25">
      <c r="A439" s="114" t="s">
        <v>11277</v>
      </c>
      <c r="B439" s="4" t="s">
        <v>11278</v>
      </c>
      <c r="C439" s="113" t="s">
        <v>4</v>
      </c>
      <c r="D439" s="155" t="s">
        <v>10304</v>
      </c>
      <c r="E439" s="159">
        <v>1846</v>
      </c>
      <c r="F439" s="157" t="s">
        <v>11280</v>
      </c>
      <c r="G439" s="155" t="s">
        <v>11279</v>
      </c>
      <c r="H439" s="113" t="s">
        <v>9767</v>
      </c>
      <c r="I439" s="4" t="s">
        <v>11278</v>
      </c>
      <c r="J439" s="155" t="s">
        <v>11280</v>
      </c>
      <c r="K439" s="2" t="s">
        <v>10704</v>
      </c>
    </row>
    <row r="440" spans="1:11" s="2" customFormat="1" x14ac:dyDescent="0.25">
      <c r="A440" s="114" t="s">
        <v>11281</v>
      </c>
      <c r="B440" s="4" t="s">
        <v>11282</v>
      </c>
      <c r="C440" s="113" t="s">
        <v>15363</v>
      </c>
      <c r="D440" s="155" t="s">
        <v>11283</v>
      </c>
      <c r="E440" s="159">
        <v>321</v>
      </c>
      <c r="F440" s="157" t="s">
        <v>11286</v>
      </c>
      <c r="G440" s="155" t="s">
        <v>11284</v>
      </c>
      <c r="H440" s="113" t="s">
        <v>11285</v>
      </c>
      <c r="I440" s="4" t="s">
        <v>11282</v>
      </c>
      <c r="J440" s="155" t="s">
        <v>11286</v>
      </c>
      <c r="K440" s="2" t="s">
        <v>11285</v>
      </c>
    </row>
    <row r="441" spans="1:11" s="2" customFormat="1" x14ac:dyDescent="0.25">
      <c r="A441" s="114" t="s">
        <v>11287</v>
      </c>
      <c r="B441" s="4" t="s">
        <v>11288</v>
      </c>
      <c r="C441" s="113" t="s">
        <v>15363</v>
      </c>
      <c r="D441" s="155" t="s">
        <v>11289</v>
      </c>
      <c r="E441" s="159">
        <v>770</v>
      </c>
      <c r="F441" s="157" t="s">
        <v>11290</v>
      </c>
      <c r="G441" s="155" t="s">
        <v>11284</v>
      </c>
      <c r="H441" s="113" t="s">
        <v>11285</v>
      </c>
      <c r="I441" s="4" t="s">
        <v>11288</v>
      </c>
      <c r="J441" s="155" t="s">
        <v>11290</v>
      </c>
      <c r="K441" s="2" t="s">
        <v>11285</v>
      </c>
    </row>
    <row r="442" spans="1:11" s="2" customFormat="1" x14ac:dyDescent="0.25">
      <c r="A442" s="114" t="s">
        <v>11291</v>
      </c>
      <c r="B442" s="4" t="s">
        <v>11292</v>
      </c>
      <c r="C442" s="113" t="s">
        <v>15363</v>
      </c>
      <c r="D442" s="155" t="s">
        <v>11293</v>
      </c>
      <c r="E442" s="159">
        <v>131</v>
      </c>
      <c r="F442" s="157" t="s">
        <v>11294</v>
      </c>
      <c r="G442" s="155" t="s">
        <v>11284</v>
      </c>
      <c r="H442" s="113" t="s">
        <v>11285</v>
      </c>
      <c r="I442" s="4" t="s">
        <v>11292</v>
      </c>
      <c r="J442" s="155" t="s">
        <v>11294</v>
      </c>
      <c r="K442" s="2" t="s">
        <v>11285</v>
      </c>
    </row>
    <row r="443" spans="1:11" s="2" customFormat="1" x14ac:dyDescent="0.25">
      <c r="A443" s="114" t="s">
        <v>11295</v>
      </c>
      <c r="B443" s="4" t="s">
        <v>11296</v>
      </c>
      <c r="C443" s="113" t="s">
        <v>15363</v>
      </c>
      <c r="D443" s="155" t="s">
        <v>11283</v>
      </c>
      <c r="E443" s="159">
        <v>2821</v>
      </c>
      <c r="F443" s="157" t="s">
        <v>11297</v>
      </c>
      <c r="G443" s="155" t="s">
        <v>11284</v>
      </c>
      <c r="H443" s="113" t="s">
        <v>11285</v>
      </c>
      <c r="I443" s="4" t="s">
        <v>11296</v>
      </c>
      <c r="J443" s="155" t="s">
        <v>11297</v>
      </c>
      <c r="K443" s="2" t="s">
        <v>11285</v>
      </c>
    </row>
    <row r="444" spans="1:11" s="2" customFormat="1" x14ac:dyDescent="0.25">
      <c r="A444" s="114" t="s">
        <v>11298</v>
      </c>
      <c r="B444" s="4" t="s">
        <v>11299</v>
      </c>
      <c r="C444" s="113" t="s">
        <v>15363</v>
      </c>
      <c r="D444" s="155" t="s">
        <v>11300</v>
      </c>
      <c r="E444" s="159">
        <v>66</v>
      </c>
      <c r="F444" s="157" t="s">
        <v>11301</v>
      </c>
      <c r="G444" s="155" t="s">
        <v>11284</v>
      </c>
      <c r="H444" s="113" t="s">
        <v>11285</v>
      </c>
      <c r="I444" s="4" t="s">
        <v>11299</v>
      </c>
      <c r="J444" s="155" t="s">
        <v>11301</v>
      </c>
      <c r="K444" s="2" t="s">
        <v>11285</v>
      </c>
    </row>
    <row r="445" spans="1:11" s="2" customFormat="1" x14ac:dyDescent="0.25">
      <c r="A445" s="114" t="s">
        <v>11302</v>
      </c>
      <c r="B445" s="4" t="s">
        <v>11303</v>
      </c>
      <c r="C445" s="113" t="s">
        <v>15363</v>
      </c>
      <c r="D445" s="155" t="s">
        <v>11304</v>
      </c>
      <c r="E445" s="159">
        <v>756</v>
      </c>
      <c r="F445" s="157" t="s">
        <v>11305</v>
      </c>
      <c r="G445" s="155" t="s">
        <v>11284</v>
      </c>
      <c r="H445" s="113" t="s">
        <v>11285</v>
      </c>
      <c r="I445" s="4" t="s">
        <v>11303</v>
      </c>
      <c r="J445" s="155" t="s">
        <v>11305</v>
      </c>
      <c r="K445" s="2" t="s">
        <v>11285</v>
      </c>
    </row>
    <row r="446" spans="1:11" s="2" customFormat="1" x14ac:dyDescent="0.25">
      <c r="A446" s="114" t="s">
        <v>11306</v>
      </c>
      <c r="B446" s="4" t="s">
        <v>11307</v>
      </c>
      <c r="C446" s="113" t="s">
        <v>15363</v>
      </c>
      <c r="D446" s="155" t="s">
        <v>11308</v>
      </c>
      <c r="E446" s="159">
        <v>31</v>
      </c>
      <c r="F446" s="157" t="s">
        <v>11309</v>
      </c>
      <c r="G446" s="155" t="s">
        <v>11284</v>
      </c>
      <c r="H446" s="113" t="s">
        <v>11285</v>
      </c>
      <c r="I446" s="4" t="s">
        <v>11307</v>
      </c>
      <c r="J446" s="155" t="s">
        <v>11309</v>
      </c>
      <c r="K446" s="2" t="s">
        <v>11285</v>
      </c>
    </row>
    <row r="447" spans="1:11" s="2" customFormat="1" x14ac:dyDescent="0.25">
      <c r="A447" s="114" t="s">
        <v>11310</v>
      </c>
      <c r="B447" s="4" t="s">
        <v>10871</v>
      </c>
      <c r="C447" s="113" t="s">
        <v>15363</v>
      </c>
      <c r="D447" s="155" t="s">
        <v>10609</v>
      </c>
      <c r="E447" s="159">
        <v>11256</v>
      </c>
      <c r="F447" s="157" t="s">
        <v>11311</v>
      </c>
      <c r="G447" s="155" t="s">
        <v>11284</v>
      </c>
      <c r="H447" s="113" t="s">
        <v>11285</v>
      </c>
      <c r="I447" s="4" t="s">
        <v>10871</v>
      </c>
      <c r="J447" s="155" t="s">
        <v>11311</v>
      </c>
      <c r="K447" s="2" t="s">
        <v>11285</v>
      </c>
    </row>
    <row r="448" spans="1:11" s="2" customFormat="1" x14ac:dyDescent="0.25">
      <c r="A448" s="114" t="s">
        <v>11312</v>
      </c>
      <c r="B448" s="4" t="s">
        <v>11313</v>
      </c>
      <c r="C448" s="113" t="s">
        <v>15363</v>
      </c>
      <c r="D448" s="155" t="s">
        <v>11314</v>
      </c>
      <c r="E448" s="159">
        <v>5150</v>
      </c>
      <c r="F448" s="157" t="s">
        <v>11315</v>
      </c>
      <c r="G448" s="155" t="s">
        <v>11284</v>
      </c>
      <c r="H448" s="113" t="s">
        <v>11285</v>
      </c>
      <c r="I448" s="4" t="s">
        <v>11313</v>
      </c>
      <c r="J448" s="155" t="s">
        <v>11315</v>
      </c>
      <c r="K448" s="2" t="s">
        <v>11285</v>
      </c>
    </row>
    <row r="449" spans="1:11" s="2" customFormat="1" x14ac:dyDescent="0.25">
      <c r="A449" s="114" t="s">
        <v>11316</v>
      </c>
      <c r="B449" s="4" t="s">
        <v>11317</v>
      </c>
      <c r="C449" s="113" t="s">
        <v>15363</v>
      </c>
      <c r="D449" s="155" t="s">
        <v>11293</v>
      </c>
      <c r="E449" s="159">
        <v>1577</v>
      </c>
      <c r="F449" s="157" t="s">
        <v>11318</v>
      </c>
      <c r="G449" s="155" t="s">
        <v>11284</v>
      </c>
      <c r="H449" s="113" t="s">
        <v>11285</v>
      </c>
      <c r="I449" s="4" t="s">
        <v>11317</v>
      </c>
      <c r="J449" s="155" t="s">
        <v>11318</v>
      </c>
      <c r="K449" s="2" t="s">
        <v>11285</v>
      </c>
    </row>
    <row r="450" spans="1:11" s="2" customFormat="1" x14ac:dyDescent="0.25">
      <c r="A450" s="114" t="s">
        <v>11319</v>
      </c>
      <c r="B450" s="4" t="s">
        <v>11320</v>
      </c>
      <c r="C450" s="113" t="s">
        <v>15363</v>
      </c>
      <c r="D450" s="155" t="s">
        <v>11321</v>
      </c>
      <c r="E450" s="159">
        <v>815</v>
      </c>
      <c r="F450" s="157" t="s">
        <v>11322</v>
      </c>
      <c r="G450" s="155" t="s">
        <v>11284</v>
      </c>
      <c r="H450" s="113" t="s">
        <v>11285</v>
      </c>
      <c r="I450" s="4" t="s">
        <v>11320</v>
      </c>
      <c r="J450" s="155" t="s">
        <v>11322</v>
      </c>
      <c r="K450" s="2" t="s">
        <v>11285</v>
      </c>
    </row>
    <row r="451" spans="1:11" s="2" customFormat="1" x14ac:dyDescent="0.25">
      <c r="A451" s="114" t="s">
        <v>11323</v>
      </c>
      <c r="B451" s="4" t="s">
        <v>11324</v>
      </c>
      <c r="C451" s="113" t="s">
        <v>15363</v>
      </c>
      <c r="D451" s="155" t="s">
        <v>11325</v>
      </c>
      <c r="E451" s="159">
        <v>1352</v>
      </c>
      <c r="F451" s="157" t="s">
        <v>11326</v>
      </c>
      <c r="G451" s="155" t="s">
        <v>11284</v>
      </c>
      <c r="H451" s="113" t="s">
        <v>11285</v>
      </c>
      <c r="I451" s="4" t="s">
        <v>11324</v>
      </c>
      <c r="J451" s="155" t="s">
        <v>11326</v>
      </c>
      <c r="K451" s="2" t="s">
        <v>11285</v>
      </c>
    </row>
    <row r="452" spans="1:11" s="2" customFormat="1" x14ac:dyDescent="0.25">
      <c r="A452" s="114" t="s">
        <v>11327</v>
      </c>
      <c r="B452" s="4" t="s">
        <v>11212</v>
      </c>
      <c r="C452" s="113" t="s">
        <v>15363</v>
      </c>
      <c r="D452" s="155" t="s">
        <v>11328</v>
      </c>
      <c r="E452" s="159">
        <v>3702</v>
      </c>
      <c r="F452" s="157" t="s">
        <v>11329</v>
      </c>
      <c r="G452" s="155" t="s">
        <v>11284</v>
      </c>
      <c r="H452" s="113" t="s">
        <v>11285</v>
      </c>
      <c r="I452" s="4" t="s">
        <v>11212</v>
      </c>
      <c r="J452" s="155" t="s">
        <v>11329</v>
      </c>
      <c r="K452" s="2" t="s">
        <v>11285</v>
      </c>
    </row>
    <row r="453" spans="1:11" s="2" customFormat="1" x14ac:dyDescent="0.25">
      <c r="A453" s="114" t="s">
        <v>11330</v>
      </c>
      <c r="B453" s="4" t="s">
        <v>11331</v>
      </c>
      <c r="C453" s="113" t="s">
        <v>15363</v>
      </c>
      <c r="D453" s="155" t="s">
        <v>10500</v>
      </c>
      <c r="E453" s="159">
        <v>2710</v>
      </c>
      <c r="F453" s="157" t="s">
        <v>11332</v>
      </c>
      <c r="G453" s="155" t="s">
        <v>11284</v>
      </c>
      <c r="H453" s="113" t="s">
        <v>11285</v>
      </c>
      <c r="I453" s="4" t="s">
        <v>11331</v>
      </c>
      <c r="J453" s="155" t="s">
        <v>11332</v>
      </c>
      <c r="K453" s="2" t="s">
        <v>11285</v>
      </c>
    </row>
    <row r="454" spans="1:11" s="2" customFormat="1" x14ac:dyDescent="0.25">
      <c r="A454" s="114" t="s">
        <v>11333</v>
      </c>
      <c r="B454" s="4" t="s">
        <v>11334</v>
      </c>
      <c r="C454" s="113" t="s">
        <v>15363</v>
      </c>
      <c r="D454" s="155" t="s">
        <v>11335</v>
      </c>
      <c r="E454" s="159">
        <v>2901</v>
      </c>
      <c r="F454" s="157" t="s">
        <v>11336</v>
      </c>
      <c r="G454" s="155" t="s">
        <v>11284</v>
      </c>
      <c r="H454" s="113" t="s">
        <v>11285</v>
      </c>
      <c r="I454" s="4" t="s">
        <v>11334</v>
      </c>
      <c r="J454" s="155" t="s">
        <v>11336</v>
      </c>
      <c r="K454" s="2" t="s">
        <v>11285</v>
      </c>
    </row>
    <row r="455" spans="1:11" s="2" customFormat="1" x14ac:dyDescent="0.25">
      <c r="A455" s="114" t="s">
        <v>11337</v>
      </c>
      <c r="B455" s="4" t="s">
        <v>11338</v>
      </c>
      <c r="C455" s="113" t="s">
        <v>15363</v>
      </c>
      <c r="D455" s="155" t="s">
        <v>11339</v>
      </c>
      <c r="E455" s="159">
        <v>4675</v>
      </c>
      <c r="F455" s="157" t="s">
        <v>11340</v>
      </c>
      <c r="G455" s="155" t="s">
        <v>11284</v>
      </c>
      <c r="H455" s="113" t="s">
        <v>11285</v>
      </c>
      <c r="I455" s="4" t="s">
        <v>11338</v>
      </c>
      <c r="J455" s="155" t="s">
        <v>11340</v>
      </c>
      <c r="K455" s="2" t="s">
        <v>11285</v>
      </c>
    </row>
    <row r="456" spans="1:11" s="2" customFormat="1" x14ac:dyDescent="0.25">
      <c r="A456" s="114" t="s">
        <v>11341</v>
      </c>
      <c r="B456" s="4" t="s">
        <v>11342</v>
      </c>
      <c r="C456" s="113" t="s">
        <v>15363</v>
      </c>
      <c r="D456" s="155" t="s">
        <v>10500</v>
      </c>
      <c r="E456" s="159">
        <v>6354</v>
      </c>
      <c r="F456" s="157" t="s">
        <v>11343</v>
      </c>
      <c r="G456" s="155" t="s">
        <v>11284</v>
      </c>
      <c r="H456" s="113" t="s">
        <v>11285</v>
      </c>
      <c r="I456" s="4" t="s">
        <v>11342</v>
      </c>
      <c r="J456" s="155" t="s">
        <v>11343</v>
      </c>
      <c r="K456" s="2" t="s">
        <v>11285</v>
      </c>
    </row>
    <row r="457" spans="1:11" s="2" customFormat="1" x14ac:dyDescent="0.25">
      <c r="A457" s="114" t="s">
        <v>11344</v>
      </c>
      <c r="B457" s="4" t="s">
        <v>11345</v>
      </c>
      <c r="C457" s="113" t="s">
        <v>15363</v>
      </c>
      <c r="D457" s="155" t="s">
        <v>9801</v>
      </c>
      <c r="E457" s="159">
        <v>698</v>
      </c>
      <c r="F457" s="157" t="s">
        <v>11346</v>
      </c>
      <c r="G457" s="155" t="s">
        <v>11284</v>
      </c>
      <c r="H457" s="113" t="s">
        <v>11285</v>
      </c>
      <c r="I457" s="4" t="s">
        <v>11345</v>
      </c>
      <c r="J457" s="155" t="s">
        <v>11346</v>
      </c>
      <c r="K457" s="2" t="s">
        <v>11285</v>
      </c>
    </row>
    <row r="458" spans="1:11" s="2" customFormat="1" x14ac:dyDescent="0.25">
      <c r="A458" s="114" t="s">
        <v>11347</v>
      </c>
      <c r="B458" s="4" t="s">
        <v>11348</v>
      </c>
      <c r="C458" s="113" t="s">
        <v>15363</v>
      </c>
      <c r="D458" s="155" t="s">
        <v>11349</v>
      </c>
      <c r="E458" s="159">
        <v>452</v>
      </c>
      <c r="F458" s="157" t="s">
        <v>11350</v>
      </c>
      <c r="G458" s="155" t="s">
        <v>11284</v>
      </c>
      <c r="H458" s="113" t="s">
        <v>11285</v>
      </c>
      <c r="I458" s="4" t="s">
        <v>11348</v>
      </c>
      <c r="J458" s="155" t="s">
        <v>11350</v>
      </c>
      <c r="K458" s="2" t="s">
        <v>11285</v>
      </c>
    </row>
    <row r="459" spans="1:11" s="2" customFormat="1" x14ac:dyDescent="0.25">
      <c r="A459" s="114" t="s">
        <v>11351</v>
      </c>
      <c r="B459" s="4" t="s">
        <v>11352</v>
      </c>
      <c r="C459" s="113" t="s">
        <v>15363</v>
      </c>
      <c r="D459" s="155" t="s">
        <v>11353</v>
      </c>
      <c r="E459" s="159">
        <v>176</v>
      </c>
      <c r="F459" s="157" t="s">
        <v>11354</v>
      </c>
      <c r="G459" s="155" t="s">
        <v>11284</v>
      </c>
      <c r="H459" s="113" t="s">
        <v>11285</v>
      </c>
      <c r="I459" s="4" t="s">
        <v>11352</v>
      </c>
      <c r="J459" s="155" t="s">
        <v>11354</v>
      </c>
      <c r="K459" s="2" t="s">
        <v>11285</v>
      </c>
    </row>
    <row r="460" spans="1:11" s="2" customFormat="1" x14ac:dyDescent="0.25">
      <c r="A460" s="114" t="s">
        <v>11355</v>
      </c>
      <c r="B460" s="4" t="s">
        <v>11356</v>
      </c>
      <c r="C460" s="113" t="s">
        <v>15363</v>
      </c>
      <c r="D460" s="155" t="s">
        <v>11357</v>
      </c>
      <c r="E460" s="159">
        <v>3001</v>
      </c>
      <c r="F460" s="157" t="s">
        <v>11358</v>
      </c>
      <c r="G460" s="155" t="s">
        <v>11284</v>
      </c>
      <c r="H460" s="113" t="s">
        <v>11285</v>
      </c>
      <c r="I460" s="4" t="s">
        <v>11356</v>
      </c>
      <c r="J460" s="155" t="s">
        <v>11358</v>
      </c>
      <c r="K460" s="2" t="s">
        <v>11285</v>
      </c>
    </row>
    <row r="461" spans="1:11" s="2" customFormat="1" x14ac:dyDescent="0.25">
      <c r="A461" s="114" t="s">
        <v>11359</v>
      </c>
      <c r="B461" s="4" t="s">
        <v>11360</v>
      </c>
      <c r="C461" s="113" t="s">
        <v>15363</v>
      </c>
      <c r="D461" s="155" t="s">
        <v>11361</v>
      </c>
      <c r="E461" s="159">
        <v>552</v>
      </c>
      <c r="F461" s="157" t="s">
        <v>11362</v>
      </c>
      <c r="G461" s="155" t="s">
        <v>11284</v>
      </c>
      <c r="H461" s="113" t="s">
        <v>11285</v>
      </c>
      <c r="I461" s="4" t="s">
        <v>11360</v>
      </c>
      <c r="J461" s="155" t="s">
        <v>11362</v>
      </c>
      <c r="K461" s="2" t="s">
        <v>11285</v>
      </c>
    </row>
    <row r="462" spans="1:11" s="2" customFormat="1" x14ac:dyDescent="0.25">
      <c r="A462" s="114" t="s">
        <v>11363</v>
      </c>
      <c r="B462" s="4" t="s">
        <v>11364</v>
      </c>
      <c r="C462" s="113" t="s">
        <v>15363</v>
      </c>
      <c r="D462" s="155" t="s">
        <v>9797</v>
      </c>
      <c r="E462" s="159">
        <v>3882</v>
      </c>
      <c r="F462" s="157" t="s">
        <v>11365</v>
      </c>
      <c r="G462" s="155" t="s">
        <v>11284</v>
      </c>
      <c r="H462" s="113" t="s">
        <v>11285</v>
      </c>
      <c r="I462" s="4" t="s">
        <v>11364</v>
      </c>
      <c r="J462" s="155" t="s">
        <v>11365</v>
      </c>
      <c r="K462" s="2" t="s">
        <v>11285</v>
      </c>
    </row>
    <row r="463" spans="1:11" s="2" customFormat="1" x14ac:dyDescent="0.25">
      <c r="A463" s="114" t="s">
        <v>11366</v>
      </c>
      <c r="B463" s="4" t="s">
        <v>11367</v>
      </c>
      <c r="C463" s="113" t="s">
        <v>15363</v>
      </c>
      <c r="D463" s="155" t="s">
        <v>11368</v>
      </c>
      <c r="E463" s="159">
        <v>2476</v>
      </c>
      <c r="F463" s="157" t="s">
        <v>11369</v>
      </c>
      <c r="G463" s="155" t="s">
        <v>11284</v>
      </c>
      <c r="H463" s="113" t="s">
        <v>11285</v>
      </c>
      <c r="I463" s="4" t="s">
        <v>11367</v>
      </c>
      <c r="J463" s="155" t="s">
        <v>11369</v>
      </c>
      <c r="K463" s="2" t="s">
        <v>11285</v>
      </c>
    </row>
    <row r="464" spans="1:11" s="2" customFormat="1" x14ac:dyDescent="0.25">
      <c r="A464" s="114" t="s">
        <v>11370</v>
      </c>
      <c r="B464" s="4" t="s">
        <v>11371</v>
      </c>
      <c r="C464" s="113" t="s">
        <v>15363</v>
      </c>
      <c r="D464" s="155" t="s">
        <v>11372</v>
      </c>
      <c r="E464" s="159">
        <v>2349</v>
      </c>
      <c r="F464" s="157" t="s">
        <v>11373</v>
      </c>
      <c r="G464" s="155" t="s">
        <v>11284</v>
      </c>
      <c r="H464" s="113" t="s">
        <v>11285</v>
      </c>
      <c r="I464" s="4" t="s">
        <v>11371</v>
      </c>
      <c r="J464" s="155" t="s">
        <v>11373</v>
      </c>
      <c r="K464" s="2" t="s">
        <v>11285</v>
      </c>
    </row>
    <row r="465" spans="1:11" s="2" customFormat="1" x14ac:dyDescent="0.25">
      <c r="A465" s="114" t="s">
        <v>11374</v>
      </c>
      <c r="B465" s="4" t="s">
        <v>11375</v>
      </c>
      <c r="C465" s="113" t="s">
        <v>15363</v>
      </c>
      <c r="D465" s="155" t="s">
        <v>11372</v>
      </c>
      <c r="E465" s="159">
        <v>4576</v>
      </c>
      <c r="F465" s="157" t="s">
        <v>11376</v>
      </c>
      <c r="G465" s="155" t="s">
        <v>11284</v>
      </c>
      <c r="H465" s="113" t="s">
        <v>11285</v>
      </c>
      <c r="I465" s="4" t="s">
        <v>11375</v>
      </c>
      <c r="J465" s="155" t="s">
        <v>11376</v>
      </c>
      <c r="K465" s="2" t="s">
        <v>11285</v>
      </c>
    </row>
    <row r="466" spans="1:11" s="2" customFormat="1" x14ac:dyDescent="0.25">
      <c r="A466" s="114" t="s">
        <v>11377</v>
      </c>
      <c r="B466" s="4" t="s">
        <v>11378</v>
      </c>
      <c r="C466" s="113" t="s">
        <v>15363</v>
      </c>
      <c r="D466" s="155" t="s">
        <v>11379</v>
      </c>
      <c r="E466" s="159">
        <v>3381</v>
      </c>
      <c r="F466" s="157" t="s">
        <v>11380</v>
      </c>
      <c r="G466" s="155" t="s">
        <v>11284</v>
      </c>
      <c r="H466" s="113" t="s">
        <v>11285</v>
      </c>
      <c r="I466" s="4" t="s">
        <v>11378</v>
      </c>
      <c r="J466" s="155" t="s">
        <v>11380</v>
      </c>
      <c r="K466" s="2" t="s">
        <v>11285</v>
      </c>
    </row>
    <row r="467" spans="1:11" s="2" customFormat="1" x14ac:dyDescent="0.25">
      <c r="A467" s="114" t="s">
        <v>11381</v>
      </c>
      <c r="B467" s="4" t="s">
        <v>11382</v>
      </c>
      <c r="C467" s="113" t="s">
        <v>15363</v>
      </c>
      <c r="D467" s="155" t="s">
        <v>11383</v>
      </c>
      <c r="E467" s="159">
        <v>5254</v>
      </c>
      <c r="F467" s="157" t="s">
        <v>11384</v>
      </c>
      <c r="G467" s="155" t="s">
        <v>11284</v>
      </c>
      <c r="H467" s="113" t="s">
        <v>11285</v>
      </c>
      <c r="I467" s="4" t="s">
        <v>11382</v>
      </c>
      <c r="J467" s="155" t="s">
        <v>11384</v>
      </c>
      <c r="K467" s="2" t="s">
        <v>11285</v>
      </c>
    </row>
    <row r="468" spans="1:11" s="2" customFormat="1" x14ac:dyDescent="0.25">
      <c r="A468" s="114" t="s">
        <v>11385</v>
      </c>
      <c r="B468" s="4" t="s">
        <v>11386</v>
      </c>
      <c r="C468" s="113" t="s">
        <v>15363</v>
      </c>
      <c r="D468" s="155" t="s">
        <v>9969</v>
      </c>
      <c r="E468" s="159">
        <v>780</v>
      </c>
      <c r="F468" s="157" t="s">
        <v>11387</v>
      </c>
      <c r="G468" s="155" t="s">
        <v>11284</v>
      </c>
      <c r="H468" s="113" t="s">
        <v>11285</v>
      </c>
      <c r="I468" s="4" t="s">
        <v>11386</v>
      </c>
      <c r="J468" s="155" t="s">
        <v>11387</v>
      </c>
      <c r="K468" s="2" t="s">
        <v>11285</v>
      </c>
    </row>
    <row r="469" spans="1:11" s="2" customFormat="1" x14ac:dyDescent="0.25">
      <c r="A469" s="114" t="s">
        <v>11388</v>
      </c>
      <c r="B469" s="4" t="s">
        <v>11389</v>
      </c>
      <c r="C469" s="113" t="s">
        <v>15363</v>
      </c>
      <c r="D469" s="155" t="s">
        <v>11390</v>
      </c>
      <c r="E469" s="159">
        <v>1750</v>
      </c>
      <c r="F469" s="157" t="s">
        <v>11391</v>
      </c>
      <c r="G469" s="155" t="s">
        <v>11284</v>
      </c>
      <c r="H469" s="113" t="s">
        <v>11285</v>
      </c>
      <c r="I469" s="4" t="s">
        <v>11389</v>
      </c>
      <c r="J469" s="155" t="s">
        <v>11391</v>
      </c>
      <c r="K469" s="2" t="s">
        <v>11285</v>
      </c>
    </row>
    <row r="470" spans="1:11" s="2" customFormat="1" x14ac:dyDescent="0.25">
      <c r="A470" s="114" t="s">
        <v>11392</v>
      </c>
      <c r="B470" s="4" t="s">
        <v>11393</v>
      </c>
      <c r="C470" s="113" t="s">
        <v>15363</v>
      </c>
      <c r="D470" s="155" t="s">
        <v>11394</v>
      </c>
      <c r="E470" s="159">
        <v>1999</v>
      </c>
      <c r="F470" s="157" t="s">
        <v>11395</v>
      </c>
      <c r="G470" s="155" t="s">
        <v>11284</v>
      </c>
      <c r="H470" s="113" t="s">
        <v>11285</v>
      </c>
      <c r="I470" s="4" t="s">
        <v>11393</v>
      </c>
      <c r="J470" s="155" t="s">
        <v>11395</v>
      </c>
      <c r="K470" s="2" t="s">
        <v>11285</v>
      </c>
    </row>
    <row r="471" spans="1:11" s="2" customFormat="1" x14ac:dyDescent="0.25">
      <c r="A471" s="114" t="s">
        <v>11396</v>
      </c>
      <c r="B471" s="4" t="s">
        <v>11397</v>
      </c>
      <c r="C471" s="113" t="s">
        <v>15363</v>
      </c>
      <c r="D471" s="155" t="s">
        <v>11398</v>
      </c>
      <c r="E471" s="159">
        <v>1954</v>
      </c>
      <c r="F471" s="157" t="s">
        <v>11399</v>
      </c>
      <c r="G471" s="155" t="s">
        <v>11284</v>
      </c>
      <c r="H471" s="113" t="s">
        <v>11285</v>
      </c>
      <c r="I471" s="4" t="s">
        <v>11397</v>
      </c>
      <c r="J471" s="155" t="s">
        <v>11399</v>
      </c>
      <c r="K471" s="2" t="s">
        <v>11285</v>
      </c>
    </row>
    <row r="472" spans="1:11" s="2" customFormat="1" x14ac:dyDescent="0.25">
      <c r="A472" s="114" t="s">
        <v>11400</v>
      </c>
      <c r="B472" s="4" t="s">
        <v>11401</v>
      </c>
      <c r="C472" s="113" t="s">
        <v>15363</v>
      </c>
      <c r="D472" s="155" t="s">
        <v>11402</v>
      </c>
      <c r="E472" s="159">
        <v>753</v>
      </c>
      <c r="F472" s="157" t="s">
        <v>11403</v>
      </c>
      <c r="G472" s="155" t="s">
        <v>11284</v>
      </c>
      <c r="H472" s="113" t="s">
        <v>11285</v>
      </c>
      <c r="I472" s="4" t="s">
        <v>11401</v>
      </c>
      <c r="J472" s="155" t="s">
        <v>11403</v>
      </c>
      <c r="K472" s="2" t="s">
        <v>11285</v>
      </c>
    </row>
    <row r="473" spans="1:11" s="2" customFormat="1" x14ac:dyDescent="0.25">
      <c r="A473" s="114" t="s">
        <v>11404</v>
      </c>
      <c r="B473" s="4" t="s">
        <v>11405</v>
      </c>
      <c r="C473" s="113" t="s">
        <v>15363</v>
      </c>
      <c r="D473" s="155" t="s">
        <v>11406</v>
      </c>
      <c r="E473" s="159">
        <v>2995</v>
      </c>
      <c r="F473" s="157" t="s">
        <v>11407</v>
      </c>
      <c r="G473" s="155" t="s">
        <v>11284</v>
      </c>
      <c r="H473" s="113" t="s">
        <v>11285</v>
      </c>
      <c r="I473" s="4" t="s">
        <v>11405</v>
      </c>
      <c r="J473" s="155" t="s">
        <v>11407</v>
      </c>
      <c r="K473" s="2" t="s">
        <v>11285</v>
      </c>
    </row>
    <row r="474" spans="1:11" s="2" customFormat="1" x14ac:dyDescent="0.25">
      <c r="A474" s="114" t="s">
        <v>11408</v>
      </c>
      <c r="B474" s="4" t="s">
        <v>11409</v>
      </c>
      <c r="C474" s="113" t="s">
        <v>15363</v>
      </c>
      <c r="D474" s="155" t="s">
        <v>11410</v>
      </c>
      <c r="E474" s="159">
        <v>5719</v>
      </c>
      <c r="F474" s="157" t="s">
        <v>11411</v>
      </c>
      <c r="G474" s="155" t="s">
        <v>11284</v>
      </c>
      <c r="H474" s="113" t="s">
        <v>11285</v>
      </c>
      <c r="I474" s="4" t="s">
        <v>11409</v>
      </c>
      <c r="J474" s="155" t="s">
        <v>11411</v>
      </c>
      <c r="K474" s="2" t="s">
        <v>11285</v>
      </c>
    </row>
    <row r="475" spans="1:11" s="2" customFormat="1" x14ac:dyDescent="0.25">
      <c r="A475" s="114" t="s">
        <v>11412</v>
      </c>
      <c r="B475" s="4" t="s">
        <v>11413</v>
      </c>
      <c r="C475" s="113" t="s">
        <v>15363</v>
      </c>
      <c r="D475" s="155" t="s">
        <v>11414</v>
      </c>
      <c r="E475" s="159">
        <v>5924</v>
      </c>
      <c r="F475" s="157" t="s">
        <v>11415</v>
      </c>
      <c r="G475" s="155" t="s">
        <v>11284</v>
      </c>
      <c r="H475" s="113" t="s">
        <v>11285</v>
      </c>
      <c r="I475" s="4" t="s">
        <v>11413</v>
      </c>
      <c r="J475" s="155" t="s">
        <v>11415</v>
      </c>
      <c r="K475" s="2" t="s">
        <v>11285</v>
      </c>
    </row>
    <row r="476" spans="1:11" s="2" customFormat="1" x14ac:dyDescent="0.25">
      <c r="A476" s="114" t="s">
        <v>11416</v>
      </c>
      <c r="B476" s="4" t="s">
        <v>11417</v>
      </c>
      <c r="C476" s="113" t="s">
        <v>15363</v>
      </c>
      <c r="D476" s="155" t="s">
        <v>11418</v>
      </c>
      <c r="E476" s="159">
        <v>4624</v>
      </c>
      <c r="F476" s="157" t="s">
        <v>11419</v>
      </c>
      <c r="G476" s="155" t="s">
        <v>11284</v>
      </c>
      <c r="H476" s="113" t="s">
        <v>11285</v>
      </c>
      <c r="I476" s="4" t="s">
        <v>11417</v>
      </c>
      <c r="J476" s="155" t="s">
        <v>11419</v>
      </c>
      <c r="K476" s="2" t="s">
        <v>11285</v>
      </c>
    </row>
    <row r="477" spans="1:11" s="2" customFormat="1" x14ac:dyDescent="0.25">
      <c r="A477" s="114" t="s">
        <v>11420</v>
      </c>
      <c r="B477" s="4" t="s">
        <v>11421</v>
      </c>
      <c r="C477" s="113" t="s">
        <v>15363</v>
      </c>
      <c r="D477" s="155" t="s">
        <v>11092</v>
      </c>
      <c r="E477" s="159">
        <v>24</v>
      </c>
      <c r="F477" s="157" t="s">
        <v>11422</v>
      </c>
      <c r="G477" s="155" t="s">
        <v>11284</v>
      </c>
      <c r="H477" s="113" t="s">
        <v>11285</v>
      </c>
      <c r="I477" s="4" t="s">
        <v>11421</v>
      </c>
      <c r="J477" s="155" t="s">
        <v>11422</v>
      </c>
      <c r="K477" s="2" t="s">
        <v>11285</v>
      </c>
    </row>
    <row r="478" spans="1:11" s="2" customFormat="1" x14ac:dyDescent="0.25">
      <c r="A478" s="114" t="s">
        <v>11423</v>
      </c>
      <c r="B478" s="4" t="s">
        <v>11424</v>
      </c>
      <c r="C478" s="113" t="s">
        <v>15363</v>
      </c>
      <c r="D478" s="155" t="s">
        <v>10189</v>
      </c>
      <c r="E478" s="159">
        <v>1069</v>
      </c>
      <c r="F478" s="157" t="s">
        <v>11425</v>
      </c>
      <c r="G478" s="155" t="s">
        <v>11284</v>
      </c>
      <c r="H478" s="113" t="s">
        <v>11285</v>
      </c>
      <c r="I478" s="4" t="s">
        <v>11424</v>
      </c>
      <c r="J478" s="155" t="s">
        <v>11425</v>
      </c>
      <c r="K478" s="2" t="s">
        <v>11285</v>
      </c>
    </row>
    <row r="479" spans="1:11" s="2" customFormat="1" x14ac:dyDescent="0.25">
      <c r="A479" s="114" t="s">
        <v>11426</v>
      </c>
      <c r="B479" s="4" t="s">
        <v>11427</v>
      </c>
      <c r="C479" s="113" t="s">
        <v>15363</v>
      </c>
      <c r="D479" s="155" t="s">
        <v>10609</v>
      </c>
      <c r="E479" s="159">
        <v>5337</v>
      </c>
      <c r="F479" s="157" t="s">
        <v>11428</v>
      </c>
      <c r="G479" s="155" t="s">
        <v>11284</v>
      </c>
      <c r="H479" s="113" t="s">
        <v>11285</v>
      </c>
      <c r="I479" s="4" t="s">
        <v>11427</v>
      </c>
      <c r="J479" s="155" t="s">
        <v>11428</v>
      </c>
      <c r="K479" s="2" t="s">
        <v>11285</v>
      </c>
    </row>
    <row r="480" spans="1:11" s="2" customFormat="1" x14ac:dyDescent="0.25">
      <c r="A480" s="114" t="s">
        <v>11429</v>
      </c>
      <c r="B480" s="4" t="s">
        <v>11430</v>
      </c>
      <c r="C480" s="113" t="s">
        <v>15363</v>
      </c>
      <c r="D480" s="155" t="s">
        <v>11431</v>
      </c>
      <c r="E480" s="159">
        <v>1153</v>
      </c>
      <c r="F480" s="157" t="s">
        <v>11432</v>
      </c>
      <c r="G480" s="155" t="s">
        <v>11284</v>
      </c>
      <c r="H480" s="113" t="s">
        <v>11285</v>
      </c>
      <c r="I480" s="4" t="s">
        <v>11430</v>
      </c>
      <c r="J480" s="155" t="s">
        <v>11432</v>
      </c>
      <c r="K480" s="2" t="s">
        <v>11285</v>
      </c>
    </row>
    <row r="481" spans="1:11" s="2" customFormat="1" x14ac:dyDescent="0.25">
      <c r="A481" s="114" t="s">
        <v>11433</v>
      </c>
      <c r="B481" s="4" t="s">
        <v>11434</v>
      </c>
      <c r="C481" s="113" t="s">
        <v>15363</v>
      </c>
      <c r="D481" s="155" t="s">
        <v>10492</v>
      </c>
      <c r="E481" s="159">
        <v>326</v>
      </c>
      <c r="F481" s="157" t="s">
        <v>11435</v>
      </c>
      <c r="G481" s="155" t="s">
        <v>11284</v>
      </c>
      <c r="H481" s="113" t="s">
        <v>11285</v>
      </c>
      <c r="I481" s="4" t="s">
        <v>11434</v>
      </c>
      <c r="J481" s="155" t="s">
        <v>11435</v>
      </c>
      <c r="K481" s="2" t="s">
        <v>11285</v>
      </c>
    </row>
    <row r="482" spans="1:11" s="2" customFormat="1" x14ac:dyDescent="0.25">
      <c r="A482" s="114" t="s">
        <v>11436</v>
      </c>
      <c r="B482" s="4" t="s">
        <v>11437</v>
      </c>
      <c r="C482" s="113" t="s">
        <v>15363</v>
      </c>
      <c r="D482" s="155" t="s">
        <v>11438</v>
      </c>
      <c r="E482" s="159">
        <v>768</v>
      </c>
      <c r="F482" s="157" t="s">
        <v>11439</v>
      </c>
      <c r="G482" s="155" t="s">
        <v>11284</v>
      </c>
      <c r="H482" s="113" t="s">
        <v>11285</v>
      </c>
      <c r="I482" s="4" t="s">
        <v>11437</v>
      </c>
      <c r="J482" s="155" t="s">
        <v>11439</v>
      </c>
      <c r="K482" s="2" t="s">
        <v>11285</v>
      </c>
    </row>
    <row r="483" spans="1:11" s="2" customFormat="1" x14ac:dyDescent="0.25">
      <c r="A483" s="114" t="s">
        <v>11440</v>
      </c>
      <c r="B483" s="4" t="s">
        <v>11441</v>
      </c>
      <c r="C483" s="113" t="s">
        <v>15363</v>
      </c>
      <c r="D483" s="155" t="s">
        <v>11442</v>
      </c>
      <c r="E483" s="159">
        <v>250</v>
      </c>
      <c r="F483" s="157" t="s">
        <v>11443</v>
      </c>
      <c r="G483" s="155" t="s">
        <v>11284</v>
      </c>
      <c r="H483" s="113" t="s">
        <v>11285</v>
      </c>
      <c r="I483" s="4" t="s">
        <v>11441</v>
      </c>
      <c r="J483" s="155" t="s">
        <v>11443</v>
      </c>
      <c r="K483" s="2" t="s">
        <v>11285</v>
      </c>
    </row>
    <row r="484" spans="1:11" s="2" customFormat="1" x14ac:dyDescent="0.25">
      <c r="A484" s="114" t="s">
        <v>11444</v>
      </c>
      <c r="B484" s="4" t="s">
        <v>10970</v>
      </c>
      <c r="C484" s="113" t="s">
        <v>15363</v>
      </c>
      <c r="D484" s="155" t="s">
        <v>11445</v>
      </c>
      <c r="E484" s="159">
        <v>3855</v>
      </c>
      <c r="F484" s="157" t="s">
        <v>11446</v>
      </c>
      <c r="G484" s="155" t="s">
        <v>11284</v>
      </c>
      <c r="H484" s="113" t="s">
        <v>11285</v>
      </c>
      <c r="I484" s="4" t="s">
        <v>10970</v>
      </c>
      <c r="J484" s="155" t="s">
        <v>11446</v>
      </c>
      <c r="K484" s="2" t="s">
        <v>11285</v>
      </c>
    </row>
    <row r="485" spans="1:11" s="2" customFormat="1" x14ac:dyDescent="0.25">
      <c r="A485" s="114" t="s">
        <v>11447</v>
      </c>
      <c r="B485" s="4" t="s">
        <v>11448</v>
      </c>
      <c r="C485" s="113" t="s">
        <v>15363</v>
      </c>
      <c r="D485" s="155" t="s">
        <v>11449</v>
      </c>
      <c r="E485" s="159">
        <v>616</v>
      </c>
      <c r="F485" s="157" t="s">
        <v>11450</v>
      </c>
      <c r="G485" s="155" t="s">
        <v>11284</v>
      </c>
      <c r="H485" s="113" t="s">
        <v>11285</v>
      </c>
      <c r="I485" s="4" t="s">
        <v>11448</v>
      </c>
      <c r="J485" s="155" t="s">
        <v>11450</v>
      </c>
      <c r="K485" s="2" t="s">
        <v>11285</v>
      </c>
    </row>
    <row r="486" spans="1:11" s="2" customFormat="1" x14ac:dyDescent="0.25">
      <c r="A486" s="114" t="s">
        <v>11451</v>
      </c>
      <c r="B486" s="4" t="s">
        <v>11452</v>
      </c>
      <c r="C486" s="113" t="s">
        <v>15363</v>
      </c>
      <c r="D486" s="155" t="s">
        <v>10181</v>
      </c>
      <c r="E486" s="159">
        <v>250</v>
      </c>
      <c r="F486" s="157" t="s">
        <v>11453</v>
      </c>
      <c r="G486" s="155" t="s">
        <v>11284</v>
      </c>
      <c r="H486" s="113" t="s">
        <v>11285</v>
      </c>
      <c r="I486" s="4" t="s">
        <v>11452</v>
      </c>
      <c r="J486" s="155" t="s">
        <v>11453</v>
      </c>
      <c r="K486" s="2" t="s">
        <v>11285</v>
      </c>
    </row>
    <row r="487" spans="1:11" s="2" customFormat="1" x14ac:dyDescent="0.25">
      <c r="A487" s="114" t="s">
        <v>11454</v>
      </c>
      <c r="B487" s="4" t="s">
        <v>11455</v>
      </c>
      <c r="C487" s="113" t="s">
        <v>15363</v>
      </c>
      <c r="D487" s="155" t="s">
        <v>9775</v>
      </c>
      <c r="E487" s="159">
        <v>132</v>
      </c>
      <c r="F487" s="157" t="s">
        <v>11456</v>
      </c>
      <c r="G487" s="155" t="s">
        <v>11284</v>
      </c>
      <c r="H487" s="113" t="s">
        <v>11285</v>
      </c>
      <c r="I487" s="4" t="s">
        <v>11455</v>
      </c>
      <c r="J487" s="155" t="s">
        <v>11456</v>
      </c>
      <c r="K487" s="2" t="s">
        <v>11285</v>
      </c>
    </row>
    <row r="488" spans="1:11" s="2" customFormat="1" x14ac:dyDescent="0.25">
      <c r="A488" s="114" t="s">
        <v>11457</v>
      </c>
      <c r="B488" s="4" t="s">
        <v>11458</v>
      </c>
      <c r="C488" s="113" t="s">
        <v>15363</v>
      </c>
      <c r="D488" s="155" t="s">
        <v>9786</v>
      </c>
      <c r="E488" s="159">
        <v>2128</v>
      </c>
      <c r="F488" s="157" t="s">
        <v>11459</v>
      </c>
      <c r="G488" s="155" t="s">
        <v>11284</v>
      </c>
      <c r="H488" s="113" t="s">
        <v>11285</v>
      </c>
      <c r="I488" s="4" t="s">
        <v>11458</v>
      </c>
      <c r="J488" s="155" t="s">
        <v>11459</v>
      </c>
      <c r="K488" s="2" t="s">
        <v>11285</v>
      </c>
    </row>
    <row r="489" spans="1:11" s="2" customFormat="1" x14ac:dyDescent="0.25">
      <c r="A489" s="114" t="s">
        <v>11460</v>
      </c>
      <c r="B489" s="4" t="s">
        <v>11461</v>
      </c>
      <c r="C489" s="113" t="s">
        <v>15363</v>
      </c>
      <c r="D489" s="155" t="s">
        <v>11462</v>
      </c>
      <c r="E489" s="159">
        <v>2888</v>
      </c>
      <c r="F489" s="157" t="s">
        <v>11463</v>
      </c>
      <c r="G489" s="155" t="s">
        <v>11284</v>
      </c>
      <c r="H489" s="113" t="s">
        <v>11285</v>
      </c>
      <c r="I489" s="4" t="s">
        <v>11461</v>
      </c>
      <c r="J489" s="155" t="s">
        <v>11463</v>
      </c>
      <c r="K489" s="2" t="s">
        <v>11285</v>
      </c>
    </row>
    <row r="490" spans="1:11" s="2" customFormat="1" x14ac:dyDescent="0.25">
      <c r="A490" s="114" t="s">
        <v>11464</v>
      </c>
      <c r="B490" s="4" t="s">
        <v>11465</v>
      </c>
      <c r="C490" s="113" t="s">
        <v>15363</v>
      </c>
      <c r="D490" s="155" t="s">
        <v>11466</v>
      </c>
      <c r="E490" s="159">
        <v>368</v>
      </c>
      <c r="F490" s="157" t="s">
        <v>11467</v>
      </c>
      <c r="G490" s="155" t="s">
        <v>11284</v>
      </c>
      <c r="H490" s="113" t="s">
        <v>11285</v>
      </c>
      <c r="I490" s="4" t="s">
        <v>11465</v>
      </c>
      <c r="J490" s="155" t="s">
        <v>11467</v>
      </c>
      <c r="K490" s="2" t="s">
        <v>11285</v>
      </c>
    </row>
    <row r="491" spans="1:11" s="2" customFormat="1" x14ac:dyDescent="0.25">
      <c r="A491" s="114" t="s">
        <v>11468</v>
      </c>
      <c r="B491" s="4" t="s">
        <v>11469</v>
      </c>
      <c r="C491" s="113" t="s">
        <v>15363</v>
      </c>
      <c r="D491" s="155" t="s">
        <v>9797</v>
      </c>
      <c r="E491" s="159">
        <v>945</v>
      </c>
      <c r="F491" s="157" t="s">
        <v>11470</v>
      </c>
      <c r="G491" s="155" t="s">
        <v>11284</v>
      </c>
      <c r="H491" s="113" t="s">
        <v>11285</v>
      </c>
      <c r="I491" s="4" t="s">
        <v>11469</v>
      </c>
      <c r="J491" s="155" t="s">
        <v>11470</v>
      </c>
      <c r="K491" s="2" t="s">
        <v>11285</v>
      </c>
    </row>
    <row r="492" spans="1:11" s="2" customFormat="1" x14ac:dyDescent="0.25">
      <c r="A492" s="114" t="s">
        <v>11471</v>
      </c>
      <c r="B492" s="4" t="s">
        <v>11472</v>
      </c>
      <c r="C492" s="113" t="s">
        <v>15363</v>
      </c>
      <c r="D492" s="155" t="s">
        <v>11368</v>
      </c>
      <c r="E492" s="159">
        <v>4164</v>
      </c>
      <c r="F492" s="157" t="s">
        <v>11473</v>
      </c>
      <c r="G492" s="155" t="s">
        <v>11284</v>
      </c>
      <c r="H492" s="113" t="s">
        <v>11285</v>
      </c>
      <c r="I492" s="4" t="s">
        <v>11472</v>
      </c>
      <c r="J492" s="155" t="s">
        <v>11473</v>
      </c>
      <c r="K492" s="2" t="s">
        <v>11285</v>
      </c>
    </row>
    <row r="493" spans="1:11" s="2" customFormat="1" x14ac:dyDescent="0.25">
      <c r="A493" s="114" t="s">
        <v>11474</v>
      </c>
      <c r="B493" s="4" t="s">
        <v>11475</v>
      </c>
      <c r="C493" s="113" t="s">
        <v>15363</v>
      </c>
      <c r="D493" s="155" t="s">
        <v>11476</v>
      </c>
      <c r="E493" s="159">
        <v>40</v>
      </c>
      <c r="F493" s="157" t="s">
        <v>11477</v>
      </c>
      <c r="G493" s="155" t="s">
        <v>11284</v>
      </c>
      <c r="H493" s="113" t="s">
        <v>11285</v>
      </c>
      <c r="I493" s="4" t="s">
        <v>11475</v>
      </c>
      <c r="J493" s="155" t="s">
        <v>11477</v>
      </c>
      <c r="K493" s="2" t="s">
        <v>11285</v>
      </c>
    </row>
    <row r="494" spans="1:11" s="2" customFormat="1" x14ac:dyDescent="0.25">
      <c r="A494" s="114" t="s">
        <v>11478</v>
      </c>
      <c r="B494" s="4" t="s">
        <v>11479</v>
      </c>
      <c r="C494" s="113" t="s">
        <v>15363</v>
      </c>
      <c r="D494" s="155" t="s">
        <v>11480</v>
      </c>
      <c r="E494" s="159">
        <v>777</v>
      </c>
      <c r="F494" s="157" t="s">
        <v>11481</v>
      </c>
      <c r="G494" s="155" t="s">
        <v>11284</v>
      </c>
      <c r="H494" s="113" t="s">
        <v>11285</v>
      </c>
      <c r="I494" s="4" t="s">
        <v>11479</v>
      </c>
      <c r="J494" s="155" t="s">
        <v>11481</v>
      </c>
      <c r="K494" s="2" t="s">
        <v>11285</v>
      </c>
    </row>
    <row r="495" spans="1:11" s="2" customFormat="1" x14ac:dyDescent="0.25">
      <c r="A495" s="114" t="s">
        <v>11482</v>
      </c>
      <c r="B495" s="4" t="s">
        <v>11483</v>
      </c>
      <c r="C495" s="113" t="s">
        <v>15363</v>
      </c>
      <c r="D495" s="155" t="s">
        <v>11484</v>
      </c>
      <c r="E495" s="159">
        <v>663</v>
      </c>
      <c r="F495" s="157" t="s">
        <v>11485</v>
      </c>
      <c r="G495" s="155" t="s">
        <v>11284</v>
      </c>
      <c r="H495" s="113" t="s">
        <v>11285</v>
      </c>
      <c r="I495" s="4" t="s">
        <v>11483</v>
      </c>
      <c r="J495" s="155" t="s">
        <v>11485</v>
      </c>
      <c r="K495" s="2" t="s">
        <v>11285</v>
      </c>
    </row>
    <row r="496" spans="1:11" s="2" customFormat="1" x14ac:dyDescent="0.25">
      <c r="A496" s="114" t="s">
        <v>11486</v>
      </c>
      <c r="B496" s="4" t="s">
        <v>11487</v>
      </c>
      <c r="C496" s="113" t="s">
        <v>15363</v>
      </c>
      <c r="D496" s="155" t="s">
        <v>11484</v>
      </c>
      <c r="E496" s="159">
        <v>663</v>
      </c>
      <c r="F496" s="157" t="s">
        <v>11488</v>
      </c>
      <c r="G496" s="155" t="s">
        <v>11284</v>
      </c>
      <c r="H496" s="113" t="s">
        <v>11285</v>
      </c>
      <c r="I496" s="4" t="s">
        <v>11487</v>
      </c>
      <c r="J496" s="155" t="s">
        <v>11488</v>
      </c>
      <c r="K496" s="2" t="s">
        <v>11285</v>
      </c>
    </row>
    <row r="497" spans="1:11" s="2" customFormat="1" x14ac:dyDescent="0.25">
      <c r="A497" s="114" t="s">
        <v>11489</v>
      </c>
      <c r="B497" s="4" t="s">
        <v>11490</v>
      </c>
      <c r="C497" s="113" t="s">
        <v>15363</v>
      </c>
      <c r="D497" s="155" t="s">
        <v>11357</v>
      </c>
      <c r="E497" s="159">
        <v>1349</v>
      </c>
      <c r="F497" s="157" t="s">
        <v>11491</v>
      </c>
      <c r="G497" s="155" t="s">
        <v>11284</v>
      </c>
      <c r="H497" s="113" t="s">
        <v>11285</v>
      </c>
      <c r="I497" s="4" t="s">
        <v>11490</v>
      </c>
      <c r="J497" s="155" t="s">
        <v>11491</v>
      </c>
      <c r="K497" s="2" t="s">
        <v>11285</v>
      </c>
    </row>
    <row r="498" spans="1:11" s="2" customFormat="1" x14ac:dyDescent="0.25">
      <c r="A498" s="114" t="s">
        <v>11492</v>
      </c>
      <c r="B498" s="4" t="s">
        <v>11493</v>
      </c>
      <c r="C498" s="113" t="s">
        <v>15363</v>
      </c>
      <c r="D498" s="155" t="s">
        <v>10014</v>
      </c>
      <c r="E498" s="159">
        <v>1100</v>
      </c>
      <c r="F498" s="157" t="s">
        <v>11494</v>
      </c>
      <c r="G498" s="155" t="s">
        <v>11284</v>
      </c>
      <c r="H498" s="113" t="s">
        <v>11285</v>
      </c>
      <c r="I498" s="4" t="s">
        <v>11493</v>
      </c>
      <c r="J498" s="155" t="s">
        <v>11494</v>
      </c>
      <c r="K498" s="2" t="s">
        <v>11285</v>
      </c>
    </row>
    <row r="499" spans="1:11" s="2" customFormat="1" x14ac:dyDescent="0.25">
      <c r="A499" s="114" t="s">
        <v>11495</v>
      </c>
      <c r="B499" s="4" t="s">
        <v>11496</v>
      </c>
      <c r="C499" s="113" t="s">
        <v>4</v>
      </c>
      <c r="D499" s="155" t="s">
        <v>11497</v>
      </c>
      <c r="E499" s="159">
        <v>550</v>
      </c>
      <c r="F499" s="157" t="s">
        <v>11498</v>
      </c>
      <c r="G499" s="155" t="s">
        <v>11284</v>
      </c>
      <c r="H499" s="113" t="s">
        <v>11285</v>
      </c>
      <c r="I499" s="4" t="s">
        <v>11496</v>
      </c>
      <c r="J499" s="155" t="s">
        <v>11498</v>
      </c>
      <c r="K499" s="2" t="s">
        <v>11285</v>
      </c>
    </row>
    <row r="500" spans="1:11" s="2" customFormat="1" x14ac:dyDescent="0.25">
      <c r="A500" s="114" t="s">
        <v>11499</v>
      </c>
      <c r="B500" s="4" t="s">
        <v>11500</v>
      </c>
      <c r="C500" s="113" t="s">
        <v>15363</v>
      </c>
      <c r="D500" s="155" t="s">
        <v>11501</v>
      </c>
      <c r="E500" s="159">
        <v>2190</v>
      </c>
      <c r="F500" s="157" t="s">
        <v>11502</v>
      </c>
      <c r="G500" s="155" t="s">
        <v>11284</v>
      </c>
      <c r="H500" s="113" t="s">
        <v>11285</v>
      </c>
      <c r="I500" s="4" t="s">
        <v>11500</v>
      </c>
      <c r="J500" s="155" t="s">
        <v>11502</v>
      </c>
      <c r="K500" s="2" t="s">
        <v>11285</v>
      </c>
    </row>
    <row r="501" spans="1:11" s="2" customFormat="1" x14ac:dyDescent="0.25">
      <c r="A501" s="114" t="s">
        <v>11503</v>
      </c>
      <c r="B501" s="4" t="s">
        <v>11504</v>
      </c>
      <c r="C501" s="113" t="s">
        <v>4</v>
      </c>
      <c r="D501" s="155" t="s">
        <v>11505</v>
      </c>
      <c r="E501" s="159">
        <v>1950</v>
      </c>
      <c r="F501" s="157" t="s">
        <v>11506</v>
      </c>
      <c r="G501" s="155" t="s">
        <v>11284</v>
      </c>
      <c r="H501" s="113" t="s">
        <v>11285</v>
      </c>
      <c r="I501" s="4" t="s">
        <v>11504</v>
      </c>
      <c r="J501" s="155" t="s">
        <v>11506</v>
      </c>
      <c r="K501" s="2" t="s">
        <v>11285</v>
      </c>
    </row>
    <row r="502" spans="1:11" s="2" customFormat="1" x14ac:dyDescent="0.25">
      <c r="A502" s="114" t="s">
        <v>11507</v>
      </c>
      <c r="B502" s="4" t="s">
        <v>11508</v>
      </c>
      <c r="C502" s="113" t="s">
        <v>4</v>
      </c>
      <c r="D502" s="155" t="s">
        <v>11328</v>
      </c>
      <c r="E502" s="159">
        <v>1441</v>
      </c>
      <c r="F502" s="157" t="s">
        <v>11509</v>
      </c>
      <c r="G502" s="155" t="s">
        <v>11284</v>
      </c>
      <c r="H502" s="113" t="s">
        <v>11285</v>
      </c>
      <c r="I502" s="4" t="s">
        <v>11508</v>
      </c>
      <c r="J502" s="155" t="s">
        <v>11509</v>
      </c>
      <c r="K502" s="2" t="s">
        <v>11285</v>
      </c>
    </row>
    <row r="503" spans="1:11" s="2" customFormat="1" x14ac:dyDescent="0.25">
      <c r="A503" s="114" t="s">
        <v>11510</v>
      </c>
      <c r="B503" s="4" t="s">
        <v>11511</v>
      </c>
      <c r="C503" s="113" t="s">
        <v>15363</v>
      </c>
      <c r="D503" s="155" t="s">
        <v>10043</v>
      </c>
      <c r="E503" s="159">
        <v>151</v>
      </c>
      <c r="F503" s="157" t="s">
        <v>11512</v>
      </c>
      <c r="G503" s="155" t="s">
        <v>11284</v>
      </c>
      <c r="H503" s="113" t="s">
        <v>11285</v>
      </c>
      <c r="I503" s="4" t="s">
        <v>11511</v>
      </c>
      <c r="J503" s="155" t="s">
        <v>11512</v>
      </c>
      <c r="K503" s="2" t="s">
        <v>11285</v>
      </c>
    </row>
    <row r="504" spans="1:11" s="2" customFormat="1" x14ac:dyDescent="0.25">
      <c r="A504" s="114" t="s">
        <v>11513</v>
      </c>
      <c r="B504" s="4" t="s">
        <v>11514</v>
      </c>
      <c r="C504" s="113" t="s">
        <v>15363</v>
      </c>
      <c r="D504" s="155" t="s">
        <v>10043</v>
      </c>
      <c r="E504" s="159">
        <v>151</v>
      </c>
      <c r="F504" s="157" t="s">
        <v>11515</v>
      </c>
      <c r="G504" s="155" t="s">
        <v>11284</v>
      </c>
      <c r="H504" s="113" t="s">
        <v>11285</v>
      </c>
      <c r="I504" s="4" t="s">
        <v>11514</v>
      </c>
      <c r="J504" s="155" t="s">
        <v>11515</v>
      </c>
      <c r="K504" s="2" t="s">
        <v>11285</v>
      </c>
    </row>
    <row r="505" spans="1:11" s="2" customFormat="1" x14ac:dyDescent="0.25">
      <c r="A505" s="114" t="s">
        <v>11516</v>
      </c>
      <c r="B505" s="4" t="s">
        <v>11517</v>
      </c>
      <c r="C505" s="113" t="s">
        <v>15363</v>
      </c>
      <c r="D505" s="155" t="s">
        <v>11357</v>
      </c>
      <c r="E505" s="159">
        <v>1349</v>
      </c>
      <c r="F505" s="157" t="s">
        <v>11518</v>
      </c>
      <c r="G505" s="155" t="s">
        <v>11284</v>
      </c>
      <c r="H505" s="113" t="s">
        <v>11285</v>
      </c>
      <c r="I505" s="4" t="s">
        <v>11517</v>
      </c>
      <c r="J505" s="155" t="s">
        <v>11518</v>
      </c>
      <c r="K505" s="2" t="s">
        <v>11285</v>
      </c>
    </row>
    <row r="506" spans="1:11" s="2" customFormat="1" x14ac:dyDescent="0.25">
      <c r="A506" s="114" t="s">
        <v>11519</v>
      </c>
      <c r="B506" s="4" t="s">
        <v>11520</v>
      </c>
      <c r="C506" s="113" t="s">
        <v>15363</v>
      </c>
      <c r="D506" s="155" t="s">
        <v>11521</v>
      </c>
      <c r="E506" s="159">
        <v>2000</v>
      </c>
      <c r="F506" s="157" t="s">
        <v>11522</v>
      </c>
      <c r="G506" s="155" t="s">
        <v>11284</v>
      </c>
      <c r="H506" s="113" t="s">
        <v>11285</v>
      </c>
      <c r="I506" s="4" t="s">
        <v>11520</v>
      </c>
      <c r="J506" s="155" t="s">
        <v>11522</v>
      </c>
      <c r="K506" s="2" t="s">
        <v>11285</v>
      </c>
    </row>
    <row r="507" spans="1:11" s="2" customFormat="1" x14ac:dyDescent="0.25">
      <c r="A507" s="114" t="s">
        <v>14144</v>
      </c>
      <c r="B507" s="4" t="s">
        <v>10553</v>
      </c>
      <c r="C507" s="113" t="s">
        <v>15363</v>
      </c>
      <c r="D507" s="155" t="s">
        <v>9764</v>
      </c>
      <c r="E507" s="159">
        <v>801</v>
      </c>
      <c r="F507" s="157" t="s">
        <v>14145</v>
      </c>
      <c r="G507" s="155" t="s">
        <v>10553</v>
      </c>
      <c r="H507" s="113" t="s">
        <v>10553</v>
      </c>
      <c r="I507" s="4" t="s">
        <v>10553</v>
      </c>
      <c r="J507" s="155" t="s">
        <v>14145</v>
      </c>
      <c r="K507" s="2" t="s">
        <v>15399</v>
      </c>
    </row>
    <row r="508" spans="1:11" s="2" customFormat="1" x14ac:dyDescent="0.25">
      <c r="A508" s="114" t="s">
        <v>14146</v>
      </c>
      <c r="B508" s="4" t="s">
        <v>14147</v>
      </c>
      <c r="C508" s="113" t="s">
        <v>15363</v>
      </c>
      <c r="D508" s="155" t="s">
        <v>10177</v>
      </c>
      <c r="E508" s="159">
        <v>1024</v>
      </c>
      <c r="F508" s="157" t="s">
        <v>14148</v>
      </c>
      <c r="G508" s="155" t="s">
        <v>10553</v>
      </c>
      <c r="H508" s="113" t="s">
        <v>10553</v>
      </c>
      <c r="I508" s="4" t="s">
        <v>14147</v>
      </c>
      <c r="J508" s="155" t="s">
        <v>14148</v>
      </c>
      <c r="K508" s="2" t="s">
        <v>15399</v>
      </c>
    </row>
    <row r="509" spans="1:11" s="2" customFormat="1" x14ac:dyDescent="0.25">
      <c r="A509" s="114" t="s">
        <v>14149</v>
      </c>
      <c r="B509" s="4" t="s">
        <v>14150</v>
      </c>
      <c r="C509" s="113" t="s">
        <v>15363</v>
      </c>
      <c r="D509" s="155" t="s">
        <v>14151</v>
      </c>
      <c r="E509" s="159">
        <v>0</v>
      </c>
      <c r="F509" s="157" t="s">
        <v>14152</v>
      </c>
      <c r="G509" s="155" t="s">
        <v>14150</v>
      </c>
      <c r="H509" s="113" t="s">
        <v>10553</v>
      </c>
      <c r="I509" s="4" t="s">
        <v>14150</v>
      </c>
      <c r="J509" s="155" t="s">
        <v>14152</v>
      </c>
      <c r="K509" s="2" t="s">
        <v>15400</v>
      </c>
    </row>
    <row r="510" spans="1:11" s="2" customFormat="1" x14ac:dyDescent="0.25">
      <c r="A510" s="114" t="s">
        <v>14153</v>
      </c>
      <c r="B510" s="4" t="s">
        <v>14154</v>
      </c>
      <c r="C510" s="113" t="s">
        <v>15363</v>
      </c>
      <c r="D510" s="155" t="s">
        <v>11855</v>
      </c>
      <c r="E510" s="159">
        <v>0</v>
      </c>
      <c r="F510" s="157" t="s">
        <v>14155</v>
      </c>
      <c r="G510" s="155" t="s">
        <v>14154</v>
      </c>
      <c r="H510" s="113" t="s">
        <v>10553</v>
      </c>
      <c r="I510" s="4" t="s">
        <v>14154</v>
      </c>
      <c r="J510" s="155" t="s">
        <v>14155</v>
      </c>
      <c r="K510" s="2" t="s">
        <v>15400</v>
      </c>
    </row>
    <row r="511" spans="1:11" s="2" customFormat="1" x14ac:dyDescent="0.25">
      <c r="A511" s="114" t="s">
        <v>14156</v>
      </c>
      <c r="B511" s="4" t="s">
        <v>13584</v>
      </c>
      <c r="C511" s="113" t="s">
        <v>4</v>
      </c>
      <c r="D511" s="155" t="s">
        <v>10541</v>
      </c>
      <c r="E511" s="159">
        <v>0</v>
      </c>
      <c r="F511" s="157" t="s">
        <v>14157</v>
      </c>
      <c r="G511" s="155" t="s">
        <v>13584</v>
      </c>
      <c r="H511" s="113" t="s">
        <v>10553</v>
      </c>
      <c r="I511" s="4" t="s">
        <v>13584</v>
      </c>
      <c r="J511" s="155" t="s">
        <v>14157</v>
      </c>
      <c r="K511" s="2" t="s">
        <v>10180</v>
      </c>
    </row>
    <row r="512" spans="1:11" s="2" customFormat="1" x14ac:dyDescent="0.25">
      <c r="A512" s="114" t="s">
        <v>14158</v>
      </c>
      <c r="B512" s="4" t="s">
        <v>14159</v>
      </c>
      <c r="C512" s="113" t="s">
        <v>15363</v>
      </c>
      <c r="D512" s="155" t="s">
        <v>10181</v>
      </c>
      <c r="E512" s="159">
        <v>534</v>
      </c>
      <c r="F512" s="157" t="s">
        <v>14160</v>
      </c>
      <c r="G512" s="155" t="s">
        <v>14159</v>
      </c>
      <c r="H512" s="113" t="s">
        <v>10553</v>
      </c>
      <c r="I512" s="4" t="s">
        <v>14159</v>
      </c>
      <c r="J512" s="155" t="s">
        <v>14160</v>
      </c>
      <c r="K512" s="2" t="s">
        <v>10269</v>
      </c>
    </row>
    <row r="513" spans="1:11" s="2" customFormat="1" x14ac:dyDescent="0.25">
      <c r="A513" s="114" t="s">
        <v>14161</v>
      </c>
      <c r="B513" s="4" t="s">
        <v>14162</v>
      </c>
      <c r="C513" s="113" t="s">
        <v>15363</v>
      </c>
      <c r="D513" s="155" t="s">
        <v>9929</v>
      </c>
      <c r="E513" s="159">
        <v>791</v>
      </c>
      <c r="F513" s="157" t="s">
        <v>14163</v>
      </c>
      <c r="G513" s="155" t="s">
        <v>14162</v>
      </c>
      <c r="H513" s="113" t="s">
        <v>10553</v>
      </c>
      <c r="I513" s="4" t="s">
        <v>14162</v>
      </c>
      <c r="J513" s="155" t="s">
        <v>14163</v>
      </c>
      <c r="K513" s="2" t="s">
        <v>15401</v>
      </c>
    </row>
    <row r="514" spans="1:11" s="2" customFormat="1" x14ac:dyDescent="0.25">
      <c r="A514" s="114" t="s">
        <v>14164</v>
      </c>
      <c r="B514" s="4" t="s">
        <v>14165</v>
      </c>
      <c r="C514" s="113" t="s">
        <v>15363</v>
      </c>
      <c r="D514" s="155" t="s">
        <v>14166</v>
      </c>
      <c r="E514" s="159">
        <v>193</v>
      </c>
      <c r="F514" s="157" t="s">
        <v>14167</v>
      </c>
      <c r="G514" s="155" t="s">
        <v>14165</v>
      </c>
      <c r="H514" s="113" t="s">
        <v>10553</v>
      </c>
      <c r="I514" s="4" t="s">
        <v>14165</v>
      </c>
      <c r="J514" s="155" t="s">
        <v>14167</v>
      </c>
      <c r="K514" s="2" t="s">
        <v>10848</v>
      </c>
    </row>
    <row r="515" spans="1:11" s="2" customFormat="1" x14ac:dyDescent="0.25">
      <c r="A515" s="114" t="s">
        <v>14168</v>
      </c>
      <c r="B515" s="4" t="s">
        <v>10491</v>
      </c>
      <c r="C515" s="113" t="s">
        <v>15363</v>
      </c>
      <c r="D515" s="155" t="s">
        <v>11855</v>
      </c>
      <c r="E515" s="159">
        <v>0</v>
      </c>
      <c r="F515" s="157" t="s">
        <v>14169</v>
      </c>
      <c r="G515" s="155" t="s">
        <v>10491</v>
      </c>
      <c r="H515" s="113" t="s">
        <v>10553</v>
      </c>
      <c r="I515" s="4" t="s">
        <v>10491</v>
      </c>
      <c r="J515" s="155" t="s">
        <v>14169</v>
      </c>
      <c r="K515" s="2" t="s">
        <v>10180</v>
      </c>
    </row>
    <row r="516" spans="1:11" s="2" customFormat="1" x14ac:dyDescent="0.25">
      <c r="A516" s="114" t="s">
        <v>14170</v>
      </c>
      <c r="B516" s="4" t="s">
        <v>14137</v>
      </c>
      <c r="C516" s="113" t="s">
        <v>15363</v>
      </c>
      <c r="D516" s="155" t="s">
        <v>14171</v>
      </c>
      <c r="E516" s="159">
        <v>31</v>
      </c>
      <c r="F516" s="157" t="s">
        <v>14172</v>
      </c>
      <c r="G516" s="155" t="s">
        <v>14137</v>
      </c>
      <c r="H516" s="113" t="s">
        <v>10553</v>
      </c>
      <c r="I516" s="4" t="s">
        <v>14137</v>
      </c>
      <c r="J516" s="155" t="s">
        <v>14172</v>
      </c>
      <c r="K516" s="2" t="s">
        <v>15401</v>
      </c>
    </row>
    <row r="517" spans="1:11" s="2" customFormat="1" x14ac:dyDescent="0.25">
      <c r="A517" s="114" t="s">
        <v>14173</v>
      </c>
      <c r="B517" s="4" t="s">
        <v>14174</v>
      </c>
      <c r="C517" s="113" t="s">
        <v>15363</v>
      </c>
      <c r="D517" s="155" t="s">
        <v>10105</v>
      </c>
      <c r="E517" s="159">
        <v>88</v>
      </c>
      <c r="F517" s="157" t="s">
        <v>14175</v>
      </c>
      <c r="G517" s="155" t="s">
        <v>14137</v>
      </c>
      <c r="H517" s="113" t="s">
        <v>10553</v>
      </c>
      <c r="I517" s="4" t="s">
        <v>14174</v>
      </c>
      <c r="J517" s="155" t="s">
        <v>14175</v>
      </c>
      <c r="K517" s="2" t="s">
        <v>15401</v>
      </c>
    </row>
    <row r="518" spans="1:11" s="2" customFormat="1" x14ac:dyDescent="0.25">
      <c r="A518" s="114" t="s">
        <v>14176</v>
      </c>
      <c r="B518" s="4" t="s">
        <v>10111</v>
      </c>
      <c r="C518" s="113" t="s">
        <v>15363</v>
      </c>
      <c r="D518" s="155" t="s">
        <v>14177</v>
      </c>
      <c r="E518" s="159">
        <v>579</v>
      </c>
      <c r="F518" s="157" t="s">
        <v>14178</v>
      </c>
      <c r="G518" s="155" t="s">
        <v>10111</v>
      </c>
      <c r="H518" s="113" t="s">
        <v>10553</v>
      </c>
      <c r="I518" s="4" t="s">
        <v>10111</v>
      </c>
      <c r="J518" s="155" t="s">
        <v>14178</v>
      </c>
      <c r="K518" s="2" t="s">
        <v>10476</v>
      </c>
    </row>
    <row r="519" spans="1:11" s="2" customFormat="1" x14ac:dyDescent="0.25">
      <c r="A519" s="114" t="s">
        <v>14179</v>
      </c>
      <c r="B519" s="4" t="s">
        <v>14180</v>
      </c>
      <c r="C519" s="113" t="s">
        <v>15363</v>
      </c>
      <c r="D519" s="155" t="s">
        <v>9764</v>
      </c>
      <c r="E519" s="159">
        <v>493</v>
      </c>
      <c r="F519" s="157" t="s">
        <v>14181</v>
      </c>
      <c r="G519" s="155" t="s">
        <v>14180</v>
      </c>
      <c r="H519" s="113" t="s">
        <v>10553</v>
      </c>
      <c r="I519" s="4" t="s">
        <v>14180</v>
      </c>
      <c r="J519" s="155" t="s">
        <v>14181</v>
      </c>
      <c r="K519" s="2" t="s">
        <v>10269</v>
      </c>
    </row>
    <row r="520" spans="1:11" s="2" customFormat="1" x14ac:dyDescent="0.25">
      <c r="A520" s="114" t="s">
        <v>14182</v>
      </c>
      <c r="B520" s="4" t="s">
        <v>14183</v>
      </c>
      <c r="C520" s="113" t="s">
        <v>15363</v>
      </c>
      <c r="D520" s="155" t="s">
        <v>9764</v>
      </c>
      <c r="E520" s="159">
        <v>0</v>
      </c>
      <c r="F520" s="157" t="s">
        <v>14184</v>
      </c>
      <c r="G520" s="155" t="s">
        <v>14183</v>
      </c>
      <c r="H520" s="113" t="s">
        <v>10553</v>
      </c>
      <c r="I520" s="4" t="s">
        <v>14183</v>
      </c>
      <c r="J520" s="155" t="s">
        <v>14184</v>
      </c>
      <c r="K520" s="2" t="s">
        <v>15400</v>
      </c>
    </row>
    <row r="521" spans="1:11" s="2" customFormat="1" x14ac:dyDescent="0.25">
      <c r="A521" s="114" t="s">
        <v>14185</v>
      </c>
      <c r="B521" s="4" t="s">
        <v>14186</v>
      </c>
      <c r="C521" s="113" t="s">
        <v>15363</v>
      </c>
      <c r="D521" s="155" t="s">
        <v>10970</v>
      </c>
      <c r="E521" s="159">
        <v>210</v>
      </c>
      <c r="F521" s="157" t="s">
        <v>14187</v>
      </c>
      <c r="G521" s="155" t="s">
        <v>14186</v>
      </c>
      <c r="H521" s="113" t="s">
        <v>10553</v>
      </c>
      <c r="I521" s="4" t="s">
        <v>14186</v>
      </c>
      <c r="J521" s="155" t="s">
        <v>14187</v>
      </c>
      <c r="K521" s="2" t="s">
        <v>10180</v>
      </c>
    </row>
    <row r="522" spans="1:11" s="2" customFormat="1" x14ac:dyDescent="0.25">
      <c r="A522" s="114" t="s">
        <v>14188</v>
      </c>
      <c r="B522" s="4" t="s">
        <v>14189</v>
      </c>
      <c r="C522" s="113" t="s">
        <v>15363</v>
      </c>
      <c r="D522" s="155" t="s">
        <v>10244</v>
      </c>
      <c r="E522" s="159">
        <v>0</v>
      </c>
      <c r="F522" s="157" t="s">
        <v>14191</v>
      </c>
      <c r="G522" s="155" t="s">
        <v>14190</v>
      </c>
      <c r="H522" s="113" t="s">
        <v>10553</v>
      </c>
      <c r="I522" s="4" t="s">
        <v>14189</v>
      </c>
      <c r="J522" s="155" t="s">
        <v>14191</v>
      </c>
      <c r="K522" s="2" t="s">
        <v>10180</v>
      </c>
    </row>
    <row r="523" spans="1:11" s="2" customFormat="1" x14ac:dyDescent="0.25">
      <c r="A523" s="114" t="s">
        <v>14192</v>
      </c>
      <c r="B523" s="4" t="s">
        <v>14134</v>
      </c>
      <c r="C523" s="113" t="s">
        <v>15363</v>
      </c>
      <c r="D523" s="155" t="s">
        <v>14193</v>
      </c>
      <c r="E523" s="159">
        <v>0</v>
      </c>
      <c r="F523" s="157" t="s">
        <v>14194</v>
      </c>
      <c r="G523" s="155" t="s">
        <v>9764</v>
      </c>
      <c r="H523" s="113" t="s">
        <v>10553</v>
      </c>
      <c r="I523" s="4" t="s">
        <v>14134</v>
      </c>
      <c r="J523" s="155" t="s">
        <v>14194</v>
      </c>
      <c r="K523" s="2" t="s">
        <v>15402</v>
      </c>
    </row>
    <row r="524" spans="1:11" s="2" customFormat="1" x14ac:dyDescent="0.25">
      <c r="A524" s="114" t="s">
        <v>14195</v>
      </c>
      <c r="B524" s="4" t="s">
        <v>14196</v>
      </c>
      <c r="C524" s="113" t="s">
        <v>15363</v>
      </c>
      <c r="D524" s="155" t="s">
        <v>10181</v>
      </c>
      <c r="E524" s="159">
        <v>700</v>
      </c>
      <c r="F524" s="157" t="s">
        <v>14197</v>
      </c>
      <c r="G524" s="155" t="s">
        <v>14196</v>
      </c>
      <c r="H524" s="113" t="s">
        <v>10553</v>
      </c>
      <c r="I524" s="4" t="s">
        <v>14196</v>
      </c>
      <c r="J524" s="155" t="s">
        <v>14197</v>
      </c>
      <c r="K524" s="2" t="s">
        <v>10476</v>
      </c>
    </row>
    <row r="525" spans="1:11" s="2" customFormat="1" x14ac:dyDescent="0.25">
      <c r="A525" s="114" t="s">
        <v>14198</v>
      </c>
      <c r="B525" s="4" t="s">
        <v>14199</v>
      </c>
      <c r="C525" s="113" t="s">
        <v>15363</v>
      </c>
      <c r="D525" s="155" t="s">
        <v>11855</v>
      </c>
      <c r="E525" s="159">
        <v>232</v>
      </c>
      <c r="F525" s="157" t="s">
        <v>14200</v>
      </c>
      <c r="G525" s="155" t="s">
        <v>14199</v>
      </c>
      <c r="H525" s="113" t="s">
        <v>10553</v>
      </c>
      <c r="I525" s="4" t="s">
        <v>14199</v>
      </c>
      <c r="J525" s="155" t="s">
        <v>14200</v>
      </c>
      <c r="K525" s="2" t="s">
        <v>10269</v>
      </c>
    </row>
    <row r="526" spans="1:11" s="2" customFormat="1" x14ac:dyDescent="0.25">
      <c r="A526" s="114" t="s">
        <v>14201</v>
      </c>
      <c r="B526" s="4" t="s">
        <v>14202</v>
      </c>
      <c r="C526" s="113" t="s">
        <v>15363</v>
      </c>
      <c r="D526" s="155" t="s">
        <v>14203</v>
      </c>
      <c r="E526" s="159">
        <v>340</v>
      </c>
      <c r="F526" s="157" t="s">
        <v>14204</v>
      </c>
      <c r="G526" s="155" t="s">
        <v>14202</v>
      </c>
      <c r="H526" s="113" t="s">
        <v>10553</v>
      </c>
      <c r="I526" s="4" t="s">
        <v>14202</v>
      </c>
      <c r="J526" s="155" t="s">
        <v>14204</v>
      </c>
      <c r="K526" s="2" t="s">
        <v>15400</v>
      </c>
    </row>
    <row r="527" spans="1:11" s="2" customFormat="1" x14ac:dyDescent="0.25">
      <c r="A527" s="114" t="s">
        <v>14205</v>
      </c>
      <c r="B527" s="4" t="s">
        <v>14206</v>
      </c>
      <c r="C527" s="113" t="s">
        <v>4</v>
      </c>
      <c r="D527" s="155" t="s">
        <v>14207</v>
      </c>
      <c r="E527" s="159">
        <v>0</v>
      </c>
      <c r="F527" s="157" t="s">
        <v>14208</v>
      </c>
      <c r="G527" s="155" t="s">
        <v>14206</v>
      </c>
      <c r="H527" s="113" t="s">
        <v>10553</v>
      </c>
      <c r="I527" s="4" t="s">
        <v>14206</v>
      </c>
      <c r="J527" s="155" t="s">
        <v>14208</v>
      </c>
      <c r="K527" s="2" t="s">
        <v>15401</v>
      </c>
    </row>
    <row r="528" spans="1:11" s="2" customFormat="1" x14ac:dyDescent="0.25">
      <c r="A528" s="114" t="s">
        <v>14209</v>
      </c>
      <c r="B528" s="4" t="s">
        <v>14210</v>
      </c>
      <c r="C528" s="113" t="s">
        <v>15364</v>
      </c>
      <c r="D528" s="155">
        <v>0</v>
      </c>
      <c r="E528" s="159"/>
      <c r="F528" s="157" t="s">
        <v>14212</v>
      </c>
      <c r="G528" s="155" t="s">
        <v>14211</v>
      </c>
      <c r="H528" s="113" t="s">
        <v>10553</v>
      </c>
      <c r="I528" s="4" t="s">
        <v>14210</v>
      </c>
      <c r="J528" s="155" t="s">
        <v>14212</v>
      </c>
      <c r="K528" s="2" t="s">
        <v>15399</v>
      </c>
    </row>
    <row r="529" spans="1:11" s="2" customFormat="1" x14ac:dyDescent="0.25">
      <c r="A529" s="114" t="s">
        <v>14213</v>
      </c>
      <c r="B529" s="4" t="s">
        <v>14214</v>
      </c>
      <c r="C529" s="113" t="s">
        <v>15364</v>
      </c>
      <c r="D529" s="155">
        <v>0</v>
      </c>
      <c r="E529" s="159"/>
      <c r="F529" s="157" t="s">
        <v>14215</v>
      </c>
      <c r="G529" s="155" t="s">
        <v>14214</v>
      </c>
      <c r="H529" s="113" t="s">
        <v>10553</v>
      </c>
      <c r="I529" s="4" t="s">
        <v>14214</v>
      </c>
      <c r="J529" s="155" t="s">
        <v>14215</v>
      </c>
      <c r="K529" s="2" t="s">
        <v>15399</v>
      </c>
    </row>
    <row r="530" spans="1:11" s="2" customFormat="1" x14ac:dyDescent="0.25">
      <c r="A530" s="114" t="s">
        <v>14216</v>
      </c>
      <c r="B530" s="4" t="s">
        <v>14217</v>
      </c>
      <c r="C530" s="113" t="s">
        <v>15364</v>
      </c>
      <c r="D530" s="155">
        <v>0</v>
      </c>
      <c r="E530" s="159"/>
      <c r="F530" s="157" t="s">
        <v>14218</v>
      </c>
      <c r="G530" s="155" t="s">
        <v>14217</v>
      </c>
      <c r="H530" s="113" t="s">
        <v>10553</v>
      </c>
      <c r="I530" s="4" t="s">
        <v>14217</v>
      </c>
      <c r="J530" s="155" t="s">
        <v>14218</v>
      </c>
      <c r="K530" s="2" t="s">
        <v>15402</v>
      </c>
    </row>
    <row r="531" spans="1:11" s="2" customFormat="1" x14ac:dyDescent="0.25">
      <c r="A531" s="114" t="s">
        <v>14219</v>
      </c>
      <c r="B531" s="4" t="s">
        <v>14220</v>
      </c>
      <c r="C531" s="113" t="s">
        <v>15364</v>
      </c>
      <c r="D531" s="155" t="s">
        <v>10767</v>
      </c>
      <c r="E531" s="159">
        <v>0</v>
      </c>
      <c r="F531" s="157" t="s">
        <v>14222</v>
      </c>
      <c r="G531" s="155" t="s">
        <v>14221</v>
      </c>
      <c r="H531" s="113" t="s">
        <v>10553</v>
      </c>
      <c r="I531" s="4" t="s">
        <v>14220</v>
      </c>
      <c r="J531" s="155" t="s">
        <v>14222</v>
      </c>
      <c r="K531" s="2" t="s">
        <v>11371</v>
      </c>
    </row>
    <row r="532" spans="1:11" s="2" customFormat="1" x14ac:dyDescent="0.25">
      <c r="A532" s="114" t="s">
        <v>14223</v>
      </c>
      <c r="B532" s="4" t="s">
        <v>14224</v>
      </c>
      <c r="C532" s="113" t="s">
        <v>15363</v>
      </c>
      <c r="D532" s="155" t="s">
        <v>10180</v>
      </c>
      <c r="E532" s="159">
        <v>945</v>
      </c>
      <c r="F532" s="157" t="s">
        <v>14225</v>
      </c>
      <c r="G532" s="155" t="s">
        <v>10553</v>
      </c>
      <c r="H532" s="113" t="s">
        <v>10553</v>
      </c>
      <c r="I532" s="4" t="s">
        <v>14224</v>
      </c>
      <c r="J532" s="155" t="s">
        <v>14225</v>
      </c>
      <c r="K532" s="2" t="s">
        <v>15399</v>
      </c>
    </row>
    <row r="533" spans="1:11" s="2" customFormat="1" x14ac:dyDescent="0.25">
      <c r="A533" s="114" t="s">
        <v>14226</v>
      </c>
      <c r="B533" s="4" t="s">
        <v>14227</v>
      </c>
      <c r="C533" s="113" t="s">
        <v>4</v>
      </c>
      <c r="D533" s="155" t="s">
        <v>10304</v>
      </c>
      <c r="E533" s="159">
        <v>0</v>
      </c>
      <c r="F533" s="157" t="s">
        <v>14229</v>
      </c>
      <c r="G533" s="155" t="s">
        <v>14228</v>
      </c>
      <c r="H533" s="113" t="s">
        <v>10553</v>
      </c>
      <c r="I533" s="4" t="s">
        <v>14227</v>
      </c>
      <c r="J533" s="155" t="s">
        <v>14229</v>
      </c>
      <c r="K533" s="2" t="s">
        <v>15399</v>
      </c>
    </row>
    <row r="534" spans="1:11" s="2" customFormat="1" x14ac:dyDescent="0.25">
      <c r="A534" s="114" t="s">
        <v>12780</v>
      </c>
      <c r="B534" s="4" t="s">
        <v>11480</v>
      </c>
      <c r="C534" s="113" t="s">
        <v>15363</v>
      </c>
      <c r="D534" s="155" t="s">
        <v>9887</v>
      </c>
      <c r="E534" s="159">
        <v>102</v>
      </c>
      <c r="F534" s="157" t="s">
        <v>12781</v>
      </c>
      <c r="G534" s="155" t="s">
        <v>11480</v>
      </c>
      <c r="H534" s="113" t="s">
        <v>11056</v>
      </c>
      <c r="I534" s="4" t="s">
        <v>11480</v>
      </c>
      <c r="J534" s="155" t="s">
        <v>12781</v>
      </c>
      <c r="K534" s="2" t="s">
        <v>11480</v>
      </c>
    </row>
    <row r="535" spans="1:11" s="2" customFormat="1" x14ac:dyDescent="0.25">
      <c r="A535" s="114" t="s">
        <v>12782</v>
      </c>
      <c r="B535" s="4" t="s">
        <v>12649</v>
      </c>
      <c r="C535" s="113" t="s">
        <v>15363</v>
      </c>
      <c r="D535" s="155" t="s">
        <v>10297</v>
      </c>
      <c r="E535" s="159">
        <v>360</v>
      </c>
      <c r="F535" s="157" t="s">
        <v>12783</v>
      </c>
      <c r="G535" s="155" t="s">
        <v>11480</v>
      </c>
      <c r="H535" s="113" t="s">
        <v>11056</v>
      </c>
      <c r="I535" s="4" t="s">
        <v>12649</v>
      </c>
      <c r="J535" s="155" t="s">
        <v>12783</v>
      </c>
      <c r="K535" s="2" t="s">
        <v>11480</v>
      </c>
    </row>
    <row r="536" spans="1:11" s="2" customFormat="1" x14ac:dyDescent="0.25">
      <c r="A536" s="114" t="s">
        <v>12784</v>
      </c>
      <c r="B536" s="4" t="s">
        <v>12785</v>
      </c>
      <c r="C536" s="113" t="s">
        <v>15363</v>
      </c>
      <c r="D536" s="155" t="s">
        <v>12786</v>
      </c>
      <c r="E536" s="159">
        <v>1620</v>
      </c>
      <c r="F536" s="157" t="s">
        <v>12787</v>
      </c>
      <c r="G536" s="155" t="s">
        <v>11480</v>
      </c>
      <c r="H536" s="113" t="s">
        <v>11056</v>
      </c>
      <c r="I536" s="4" t="s">
        <v>12785</v>
      </c>
      <c r="J536" s="155" t="s">
        <v>12787</v>
      </c>
      <c r="K536" s="2" t="s">
        <v>11480</v>
      </c>
    </row>
    <row r="537" spans="1:11" s="2" customFormat="1" x14ac:dyDescent="0.25">
      <c r="A537" s="114" t="s">
        <v>12788</v>
      </c>
      <c r="B537" s="4" t="s">
        <v>12652</v>
      </c>
      <c r="C537" s="113" t="s">
        <v>15363</v>
      </c>
      <c r="D537" s="155" t="s">
        <v>12789</v>
      </c>
      <c r="E537" s="159">
        <v>2664</v>
      </c>
      <c r="F537" s="157" t="s">
        <v>12790</v>
      </c>
      <c r="G537" s="155" t="s">
        <v>11480</v>
      </c>
      <c r="H537" s="113" t="s">
        <v>11056</v>
      </c>
      <c r="I537" s="4" t="s">
        <v>12652</v>
      </c>
      <c r="J537" s="155" t="s">
        <v>12790</v>
      </c>
      <c r="K537" s="2" t="s">
        <v>11480</v>
      </c>
    </row>
    <row r="538" spans="1:11" s="2" customFormat="1" x14ac:dyDescent="0.25">
      <c r="A538" s="114" t="s">
        <v>12791</v>
      </c>
      <c r="B538" s="4" t="s">
        <v>12792</v>
      </c>
      <c r="C538" s="113" t="s">
        <v>15363</v>
      </c>
      <c r="D538" s="155" t="s">
        <v>12793</v>
      </c>
      <c r="E538" s="159">
        <v>1737</v>
      </c>
      <c r="F538" s="157" t="s">
        <v>12794</v>
      </c>
      <c r="G538" s="155" t="s">
        <v>11480</v>
      </c>
      <c r="H538" s="113" t="s">
        <v>11056</v>
      </c>
      <c r="I538" s="4" t="s">
        <v>12792</v>
      </c>
      <c r="J538" s="155" t="s">
        <v>12794</v>
      </c>
      <c r="K538" s="2" t="s">
        <v>11480</v>
      </c>
    </row>
    <row r="539" spans="1:11" s="2" customFormat="1" x14ac:dyDescent="0.25">
      <c r="A539" s="114" t="s">
        <v>12795</v>
      </c>
      <c r="B539" s="4" t="s">
        <v>12796</v>
      </c>
      <c r="C539" s="113" t="s">
        <v>15363</v>
      </c>
      <c r="D539" s="155" t="s">
        <v>9977</v>
      </c>
      <c r="E539" s="159">
        <v>0</v>
      </c>
      <c r="F539" s="157" t="s">
        <v>12798</v>
      </c>
      <c r="G539" s="155" t="s">
        <v>12797</v>
      </c>
      <c r="H539" s="113" t="s">
        <v>11056</v>
      </c>
      <c r="I539" s="4" t="s">
        <v>12796</v>
      </c>
      <c r="J539" s="155" t="s">
        <v>12798</v>
      </c>
      <c r="K539" s="2" t="s">
        <v>12096</v>
      </c>
    </row>
    <row r="540" spans="1:11" s="2" customFormat="1" x14ac:dyDescent="0.25">
      <c r="A540" s="114" t="s">
        <v>12799</v>
      </c>
      <c r="B540" s="4" t="s">
        <v>12800</v>
      </c>
      <c r="C540" s="113" t="s">
        <v>15363</v>
      </c>
      <c r="D540" s="155" t="s">
        <v>10181</v>
      </c>
      <c r="E540" s="159">
        <v>265</v>
      </c>
      <c r="F540" s="157" t="s">
        <v>12801</v>
      </c>
      <c r="G540" s="155" t="s">
        <v>12800</v>
      </c>
      <c r="H540" s="113" t="s">
        <v>11056</v>
      </c>
      <c r="I540" s="4" t="s">
        <v>12800</v>
      </c>
      <c r="J540" s="155" t="s">
        <v>12801</v>
      </c>
      <c r="K540" s="2" t="s">
        <v>10189</v>
      </c>
    </row>
    <row r="541" spans="1:11" s="2" customFormat="1" x14ac:dyDescent="0.25">
      <c r="A541" s="114" t="s">
        <v>12802</v>
      </c>
      <c r="B541" s="4" t="s">
        <v>12803</v>
      </c>
      <c r="C541" s="113" t="s">
        <v>15363</v>
      </c>
      <c r="D541" s="155" t="s">
        <v>10900</v>
      </c>
      <c r="E541" s="159">
        <v>161</v>
      </c>
      <c r="F541" s="157" t="s">
        <v>12804</v>
      </c>
      <c r="G541" s="155" t="s">
        <v>12803</v>
      </c>
      <c r="H541" s="113" t="s">
        <v>11056</v>
      </c>
      <c r="I541" s="4" t="s">
        <v>12803</v>
      </c>
      <c r="J541" s="155" t="s">
        <v>12804</v>
      </c>
      <c r="K541" s="2" t="s">
        <v>12096</v>
      </c>
    </row>
    <row r="542" spans="1:11" s="2" customFormat="1" x14ac:dyDescent="0.25">
      <c r="A542" s="114" t="s">
        <v>12805</v>
      </c>
      <c r="B542" s="4" t="s">
        <v>10084</v>
      </c>
      <c r="C542" s="113" t="s">
        <v>15363</v>
      </c>
      <c r="D542" s="155" t="s">
        <v>12806</v>
      </c>
      <c r="E542" s="159">
        <v>684</v>
      </c>
      <c r="F542" s="157" t="s">
        <v>12807</v>
      </c>
      <c r="G542" s="155" t="s">
        <v>10084</v>
      </c>
      <c r="H542" s="113" t="s">
        <v>11056</v>
      </c>
      <c r="I542" s="4" t="s">
        <v>10084</v>
      </c>
      <c r="J542" s="155" t="s">
        <v>12807</v>
      </c>
      <c r="K542" s="2" t="s">
        <v>10189</v>
      </c>
    </row>
    <row r="543" spans="1:11" s="2" customFormat="1" x14ac:dyDescent="0.25">
      <c r="A543" s="114" t="s">
        <v>12808</v>
      </c>
      <c r="B543" s="4" t="s">
        <v>11466</v>
      </c>
      <c r="C543" s="113" t="s">
        <v>15363</v>
      </c>
      <c r="D543" s="155" t="s">
        <v>12809</v>
      </c>
      <c r="E543" s="159">
        <v>274</v>
      </c>
      <c r="F543" s="157" t="s">
        <v>12810</v>
      </c>
      <c r="G543" s="155" t="s">
        <v>11466</v>
      </c>
      <c r="H543" s="113" t="s">
        <v>11056</v>
      </c>
      <c r="I543" s="4" t="s">
        <v>11466</v>
      </c>
      <c r="J543" s="155" t="s">
        <v>12810</v>
      </c>
      <c r="K543" s="2" t="s">
        <v>11480</v>
      </c>
    </row>
    <row r="544" spans="1:11" s="2" customFormat="1" x14ac:dyDescent="0.25">
      <c r="A544" s="114" t="s">
        <v>12811</v>
      </c>
      <c r="B544" s="4" t="s">
        <v>12812</v>
      </c>
      <c r="C544" s="113" t="s">
        <v>15363</v>
      </c>
      <c r="D544" s="155" t="s">
        <v>12813</v>
      </c>
      <c r="E544" s="159">
        <v>712</v>
      </c>
      <c r="F544" s="157" t="s">
        <v>12814</v>
      </c>
      <c r="G544" s="155" t="s">
        <v>12812</v>
      </c>
      <c r="H544" s="113" t="s">
        <v>11056</v>
      </c>
      <c r="I544" s="4" t="s">
        <v>12812</v>
      </c>
      <c r="J544" s="155" t="s">
        <v>12814</v>
      </c>
      <c r="K544" s="2" t="s">
        <v>10189</v>
      </c>
    </row>
    <row r="545" spans="1:11" s="2" customFormat="1" x14ac:dyDescent="0.25">
      <c r="A545" s="114" t="s">
        <v>12815</v>
      </c>
      <c r="B545" s="4" t="s">
        <v>12816</v>
      </c>
      <c r="C545" s="113" t="s">
        <v>15363</v>
      </c>
      <c r="D545" s="155" t="s">
        <v>9887</v>
      </c>
      <c r="E545" s="159">
        <v>907</v>
      </c>
      <c r="F545" s="157" t="s">
        <v>12817</v>
      </c>
      <c r="G545" s="155" t="s">
        <v>12816</v>
      </c>
      <c r="H545" s="113" t="s">
        <v>11056</v>
      </c>
      <c r="I545" s="4" t="s">
        <v>12816</v>
      </c>
      <c r="J545" s="155" t="s">
        <v>12817</v>
      </c>
      <c r="K545" s="2" t="s">
        <v>11480</v>
      </c>
    </row>
    <row r="546" spans="1:11" s="2" customFormat="1" x14ac:dyDescent="0.25">
      <c r="A546" s="114" t="s">
        <v>12818</v>
      </c>
      <c r="B546" s="4" t="s">
        <v>12819</v>
      </c>
      <c r="C546" s="113" t="s">
        <v>15363</v>
      </c>
      <c r="D546" s="155" t="s">
        <v>12268</v>
      </c>
      <c r="E546" s="159">
        <v>400</v>
      </c>
      <c r="F546" s="157" t="s">
        <v>12820</v>
      </c>
      <c r="G546" s="155" t="s">
        <v>12819</v>
      </c>
      <c r="H546" s="113" t="s">
        <v>11056</v>
      </c>
      <c r="I546" s="4" t="s">
        <v>12819</v>
      </c>
      <c r="J546" s="155" t="s">
        <v>12820</v>
      </c>
      <c r="K546" s="2" t="s">
        <v>12819</v>
      </c>
    </row>
    <row r="547" spans="1:11" s="2" customFormat="1" x14ac:dyDescent="0.25">
      <c r="A547" s="114" t="s">
        <v>12821</v>
      </c>
      <c r="B547" s="4" t="s">
        <v>12822</v>
      </c>
      <c r="C547" s="113" t="s">
        <v>15363</v>
      </c>
      <c r="D547" s="155" t="s">
        <v>12823</v>
      </c>
      <c r="E547" s="159">
        <v>641</v>
      </c>
      <c r="F547" s="157" t="s">
        <v>12825</v>
      </c>
      <c r="G547" s="155" t="s">
        <v>12824</v>
      </c>
      <c r="H547" s="113" t="s">
        <v>11056</v>
      </c>
      <c r="I547" s="4" t="s">
        <v>12822</v>
      </c>
      <c r="J547" s="155" t="s">
        <v>12825</v>
      </c>
      <c r="K547" s="2" t="s">
        <v>12835</v>
      </c>
    </row>
    <row r="548" spans="1:11" s="2" customFormat="1" x14ac:dyDescent="0.25">
      <c r="A548" s="114" t="s">
        <v>12826</v>
      </c>
      <c r="B548" s="4" t="s">
        <v>12827</v>
      </c>
      <c r="C548" s="113" t="s">
        <v>15363</v>
      </c>
      <c r="D548" s="155" t="s">
        <v>11635</v>
      </c>
      <c r="E548" s="159">
        <v>30</v>
      </c>
      <c r="F548" s="157" t="s">
        <v>12829</v>
      </c>
      <c r="G548" s="155" t="s">
        <v>12828</v>
      </c>
      <c r="H548" s="113" t="s">
        <v>11056</v>
      </c>
      <c r="I548" s="4" t="s">
        <v>12827</v>
      </c>
      <c r="J548" s="155" t="s">
        <v>12829</v>
      </c>
      <c r="K548" s="2" t="s">
        <v>12819</v>
      </c>
    </row>
    <row r="549" spans="1:11" s="2" customFormat="1" x14ac:dyDescent="0.25">
      <c r="A549" s="114" t="s">
        <v>12830</v>
      </c>
      <c r="B549" s="4" t="s">
        <v>12831</v>
      </c>
      <c r="C549" s="113" t="s">
        <v>15363</v>
      </c>
      <c r="D549" s="155" t="s">
        <v>10500</v>
      </c>
      <c r="E549" s="159">
        <v>485</v>
      </c>
      <c r="F549" s="157" t="s">
        <v>12833</v>
      </c>
      <c r="G549" s="155" t="s">
        <v>12832</v>
      </c>
      <c r="H549" s="113" t="s">
        <v>11056</v>
      </c>
      <c r="I549" s="4" t="s">
        <v>12831</v>
      </c>
      <c r="J549" s="155" t="s">
        <v>12833</v>
      </c>
      <c r="K549" s="2" t="s">
        <v>14016</v>
      </c>
    </row>
    <row r="550" spans="1:11" s="2" customFormat="1" x14ac:dyDescent="0.25">
      <c r="A550" s="114" t="s">
        <v>12834</v>
      </c>
      <c r="B550" s="4" t="s">
        <v>12835</v>
      </c>
      <c r="C550" s="113" t="s">
        <v>15363</v>
      </c>
      <c r="D550" s="155" t="s">
        <v>12836</v>
      </c>
      <c r="E550" s="159">
        <v>128</v>
      </c>
      <c r="F550" s="157" t="s">
        <v>12837</v>
      </c>
      <c r="G550" s="155" t="s">
        <v>12835</v>
      </c>
      <c r="H550" s="113" t="s">
        <v>11056</v>
      </c>
      <c r="I550" s="4" t="s">
        <v>12835</v>
      </c>
      <c r="J550" s="155" t="s">
        <v>12837</v>
      </c>
      <c r="K550" s="2" t="s">
        <v>12835</v>
      </c>
    </row>
    <row r="551" spans="1:11" s="2" customFormat="1" x14ac:dyDescent="0.25">
      <c r="A551" s="114" t="s">
        <v>12838</v>
      </c>
      <c r="B551" s="4" t="s">
        <v>12839</v>
      </c>
      <c r="C551" s="113" t="s">
        <v>15363</v>
      </c>
      <c r="D551" s="155" t="s">
        <v>11750</v>
      </c>
      <c r="E551" s="159">
        <v>1036</v>
      </c>
      <c r="F551" s="157" t="s">
        <v>12840</v>
      </c>
      <c r="G551" s="155" t="s">
        <v>12839</v>
      </c>
      <c r="H551" s="113" t="s">
        <v>11056</v>
      </c>
      <c r="I551" s="4" t="s">
        <v>12839</v>
      </c>
      <c r="J551" s="155" t="s">
        <v>12840</v>
      </c>
      <c r="K551" s="2" t="s">
        <v>12839</v>
      </c>
    </row>
    <row r="552" spans="1:11" s="2" customFormat="1" x14ac:dyDescent="0.25">
      <c r="A552" s="114" t="s">
        <v>12841</v>
      </c>
      <c r="B552" s="4" t="s">
        <v>12842</v>
      </c>
      <c r="C552" s="113" t="s">
        <v>15363</v>
      </c>
      <c r="D552" s="155" t="s">
        <v>10104</v>
      </c>
      <c r="E552" s="159">
        <v>255</v>
      </c>
      <c r="F552" s="157" t="s">
        <v>12843</v>
      </c>
      <c r="G552" s="155" t="s">
        <v>12842</v>
      </c>
      <c r="H552" s="113" t="s">
        <v>11056</v>
      </c>
      <c r="I552" s="4" t="s">
        <v>12842</v>
      </c>
      <c r="J552" s="155" t="s">
        <v>12843</v>
      </c>
      <c r="K552" s="2" t="s">
        <v>11480</v>
      </c>
    </row>
    <row r="553" spans="1:11" s="2" customFormat="1" x14ac:dyDescent="0.25">
      <c r="A553" s="114" t="s">
        <v>12844</v>
      </c>
      <c r="B553" s="4" t="s">
        <v>12845</v>
      </c>
      <c r="C553" s="113" t="s">
        <v>15363</v>
      </c>
      <c r="D553" s="155" t="s">
        <v>10177</v>
      </c>
      <c r="E553" s="159">
        <v>378</v>
      </c>
      <c r="F553" s="157" t="s">
        <v>12846</v>
      </c>
      <c r="G553" s="155" t="s">
        <v>12845</v>
      </c>
      <c r="H553" s="113" t="s">
        <v>11056</v>
      </c>
      <c r="I553" s="4" t="s">
        <v>12845</v>
      </c>
      <c r="J553" s="155" t="s">
        <v>12846</v>
      </c>
      <c r="K553" s="2" t="s">
        <v>11480</v>
      </c>
    </row>
    <row r="554" spans="1:11" s="2" customFormat="1" x14ac:dyDescent="0.25">
      <c r="A554" s="114" t="s">
        <v>12847</v>
      </c>
      <c r="B554" s="4" t="s">
        <v>12848</v>
      </c>
      <c r="C554" s="113" t="s">
        <v>15363</v>
      </c>
      <c r="D554" s="155" t="s">
        <v>12849</v>
      </c>
      <c r="E554" s="159">
        <v>201</v>
      </c>
      <c r="F554" s="157" t="s">
        <v>12850</v>
      </c>
      <c r="G554" s="155" t="s">
        <v>12848</v>
      </c>
      <c r="H554" s="113" t="s">
        <v>11056</v>
      </c>
      <c r="I554" s="4" t="s">
        <v>12848</v>
      </c>
      <c r="J554" s="155" t="s">
        <v>12850</v>
      </c>
      <c r="K554" s="2" t="s">
        <v>12875</v>
      </c>
    </row>
    <row r="555" spans="1:11" s="2" customFormat="1" x14ac:dyDescent="0.25">
      <c r="A555" s="114" t="s">
        <v>12851</v>
      </c>
      <c r="B555" s="4" t="s">
        <v>12852</v>
      </c>
      <c r="C555" s="113" t="s">
        <v>15363</v>
      </c>
      <c r="D555" s="155" t="s">
        <v>9815</v>
      </c>
      <c r="E555" s="159">
        <v>0</v>
      </c>
      <c r="F555" s="157" t="s">
        <v>12853</v>
      </c>
      <c r="G555" s="155" t="s">
        <v>12852</v>
      </c>
      <c r="H555" s="113" t="s">
        <v>11056</v>
      </c>
      <c r="I555" s="4" t="s">
        <v>12852</v>
      </c>
      <c r="J555" s="155" t="s">
        <v>12853</v>
      </c>
      <c r="K555" s="2" t="s">
        <v>15403</v>
      </c>
    </row>
    <row r="556" spans="1:11" s="2" customFormat="1" x14ac:dyDescent="0.25">
      <c r="A556" s="114" t="s">
        <v>12854</v>
      </c>
      <c r="B556" s="4" t="s">
        <v>12855</v>
      </c>
      <c r="C556" s="113" t="s">
        <v>15363</v>
      </c>
      <c r="D556" s="155" t="s">
        <v>12856</v>
      </c>
      <c r="E556" s="159"/>
      <c r="F556" s="157" t="s">
        <v>12857</v>
      </c>
      <c r="G556" s="155" t="s">
        <v>12855</v>
      </c>
      <c r="H556" s="113" t="s">
        <v>11056</v>
      </c>
      <c r="I556" s="4" t="s">
        <v>12855</v>
      </c>
      <c r="J556" s="155" t="s">
        <v>12857</v>
      </c>
      <c r="K556" s="2" t="s">
        <v>15403</v>
      </c>
    </row>
    <row r="557" spans="1:11" s="2" customFormat="1" x14ac:dyDescent="0.25">
      <c r="A557" s="114" t="s">
        <v>12858</v>
      </c>
      <c r="B557" s="4" t="s">
        <v>12096</v>
      </c>
      <c r="C557" s="113" t="s">
        <v>15363</v>
      </c>
      <c r="D557" s="155" t="s">
        <v>9810</v>
      </c>
      <c r="E557" s="159">
        <v>1117</v>
      </c>
      <c r="F557" s="157" t="s">
        <v>12859</v>
      </c>
      <c r="G557" s="155" t="s">
        <v>12096</v>
      </c>
      <c r="H557" s="113" t="s">
        <v>11056</v>
      </c>
      <c r="I557" s="4" t="s">
        <v>12096</v>
      </c>
      <c r="J557" s="155" t="s">
        <v>12859</v>
      </c>
      <c r="K557" s="2" t="s">
        <v>12096</v>
      </c>
    </row>
    <row r="558" spans="1:11" s="2" customFormat="1" x14ac:dyDescent="0.25">
      <c r="A558" s="114" t="s">
        <v>12860</v>
      </c>
      <c r="B558" s="4" t="s">
        <v>12861</v>
      </c>
      <c r="C558" s="113" t="s">
        <v>15363</v>
      </c>
      <c r="D558" s="155" t="s">
        <v>10256</v>
      </c>
      <c r="E558" s="159">
        <v>99</v>
      </c>
      <c r="F558" s="157" t="s">
        <v>12862</v>
      </c>
      <c r="G558" s="155" t="s">
        <v>12861</v>
      </c>
      <c r="H558" s="113" t="s">
        <v>11056</v>
      </c>
      <c r="I558" s="4" t="s">
        <v>12861</v>
      </c>
      <c r="J558" s="155" t="s">
        <v>12862</v>
      </c>
      <c r="K558" s="2" t="s">
        <v>12839</v>
      </c>
    </row>
    <row r="559" spans="1:11" s="2" customFormat="1" x14ac:dyDescent="0.25">
      <c r="A559" s="114" t="s">
        <v>12863</v>
      </c>
      <c r="B559" s="4" t="s">
        <v>12864</v>
      </c>
      <c r="C559" s="113" t="s">
        <v>15363</v>
      </c>
      <c r="D559" s="155" t="s">
        <v>12865</v>
      </c>
      <c r="E559" s="159">
        <v>142</v>
      </c>
      <c r="F559" s="157" t="s">
        <v>12866</v>
      </c>
      <c r="G559" s="155" t="s">
        <v>12864</v>
      </c>
      <c r="H559" s="113" t="s">
        <v>11056</v>
      </c>
      <c r="I559" s="4" t="s">
        <v>12864</v>
      </c>
      <c r="J559" s="155" t="s">
        <v>12866</v>
      </c>
      <c r="K559" s="2" t="s">
        <v>12875</v>
      </c>
    </row>
    <row r="560" spans="1:11" s="2" customFormat="1" x14ac:dyDescent="0.25">
      <c r="A560" s="114" t="s">
        <v>12867</v>
      </c>
      <c r="B560" s="4" t="s">
        <v>12868</v>
      </c>
      <c r="C560" s="113" t="s">
        <v>15363</v>
      </c>
      <c r="D560" s="155" t="s">
        <v>9861</v>
      </c>
      <c r="E560" s="159">
        <v>289</v>
      </c>
      <c r="F560" s="157" t="s">
        <v>12870</v>
      </c>
      <c r="G560" s="155" t="s">
        <v>12869</v>
      </c>
      <c r="H560" s="113" t="s">
        <v>11056</v>
      </c>
      <c r="I560" s="4" t="s">
        <v>12868</v>
      </c>
      <c r="J560" s="155" t="s">
        <v>12870</v>
      </c>
      <c r="K560" s="2" t="s">
        <v>14016</v>
      </c>
    </row>
    <row r="561" spans="1:11" s="2" customFormat="1" x14ac:dyDescent="0.25">
      <c r="A561" s="114" t="s">
        <v>12871</v>
      </c>
      <c r="B561" s="4" t="s">
        <v>12872</v>
      </c>
      <c r="C561" s="113" t="s">
        <v>15363</v>
      </c>
      <c r="D561" s="155" t="s">
        <v>9887</v>
      </c>
      <c r="E561" s="159">
        <v>133</v>
      </c>
      <c r="F561" s="157" t="s">
        <v>12873</v>
      </c>
      <c r="G561" s="155" t="s">
        <v>12872</v>
      </c>
      <c r="H561" s="113" t="s">
        <v>11056</v>
      </c>
      <c r="I561" s="4" t="s">
        <v>12872</v>
      </c>
      <c r="J561" s="155" t="s">
        <v>12873</v>
      </c>
      <c r="K561" s="2" t="s">
        <v>11480</v>
      </c>
    </row>
    <row r="562" spans="1:11" s="2" customFormat="1" x14ac:dyDescent="0.25">
      <c r="A562" s="114" t="s">
        <v>12874</v>
      </c>
      <c r="B562" s="4" t="s">
        <v>12875</v>
      </c>
      <c r="C562" s="113" t="s">
        <v>15363</v>
      </c>
      <c r="D562" s="155" t="s">
        <v>9810</v>
      </c>
      <c r="E562" s="159">
        <v>701</v>
      </c>
      <c r="F562" s="157" t="s">
        <v>12876</v>
      </c>
      <c r="G562" s="155" t="s">
        <v>12875</v>
      </c>
      <c r="H562" s="113" t="s">
        <v>11056</v>
      </c>
      <c r="I562" s="4" t="s">
        <v>12875</v>
      </c>
      <c r="J562" s="155" t="s">
        <v>12876</v>
      </c>
      <c r="K562" s="2" t="s">
        <v>12875</v>
      </c>
    </row>
    <row r="563" spans="1:11" s="2" customFormat="1" x14ac:dyDescent="0.25">
      <c r="A563" s="114" t="s">
        <v>12877</v>
      </c>
      <c r="B563" s="4" t="s">
        <v>12878</v>
      </c>
      <c r="C563" s="113" t="s">
        <v>15363</v>
      </c>
      <c r="D563" s="155" t="s">
        <v>10181</v>
      </c>
      <c r="E563" s="159">
        <v>88</v>
      </c>
      <c r="F563" s="157" t="s">
        <v>12879</v>
      </c>
      <c r="G563" s="155" t="s">
        <v>12878</v>
      </c>
      <c r="H563" s="113" t="s">
        <v>11056</v>
      </c>
      <c r="I563" s="4" t="s">
        <v>12878</v>
      </c>
      <c r="J563" s="155" t="s">
        <v>12879</v>
      </c>
      <c r="K563" s="2" t="s">
        <v>14016</v>
      </c>
    </row>
    <row r="564" spans="1:11" s="2" customFormat="1" x14ac:dyDescent="0.25">
      <c r="A564" s="114" t="s">
        <v>12880</v>
      </c>
      <c r="B564" s="4" t="s">
        <v>12881</v>
      </c>
      <c r="C564" s="113" t="s">
        <v>15363</v>
      </c>
      <c r="D564" s="155" t="s">
        <v>9815</v>
      </c>
      <c r="E564" s="159">
        <v>736</v>
      </c>
      <c r="F564" s="157" t="s">
        <v>12882</v>
      </c>
      <c r="G564" s="155" t="s">
        <v>12881</v>
      </c>
      <c r="H564" s="113" t="s">
        <v>11056</v>
      </c>
      <c r="I564" s="4" t="s">
        <v>12881</v>
      </c>
      <c r="J564" s="155" t="s">
        <v>12882</v>
      </c>
      <c r="K564" s="2" t="s">
        <v>12096</v>
      </c>
    </row>
    <row r="565" spans="1:11" s="2" customFormat="1" x14ac:dyDescent="0.25">
      <c r="A565" s="114" t="s">
        <v>12883</v>
      </c>
      <c r="B565" s="4" t="s">
        <v>12884</v>
      </c>
      <c r="C565" s="113" t="s">
        <v>15363</v>
      </c>
      <c r="D565" s="155" t="s">
        <v>10104</v>
      </c>
      <c r="E565" s="159">
        <v>345</v>
      </c>
      <c r="F565" s="157" t="s">
        <v>12885</v>
      </c>
      <c r="G565" s="155" t="s">
        <v>12884</v>
      </c>
      <c r="H565" s="113" t="s">
        <v>11056</v>
      </c>
      <c r="I565" s="4" t="s">
        <v>12884</v>
      </c>
      <c r="J565" s="155" t="s">
        <v>12885</v>
      </c>
      <c r="K565" s="2" t="s">
        <v>11480</v>
      </c>
    </row>
    <row r="566" spans="1:11" s="2" customFormat="1" x14ac:dyDescent="0.25">
      <c r="A566" s="114" t="s">
        <v>12886</v>
      </c>
      <c r="B566" s="4" t="s">
        <v>12887</v>
      </c>
      <c r="C566" s="113" t="s">
        <v>15363</v>
      </c>
      <c r="D566" s="155" t="s">
        <v>12823</v>
      </c>
      <c r="E566" s="159">
        <v>98</v>
      </c>
      <c r="F566" s="157" t="s">
        <v>12888</v>
      </c>
      <c r="G566" s="155" t="s">
        <v>12887</v>
      </c>
      <c r="H566" s="113" t="s">
        <v>11056</v>
      </c>
      <c r="I566" s="4" t="s">
        <v>12887</v>
      </c>
      <c r="J566" s="155" t="s">
        <v>12888</v>
      </c>
      <c r="K566" s="2" t="s">
        <v>12839</v>
      </c>
    </row>
    <row r="567" spans="1:11" s="2" customFormat="1" x14ac:dyDescent="0.25">
      <c r="A567" s="114" t="s">
        <v>12889</v>
      </c>
      <c r="B567" s="4" t="s">
        <v>12890</v>
      </c>
      <c r="C567" s="113" t="s">
        <v>15363</v>
      </c>
      <c r="D567" s="155" t="s">
        <v>11851</v>
      </c>
      <c r="E567" s="159">
        <v>0</v>
      </c>
      <c r="F567" s="157" t="s">
        <v>12892</v>
      </c>
      <c r="G567" s="155" t="s">
        <v>12891</v>
      </c>
      <c r="H567" s="113" t="s">
        <v>11056</v>
      </c>
      <c r="I567" s="4" t="s">
        <v>12890</v>
      </c>
      <c r="J567" s="155" t="s">
        <v>12892</v>
      </c>
      <c r="K567" s="2" t="s">
        <v>12819</v>
      </c>
    </row>
    <row r="568" spans="1:11" s="2" customFormat="1" x14ac:dyDescent="0.25">
      <c r="A568" s="114" t="s">
        <v>12893</v>
      </c>
      <c r="B568" s="4" t="s">
        <v>12894</v>
      </c>
      <c r="C568" s="113" t="s">
        <v>15363</v>
      </c>
      <c r="D568" s="155" t="s">
        <v>9887</v>
      </c>
      <c r="E568" s="159">
        <v>337</v>
      </c>
      <c r="F568" s="157" t="s">
        <v>12895</v>
      </c>
      <c r="G568" s="155" t="s">
        <v>12894</v>
      </c>
      <c r="H568" s="113" t="s">
        <v>11056</v>
      </c>
      <c r="I568" s="4" t="s">
        <v>12894</v>
      </c>
      <c r="J568" s="155" t="s">
        <v>12895</v>
      </c>
      <c r="K568" s="2" t="s">
        <v>11480</v>
      </c>
    </row>
    <row r="569" spans="1:11" s="2" customFormat="1" x14ac:dyDescent="0.25">
      <c r="A569" s="114" t="s">
        <v>12896</v>
      </c>
      <c r="B569" s="4" t="s">
        <v>9814</v>
      </c>
      <c r="C569" s="113" t="s">
        <v>15363</v>
      </c>
      <c r="D569" s="155" t="s">
        <v>10492</v>
      </c>
      <c r="E569" s="159">
        <v>473</v>
      </c>
      <c r="F569" s="157" t="s">
        <v>12897</v>
      </c>
      <c r="G569" s="155" t="s">
        <v>9814</v>
      </c>
      <c r="H569" s="113" t="s">
        <v>11056</v>
      </c>
      <c r="I569" s="4" t="s">
        <v>9814</v>
      </c>
      <c r="J569" s="155" t="s">
        <v>12897</v>
      </c>
      <c r="K569" s="2" t="s">
        <v>9814</v>
      </c>
    </row>
    <row r="570" spans="1:11" s="2" customFormat="1" x14ac:dyDescent="0.25">
      <c r="A570" s="114" t="s">
        <v>12898</v>
      </c>
      <c r="B570" s="4" t="s">
        <v>12899</v>
      </c>
      <c r="C570" s="113" t="s">
        <v>15363</v>
      </c>
      <c r="D570" s="155" t="s">
        <v>9767</v>
      </c>
      <c r="E570" s="159">
        <v>171</v>
      </c>
      <c r="F570" s="157" t="s">
        <v>12901</v>
      </c>
      <c r="G570" s="155" t="s">
        <v>12900</v>
      </c>
      <c r="H570" s="113" t="s">
        <v>11056</v>
      </c>
      <c r="I570" s="4" t="s">
        <v>12899</v>
      </c>
      <c r="J570" s="155" t="s">
        <v>12901</v>
      </c>
      <c r="K570" s="2" t="s">
        <v>12819</v>
      </c>
    </row>
    <row r="571" spans="1:11" s="2" customFormat="1" x14ac:dyDescent="0.25">
      <c r="A571" s="114" t="s">
        <v>12902</v>
      </c>
      <c r="B571" s="4" t="s">
        <v>12903</v>
      </c>
      <c r="C571" s="113" t="s">
        <v>15363</v>
      </c>
      <c r="D571" s="155" t="s">
        <v>10181</v>
      </c>
      <c r="E571" s="159">
        <v>575</v>
      </c>
      <c r="F571" s="157" t="s">
        <v>12904</v>
      </c>
      <c r="G571" s="155" t="s">
        <v>12903</v>
      </c>
      <c r="H571" s="113" t="s">
        <v>11056</v>
      </c>
      <c r="I571" s="4" t="s">
        <v>12903</v>
      </c>
      <c r="J571" s="155" t="s">
        <v>12904</v>
      </c>
      <c r="K571" s="2" t="s">
        <v>12903</v>
      </c>
    </row>
    <row r="572" spans="1:11" s="2" customFormat="1" x14ac:dyDescent="0.25">
      <c r="A572" s="114" t="s">
        <v>12905</v>
      </c>
      <c r="B572" s="4" t="s">
        <v>12906</v>
      </c>
      <c r="C572" s="113" t="s">
        <v>15363</v>
      </c>
      <c r="D572" s="155" t="s">
        <v>12907</v>
      </c>
      <c r="E572" s="159">
        <v>396</v>
      </c>
      <c r="F572" s="157" t="s">
        <v>12908</v>
      </c>
      <c r="G572" s="155" t="s">
        <v>12903</v>
      </c>
      <c r="H572" s="113" t="s">
        <v>11056</v>
      </c>
      <c r="I572" s="4" t="s">
        <v>12906</v>
      </c>
      <c r="J572" s="155" t="s">
        <v>12908</v>
      </c>
      <c r="K572" s="2" t="s">
        <v>12903</v>
      </c>
    </row>
    <row r="573" spans="1:11" s="2" customFormat="1" x14ac:dyDescent="0.25">
      <c r="A573" s="114" t="s">
        <v>12909</v>
      </c>
      <c r="B573" s="4" t="s">
        <v>12910</v>
      </c>
      <c r="C573" s="113" t="s">
        <v>15363</v>
      </c>
      <c r="D573" s="155" t="s">
        <v>12911</v>
      </c>
      <c r="E573" s="159">
        <v>1320</v>
      </c>
      <c r="F573" s="157" t="s">
        <v>12912</v>
      </c>
      <c r="G573" s="155" t="s">
        <v>12910</v>
      </c>
      <c r="H573" s="113" t="s">
        <v>11056</v>
      </c>
      <c r="I573" s="4" t="s">
        <v>12910</v>
      </c>
      <c r="J573" s="155" t="s">
        <v>12912</v>
      </c>
      <c r="K573" s="2" t="s">
        <v>12917</v>
      </c>
    </row>
    <row r="574" spans="1:11" s="2" customFormat="1" x14ac:dyDescent="0.25">
      <c r="A574" s="114" t="s">
        <v>12913</v>
      </c>
      <c r="B574" s="4" t="s">
        <v>9977</v>
      </c>
      <c r="C574" s="113" t="s">
        <v>15363</v>
      </c>
      <c r="D574" s="155" t="s">
        <v>12914</v>
      </c>
      <c r="E574" s="159">
        <v>431</v>
      </c>
      <c r="F574" s="157" t="s">
        <v>12915</v>
      </c>
      <c r="G574" s="155" t="s">
        <v>9977</v>
      </c>
      <c r="H574" s="113" t="s">
        <v>11056</v>
      </c>
      <c r="I574" s="4" t="s">
        <v>9977</v>
      </c>
      <c r="J574" s="155" t="s">
        <v>12915</v>
      </c>
      <c r="K574" s="2" t="s">
        <v>9977</v>
      </c>
    </row>
    <row r="575" spans="1:11" s="2" customFormat="1" x14ac:dyDescent="0.25">
      <c r="A575" s="114" t="s">
        <v>12916</v>
      </c>
      <c r="B575" s="4" t="s">
        <v>12917</v>
      </c>
      <c r="C575" s="113" t="s">
        <v>15363</v>
      </c>
      <c r="D575" s="155" t="s">
        <v>12918</v>
      </c>
      <c r="E575" s="159">
        <v>1272</v>
      </c>
      <c r="F575" s="157" t="s">
        <v>12919</v>
      </c>
      <c r="G575" s="155" t="s">
        <v>12917</v>
      </c>
      <c r="H575" s="113" t="s">
        <v>11056</v>
      </c>
      <c r="I575" s="4" t="s">
        <v>12917</v>
      </c>
      <c r="J575" s="155" t="s">
        <v>12919</v>
      </c>
      <c r="K575" s="2" t="s">
        <v>12917</v>
      </c>
    </row>
    <row r="576" spans="1:11" s="2" customFormat="1" x14ac:dyDescent="0.25">
      <c r="A576" s="114" t="s">
        <v>12920</v>
      </c>
      <c r="B576" s="4" t="s">
        <v>12921</v>
      </c>
      <c r="C576" s="113" t="s">
        <v>15363</v>
      </c>
      <c r="D576" s="155" t="s">
        <v>12922</v>
      </c>
      <c r="E576" s="159">
        <v>430</v>
      </c>
      <c r="F576" s="157" t="s">
        <v>12923</v>
      </c>
      <c r="G576" s="155" t="s">
        <v>12921</v>
      </c>
      <c r="H576" s="113" t="s">
        <v>11056</v>
      </c>
      <c r="I576" s="4" t="s">
        <v>12921</v>
      </c>
      <c r="J576" s="155" t="s">
        <v>12923</v>
      </c>
      <c r="K576" s="2" t="s">
        <v>12921</v>
      </c>
    </row>
    <row r="577" spans="1:11" s="2" customFormat="1" x14ac:dyDescent="0.25">
      <c r="A577" s="114" t="s">
        <v>12924</v>
      </c>
      <c r="B577" s="4" t="s">
        <v>12925</v>
      </c>
      <c r="C577" s="113" t="s">
        <v>15363</v>
      </c>
      <c r="D577" s="155" t="s">
        <v>12836</v>
      </c>
      <c r="E577" s="159">
        <v>502</v>
      </c>
      <c r="F577" s="157" t="s">
        <v>12927</v>
      </c>
      <c r="G577" s="155" t="s">
        <v>12926</v>
      </c>
      <c r="H577" s="113" t="s">
        <v>11056</v>
      </c>
      <c r="I577" s="4" t="s">
        <v>12925</v>
      </c>
      <c r="J577" s="155" t="s">
        <v>12927</v>
      </c>
      <c r="K577" s="2" t="s">
        <v>12947</v>
      </c>
    </row>
    <row r="578" spans="1:11" s="2" customFormat="1" x14ac:dyDescent="0.25">
      <c r="A578" s="114" t="s">
        <v>12928</v>
      </c>
      <c r="B578" s="4" t="s">
        <v>12929</v>
      </c>
      <c r="C578" s="113" t="s">
        <v>15363</v>
      </c>
      <c r="D578" s="155" t="s">
        <v>12930</v>
      </c>
      <c r="E578" s="159"/>
      <c r="F578" s="157" t="s">
        <v>12931</v>
      </c>
      <c r="G578" s="155" t="s">
        <v>11851</v>
      </c>
      <c r="H578" s="113" t="s">
        <v>11056</v>
      </c>
      <c r="I578" s="4" t="s">
        <v>12929</v>
      </c>
      <c r="J578" s="155" t="s">
        <v>12931</v>
      </c>
      <c r="K578" s="2" t="s">
        <v>10189</v>
      </c>
    </row>
    <row r="579" spans="1:11" s="2" customFormat="1" x14ac:dyDescent="0.25">
      <c r="A579" s="114" t="s">
        <v>12932</v>
      </c>
      <c r="B579" s="4" t="s">
        <v>12933</v>
      </c>
      <c r="C579" s="113" t="s">
        <v>15363</v>
      </c>
      <c r="D579" s="155" t="s">
        <v>12934</v>
      </c>
      <c r="E579" s="159"/>
      <c r="F579" s="157" t="s">
        <v>12935</v>
      </c>
      <c r="G579" s="155" t="s">
        <v>12933</v>
      </c>
      <c r="H579" s="113" t="s">
        <v>11056</v>
      </c>
      <c r="I579" s="4" t="s">
        <v>12933</v>
      </c>
      <c r="J579" s="155" t="s">
        <v>12935</v>
      </c>
      <c r="K579" s="2" t="s">
        <v>12965</v>
      </c>
    </row>
    <row r="580" spans="1:11" s="2" customFormat="1" x14ac:dyDescent="0.25">
      <c r="A580" s="114" t="s">
        <v>12936</v>
      </c>
      <c r="B580" s="4" t="s">
        <v>12937</v>
      </c>
      <c r="C580" s="113" t="s">
        <v>15363</v>
      </c>
      <c r="D580" s="155" t="s">
        <v>11328</v>
      </c>
      <c r="E580" s="159">
        <v>1140</v>
      </c>
      <c r="F580" s="157" t="s">
        <v>12938</v>
      </c>
      <c r="G580" s="155" t="s">
        <v>12937</v>
      </c>
      <c r="H580" s="113" t="s">
        <v>11056</v>
      </c>
      <c r="I580" s="4" t="s">
        <v>12937</v>
      </c>
      <c r="J580" s="155" t="s">
        <v>12938</v>
      </c>
      <c r="K580" s="2" t="s">
        <v>12917</v>
      </c>
    </row>
    <row r="581" spans="1:11" s="2" customFormat="1" x14ac:dyDescent="0.25">
      <c r="A581" s="114" t="s">
        <v>12939</v>
      </c>
      <c r="B581" s="4" t="s">
        <v>11626</v>
      </c>
      <c r="C581" s="113" t="s">
        <v>15363</v>
      </c>
      <c r="D581" s="155" t="s">
        <v>12940</v>
      </c>
      <c r="E581" s="159">
        <v>1622</v>
      </c>
      <c r="F581" s="157" t="s">
        <v>12941</v>
      </c>
      <c r="G581" s="155" t="s">
        <v>11626</v>
      </c>
      <c r="H581" s="113" t="s">
        <v>11056</v>
      </c>
      <c r="I581" s="4" t="s">
        <v>11626</v>
      </c>
      <c r="J581" s="155" t="s">
        <v>12941</v>
      </c>
      <c r="K581" s="2" t="s">
        <v>9977</v>
      </c>
    </row>
    <row r="582" spans="1:11" s="2" customFormat="1" x14ac:dyDescent="0.25">
      <c r="A582" s="114" t="s">
        <v>12942</v>
      </c>
      <c r="B582" s="4" t="s">
        <v>12943</v>
      </c>
      <c r="C582" s="113" t="s">
        <v>15363</v>
      </c>
      <c r="D582" s="155" t="s">
        <v>10114</v>
      </c>
      <c r="E582" s="159">
        <v>173</v>
      </c>
      <c r="F582" s="157" t="s">
        <v>12945</v>
      </c>
      <c r="G582" s="155" t="s">
        <v>12944</v>
      </c>
      <c r="H582" s="113" t="s">
        <v>11056</v>
      </c>
      <c r="I582" s="4" t="s">
        <v>12943</v>
      </c>
      <c r="J582" s="155" t="s">
        <v>12945</v>
      </c>
      <c r="K582" s="2" t="s">
        <v>15404</v>
      </c>
    </row>
    <row r="583" spans="1:11" s="2" customFormat="1" x14ac:dyDescent="0.25">
      <c r="A583" s="114" t="s">
        <v>12946</v>
      </c>
      <c r="B583" s="4" t="s">
        <v>12947</v>
      </c>
      <c r="C583" s="113" t="s">
        <v>15363</v>
      </c>
      <c r="D583" s="155" t="s">
        <v>12272</v>
      </c>
      <c r="E583" s="159">
        <v>165</v>
      </c>
      <c r="F583" s="157" t="s">
        <v>12948</v>
      </c>
      <c r="G583" s="155" t="s">
        <v>12947</v>
      </c>
      <c r="H583" s="113" t="s">
        <v>11056</v>
      </c>
      <c r="I583" s="4" t="s">
        <v>12947</v>
      </c>
      <c r="J583" s="155" t="s">
        <v>12948</v>
      </c>
      <c r="K583" s="2" t="s">
        <v>12947</v>
      </c>
    </row>
    <row r="584" spans="1:11" s="2" customFormat="1" x14ac:dyDescent="0.25">
      <c r="A584" s="114" t="s">
        <v>12949</v>
      </c>
      <c r="B584" s="4" t="s">
        <v>12950</v>
      </c>
      <c r="C584" s="113" t="s">
        <v>15363</v>
      </c>
      <c r="D584" s="155" t="s">
        <v>12951</v>
      </c>
      <c r="E584" s="159">
        <v>185</v>
      </c>
      <c r="F584" s="157" t="s">
        <v>12952</v>
      </c>
      <c r="G584" s="155" t="s">
        <v>12950</v>
      </c>
      <c r="H584" s="113" t="s">
        <v>11056</v>
      </c>
      <c r="I584" s="4" t="s">
        <v>12950</v>
      </c>
      <c r="J584" s="155" t="s">
        <v>12952</v>
      </c>
      <c r="K584" s="2" t="s">
        <v>9977</v>
      </c>
    </row>
    <row r="585" spans="1:11" s="2" customFormat="1" x14ac:dyDescent="0.25">
      <c r="A585" s="114" t="s">
        <v>12953</v>
      </c>
      <c r="B585" s="4" t="s">
        <v>12954</v>
      </c>
      <c r="C585" s="113" t="s">
        <v>15363</v>
      </c>
      <c r="D585" s="155" t="s">
        <v>12955</v>
      </c>
      <c r="E585" s="159">
        <v>200</v>
      </c>
      <c r="F585" s="157" t="s">
        <v>12956</v>
      </c>
      <c r="G585" s="155" t="s">
        <v>12954</v>
      </c>
      <c r="H585" s="113" t="s">
        <v>11056</v>
      </c>
      <c r="I585" s="4" t="s">
        <v>12954</v>
      </c>
      <c r="J585" s="155" t="s">
        <v>12956</v>
      </c>
      <c r="K585" s="2" t="s">
        <v>12965</v>
      </c>
    </row>
    <row r="586" spans="1:11" s="2" customFormat="1" x14ac:dyDescent="0.25">
      <c r="A586" s="114" t="s">
        <v>12957</v>
      </c>
      <c r="B586" s="4" t="s">
        <v>11179</v>
      </c>
      <c r="C586" s="113" t="s">
        <v>15363</v>
      </c>
      <c r="D586" s="155" t="s">
        <v>12958</v>
      </c>
      <c r="E586" s="159">
        <v>1306</v>
      </c>
      <c r="F586" s="157" t="s">
        <v>12959</v>
      </c>
      <c r="G586" s="155" t="s">
        <v>11179</v>
      </c>
      <c r="H586" s="113" t="s">
        <v>11056</v>
      </c>
      <c r="I586" s="4" t="s">
        <v>11179</v>
      </c>
      <c r="J586" s="155" t="s">
        <v>12959</v>
      </c>
      <c r="K586" s="2" t="s">
        <v>9977</v>
      </c>
    </row>
    <row r="587" spans="1:11" s="2" customFormat="1" x14ac:dyDescent="0.25">
      <c r="A587" s="114" t="s">
        <v>12960</v>
      </c>
      <c r="B587" s="4" t="s">
        <v>12961</v>
      </c>
      <c r="C587" s="113" t="s">
        <v>15363</v>
      </c>
      <c r="D587" s="155" t="s">
        <v>12962</v>
      </c>
      <c r="E587" s="159"/>
      <c r="F587" s="157" t="s">
        <v>12963</v>
      </c>
      <c r="G587" s="155" t="s">
        <v>12961</v>
      </c>
      <c r="H587" s="113" t="s">
        <v>11056</v>
      </c>
      <c r="I587" s="4" t="s">
        <v>12961</v>
      </c>
      <c r="J587" s="155" t="s">
        <v>12963</v>
      </c>
      <c r="K587" s="2" t="s">
        <v>10189</v>
      </c>
    </row>
    <row r="588" spans="1:11" s="2" customFormat="1" x14ac:dyDescent="0.25">
      <c r="A588" s="114" t="s">
        <v>12964</v>
      </c>
      <c r="B588" s="4" t="s">
        <v>12965</v>
      </c>
      <c r="C588" s="113" t="s">
        <v>15363</v>
      </c>
      <c r="D588" s="155" t="s">
        <v>10808</v>
      </c>
      <c r="E588" s="159">
        <v>921</v>
      </c>
      <c r="F588" s="157" t="s">
        <v>12966</v>
      </c>
      <c r="G588" s="155" t="s">
        <v>12965</v>
      </c>
      <c r="H588" s="113" t="s">
        <v>11056</v>
      </c>
      <c r="I588" s="4" t="s">
        <v>12965</v>
      </c>
      <c r="J588" s="155" t="s">
        <v>12966</v>
      </c>
      <c r="K588" s="2" t="s">
        <v>12965</v>
      </c>
    </row>
    <row r="589" spans="1:11" s="2" customFormat="1" x14ac:dyDescent="0.25">
      <c r="A589" s="114" t="s">
        <v>12967</v>
      </c>
      <c r="B589" s="4" t="s">
        <v>12968</v>
      </c>
      <c r="C589" s="113" t="s">
        <v>15364</v>
      </c>
      <c r="D589" s="155" t="s">
        <v>11480</v>
      </c>
      <c r="E589" s="159">
        <v>0</v>
      </c>
      <c r="F589" s="157" t="s">
        <v>12969</v>
      </c>
      <c r="G589" s="155" t="s">
        <v>12968</v>
      </c>
      <c r="H589" s="113" t="s">
        <v>11056</v>
      </c>
      <c r="I589" s="4" t="s">
        <v>12968</v>
      </c>
      <c r="J589" s="155" t="s">
        <v>12969</v>
      </c>
      <c r="K589" s="2" t="s">
        <v>12819</v>
      </c>
    </row>
    <row r="590" spans="1:11" s="2" customFormat="1" x14ac:dyDescent="0.25">
      <c r="A590" s="114" t="s">
        <v>12970</v>
      </c>
      <c r="B590" s="4" t="s">
        <v>12971</v>
      </c>
      <c r="C590" s="113" t="s">
        <v>15364</v>
      </c>
      <c r="D590" s="155" t="s">
        <v>12972</v>
      </c>
      <c r="E590" s="159">
        <v>0</v>
      </c>
      <c r="F590" s="157" t="s">
        <v>12973</v>
      </c>
      <c r="G590" s="155" t="s">
        <v>12971</v>
      </c>
      <c r="H590" s="113" t="s">
        <v>11056</v>
      </c>
      <c r="I590" s="4" t="s">
        <v>12971</v>
      </c>
      <c r="J590" s="155" t="s">
        <v>12973</v>
      </c>
      <c r="K590" s="2" t="s">
        <v>14016</v>
      </c>
    </row>
    <row r="591" spans="1:11" s="2" customFormat="1" x14ac:dyDescent="0.25">
      <c r="A591" s="114" t="s">
        <v>12974</v>
      </c>
      <c r="B591" s="4" t="s">
        <v>12975</v>
      </c>
      <c r="C591" s="113" t="s">
        <v>15364</v>
      </c>
      <c r="D591" s="155" t="s">
        <v>11529</v>
      </c>
      <c r="E591" s="159"/>
      <c r="F591" s="157" t="s">
        <v>12976</v>
      </c>
      <c r="G591" s="155" t="s">
        <v>12975</v>
      </c>
      <c r="H591" s="113" t="s">
        <v>11056</v>
      </c>
      <c r="I591" s="4" t="s">
        <v>12975</v>
      </c>
      <c r="J591" s="155" t="s">
        <v>12976</v>
      </c>
      <c r="K591" s="2" t="s">
        <v>12819</v>
      </c>
    </row>
    <row r="592" spans="1:11" s="2" customFormat="1" x14ac:dyDescent="0.25">
      <c r="A592" s="114" t="s">
        <v>12977</v>
      </c>
      <c r="B592" s="4" t="s">
        <v>11255</v>
      </c>
      <c r="C592" s="113" t="s">
        <v>15363</v>
      </c>
      <c r="D592" s="155" t="s">
        <v>9786</v>
      </c>
      <c r="E592" s="159">
        <v>255</v>
      </c>
      <c r="F592" s="157" t="s">
        <v>12978</v>
      </c>
      <c r="G592" s="155" t="s">
        <v>11480</v>
      </c>
      <c r="H592" s="113" t="s">
        <v>11056</v>
      </c>
      <c r="I592" s="4" t="s">
        <v>11255</v>
      </c>
      <c r="J592" s="155" t="s">
        <v>12978</v>
      </c>
      <c r="K592" s="2" t="s">
        <v>11480</v>
      </c>
    </row>
    <row r="593" spans="1:11" s="2" customFormat="1" x14ac:dyDescent="0.25">
      <c r="A593" s="114" t="s">
        <v>12979</v>
      </c>
      <c r="B593" s="4" t="s">
        <v>12980</v>
      </c>
      <c r="C593" s="113" t="s">
        <v>15363</v>
      </c>
      <c r="D593" s="155" t="s">
        <v>12981</v>
      </c>
      <c r="E593" s="159">
        <v>1</v>
      </c>
      <c r="F593" s="157" t="s">
        <v>12982</v>
      </c>
      <c r="G593" s="155" t="s">
        <v>11480</v>
      </c>
      <c r="H593" s="113" t="s">
        <v>11056</v>
      </c>
      <c r="I593" s="4" t="s">
        <v>12980</v>
      </c>
      <c r="J593" s="155" t="s">
        <v>12982</v>
      </c>
      <c r="K593" s="2" t="s">
        <v>11480</v>
      </c>
    </row>
    <row r="594" spans="1:11" s="2" customFormat="1" x14ac:dyDescent="0.25">
      <c r="A594" s="114" t="s">
        <v>13279</v>
      </c>
      <c r="B594" s="4" t="s">
        <v>11398</v>
      </c>
      <c r="C594" s="113" t="s">
        <v>15363</v>
      </c>
      <c r="D594" s="155" t="s">
        <v>9815</v>
      </c>
      <c r="E594" s="159">
        <v>258</v>
      </c>
      <c r="F594" s="157" t="s">
        <v>13280</v>
      </c>
      <c r="G594" s="155" t="s">
        <v>11398</v>
      </c>
      <c r="H594" s="113" t="s">
        <v>11398</v>
      </c>
      <c r="I594" s="4" t="s">
        <v>11398</v>
      </c>
      <c r="J594" s="155" t="s">
        <v>13280</v>
      </c>
      <c r="K594" s="2" t="s">
        <v>15376</v>
      </c>
    </row>
    <row r="595" spans="1:11" s="2" customFormat="1" x14ac:dyDescent="0.25">
      <c r="A595" s="114" t="s">
        <v>13281</v>
      </c>
      <c r="B595" s="4" t="s">
        <v>13282</v>
      </c>
      <c r="C595" s="113" t="s">
        <v>15363</v>
      </c>
      <c r="D595" s="155" t="s">
        <v>9810</v>
      </c>
      <c r="E595" s="159">
        <v>229</v>
      </c>
      <c r="F595" s="157" t="s">
        <v>13283</v>
      </c>
      <c r="G595" s="155" t="s">
        <v>13282</v>
      </c>
      <c r="H595" s="113" t="s">
        <v>11398</v>
      </c>
      <c r="I595" s="4" t="s">
        <v>13282</v>
      </c>
      <c r="J595" s="155" t="s">
        <v>13283</v>
      </c>
      <c r="K595" s="2" t="s">
        <v>15405</v>
      </c>
    </row>
    <row r="596" spans="1:11" s="2" customFormat="1" x14ac:dyDescent="0.25">
      <c r="A596" s="114" t="s">
        <v>13284</v>
      </c>
      <c r="B596" s="4" t="s">
        <v>13285</v>
      </c>
      <c r="C596" s="113" t="s">
        <v>15363</v>
      </c>
      <c r="D596" s="155" t="s">
        <v>12434</v>
      </c>
      <c r="E596" s="159">
        <v>0</v>
      </c>
      <c r="F596" s="157" t="s">
        <v>13286</v>
      </c>
      <c r="G596" s="155" t="s">
        <v>13285</v>
      </c>
      <c r="H596" s="113" t="s">
        <v>11398</v>
      </c>
      <c r="I596" s="4" t="s">
        <v>13285</v>
      </c>
      <c r="J596" s="155" t="s">
        <v>13286</v>
      </c>
      <c r="K596" s="2" t="s">
        <v>12434</v>
      </c>
    </row>
    <row r="597" spans="1:11" s="2" customFormat="1" x14ac:dyDescent="0.25">
      <c r="A597" s="114" t="s">
        <v>13287</v>
      </c>
      <c r="B597" s="4" t="s">
        <v>13288</v>
      </c>
      <c r="C597" s="113" t="s">
        <v>15363</v>
      </c>
      <c r="D597" s="155" t="s">
        <v>13289</v>
      </c>
      <c r="E597" s="159">
        <v>0</v>
      </c>
      <c r="F597" s="157" t="s">
        <v>13290</v>
      </c>
      <c r="G597" s="155" t="s">
        <v>13288</v>
      </c>
      <c r="H597" s="113" t="s">
        <v>11398</v>
      </c>
      <c r="I597" s="4" t="s">
        <v>13288</v>
      </c>
      <c r="J597" s="155" t="s">
        <v>13290</v>
      </c>
      <c r="K597" s="2" t="s">
        <v>12434</v>
      </c>
    </row>
    <row r="598" spans="1:11" s="2" customFormat="1" x14ac:dyDescent="0.25">
      <c r="A598" s="114" t="s">
        <v>13291</v>
      </c>
      <c r="B598" s="4" t="s">
        <v>13292</v>
      </c>
      <c r="C598" s="113" t="s">
        <v>15363</v>
      </c>
      <c r="D598" s="155" t="s">
        <v>12434</v>
      </c>
      <c r="E598" s="159">
        <v>33</v>
      </c>
      <c r="F598" s="157" t="s">
        <v>13293</v>
      </c>
      <c r="G598" s="155" t="s">
        <v>13292</v>
      </c>
      <c r="H598" s="113" t="s">
        <v>11398</v>
      </c>
      <c r="I598" s="4" t="s">
        <v>13292</v>
      </c>
      <c r="J598" s="155" t="s">
        <v>13293</v>
      </c>
      <c r="K598" s="2" t="s">
        <v>12434</v>
      </c>
    </row>
    <row r="599" spans="1:11" s="2" customFormat="1" x14ac:dyDescent="0.25">
      <c r="A599" s="114" t="s">
        <v>13294</v>
      </c>
      <c r="B599" s="4" t="s">
        <v>13295</v>
      </c>
      <c r="C599" s="113" t="s">
        <v>15363</v>
      </c>
      <c r="D599" s="155" t="s">
        <v>11663</v>
      </c>
      <c r="E599" s="159">
        <v>0</v>
      </c>
      <c r="F599" s="157" t="s">
        <v>13296</v>
      </c>
      <c r="G599" s="155" t="s">
        <v>13295</v>
      </c>
      <c r="H599" s="113" t="s">
        <v>11398</v>
      </c>
      <c r="I599" s="4" t="s">
        <v>13295</v>
      </c>
      <c r="J599" s="155" t="s">
        <v>13296</v>
      </c>
      <c r="K599" s="2" t="s">
        <v>13313</v>
      </c>
    </row>
    <row r="600" spans="1:11" s="2" customFormat="1" x14ac:dyDescent="0.25">
      <c r="A600" s="114" t="s">
        <v>13297</v>
      </c>
      <c r="B600" s="4" t="s">
        <v>13298</v>
      </c>
      <c r="C600" s="113" t="s">
        <v>15363</v>
      </c>
      <c r="D600" s="155" t="s">
        <v>9810</v>
      </c>
      <c r="E600" s="159">
        <v>100</v>
      </c>
      <c r="F600" s="157" t="s">
        <v>13299</v>
      </c>
      <c r="G600" s="155" t="s">
        <v>13298</v>
      </c>
      <c r="H600" s="113" t="s">
        <v>11398</v>
      </c>
      <c r="I600" s="4" t="s">
        <v>13298</v>
      </c>
      <c r="J600" s="155" t="s">
        <v>13299</v>
      </c>
      <c r="K600" s="2" t="s">
        <v>13298</v>
      </c>
    </row>
    <row r="601" spans="1:11" s="2" customFormat="1" x14ac:dyDescent="0.25">
      <c r="A601" s="114" t="s">
        <v>13300</v>
      </c>
      <c r="B601" s="4" t="s">
        <v>13301</v>
      </c>
      <c r="C601" s="113" t="s">
        <v>15363</v>
      </c>
      <c r="D601" s="155" t="s">
        <v>13302</v>
      </c>
      <c r="E601" s="159">
        <v>125</v>
      </c>
      <c r="F601" s="157" t="s">
        <v>13303</v>
      </c>
      <c r="G601" s="155" t="s">
        <v>13301</v>
      </c>
      <c r="H601" s="113" t="s">
        <v>11398</v>
      </c>
      <c r="I601" s="4" t="s">
        <v>13301</v>
      </c>
      <c r="J601" s="155" t="s">
        <v>13303</v>
      </c>
      <c r="K601" s="2" t="s">
        <v>15406</v>
      </c>
    </row>
    <row r="602" spans="1:11" s="2" customFormat="1" x14ac:dyDescent="0.25">
      <c r="A602" s="114" t="s">
        <v>13304</v>
      </c>
      <c r="B602" s="4" t="s">
        <v>13305</v>
      </c>
      <c r="C602" s="113" t="s">
        <v>15363</v>
      </c>
      <c r="D602" s="155" t="s">
        <v>13306</v>
      </c>
      <c r="E602" s="159">
        <v>201</v>
      </c>
      <c r="F602" s="157" t="s">
        <v>13307</v>
      </c>
      <c r="G602" s="155" t="s">
        <v>13305</v>
      </c>
      <c r="H602" s="113" t="s">
        <v>11398</v>
      </c>
      <c r="I602" s="4" t="s">
        <v>13305</v>
      </c>
      <c r="J602" s="155" t="s">
        <v>13307</v>
      </c>
      <c r="K602" s="2" t="s">
        <v>13305</v>
      </c>
    </row>
    <row r="603" spans="1:11" s="2" customFormat="1" x14ac:dyDescent="0.25">
      <c r="A603" s="114" t="s">
        <v>13308</v>
      </c>
      <c r="B603" s="4" t="s">
        <v>13309</v>
      </c>
      <c r="C603" s="113" t="s">
        <v>15363</v>
      </c>
      <c r="D603" s="155" t="s">
        <v>12646</v>
      </c>
      <c r="E603" s="159">
        <v>120</v>
      </c>
      <c r="F603" s="157" t="s">
        <v>13311</v>
      </c>
      <c r="G603" s="155" t="s">
        <v>13310</v>
      </c>
      <c r="H603" s="113" t="s">
        <v>11398</v>
      </c>
      <c r="I603" s="4" t="s">
        <v>13309</v>
      </c>
      <c r="J603" s="155" t="s">
        <v>13311</v>
      </c>
      <c r="K603" s="2" t="s">
        <v>15406</v>
      </c>
    </row>
    <row r="604" spans="1:11" s="2" customFormat="1" x14ac:dyDescent="0.25">
      <c r="A604" s="114" t="s">
        <v>13312</v>
      </c>
      <c r="B604" s="4" t="s">
        <v>13313</v>
      </c>
      <c r="C604" s="113" t="s">
        <v>15363</v>
      </c>
      <c r="D604" s="155" t="s">
        <v>13314</v>
      </c>
      <c r="E604" s="159">
        <v>50</v>
      </c>
      <c r="F604" s="157" t="s">
        <v>13315</v>
      </c>
      <c r="G604" s="155" t="s">
        <v>13313</v>
      </c>
      <c r="H604" s="113" t="s">
        <v>11398</v>
      </c>
      <c r="I604" s="4" t="s">
        <v>13313</v>
      </c>
      <c r="J604" s="155" t="s">
        <v>13315</v>
      </c>
      <c r="K604" s="2" t="s">
        <v>13313</v>
      </c>
    </row>
    <row r="605" spans="1:11" s="2" customFormat="1" x14ac:dyDescent="0.25">
      <c r="A605" s="114" t="s">
        <v>13316</v>
      </c>
      <c r="B605" s="4" t="s">
        <v>13317</v>
      </c>
      <c r="C605" s="113" t="s">
        <v>15363</v>
      </c>
      <c r="D605" s="155" t="s">
        <v>10244</v>
      </c>
      <c r="E605" s="159">
        <v>1200</v>
      </c>
      <c r="F605" s="157" t="s">
        <v>13318</v>
      </c>
      <c r="G605" s="155" t="s">
        <v>13317</v>
      </c>
      <c r="H605" s="113" t="s">
        <v>11398</v>
      </c>
      <c r="I605" s="4" t="s">
        <v>13317</v>
      </c>
      <c r="J605" s="155" t="s">
        <v>13318</v>
      </c>
      <c r="K605" s="2" t="s">
        <v>15407</v>
      </c>
    </row>
    <row r="606" spans="1:11" s="2" customFormat="1" x14ac:dyDescent="0.25">
      <c r="A606" s="114" t="s">
        <v>13319</v>
      </c>
      <c r="B606" s="4" t="s">
        <v>13320</v>
      </c>
      <c r="C606" s="113" t="s">
        <v>15363</v>
      </c>
      <c r="D606" s="155" t="s">
        <v>13321</v>
      </c>
      <c r="E606" s="159">
        <v>0</v>
      </c>
      <c r="F606" s="157" t="s">
        <v>13322</v>
      </c>
      <c r="G606" s="155" t="s">
        <v>13320</v>
      </c>
      <c r="H606" s="113" t="s">
        <v>11398</v>
      </c>
      <c r="I606" s="4" t="s">
        <v>13320</v>
      </c>
      <c r="J606" s="155" t="s">
        <v>13322</v>
      </c>
      <c r="K606" s="2" t="s">
        <v>15408</v>
      </c>
    </row>
    <row r="607" spans="1:11" s="2" customFormat="1" x14ac:dyDescent="0.25">
      <c r="A607" s="114" t="s">
        <v>13323</v>
      </c>
      <c r="B607" s="4" t="s">
        <v>13324</v>
      </c>
      <c r="C607" s="113" t="s">
        <v>15363</v>
      </c>
      <c r="D607" s="155" t="s">
        <v>10485</v>
      </c>
      <c r="E607" s="159">
        <v>259</v>
      </c>
      <c r="F607" s="157" t="s">
        <v>13325</v>
      </c>
      <c r="G607" s="155" t="s">
        <v>13324</v>
      </c>
      <c r="H607" s="113" t="s">
        <v>11398</v>
      </c>
      <c r="I607" s="4" t="s">
        <v>13324</v>
      </c>
      <c r="J607" s="155" t="s">
        <v>13325</v>
      </c>
      <c r="K607" s="2" t="s">
        <v>15409</v>
      </c>
    </row>
    <row r="608" spans="1:11" s="2" customFormat="1" x14ac:dyDescent="0.25">
      <c r="A608" s="114" t="s">
        <v>13326</v>
      </c>
      <c r="B608" s="4" t="s">
        <v>13327</v>
      </c>
      <c r="C608" s="113" t="s">
        <v>15363</v>
      </c>
      <c r="D608" s="155" t="s">
        <v>13328</v>
      </c>
      <c r="E608" s="159">
        <v>905</v>
      </c>
      <c r="F608" s="157" t="s">
        <v>13329</v>
      </c>
      <c r="G608" s="155" t="s">
        <v>13327</v>
      </c>
      <c r="H608" s="113" t="s">
        <v>11398</v>
      </c>
      <c r="I608" s="4" t="s">
        <v>13327</v>
      </c>
      <c r="J608" s="155" t="s">
        <v>13329</v>
      </c>
      <c r="K608" s="2" t="s">
        <v>13305</v>
      </c>
    </row>
    <row r="609" spans="1:11" s="2" customFormat="1" x14ac:dyDescent="0.25">
      <c r="A609" s="114" t="s">
        <v>13330</v>
      </c>
      <c r="B609" s="4" t="s">
        <v>13331</v>
      </c>
      <c r="C609" s="113" t="s">
        <v>15363</v>
      </c>
      <c r="D609" s="155" t="s">
        <v>13332</v>
      </c>
      <c r="E609" s="159">
        <v>100</v>
      </c>
      <c r="F609" s="157" t="s">
        <v>13333</v>
      </c>
      <c r="G609" s="155" t="s">
        <v>13331</v>
      </c>
      <c r="H609" s="113" t="s">
        <v>11398</v>
      </c>
      <c r="I609" s="4" t="s">
        <v>13331</v>
      </c>
      <c r="J609" s="155" t="s">
        <v>13333</v>
      </c>
      <c r="K609" s="2" t="s">
        <v>10231</v>
      </c>
    </row>
    <row r="610" spans="1:11" s="2" customFormat="1" x14ac:dyDescent="0.25">
      <c r="A610" s="114" t="s">
        <v>13334</v>
      </c>
      <c r="B610" s="4" t="s">
        <v>13335</v>
      </c>
      <c r="C610" s="113" t="s">
        <v>15363</v>
      </c>
      <c r="D610" s="155" t="s">
        <v>9819</v>
      </c>
      <c r="E610" s="159">
        <v>241</v>
      </c>
      <c r="F610" s="157" t="s">
        <v>13336</v>
      </c>
      <c r="G610" s="155" t="s">
        <v>13335</v>
      </c>
      <c r="H610" s="113" t="s">
        <v>11398</v>
      </c>
      <c r="I610" s="4" t="s">
        <v>13335</v>
      </c>
      <c r="J610" s="155" t="s">
        <v>13336</v>
      </c>
      <c r="K610" s="2" t="s">
        <v>12379</v>
      </c>
    </row>
    <row r="611" spans="1:11" s="2" customFormat="1" x14ac:dyDescent="0.25">
      <c r="A611" s="114" t="s">
        <v>13337</v>
      </c>
      <c r="B611" s="4" t="s">
        <v>13338</v>
      </c>
      <c r="C611" s="113" t="s">
        <v>15363</v>
      </c>
      <c r="D611" s="155" t="s">
        <v>13339</v>
      </c>
      <c r="E611" s="159">
        <v>0</v>
      </c>
      <c r="F611" s="157" t="s">
        <v>13340</v>
      </c>
      <c r="G611" s="155" t="s">
        <v>13338</v>
      </c>
      <c r="H611" s="113" t="s">
        <v>11398</v>
      </c>
      <c r="I611" s="4" t="s">
        <v>13338</v>
      </c>
      <c r="J611" s="155" t="s">
        <v>13340</v>
      </c>
      <c r="K611" s="2" t="s">
        <v>13313</v>
      </c>
    </row>
    <row r="612" spans="1:11" s="2" customFormat="1" x14ac:dyDescent="0.25">
      <c r="A612" s="114" t="s">
        <v>13341</v>
      </c>
      <c r="B612" s="4" t="s">
        <v>13342</v>
      </c>
      <c r="C612" s="113" t="s">
        <v>15363</v>
      </c>
      <c r="D612" s="155"/>
      <c r="E612" s="159"/>
      <c r="F612" s="157" t="s">
        <v>13343</v>
      </c>
      <c r="G612" s="155" t="s">
        <v>13342</v>
      </c>
      <c r="H612" s="113" t="s">
        <v>11398</v>
      </c>
      <c r="I612" s="4" t="s">
        <v>13342</v>
      </c>
      <c r="J612" s="155" t="s">
        <v>13343</v>
      </c>
      <c r="K612" s="2" t="s">
        <v>15410</v>
      </c>
    </row>
    <row r="613" spans="1:11" s="2" customFormat="1" x14ac:dyDescent="0.25">
      <c r="A613" s="114" t="s">
        <v>13344</v>
      </c>
      <c r="B613" s="4" t="s">
        <v>13345</v>
      </c>
      <c r="C613" s="113" t="s">
        <v>15363</v>
      </c>
      <c r="D613" s="155"/>
      <c r="E613" s="159"/>
      <c r="F613" s="157" t="s">
        <v>13347</v>
      </c>
      <c r="G613" s="155" t="s">
        <v>13346</v>
      </c>
      <c r="H613" s="113" t="s">
        <v>11398</v>
      </c>
      <c r="I613" s="4" t="s">
        <v>13345</v>
      </c>
      <c r="J613" s="155" t="s">
        <v>13347</v>
      </c>
      <c r="K613" s="2" t="s">
        <v>15411</v>
      </c>
    </row>
    <row r="614" spans="1:11" s="2" customFormat="1" x14ac:dyDescent="0.25">
      <c r="A614" s="114" t="s">
        <v>13348</v>
      </c>
      <c r="B614" s="4" t="s">
        <v>13349</v>
      </c>
      <c r="C614" s="113" t="s">
        <v>15363</v>
      </c>
      <c r="D614" s="155" t="s">
        <v>10485</v>
      </c>
      <c r="E614" s="159">
        <v>10</v>
      </c>
      <c r="F614" s="157" t="s">
        <v>13350</v>
      </c>
      <c r="G614" s="155" t="s">
        <v>13349</v>
      </c>
      <c r="H614" s="113" t="s">
        <v>11398</v>
      </c>
      <c r="I614" s="4" t="s">
        <v>13349</v>
      </c>
      <c r="J614" s="155" t="s">
        <v>13350</v>
      </c>
      <c r="K614" s="2" t="s">
        <v>9766</v>
      </c>
    </row>
    <row r="615" spans="1:11" s="2" customFormat="1" x14ac:dyDescent="0.25">
      <c r="A615" s="114" t="s">
        <v>13351</v>
      </c>
      <c r="B615" s="4" t="s">
        <v>13352</v>
      </c>
      <c r="C615" s="113" t="s">
        <v>15363</v>
      </c>
      <c r="D615" s="155" t="s">
        <v>9764</v>
      </c>
      <c r="E615" s="159">
        <v>150</v>
      </c>
      <c r="F615" s="157" t="s">
        <v>13353</v>
      </c>
      <c r="G615" s="155" t="s">
        <v>13352</v>
      </c>
      <c r="H615" s="113" t="s">
        <v>11398</v>
      </c>
      <c r="I615" s="4" t="s">
        <v>13352</v>
      </c>
      <c r="J615" s="155" t="s">
        <v>13353</v>
      </c>
      <c r="K615" s="2" t="s">
        <v>10883</v>
      </c>
    </row>
    <row r="616" spans="1:11" s="2" customFormat="1" x14ac:dyDescent="0.25">
      <c r="A616" s="114" t="s">
        <v>13354</v>
      </c>
      <c r="B616" s="4" t="s">
        <v>13355</v>
      </c>
      <c r="C616" s="113" t="s">
        <v>15363</v>
      </c>
      <c r="D616" s="155" t="s">
        <v>11663</v>
      </c>
      <c r="E616" s="159">
        <v>0</v>
      </c>
      <c r="F616" s="157" t="s">
        <v>13356</v>
      </c>
      <c r="G616" s="155" t="s">
        <v>13355</v>
      </c>
      <c r="H616" s="113" t="s">
        <v>11398</v>
      </c>
      <c r="I616" s="4" t="s">
        <v>13355</v>
      </c>
      <c r="J616" s="155" t="s">
        <v>13356</v>
      </c>
      <c r="K616" s="2" t="s">
        <v>15405</v>
      </c>
    </row>
    <row r="617" spans="1:11" s="2" customFormat="1" x14ac:dyDescent="0.25">
      <c r="A617" s="114" t="s">
        <v>13357</v>
      </c>
      <c r="B617" s="4" t="s">
        <v>13358</v>
      </c>
      <c r="C617" s="113" t="s">
        <v>15363</v>
      </c>
      <c r="D617" s="155" t="s">
        <v>13359</v>
      </c>
      <c r="E617" s="159">
        <v>0</v>
      </c>
      <c r="F617" s="157" t="s">
        <v>13360</v>
      </c>
      <c r="G617" s="155" t="s">
        <v>13358</v>
      </c>
      <c r="H617" s="113" t="s">
        <v>11398</v>
      </c>
      <c r="I617" s="4" t="s">
        <v>13358</v>
      </c>
      <c r="J617" s="155" t="s">
        <v>13360</v>
      </c>
      <c r="K617" s="2" t="s">
        <v>15412</v>
      </c>
    </row>
    <row r="618" spans="1:11" s="2" customFormat="1" x14ac:dyDescent="0.25">
      <c r="A618" s="114" t="s">
        <v>13361</v>
      </c>
      <c r="B618" s="4" t="s">
        <v>13362</v>
      </c>
      <c r="C618" s="113" t="s">
        <v>15363</v>
      </c>
      <c r="D618" s="155" t="s">
        <v>10317</v>
      </c>
      <c r="E618" s="159">
        <v>0</v>
      </c>
      <c r="F618" s="157" t="s">
        <v>13364</v>
      </c>
      <c r="G618" s="155" t="s">
        <v>13363</v>
      </c>
      <c r="H618" s="113" t="s">
        <v>11398</v>
      </c>
      <c r="I618" s="4" t="s">
        <v>13362</v>
      </c>
      <c r="J618" s="155" t="s">
        <v>13364</v>
      </c>
      <c r="K618" s="2" t="s">
        <v>15409</v>
      </c>
    </row>
    <row r="619" spans="1:11" s="2" customFormat="1" x14ac:dyDescent="0.25">
      <c r="A619" s="114" t="s">
        <v>13365</v>
      </c>
      <c r="B619" s="4" t="s">
        <v>13366</v>
      </c>
      <c r="C619" s="113" t="s">
        <v>15363</v>
      </c>
      <c r="D619" s="155" t="s">
        <v>13367</v>
      </c>
      <c r="E619" s="159">
        <v>119</v>
      </c>
      <c r="F619" s="157" t="s">
        <v>13368</v>
      </c>
      <c r="G619" s="155" t="s">
        <v>13366</v>
      </c>
      <c r="H619" s="113" t="s">
        <v>11398</v>
      </c>
      <c r="I619" s="4" t="s">
        <v>13366</v>
      </c>
      <c r="J619" s="155" t="s">
        <v>13368</v>
      </c>
      <c r="K619" s="2" t="s">
        <v>15407</v>
      </c>
    </row>
    <row r="620" spans="1:11" s="2" customFormat="1" x14ac:dyDescent="0.25">
      <c r="A620" s="114" t="s">
        <v>13369</v>
      </c>
      <c r="B620" s="4" t="s">
        <v>13370</v>
      </c>
      <c r="C620" s="113" t="s">
        <v>15363</v>
      </c>
      <c r="D620" s="155" t="s">
        <v>9764</v>
      </c>
      <c r="E620" s="159">
        <v>0</v>
      </c>
      <c r="F620" s="157" t="s">
        <v>13371</v>
      </c>
      <c r="G620" s="155" t="s">
        <v>13370</v>
      </c>
      <c r="H620" s="113" t="s">
        <v>11398</v>
      </c>
      <c r="I620" s="4" t="s">
        <v>13370</v>
      </c>
      <c r="J620" s="155" t="s">
        <v>13371</v>
      </c>
      <c r="K620" s="2" t="s">
        <v>13370</v>
      </c>
    </row>
    <row r="621" spans="1:11" s="2" customFormat="1" x14ac:dyDescent="0.25">
      <c r="A621" s="114" t="s">
        <v>13372</v>
      </c>
      <c r="B621" s="4" t="s">
        <v>13373</v>
      </c>
      <c r="C621" s="113" t="s">
        <v>15364</v>
      </c>
      <c r="D621" s="155" t="s">
        <v>11602</v>
      </c>
      <c r="E621" s="159">
        <v>0</v>
      </c>
      <c r="F621" s="157" t="s">
        <v>13374</v>
      </c>
      <c r="G621" s="155" t="s">
        <v>13373</v>
      </c>
      <c r="H621" s="113" t="s">
        <v>11398</v>
      </c>
      <c r="I621" s="4" t="s">
        <v>13373</v>
      </c>
      <c r="J621" s="155" t="s">
        <v>13374</v>
      </c>
      <c r="K621" s="2" t="s">
        <v>15407</v>
      </c>
    </row>
    <row r="622" spans="1:11" s="2" customFormat="1" x14ac:dyDescent="0.25">
      <c r="A622" s="114" t="s">
        <v>13375</v>
      </c>
      <c r="B622" s="4" t="s">
        <v>13376</v>
      </c>
      <c r="C622" s="113" t="s">
        <v>15363</v>
      </c>
      <c r="D622" s="155" t="s">
        <v>9810</v>
      </c>
      <c r="E622" s="159">
        <v>13</v>
      </c>
      <c r="F622" s="157" t="s">
        <v>13377</v>
      </c>
      <c r="G622" s="155" t="s">
        <v>11398</v>
      </c>
      <c r="H622" s="113" t="s">
        <v>11398</v>
      </c>
      <c r="I622" s="4" t="s">
        <v>13376</v>
      </c>
      <c r="J622" s="155" t="s">
        <v>13377</v>
      </c>
      <c r="K622" s="2" t="s">
        <v>15376</v>
      </c>
    </row>
    <row r="623" spans="1:11" s="2" customFormat="1" x14ac:dyDescent="0.25">
      <c r="A623" s="114" t="s">
        <v>13378</v>
      </c>
      <c r="B623" s="4" t="s">
        <v>13379</v>
      </c>
      <c r="C623" s="113" t="s">
        <v>15363</v>
      </c>
      <c r="D623" s="155" t="s">
        <v>13380</v>
      </c>
      <c r="E623" s="159">
        <v>2247</v>
      </c>
      <c r="F623" s="157" t="s">
        <v>13381</v>
      </c>
      <c r="G623" s="155" t="s">
        <v>11398</v>
      </c>
      <c r="H623" s="113" t="s">
        <v>11398</v>
      </c>
      <c r="I623" s="4" t="s">
        <v>13379</v>
      </c>
      <c r="J623" s="155" t="s">
        <v>13381</v>
      </c>
      <c r="K623" s="2" t="s">
        <v>15376</v>
      </c>
    </row>
    <row r="624" spans="1:11" s="2" customFormat="1" x14ac:dyDescent="0.25">
      <c r="A624" s="114" t="s">
        <v>14987</v>
      </c>
      <c r="B624" s="4" t="s">
        <v>14988</v>
      </c>
      <c r="C624" s="113" t="s">
        <v>15363</v>
      </c>
      <c r="D624" s="155" t="s">
        <v>9767</v>
      </c>
      <c r="E624" s="159">
        <v>252</v>
      </c>
      <c r="F624" s="157" t="s">
        <v>14989</v>
      </c>
      <c r="G624" s="155" t="s">
        <v>12531</v>
      </c>
      <c r="H624" s="113" t="s">
        <v>12531</v>
      </c>
      <c r="I624" s="4" t="s">
        <v>14988</v>
      </c>
      <c r="J624" s="155" t="s">
        <v>14989</v>
      </c>
      <c r="K624" s="2" t="s">
        <v>15376</v>
      </c>
    </row>
    <row r="625" spans="1:11" s="2" customFormat="1" x14ac:dyDescent="0.25">
      <c r="A625" s="114" t="s">
        <v>14990</v>
      </c>
      <c r="B625" s="4" t="s">
        <v>14991</v>
      </c>
      <c r="C625" s="113" t="s">
        <v>15363</v>
      </c>
      <c r="D625" s="155" t="s">
        <v>14002</v>
      </c>
      <c r="E625" s="159">
        <v>19</v>
      </c>
      <c r="F625" s="157" t="s">
        <v>14992</v>
      </c>
      <c r="G625" s="155" t="s">
        <v>14991</v>
      </c>
      <c r="H625" s="113" t="s">
        <v>12531</v>
      </c>
      <c r="I625" s="4" t="s">
        <v>14991</v>
      </c>
      <c r="J625" s="155" t="s">
        <v>14992</v>
      </c>
      <c r="K625" s="2" t="s">
        <v>15413</v>
      </c>
    </row>
    <row r="626" spans="1:11" s="2" customFormat="1" x14ac:dyDescent="0.25">
      <c r="A626" s="114" t="s">
        <v>14993</v>
      </c>
      <c r="B626" s="4" t="s">
        <v>14994</v>
      </c>
      <c r="C626" s="113" t="s">
        <v>4</v>
      </c>
      <c r="D626" s="155" t="s">
        <v>14995</v>
      </c>
      <c r="E626" s="159">
        <v>486</v>
      </c>
      <c r="F626" s="157" t="s">
        <v>14996</v>
      </c>
      <c r="G626" s="155" t="s">
        <v>12531</v>
      </c>
      <c r="H626" s="113" t="s">
        <v>12531</v>
      </c>
      <c r="I626" s="4" t="s">
        <v>14994</v>
      </c>
      <c r="J626" s="155" t="s">
        <v>14996</v>
      </c>
      <c r="K626" s="2" t="s">
        <v>15376</v>
      </c>
    </row>
    <row r="627" spans="1:11" s="2" customFormat="1" x14ac:dyDescent="0.25">
      <c r="A627" s="114" t="s">
        <v>14997</v>
      </c>
      <c r="B627" s="4" t="s">
        <v>14998</v>
      </c>
      <c r="C627" s="113" t="s">
        <v>4</v>
      </c>
      <c r="D627" s="155" t="s">
        <v>9850</v>
      </c>
      <c r="E627" s="159">
        <v>20</v>
      </c>
      <c r="F627" s="157" t="s">
        <v>14999</v>
      </c>
      <c r="G627" s="155" t="s">
        <v>14998</v>
      </c>
      <c r="H627" s="113" t="s">
        <v>12531</v>
      </c>
      <c r="I627" s="4" t="s">
        <v>14998</v>
      </c>
      <c r="J627" s="155" t="s">
        <v>14999</v>
      </c>
      <c r="K627" s="2" t="s">
        <v>11371</v>
      </c>
    </row>
    <row r="628" spans="1:11" s="2" customFormat="1" x14ac:dyDescent="0.25">
      <c r="A628" s="114" t="s">
        <v>15000</v>
      </c>
      <c r="B628" s="4" t="s">
        <v>15001</v>
      </c>
      <c r="C628" s="113" t="s">
        <v>4</v>
      </c>
      <c r="D628" s="155" t="s">
        <v>9925</v>
      </c>
      <c r="E628" s="159">
        <v>60</v>
      </c>
      <c r="F628" s="157" t="s">
        <v>15002</v>
      </c>
      <c r="G628" s="155" t="s">
        <v>15001</v>
      </c>
      <c r="H628" s="113" t="s">
        <v>12531</v>
      </c>
      <c r="I628" s="4" t="s">
        <v>15001</v>
      </c>
      <c r="J628" s="155" t="s">
        <v>15002</v>
      </c>
      <c r="K628" s="2" t="s">
        <v>15414</v>
      </c>
    </row>
    <row r="629" spans="1:11" s="2" customFormat="1" x14ac:dyDescent="0.25">
      <c r="A629" s="114" t="s">
        <v>15003</v>
      </c>
      <c r="B629" s="4" t="s">
        <v>15004</v>
      </c>
      <c r="C629" s="113" t="s">
        <v>4</v>
      </c>
      <c r="D629" s="155" t="s">
        <v>15005</v>
      </c>
      <c r="E629" s="159">
        <v>100</v>
      </c>
      <c r="F629" s="157" t="s">
        <v>15006</v>
      </c>
      <c r="G629" s="155" t="s">
        <v>15004</v>
      </c>
      <c r="H629" s="113" t="s">
        <v>12531</v>
      </c>
      <c r="I629" s="4" t="s">
        <v>15004</v>
      </c>
      <c r="J629" s="155" t="s">
        <v>15006</v>
      </c>
      <c r="K629" s="2" t="s">
        <v>9764</v>
      </c>
    </row>
    <row r="630" spans="1:11" s="2" customFormat="1" x14ac:dyDescent="0.25">
      <c r="A630" s="114" t="s">
        <v>15007</v>
      </c>
      <c r="B630" s="4" t="s">
        <v>15008</v>
      </c>
      <c r="C630" s="113" t="s">
        <v>4</v>
      </c>
      <c r="D630" s="155" t="s">
        <v>10443</v>
      </c>
      <c r="E630" s="159">
        <v>54</v>
      </c>
      <c r="F630" s="157" t="s">
        <v>15009</v>
      </c>
      <c r="G630" s="155" t="s">
        <v>15008</v>
      </c>
      <c r="H630" s="113" t="s">
        <v>12531</v>
      </c>
      <c r="I630" s="4" t="s">
        <v>15008</v>
      </c>
      <c r="J630" s="155" t="s">
        <v>15009</v>
      </c>
      <c r="K630" s="2" t="s">
        <v>12268</v>
      </c>
    </row>
    <row r="631" spans="1:11" s="2" customFormat="1" x14ac:dyDescent="0.25">
      <c r="A631" s="114" t="s">
        <v>15010</v>
      </c>
      <c r="B631" s="4" t="s">
        <v>15011</v>
      </c>
      <c r="C631" s="113" t="s">
        <v>15363</v>
      </c>
      <c r="D631" s="155" t="s">
        <v>11529</v>
      </c>
      <c r="E631" s="159"/>
      <c r="F631" s="157" t="s">
        <v>15012</v>
      </c>
      <c r="G631" s="155" t="s">
        <v>15011</v>
      </c>
      <c r="H631" s="113" t="s">
        <v>12531</v>
      </c>
      <c r="I631" s="4" t="s">
        <v>15011</v>
      </c>
      <c r="J631" s="155" t="s">
        <v>15012</v>
      </c>
      <c r="K631" s="2" t="s">
        <v>15011</v>
      </c>
    </row>
    <row r="632" spans="1:11" s="2" customFormat="1" x14ac:dyDescent="0.25">
      <c r="A632" s="114" t="s">
        <v>15013</v>
      </c>
      <c r="B632" s="4" t="s">
        <v>15014</v>
      </c>
      <c r="C632" s="113" t="s">
        <v>4</v>
      </c>
      <c r="D632" s="155" t="s">
        <v>15015</v>
      </c>
      <c r="E632" s="159">
        <v>0</v>
      </c>
      <c r="F632" s="157" t="s">
        <v>15016</v>
      </c>
      <c r="G632" s="155" t="s">
        <v>15014</v>
      </c>
      <c r="H632" s="113" t="s">
        <v>12531</v>
      </c>
      <c r="I632" s="4" t="s">
        <v>15014</v>
      </c>
      <c r="J632" s="155" t="s">
        <v>15016</v>
      </c>
      <c r="K632" s="2" t="s">
        <v>15415</v>
      </c>
    </row>
    <row r="633" spans="1:11" s="2" customFormat="1" x14ac:dyDescent="0.25">
      <c r="A633" s="114" t="s">
        <v>15017</v>
      </c>
      <c r="B633" s="4" t="s">
        <v>15018</v>
      </c>
      <c r="C633" s="113" t="s">
        <v>4</v>
      </c>
      <c r="D633" s="155" t="s">
        <v>10748</v>
      </c>
      <c r="E633" s="159">
        <v>0</v>
      </c>
      <c r="F633" s="157" t="s">
        <v>15019</v>
      </c>
      <c r="G633" s="155" t="s">
        <v>15018</v>
      </c>
      <c r="H633" s="113" t="s">
        <v>12531</v>
      </c>
      <c r="I633" s="4" t="s">
        <v>15018</v>
      </c>
      <c r="J633" s="155" t="s">
        <v>15019</v>
      </c>
      <c r="K633" s="2" t="s">
        <v>9912</v>
      </c>
    </row>
    <row r="634" spans="1:11" s="2" customFormat="1" x14ac:dyDescent="0.25">
      <c r="A634" s="114" t="s">
        <v>15020</v>
      </c>
      <c r="B634" s="4" t="s">
        <v>15021</v>
      </c>
      <c r="C634" s="113" t="s">
        <v>4</v>
      </c>
      <c r="D634" s="155" t="s">
        <v>12806</v>
      </c>
      <c r="E634" s="159">
        <v>1</v>
      </c>
      <c r="F634" s="157" t="s">
        <v>15022</v>
      </c>
      <c r="G634" s="155" t="s">
        <v>15021</v>
      </c>
      <c r="H634" s="113" t="s">
        <v>12531</v>
      </c>
      <c r="I634" s="4" t="s">
        <v>15021</v>
      </c>
      <c r="J634" s="155" t="s">
        <v>15022</v>
      </c>
      <c r="K634" s="2" t="s">
        <v>15416</v>
      </c>
    </row>
    <row r="635" spans="1:11" s="2" customFormat="1" x14ac:dyDescent="0.25">
      <c r="A635" s="114" t="s">
        <v>15023</v>
      </c>
      <c r="B635" s="4" t="s">
        <v>12427</v>
      </c>
      <c r="C635" s="113" t="s">
        <v>15363</v>
      </c>
      <c r="D635" s="155" t="s">
        <v>10104</v>
      </c>
      <c r="E635" s="159">
        <v>195</v>
      </c>
      <c r="F635" s="157" t="s">
        <v>15024</v>
      </c>
      <c r="G635" s="155" t="s">
        <v>12427</v>
      </c>
      <c r="H635" s="113" t="s">
        <v>12531</v>
      </c>
      <c r="I635" s="4" t="s">
        <v>12427</v>
      </c>
      <c r="J635" s="155" t="s">
        <v>15024</v>
      </c>
      <c r="K635" s="2" t="s">
        <v>15414</v>
      </c>
    </row>
    <row r="636" spans="1:11" s="2" customFormat="1" x14ac:dyDescent="0.25">
      <c r="A636" s="114" t="s">
        <v>15025</v>
      </c>
      <c r="B636" s="4" t="s">
        <v>15026</v>
      </c>
      <c r="C636" s="113" t="s">
        <v>15363</v>
      </c>
      <c r="D636" s="155" t="s">
        <v>15027</v>
      </c>
      <c r="E636" s="159">
        <v>50</v>
      </c>
      <c r="F636" s="157" t="s">
        <v>15028</v>
      </c>
      <c r="G636" s="155" t="s">
        <v>15026</v>
      </c>
      <c r="H636" s="113" t="s">
        <v>12531</v>
      </c>
      <c r="I636" s="4" t="s">
        <v>15026</v>
      </c>
      <c r="J636" s="155" t="s">
        <v>15028</v>
      </c>
      <c r="K636" s="2" t="s">
        <v>15011</v>
      </c>
    </row>
    <row r="637" spans="1:11" s="2" customFormat="1" x14ac:dyDescent="0.25">
      <c r="A637" s="114" t="s">
        <v>15029</v>
      </c>
      <c r="B637" s="4" t="s">
        <v>15030</v>
      </c>
      <c r="C637" s="113" t="s">
        <v>4</v>
      </c>
      <c r="D637" s="155" t="s">
        <v>13107</v>
      </c>
      <c r="E637" s="159">
        <v>0</v>
      </c>
      <c r="F637" s="157" t="s">
        <v>15032</v>
      </c>
      <c r="G637" s="155" t="s">
        <v>15031</v>
      </c>
      <c r="H637" s="113" t="s">
        <v>12531</v>
      </c>
      <c r="I637" s="4" t="s">
        <v>15030</v>
      </c>
      <c r="J637" s="155" t="s">
        <v>15032</v>
      </c>
      <c r="K637" s="2" t="s">
        <v>15414</v>
      </c>
    </row>
    <row r="638" spans="1:11" s="2" customFormat="1" x14ac:dyDescent="0.25">
      <c r="A638" s="114" t="s">
        <v>15033</v>
      </c>
      <c r="B638" s="4" t="s">
        <v>15034</v>
      </c>
      <c r="C638" s="113" t="s">
        <v>4</v>
      </c>
      <c r="D638" s="155" t="s">
        <v>14002</v>
      </c>
      <c r="E638" s="159">
        <v>4</v>
      </c>
      <c r="F638" s="157" t="s">
        <v>15035</v>
      </c>
      <c r="G638" s="155" t="s">
        <v>15034</v>
      </c>
      <c r="H638" s="113" t="s">
        <v>12531</v>
      </c>
      <c r="I638" s="4" t="s">
        <v>15034</v>
      </c>
      <c r="J638" s="155" t="s">
        <v>15035</v>
      </c>
      <c r="K638" s="2" t="s">
        <v>10043</v>
      </c>
    </row>
    <row r="639" spans="1:11" s="2" customFormat="1" x14ac:dyDescent="0.25">
      <c r="A639" s="114" t="s">
        <v>15036</v>
      </c>
      <c r="B639" s="4" t="s">
        <v>15037</v>
      </c>
      <c r="C639" s="113" t="s">
        <v>4</v>
      </c>
      <c r="D639" s="155" t="s">
        <v>10893</v>
      </c>
      <c r="E639" s="159">
        <v>100</v>
      </c>
      <c r="F639" s="157" t="s">
        <v>15038</v>
      </c>
      <c r="G639" s="155" t="s">
        <v>15037</v>
      </c>
      <c r="H639" s="113" t="s">
        <v>12531</v>
      </c>
      <c r="I639" s="4" t="s">
        <v>15037</v>
      </c>
      <c r="J639" s="155" t="s">
        <v>15038</v>
      </c>
      <c r="K639" s="2" t="s">
        <v>11371</v>
      </c>
    </row>
    <row r="640" spans="1:11" s="2" customFormat="1" x14ac:dyDescent="0.25">
      <c r="A640" s="114" t="s">
        <v>15039</v>
      </c>
      <c r="B640" s="4" t="s">
        <v>15040</v>
      </c>
      <c r="C640" s="113" t="s">
        <v>4</v>
      </c>
      <c r="D640" s="155" t="s">
        <v>10500</v>
      </c>
      <c r="E640" s="159">
        <v>224</v>
      </c>
      <c r="F640" s="157" t="s">
        <v>15041</v>
      </c>
      <c r="G640" s="155" t="s">
        <v>15040</v>
      </c>
      <c r="H640" s="113" t="s">
        <v>12531</v>
      </c>
      <c r="I640" s="4" t="s">
        <v>15040</v>
      </c>
      <c r="J640" s="155" t="s">
        <v>15041</v>
      </c>
      <c r="K640" s="2" t="s">
        <v>9912</v>
      </c>
    </row>
    <row r="641" spans="1:11" s="2" customFormat="1" x14ac:dyDescent="0.25">
      <c r="A641" s="114" t="s">
        <v>15042</v>
      </c>
      <c r="B641" s="4" t="s">
        <v>15293</v>
      </c>
      <c r="C641" s="113" t="s">
        <v>15363</v>
      </c>
      <c r="D641" s="155" t="s">
        <v>11221</v>
      </c>
      <c r="E641" s="159">
        <v>0</v>
      </c>
      <c r="F641" s="157" t="s">
        <v>15043</v>
      </c>
      <c r="G641" s="155" t="s">
        <v>11704</v>
      </c>
      <c r="H641" s="113" t="s">
        <v>12531</v>
      </c>
      <c r="I641" s="4" t="s">
        <v>15293</v>
      </c>
      <c r="J641" s="155" t="s">
        <v>15043</v>
      </c>
      <c r="K641" s="2" t="s">
        <v>9912</v>
      </c>
    </row>
    <row r="642" spans="1:11" s="2" customFormat="1" x14ac:dyDescent="0.25">
      <c r="A642" s="114" t="s">
        <v>15044</v>
      </c>
      <c r="B642" s="4" t="s">
        <v>15045</v>
      </c>
      <c r="C642" s="113" t="s">
        <v>15363</v>
      </c>
      <c r="D642" s="155" t="s">
        <v>13107</v>
      </c>
      <c r="E642" s="159">
        <v>261</v>
      </c>
      <c r="F642" s="157" t="s">
        <v>15046</v>
      </c>
      <c r="G642" s="155" t="s">
        <v>15045</v>
      </c>
      <c r="H642" s="113" t="s">
        <v>12531</v>
      </c>
      <c r="I642" s="4" t="s">
        <v>15045</v>
      </c>
      <c r="J642" s="155" t="s">
        <v>15046</v>
      </c>
      <c r="K642" s="2" t="s">
        <v>15415</v>
      </c>
    </row>
    <row r="643" spans="1:11" s="2" customFormat="1" x14ac:dyDescent="0.25">
      <c r="A643" s="114" t="s">
        <v>15047</v>
      </c>
      <c r="B643" s="4" t="s">
        <v>9786</v>
      </c>
      <c r="C643" s="113" t="s">
        <v>4</v>
      </c>
      <c r="D643" s="155" t="s">
        <v>12477</v>
      </c>
      <c r="E643" s="159">
        <v>1</v>
      </c>
      <c r="F643" s="157" t="s">
        <v>15048</v>
      </c>
      <c r="G643" s="155" t="s">
        <v>9786</v>
      </c>
      <c r="H643" s="113" t="s">
        <v>12531</v>
      </c>
      <c r="I643" s="4" t="s">
        <v>9786</v>
      </c>
      <c r="J643" s="155" t="s">
        <v>15048</v>
      </c>
      <c r="K643" s="2" t="s">
        <v>15011</v>
      </c>
    </row>
    <row r="644" spans="1:11" s="2" customFormat="1" x14ac:dyDescent="0.25">
      <c r="A644" s="114" t="s">
        <v>15049</v>
      </c>
      <c r="B644" s="4" t="s">
        <v>12687</v>
      </c>
      <c r="C644" s="113" t="s">
        <v>15363</v>
      </c>
      <c r="D644" s="155" t="s">
        <v>10177</v>
      </c>
      <c r="E644" s="159">
        <v>0</v>
      </c>
      <c r="F644" s="157" t="s">
        <v>15050</v>
      </c>
      <c r="G644" s="155" t="s">
        <v>12687</v>
      </c>
      <c r="H644" s="113" t="s">
        <v>12531</v>
      </c>
      <c r="I644" s="4" t="s">
        <v>12687</v>
      </c>
      <c r="J644" s="155" t="s">
        <v>15050</v>
      </c>
      <c r="K644" s="2" t="s">
        <v>12687</v>
      </c>
    </row>
    <row r="645" spans="1:11" s="2" customFormat="1" x14ac:dyDescent="0.25">
      <c r="A645" s="114" t="s">
        <v>15051</v>
      </c>
      <c r="B645" s="4" t="s">
        <v>15052</v>
      </c>
      <c r="C645" s="113" t="s">
        <v>4</v>
      </c>
      <c r="D645" s="155" t="s">
        <v>15053</v>
      </c>
      <c r="E645" s="159"/>
      <c r="F645" s="157" t="s">
        <v>15054</v>
      </c>
      <c r="G645" s="155" t="s">
        <v>15052</v>
      </c>
      <c r="H645" s="113" t="s">
        <v>12531</v>
      </c>
      <c r="I645" s="4" t="s">
        <v>15052</v>
      </c>
      <c r="J645" s="155" t="s">
        <v>15054</v>
      </c>
      <c r="K645" s="2" t="s">
        <v>15413</v>
      </c>
    </row>
    <row r="646" spans="1:11" s="2" customFormat="1" x14ac:dyDescent="0.25">
      <c r="A646" s="114" t="s">
        <v>15055</v>
      </c>
      <c r="B646" s="4" t="s">
        <v>15056</v>
      </c>
      <c r="C646" s="113" t="s">
        <v>4</v>
      </c>
      <c r="D646" s="155" t="s">
        <v>15057</v>
      </c>
      <c r="E646" s="159">
        <v>0</v>
      </c>
      <c r="F646" s="157" t="s">
        <v>15058</v>
      </c>
      <c r="G646" s="155" t="s">
        <v>15056</v>
      </c>
      <c r="H646" s="113" t="s">
        <v>12531</v>
      </c>
      <c r="I646" s="4" t="s">
        <v>15056</v>
      </c>
      <c r="J646" s="155" t="s">
        <v>15058</v>
      </c>
      <c r="K646" s="2" t="s">
        <v>15128</v>
      </c>
    </row>
    <row r="647" spans="1:11" s="2" customFormat="1" x14ac:dyDescent="0.25">
      <c r="A647" s="114" t="s">
        <v>15059</v>
      </c>
      <c r="B647" s="4" t="s">
        <v>15060</v>
      </c>
      <c r="C647" s="113" t="s">
        <v>15363</v>
      </c>
      <c r="D647" s="155" t="s">
        <v>10818</v>
      </c>
      <c r="E647" s="159">
        <v>1</v>
      </c>
      <c r="F647" s="157" t="s">
        <v>15061</v>
      </c>
      <c r="G647" s="155" t="s">
        <v>15060</v>
      </c>
      <c r="H647" s="113" t="s">
        <v>12531</v>
      </c>
      <c r="I647" s="4" t="s">
        <v>15060</v>
      </c>
      <c r="J647" s="155" t="s">
        <v>15061</v>
      </c>
      <c r="K647" s="2" t="s">
        <v>15417</v>
      </c>
    </row>
    <row r="648" spans="1:11" s="2" customFormat="1" x14ac:dyDescent="0.25">
      <c r="A648" s="114" t="s">
        <v>15062</v>
      </c>
      <c r="B648" s="4" t="s">
        <v>15063</v>
      </c>
      <c r="C648" s="113" t="s">
        <v>4</v>
      </c>
      <c r="D648" s="155" t="s">
        <v>15064</v>
      </c>
      <c r="E648" s="159">
        <v>1</v>
      </c>
      <c r="F648" s="157" t="s">
        <v>15065</v>
      </c>
      <c r="G648" s="155" t="s">
        <v>15063</v>
      </c>
      <c r="H648" s="113" t="s">
        <v>12531</v>
      </c>
      <c r="I648" s="4" t="s">
        <v>15063</v>
      </c>
      <c r="J648" s="155" t="s">
        <v>15065</v>
      </c>
      <c r="K648" s="2" t="s">
        <v>10537</v>
      </c>
    </row>
    <row r="649" spans="1:11" s="2" customFormat="1" x14ac:dyDescent="0.25">
      <c r="A649" s="114" t="s">
        <v>15066</v>
      </c>
      <c r="B649" s="4" t="s">
        <v>15067</v>
      </c>
      <c r="C649" s="113" t="s">
        <v>15363</v>
      </c>
      <c r="D649" s="155" t="s">
        <v>15068</v>
      </c>
      <c r="E649" s="159"/>
      <c r="F649" s="157" t="s">
        <v>15069</v>
      </c>
      <c r="G649" s="155" t="s">
        <v>15067</v>
      </c>
      <c r="H649" s="113" t="s">
        <v>12531</v>
      </c>
      <c r="I649" s="4" t="s">
        <v>15067</v>
      </c>
      <c r="J649" s="155" t="s">
        <v>15069</v>
      </c>
      <c r="K649" s="2" t="s">
        <v>15067</v>
      </c>
    </row>
    <row r="650" spans="1:11" s="2" customFormat="1" x14ac:dyDescent="0.25">
      <c r="A650" s="114" t="s">
        <v>15070</v>
      </c>
      <c r="B650" s="4" t="s">
        <v>15071</v>
      </c>
      <c r="C650" s="113" t="s">
        <v>4</v>
      </c>
      <c r="D650" s="155" t="s">
        <v>12531</v>
      </c>
      <c r="E650" s="159">
        <v>350</v>
      </c>
      <c r="F650" s="157" t="s">
        <v>15072</v>
      </c>
      <c r="G650" s="155" t="s">
        <v>15071</v>
      </c>
      <c r="H650" s="113" t="s">
        <v>12531</v>
      </c>
      <c r="I650" s="4" t="s">
        <v>15071</v>
      </c>
      <c r="J650" s="155" t="s">
        <v>15072</v>
      </c>
      <c r="K650" s="2" t="s">
        <v>15417</v>
      </c>
    </row>
    <row r="651" spans="1:11" s="2" customFormat="1" x14ac:dyDescent="0.25">
      <c r="A651" s="114" t="s">
        <v>15073</v>
      </c>
      <c r="B651" s="4" t="s">
        <v>15074</v>
      </c>
      <c r="C651" s="113" t="s">
        <v>4</v>
      </c>
      <c r="D651" s="155" t="s">
        <v>10059</v>
      </c>
      <c r="E651" s="159">
        <v>99</v>
      </c>
      <c r="F651" s="157" t="s">
        <v>15076</v>
      </c>
      <c r="G651" s="155" t="s">
        <v>15075</v>
      </c>
      <c r="H651" s="113" t="s">
        <v>12531</v>
      </c>
      <c r="I651" s="4" t="s">
        <v>15074</v>
      </c>
      <c r="J651" s="155" t="s">
        <v>15076</v>
      </c>
      <c r="K651" s="2" t="s">
        <v>15418</v>
      </c>
    </row>
    <row r="652" spans="1:11" s="2" customFormat="1" x14ac:dyDescent="0.25">
      <c r="A652" s="114" t="s">
        <v>15077</v>
      </c>
      <c r="B652" s="4" t="s">
        <v>15078</v>
      </c>
      <c r="C652" s="113" t="s">
        <v>4</v>
      </c>
      <c r="D652" s="155" t="s">
        <v>15057</v>
      </c>
      <c r="E652" s="159">
        <v>100</v>
      </c>
      <c r="F652" s="157" t="s">
        <v>15079</v>
      </c>
      <c r="G652" s="155" t="s">
        <v>15078</v>
      </c>
      <c r="H652" s="113" t="s">
        <v>12531</v>
      </c>
      <c r="I652" s="4" t="s">
        <v>15078</v>
      </c>
      <c r="J652" s="155" t="s">
        <v>15079</v>
      </c>
      <c r="K652" s="2" t="s">
        <v>15416</v>
      </c>
    </row>
    <row r="653" spans="1:11" s="2" customFormat="1" x14ac:dyDescent="0.25">
      <c r="A653" s="114" t="s">
        <v>15080</v>
      </c>
      <c r="B653" s="4" t="s">
        <v>15081</v>
      </c>
      <c r="C653" s="113" t="s">
        <v>15363</v>
      </c>
      <c r="D653" s="155" t="s">
        <v>9887</v>
      </c>
      <c r="E653" s="159">
        <v>1</v>
      </c>
      <c r="F653" s="157" t="s">
        <v>15082</v>
      </c>
      <c r="G653" s="155" t="s">
        <v>15081</v>
      </c>
      <c r="H653" s="113" t="s">
        <v>12531</v>
      </c>
      <c r="I653" s="4" t="s">
        <v>15081</v>
      </c>
      <c r="J653" s="155" t="s">
        <v>15082</v>
      </c>
      <c r="K653" s="2" t="s">
        <v>10114</v>
      </c>
    </row>
    <row r="654" spans="1:11" s="2" customFormat="1" x14ac:dyDescent="0.25">
      <c r="A654" s="114" t="s">
        <v>15083</v>
      </c>
      <c r="B654" s="4" t="s">
        <v>10729</v>
      </c>
      <c r="C654" s="113" t="s">
        <v>15363</v>
      </c>
      <c r="D654" s="155" t="s">
        <v>15084</v>
      </c>
      <c r="E654" s="159"/>
      <c r="F654" s="157" t="s">
        <v>15085</v>
      </c>
      <c r="G654" s="155" t="s">
        <v>10729</v>
      </c>
      <c r="H654" s="113" t="s">
        <v>12531</v>
      </c>
      <c r="I654" s="4" t="s">
        <v>10729</v>
      </c>
      <c r="J654" s="155" t="s">
        <v>15085</v>
      </c>
      <c r="K654" s="2" t="s">
        <v>9912</v>
      </c>
    </row>
    <row r="655" spans="1:11" s="2" customFormat="1" x14ac:dyDescent="0.25">
      <c r="A655" s="114" t="s">
        <v>15086</v>
      </c>
      <c r="B655" s="4" t="s">
        <v>15087</v>
      </c>
      <c r="C655" s="113" t="s">
        <v>4</v>
      </c>
      <c r="D655" s="155" t="s">
        <v>15088</v>
      </c>
      <c r="E655" s="159">
        <v>105</v>
      </c>
      <c r="F655" s="157" t="s">
        <v>15089</v>
      </c>
      <c r="G655" s="155" t="s">
        <v>15087</v>
      </c>
      <c r="H655" s="113" t="s">
        <v>12531</v>
      </c>
      <c r="I655" s="4" t="s">
        <v>15087</v>
      </c>
      <c r="J655" s="155" t="s">
        <v>15089</v>
      </c>
      <c r="K655" s="2" t="s">
        <v>10199</v>
      </c>
    </row>
    <row r="656" spans="1:11" s="2" customFormat="1" x14ac:dyDescent="0.25">
      <c r="A656" s="114" t="s">
        <v>15090</v>
      </c>
      <c r="B656" s="4" t="s">
        <v>15091</v>
      </c>
      <c r="C656" s="113" t="s">
        <v>4</v>
      </c>
      <c r="D656" s="155" t="s">
        <v>15092</v>
      </c>
      <c r="E656" s="159"/>
      <c r="F656" s="157" t="s">
        <v>15093</v>
      </c>
      <c r="G656" s="155" t="s">
        <v>15091</v>
      </c>
      <c r="H656" s="113" t="s">
        <v>12531</v>
      </c>
      <c r="I656" s="4" t="s">
        <v>15091</v>
      </c>
      <c r="J656" s="155" t="s">
        <v>15093</v>
      </c>
      <c r="K656" s="2" t="s">
        <v>15067</v>
      </c>
    </row>
    <row r="657" spans="1:11" s="2" customFormat="1" x14ac:dyDescent="0.25">
      <c r="A657" s="114" t="s">
        <v>15094</v>
      </c>
      <c r="B657" s="4" t="s">
        <v>15095</v>
      </c>
      <c r="C657" s="113" t="s">
        <v>15363</v>
      </c>
      <c r="D657" s="155" t="s">
        <v>9793</v>
      </c>
      <c r="E657" s="159">
        <v>164</v>
      </c>
      <c r="F657" s="157" t="s">
        <v>15096</v>
      </c>
      <c r="G657" s="155" t="s">
        <v>15095</v>
      </c>
      <c r="H657" s="113" t="s">
        <v>12531</v>
      </c>
      <c r="I657" s="4" t="s">
        <v>15095</v>
      </c>
      <c r="J657" s="155" t="s">
        <v>15096</v>
      </c>
      <c r="K657" s="2" t="s">
        <v>15419</v>
      </c>
    </row>
    <row r="658" spans="1:11" s="2" customFormat="1" x14ac:dyDescent="0.25">
      <c r="A658" s="114" t="s">
        <v>15097</v>
      </c>
      <c r="B658" s="4" t="s">
        <v>15098</v>
      </c>
      <c r="C658" s="113" t="s">
        <v>4</v>
      </c>
      <c r="D658" s="155" t="s">
        <v>10492</v>
      </c>
      <c r="E658" s="159">
        <v>0</v>
      </c>
      <c r="F658" s="157" t="s">
        <v>15099</v>
      </c>
      <c r="G658" s="155" t="s">
        <v>15098</v>
      </c>
      <c r="H658" s="113" t="s">
        <v>12531</v>
      </c>
      <c r="I658" s="4" t="s">
        <v>15098</v>
      </c>
      <c r="J658" s="155" t="s">
        <v>15099</v>
      </c>
      <c r="K658" s="2" t="s">
        <v>15420</v>
      </c>
    </row>
    <row r="659" spans="1:11" s="2" customFormat="1" x14ac:dyDescent="0.25">
      <c r="A659" s="114" t="s">
        <v>15100</v>
      </c>
      <c r="B659" s="4" t="s">
        <v>15101</v>
      </c>
      <c r="C659" s="113" t="s">
        <v>15363</v>
      </c>
      <c r="D659" s="155" t="s">
        <v>11414</v>
      </c>
      <c r="E659" s="159">
        <v>766</v>
      </c>
      <c r="F659" s="157" t="s">
        <v>15102</v>
      </c>
      <c r="G659" s="155" t="s">
        <v>15101</v>
      </c>
      <c r="H659" s="113" t="s">
        <v>12531</v>
      </c>
      <c r="I659" s="4" t="s">
        <v>15101</v>
      </c>
      <c r="J659" s="155" t="s">
        <v>15102</v>
      </c>
      <c r="K659" s="2" t="s">
        <v>15421</v>
      </c>
    </row>
    <row r="660" spans="1:11" s="2" customFormat="1" x14ac:dyDescent="0.25">
      <c r="A660" s="114" t="s">
        <v>15103</v>
      </c>
      <c r="B660" s="4" t="s">
        <v>15104</v>
      </c>
      <c r="C660" s="113" t="s">
        <v>4</v>
      </c>
      <c r="D660" s="155" t="s">
        <v>12836</v>
      </c>
      <c r="E660" s="159">
        <v>1</v>
      </c>
      <c r="F660" s="157" t="s">
        <v>15105</v>
      </c>
      <c r="G660" s="155" t="s">
        <v>15104</v>
      </c>
      <c r="H660" s="113" t="s">
        <v>12531</v>
      </c>
      <c r="I660" s="4" t="s">
        <v>15104</v>
      </c>
      <c r="J660" s="155" t="s">
        <v>15105</v>
      </c>
      <c r="K660" s="2" t="s">
        <v>10114</v>
      </c>
    </row>
    <row r="661" spans="1:11" s="2" customFormat="1" x14ac:dyDescent="0.25">
      <c r="A661" s="114" t="s">
        <v>15106</v>
      </c>
      <c r="B661" s="4" t="s">
        <v>15107</v>
      </c>
      <c r="C661" s="113" t="s">
        <v>4</v>
      </c>
      <c r="D661" s="155" t="s">
        <v>10485</v>
      </c>
      <c r="E661" s="159">
        <v>0</v>
      </c>
      <c r="F661" s="157" t="s">
        <v>15108</v>
      </c>
      <c r="G661" s="155" t="s">
        <v>15107</v>
      </c>
      <c r="H661" s="113" t="s">
        <v>12531</v>
      </c>
      <c r="I661" s="4" t="s">
        <v>15107</v>
      </c>
      <c r="J661" s="155" t="s">
        <v>15108</v>
      </c>
      <c r="K661" s="2" t="s">
        <v>15422</v>
      </c>
    </row>
    <row r="662" spans="1:11" s="2" customFormat="1" x14ac:dyDescent="0.25">
      <c r="A662" s="114" t="s">
        <v>15109</v>
      </c>
      <c r="B662" s="4" t="s">
        <v>15110</v>
      </c>
      <c r="C662" s="113" t="s">
        <v>4</v>
      </c>
      <c r="D662" s="155" t="s">
        <v>11529</v>
      </c>
      <c r="E662" s="159"/>
      <c r="F662" s="157" t="s">
        <v>15112</v>
      </c>
      <c r="G662" s="155" t="s">
        <v>15111</v>
      </c>
      <c r="H662" s="113" t="s">
        <v>12531</v>
      </c>
      <c r="I662" s="4" t="s">
        <v>15110</v>
      </c>
      <c r="J662" s="155" t="s">
        <v>15112</v>
      </c>
      <c r="K662" s="2" t="s">
        <v>15421</v>
      </c>
    </row>
    <row r="663" spans="1:11" s="2" customFormat="1" x14ac:dyDescent="0.25">
      <c r="A663" s="114" t="s">
        <v>15113</v>
      </c>
      <c r="B663" s="4" t="s">
        <v>15114</v>
      </c>
      <c r="C663" s="113" t="s">
        <v>15364</v>
      </c>
      <c r="D663" s="155" t="s">
        <v>11529</v>
      </c>
      <c r="E663" s="159"/>
      <c r="F663" s="157" t="s">
        <v>15115</v>
      </c>
      <c r="G663" s="155" t="s">
        <v>15114</v>
      </c>
      <c r="H663" s="113" t="s">
        <v>12531</v>
      </c>
      <c r="I663" s="4" t="s">
        <v>15114</v>
      </c>
      <c r="J663" s="155" t="s">
        <v>15115</v>
      </c>
      <c r="K663" s="2" t="s">
        <v>15423</v>
      </c>
    </row>
    <row r="664" spans="1:11" s="2" customFormat="1" x14ac:dyDescent="0.25">
      <c r="A664" s="114" t="s">
        <v>15116</v>
      </c>
      <c r="B664" s="4" t="s">
        <v>15117</v>
      </c>
      <c r="C664" s="113" t="s">
        <v>15364</v>
      </c>
      <c r="D664" s="155" t="s">
        <v>11529</v>
      </c>
      <c r="E664" s="159"/>
      <c r="F664" s="157" t="s">
        <v>15118</v>
      </c>
      <c r="G664" s="155" t="s">
        <v>15117</v>
      </c>
      <c r="H664" s="113" t="s">
        <v>12531</v>
      </c>
      <c r="I664" s="4" t="s">
        <v>15117</v>
      </c>
      <c r="J664" s="155" t="s">
        <v>15118</v>
      </c>
      <c r="K664" s="2" t="s">
        <v>9764</v>
      </c>
    </row>
    <row r="665" spans="1:11" s="2" customFormat="1" x14ac:dyDescent="0.25">
      <c r="A665" s="114" t="s">
        <v>15119</v>
      </c>
      <c r="B665" s="4" t="s">
        <v>15120</v>
      </c>
      <c r="C665" s="113" t="s">
        <v>15364</v>
      </c>
      <c r="D665" s="155" t="s">
        <v>11529</v>
      </c>
      <c r="E665" s="159"/>
      <c r="F665" s="157" t="s">
        <v>15121</v>
      </c>
      <c r="G665" s="155" t="s">
        <v>15120</v>
      </c>
      <c r="H665" s="113" t="s">
        <v>12531</v>
      </c>
      <c r="I665" s="4" t="s">
        <v>15120</v>
      </c>
      <c r="J665" s="155" t="s">
        <v>15121</v>
      </c>
      <c r="K665" s="2" t="s">
        <v>15416</v>
      </c>
    </row>
    <row r="666" spans="1:11" s="2" customFormat="1" x14ac:dyDescent="0.25">
      <c r="A666" s="114" t="s">
        <v>15122</v>
      </c>
      <c r="B666" s="4" t="s">
        <v>15123</v>
      </c>
      <c r="C666" s="113" t="s">
        <v>15364</v>
      </c>
      <c r="D666" s="155" t="s">
        <v>11529</v>
      </c>
      <c r="E666" s="159"/>
      <c r="F666" s="157" t="s">
        <v>15124</v>
      </c>
      <c r="G666" s="155" t="s">
        <v>15123</v>
      </c>
      <c r="H666" s="113" t="s">
        <v>12531</v>
      </c>
      <c r="I666" s="4" t="s">
        <v>15123</v>
      </c>
      <c r="J666" s="155" t="s">
        <v>15124</v>
      </c>
      <c r="K666" s="2" t="s">
        <v>10537</v>
      </c>
    </row>
    <row r="667" spans="1:11" s="2" customFormat="1" x14ac:dyDescent="0.25">
      <c r="A667" s="114" t="s">
        <v>15125</v>
      </c>
      <c r="B667" s="4" t="s">
        <v>10121</v>
      </c>
      <c r="C667" s="113" t="s">
        <v>15364</v>
      </c>
      <c r="D667" s="155" t="s">
        <v>11529</v>
      </c>
      <c r="E667" s="159"/>
      <c r="F667" s="157" t="s">
        <v>15126</v>
      </c>
      <c r="G667" s="155" t="s">
        <v>10121</v>
      </c>
      <c r="H667" s="113" t="s">
        <v>12531</v>
      </c>
      <c r="I667" s="4" t="s">
        <v>10121</v>
      </c>
      <c r="J667" s="155" t="s">
        <v>15126</v>
      </c>
      <c r="K667" s="2" t="s">
        <v>15415</v>
      </c>
    </row>
    <row r="668" spans="1:11" s="2" customFormat="1" x14ac:dyDescent="0.25">
      <c r="A668" s="114" t="s">
        <v>15127</v>
      </c>
      <c r="B668" s="4" t="s">
        <v>15128</v>
      </c>
      <c r="C668" s="113" t="s">
        <v>15364</v>
      </c>
      <c r="D668" s="155" t="s">
        <v>11529</v>
      </c>
      <c r="E668" s="159"/>
      <c r="F668" s="157" t="s">
        <v>15130</v>
      </c>
      <c r="G668" s="155" t="s">
        <v>15129</v>
      </c>
      <c r="H668" s="113" t="s">
        <v>12531</v>
      </c>
      <c r="I668" s="4" t="s">
        <v>15128</v>
      </c>
      <c r="J668" s="155" t="s">
        <v>15130</v>
      </c>
      <c r="K668" s="2" t="s">
        <v>15128</v>
      </c>
    </row>
    <row r="669" spans="1:11" s="2" customFormat="1" x14ac:dyDescent="0.25">
      <c r="A669" s="114" t="s">
        <v>15131</v>
      </c>
      <c r="B669" s="4" t="s">
        <v>15132</v>
      </c>
      <c r="C669" s="113" t="s">
        <v>4</v>
      </c>
      <c r="D669" s="155" t="s">
        <v>15133</v>
      </c>
      <c r="E669" s="159">
        <v>545</v>
      </c>
      <c r="F669" s="157" t="s">
        <v>15134</v>
      </c>
      <c r="G669" s="155" t="s">
        <v>12531</v>
      </c>
      <c r="H669" s="113" t="s">
        <v>12531</v>
      </c>
      <c r="I669" s="4" t="s">
        <v>15132</v>
      </c>
      <c r="J669" s="155" t="s">
        <v>15134</v>
      </c>
      <c r="K669" s="2" t="s">
        <v>15376</v>
      </c>
    </row>
    <row r="670" spans="1:11" s="2" customFormat="1" x14ac:dyDescent="0.25">
      <c r="A670" s="114" t="s">
        <v>11709</v>
      </c>
      <c r="B670" s="4" t="s">
        <v>11710</v>
      </c>
      <c r="C670" s="113" t="s">
        <v>15363</v>
      </c>
      <c r="D670" s="155" t="s">
        <v>11711</v>
      </c>
      <c r="E670" s="159">
        <v>102</v>
      </c>
      <c r="F670" s="157" t="s">
        <v>11713</v>
      </c>
      <c r="G670" s="155" t="s">
        <v>11710</v>
      </c>
      <c r="H670" s="113" t="s">
        <v>11712</v>
      </c>
      <c r="I670" s="4" t="s">
        <v>11710</v>
      </c>
      <c r="J670" s="155" t="s">
        <v>11713</v>
      </c>
      <c r="K670" s="2" t="s">
        <v>9841</v>
      </c>
    </row>
    <row r="671" spans="1:11" s="2" customFormat="1" x14ac:dyDescent="0.25">
      <c r="A671" s="114" t="s">
        <v>11714</v>
      </c>
      <c r="B671" s="4" t="s">
        <v>11715</v>
      </c>
      <c r="C671" s="113" t="s">
        <v>15363</v>
      </c>
      <c r="D671" s="155" t="s">
        <v>11716</v>
      </c>
      <c r="E671" s="159">
        <v>0</v>
      </c>
      <c r="F671" s="157" t="s">
        <v>11717</v>
      </c>
      <c r="G671" s="155" t="s">
        <v>11715</v>
      </c>
      <c r="H671" s="113" t="s">
        <v>11712</v>
      </c>
      <c r="I671" s="4" t="s">
        <v>11715</v>
      </c>
      <c r="J671" s="155" t="s">
        <v>11717</v>
      </c>
      <c r="K671" s="2" t="s">
        <v>12379</v>
      </c>
    </row>
    <row r="672" spans="1:11" s="2" customFormat="1" x14ac:dyDescent="0.25">
      <c r="A672" s="114" t="s">
        <v>11718</v>
      </c>
      <c r="B672" s="4" t="s">
        <v>11719</v>
      </c>
      <c r="C672" s="113" t="s">
        <v>15363</v>
      </c>
      <c r="D672" s="155" t="s">
        <v>10009</v>
      </c>
      <c r="E672" s="159">
        <v>580</v>
      </c>
      <c r="F672" s="157" t="s">
        <v>11720</v>
      </c>
      <c r="G672" s="155" t="s">
        <v>11719</v>
      </c>
      <c r="H672" s="113" t="s">
        <v>11712</v>
      </c>
      <c r="I672" s="4" t="s">
        <v>11719</v>
      </c>
      <c r="J672" s="155" t="s">
        <v>11720</v>
      </c>
      <c r="K672" s="2" t="s">
        <v>9841</v>
      </c>
    </row>
    <row r="673" spans="1:11" s="2" customFormat="1" x14ac:dyDescent="0.25">
      <c r="A673" s="114" t="s">
        <v>11721</v>
      </c>
      <c r="B673" s="4" t="s">
        <v>11722</v>
      </c>
      <c r="C673" s="113" t="s">
        <v>15363</v>
      </c>
      <c r="D673" s="155" t="s">
        <v>11723</v>
      </c>
      <c r="E673" s="159"/>
      <c r="F673" s="157" t="s">
        <v>11724</v>
      </c>
      <c r="G673" s="155" t="s">
        <v>11722</v>
      </c>
      <c r="H673" s="113" t="s">
        <v>11712</v>
      </c>
      <c r="I673" s="4" t="s">
        <v>11722</v>
      </c>
      <c r="J673" s="155" t="s">
        <v>11724</v>
      </c>
      <c r="K673" s="2" t="s">
        <v>9841</v>
      </c>
    </row>
    <row r="674" spans="1:11" s="2" customFormat="1" x14ac:dyDescent="0.25">
      <c r="A674" s="114" t="s">
        <v>11725</v>
      </c>
      <c r="B674" s="4" t="s">
        <v>11726</v>
      </c>
      <c r="C674" s="113" t="s">
        <v>15363</v>
      </c>
      <c r="D674" s="155" t="s">
        <v>11727</v>
      </c>
      <c r="E674" s="159">
        <v>1000</v>
      </c>
      <c r="F674" s="157" t="s">
        <v>11728</v>
      </c>
      <c r="G674" s="155" t="s">
        <v>11726</v>
      </c>
      <c r="H674" s="113" t="s">
        <v>11712</v>
      </c>
      <c r="I674" s="4" t="s">
        <v>11726</v>
      </c>
      <c r="J674" s="155" t="s">
        <v>11728</v>
      </c>
      <c r="K674" s="2" t="s">
        <v>12379</v>
      </c>
    </row>
    <row r="675" spans="1:11" s="2" customFormat="1" x14ac:dyDescent="0.25">
      <c r="A675" s="114" t="s">
        <v>11729</v>
      </c>
      <c r="B675" s="4" t="s">
        <v>11730</v>
      </c>
      <c r="C675" s="113" t="s">
        <v>15363</v>
      </c>
      <c r="D675" s="155" t="s">
        <v>11731</v>
      </c>
      <c r="E675" s="159">
        <v>490</v>
      </c>
      <c r="F675" s="157" t="s">
        <v>11732</v>
      </c>
      <c r="G675" s="155" t="s">
        <v>11730</v>
      </c>
      <c r="H675" s="113" t="s">
        <v>11712</v>
      </c>
      <c r="I675" s="4" t="s">
        <v>11730</v>
      </c>
      <c r="J675" s="155" t="s">
        <v>11732</v>
      </c>
      <c r="K675" s="2" t="s">
        <v>10269</v>
      </c>
    </row>
    <row r="676" spans="1:11" s="2" customFormat="1" x14ac:dyDescent="0.25">
      <c r="A676" s="114" t="s">
        <v>11733</v>
      </c>
      <c r="B676" s="4" t="s">
        <v>11734</v>
      </c>
      <c r="C676" s="113" t="s">
        <v>15363</v>
      </c>
      <c r="D676" s="155" t="s">
        <v>11735</v>
      </c>
      <c r="E676" s="159">
        <v>150</v>
      </c>
      <c r="F676" s="157" t="s">
        <v>11736</v>
      </c>
      <c r="G676" s="155" t="s">
        <v>11734</v>
      </c>
      <c r="H676" s="113" t="s">
        <v>11712</v>
      </c>
      <c r="I676" s="4" t="s">
        <v>11734</v>
      </c>
      <c r="J676" s="155" t="s">
        <v>11736</v>
      </c>
      <c r="K676" s="2" t="s">
        <v>15424</v>
      </c>
    </row>
    <row r="677" spans="1:11" s="2" customFormat="1" x14ac:dyDescent="0.25">
      <c r="A677" s="114" t="s">
        <v>11737</v>
      </c>
      <c r="B677" s="4" t="s">
        <v>11738</v>
      </c>
      <c r="C677" s="113" t="s">
        <v>15363</v>
      </c>
      <c r="D677" s="155" t="s">
        <v>11739</v>
      </c>
      <c r="E677" s="159">
        <v>0</v>
      </c>
      <c r="F677" s="157" t="s">
        <v>11740</v>
      </c>
      <c r="G677" s="155" t="s">
        <v>11738</v>
      </c>
      <c r="H677" s="113" t="s">
        <v>11712</v>
      </c>
      <c r="I677" s="4" t="s">
        <v>11738</v>
      </c>
      <c r="J677" s="155" t="s">
        <v>11740</v>
      </c>
      <c r="K677" s="2" t="s">
        <v>15424</v>
      </c>
    </row>
    <row r="678" spans="1:11" s="2" customFormat="1" x14ac:dyDescent="0.25">
      <c r="A678" s="114" t="s">
        <v>11741</v>
      </c>
      <c r="B678" s="4" t="s">
        <v>11742</v>
      </c>
      <c r="C678" s="113" t="s">
        <v>15363</v>
      </c>
      <c r="D678" s="155" t="s">
        <v>9764</v>
      </c>
      <c r="E678" s="159">
        <v>100</v>
      </c>
      <c r="F678" s="157" t="s">
        <v>11744</v>
      </c>
      <c r="G678" s="155" t="s">
        <v>11743</v>
      </c>
      <c r="H678" s="113" t="s">
        <v>11712</v>
      </c>
      <c r="I678" s="4" t="s">
        <v>11742</v>
      </c>
      <c r="J678" s="155" t="s">
        <v>11744</v>
      </c>
      <c r="K678" s="2" t="s">
        <v>13686</v>
      </c>
    </row>
    <row r="679" spans="1:11" s="2" customFormat="1" x14ac:dyDescent="0.25">
      <c r="A679" s="114" t="s">
        <v>11745</v>
      </c>
      <c r="B679" s="4" t="s">
        <v>11746</v>
      </c>
      <c r="C679" s="113" t="s">
        <v>15363</v>
      </c>
      <c r="D679" s="155" t="s">
        <v>10500</v>
      </c>
      <c r="E679" s="159">
        <v>304</v>
      </c>
      <c r="F679" s="157" t="s">
        <v>11747</v>
      </c>
      <c r="G679" s="155" t="s">
        <v>11746</v>
      </c>
      <c r="H679" s="113" t="s">
        <v>11712</v>
      </c>
      <c r="I679" s="4" t="s">
        <v>11746</v>
      </c>
      <c r="J679" s="155" t="s">
        <v>11747</v>
      </c>
      <c r="K679" s="2" t="s">
        <v>10231</v>
      </c>
    </row>
    <row r="680" spans="1:11" s="2" customFormat="1" x14ac:dyDescent="0.25">
      <c r="A680" s="114" t="s">
        <v>11748</v>
      </c>
      <c r="B680" s="4" t="s">
        <v>11749</v>
      </c>
      <c r="C680" s="113" t="s">
        <v>15363</v>
      </c>
      <c r="D680" s="155" t="s">
        <v>11750</v>
      </c>
      <c r="E680" s="159">
        <v>268</v>
      </c>
      <c r="F680" s="157" t="s">
        <v>11752</v>
      </c>
      <c r="G680" s="155" t="s">
        <v>11751</v>
      </c>
      <c r="H680" s="113" t="s">
        <v>11712</v>
      </c>
      <c r="I680" s="4" t="s">
        <v>11749</v>
      </c>
      <c r="J680" s="155" t="s">
        <v>11752</v>
      </c>
      <c r="K680" s="2" t="s">
        <v>15425</v>
      </c>
    </row>
    <row r="681" spans="1:11" s="2" customFormat="1" x14ac:dyDescent="0.25">
      <c r="A681" s="114" t="s">
        <v>11753</v>
      </c>
      <c r="B681" s="4" t="s">
        <v>11754</v>
      </c>
      <c r="C681" s="113" t="s">
        <v>15363</v>
      </c>
      <c r="D681" s="155" t="s">
        <v>11755</v>
      </c>
      <c r="E681" s="159"/>
      <c r="F681" s="157" t="s">
        <v>11756</v>
      </c>
      <c r="G681" s="155" t="s">
        <v>11754</v>
      </c>
      <c r="H681" s="113" t="s">
        <v>11712</v>
      </c>
      <c r="I681" s="4" t="s">
        <v>11754</v>
      </c>
      <c r="J681" s="155" t="s">
        <v>11756</v>
      </c>
      <c r="K681" s="2" t="s">
        <v>9981</v>
      </c>
    </row>
    <row r="682" spans="1:11" s="2" customFormat="1" x14ac:dyDescent="0.25">
      <c r="A682" s="114" t="s">
        <v>11757</v>
      </c>
      <c r="B682" s="4" t="s">
        <v>11758</v>
      </c>
      <c r="C682" s="113" t="s">
        <v>15363</v>
      </c>
      <c r="D682" s="155" t="s">
        <v>10189</v>
      </c>
      <c r="E682" s="159">
        <v>490</v>
      </c>
      <c r="F682" s="157" t="s">
        <v>11760</v>
      </c>
      <c r="G682" s="155" t="s">
        <v>11759</v>
      </c>
      <c r="H682" s="113" t="s">
        <v>11712</v>
      </c>
      <c r="I682" s="4" t="s">
        <v>11758</v>
      </c>
      <c r="J682" s="155" t="s">
        <v>11760</v>
      </c>
      <c r="K682" s="2" t="s">
        <v>15426</v>
      </c>
    </row>
    <row r="683" spans="1:11" s="2" customFormat="1" x14ac:dyDescent="0.25">
      <c r="A683" s="114" t="s">
        <v>11761</v>
      </c>
      <c r="B683" s="4" t="s">
        <v>11762</v>
      </c>
      <c r="C683" s="113" t="s">
        <v>15363</v>
      </c>
      <c r="D683" s="155" t="s">
        <v>10467</v>
      </c>
      <c r="E683" s="159">
        <v>502</v>
      </c>
      <c r="F683" s="157" t="s">
        <v>11764</v>
      </c>
      <c r="G683" s="155" t="s">
        <v>11763</v>
      </c>
      <c r="H683" s="113" t="s">
        <v>11712</v>
      </c>
      <c r="I683" s="4" t="s">
        <v>11762</v>
      </c>
      <c r="J683" s="155" t="s">
        <v>11764</v>
      </c>
      <c r="K683" s="2" t="s">
        <v>9981</v>
      </c>
    </row>
    <row r="684" spans="1:11" s="2" customFormat="1" x14ac:dyDescent="0.25">
      <c r="A684" s="114" t="s">
        <v>11765</v>
      </c>
      <c r="B684" s="4" t="s">
        <v>11766</v>
      </c>
      <c r="C684" s="113" t="s">
        <v>15363</v>
      </c>
      <c r="D684" s="155" t="s">
        <v>9764</v>
      </c>
      <c r="E684" s="159">
        <v>0</v>
      </c>
      <c r="F684" s="157" t="s">
        <v>11768</v>
      </c>
      <c r="G684" s="155" t="s">
        <v>11767</v>
      </c>
      <c r="H684" s="113" t="s">
        <v>11712</v>
      </c>
      <c r="I684" s="4" t="s">
        <v>11766</v>
      </c>
      <c r="J684" s="155" t="s">
        <v>11768</v>
      </c>
      <c r="K684" s="2" t="s">
        <v>13393</v>
      </c>
    </row>
    <row r="685" spans="1:11" s="2" customFormat="1" x14ac:dyDescent="0.25">
      <c r="A685" s="114" t="s">
        <v>11769</v>
      </c>
      <c r="B685" s="4" t="s">
        <v>11770</v>
      </c>
      <c r="C685" s="113" t="s">
        <v>15363</v>
      </c>
      <c r="D685" s="155" t="s">
        <v>9775</v>
      </c>
      <c r="E685" s="159">
        <v>374</v>
      </c>
      <c r="F685" s="157" t="s">
        <v>11771</v>
      </c>
      <c r="G685" s="155" t="s">
        <v>11770</v>
      </c>
      <c r="H685" s="113" t="s">
        <v>11712</v>
      </c>
      <c r="I685" s="4" t="s">
        <v>11770</v>
      </c>
      <c r="J685" s="155" t="s">
        <v>11771</v>
      </c>
      <c r="K685" s="2" t="s">
        <v>10934</v>
      </c>
    </row>
    <row r="686" spans="1:11" s="2" customFormat="1" x14ac:dyDescent="0.25">
      <c r="A686" s="114" t="s">
        <v>11772</v>
      </c>
      <c r="B686" s="4" t="s">
        <v>11773</v>
      </c>
      <c r="C686" s="113" t="s">
        <v>15363</v>
      </c>
      <c r="D686" s="155" t="s">
        <v>11774</v>
      </c>
      <c r="E686" s="159"/>
      <c r="F686" s="157" t="s">
        <v>11776</v>
      </c>
      <c r="G686" s="155" t="s">
        <v>11775</v>
      </c>
      <c r="H686" s="113" t="s">
        <v>11712</v>
      </c>
      <c r="I686" s="4" t="s">
        <v>11773</v>
      </c>
      <c r="J686" s="155" t="s">
        <v>11776</v>
      </c>
      <c r="K686" s="2" t="s">
        <v>13970</v>
      </c>
    </row>
    <row r="687" spans="1:11" s="2" customFormat="1" x14ac:dyDescent="0.25">
      <c r="A687" s="114" t="s">
        <v>11777</v>
      </c>
      <c r="B687" s="4" t="s">
        <v>11778</v>
      </c>
      <c r="C687" s="113" t="s">
        <v>15363</v>
      </c>
      <c r="D687" s="155" t="s">
        <v>11779</v>
      </c>
      <c r="E687" s="159">
        <v>147</v>
      </c>
      <c r="F687" s="157" t="s">
        <v>11780</v>
      </c>
      <c r="G687" s="155" t="s">
        <v>11778</v>
      </c>
      <c r="H687" s="113" t="s">
        <v>11712</v>
      </c>
      <c r="I687" s="4" t="s">
        <v>11778</v>
      </c>
      <c r="J687" s="155" t="s">
        <v>11780</v>
      </c>
      <c r="K687" s="2" t="s">
        <v>13393</v>
      </c>
    </row>
    <row r="688" spans="1:11" s="2" customFormat="1" x14ac:dyDescent="0.25">
      <c r="A688" s="114" t="s">
        <v>11781</v>
      </c>
      <c r="B688" s="4" t="s">
        <v>11782</v>
      </c>
      <c r="C688" s="113" t="s">
        <v>15363</v>
      </c>
      <c r="D688" s="155" t="s">
        <v>11783</v>
      </c>
      <c r="E688" s="159">
        <v>0</v>
      </c>
      <c r="F688" s="157" t="s">
        <v>11784</v>
      </c>
      <c r="G688" s="155" t="s">
        <v>11782</v>
      </c>
      <c r="H688" s="113" t="s">
        <v>11712</v>
      </c>
      <c r="I688" s="4" t="s">
        <v>11782</v>
      </c>
      <c r="J688" s="155" t="s">
        <v>11784</v>
      </c>
      <c r="K688" s="2" t="s">
        <v>15427</v>
      </c>
    </row>
    <row r="689" spans="1:11" s="2" customFormat="1" x14ac:dyDescent="0.25">
      <c r="A689" s="114" t="s">
        <v>11785</v>
      </c>
      <c r="B689" s="4" t="s">
        <v>11786</v>
      </c>
      <c r="C689" s="113" t="s">
        <v>15363</v>
      </c>
      <c r="D689" s="155" t="s">
        <v>10443</v>
      </c>
      <c r="E689" s="159">
        <v>1</v>
      </c>
      <c r="F689" s="157" t="s">
        <v>11787</v>
      </c>
      <c r="G689" s="155" t="s">
        <v>11786</v>
      </c>
      <c r="H689" s="113" t="s">
        <v>11712</v>
      </c>
      <c r="I689" s="4" t="s">
        <v>11786</v>
      </c>
      <c r="J689" s="155" t="s">
        <v>11787</v>
      </c>
      <c r="K689" s="2" t="s">
        <v>15427</v>
      </c>
    </row>
    <row r="690" spans="1:11" s="2" customFormat="1" x14ac:dyDescent="0.25">
      <c r="A690" s="114" t="s">
        <v>11788</v>
      </c>
      <c r="B690" s="4" t="s">
        <v>11789</v>
      </c>
      <c r="C690" s="113" t="s">
        <v>15363</v>
      </c>
      <c r="D690" s="155" t="s">
        <v>10199</v>
      </c>
      <c r="E690" s="159">
        <v>1031</v>
      </c>
      <c r="F690" s="157" t="s">
        <v>11790</v>
      </c>
      <c r="G690" s="155" t="s">
        <v>11789</v>
      </c>
      <c r="H690" s="113" t="s">
        <v>11712</v>
      </c>
      <c r="I690" s="4" t="s">
        <v>11789</v>
      </c>
      <c r="J690" s="155" t="s">
        <v>11790</v>
      </c>
      <c r="K690" s="2" t="s">
        <v>9810</v>
      </c>
    </row>
    <row r="691" spans="1:11" s="2" customFormat="1" x14ac:dyDescent="0.25">
      <c r="A691" s="114" t="s">
        <v>11791</v>
      </c>
      <c r="B691" s="4" t="s">
        <v>11792</v>
      </c>
      <c r="C691" s="113" t="s">
        <v>15363</v>
      </c>
      <c r="D691" s="155" t="s">
        <v>11793</v>
      </c>
      <c r="E691" s="159">
        <v>100</v>
      </c>
      <c r="F691" s="157" t="s">
        <v>11794</v>
      </c>
      <c r="G691" s="155" t="s">
        <v>11792</v>
      </c>
      <c r="H691" s="113" t="s">
        <v>11712</v>
      </c>
      <c r="I691" s="4" t="s">
        <v>11792</v>
      </c>
      <c r="J691" s="155" t="s">
        <v>11794</v>
      </c>
      <c r="K691" s="2" t="s">
        <v>13393</v>
      </c>
    </row>
    <row r="692" spans="1:11" s="2" customFormat="1" x14ac:dyDescent="0.25">
      <c r="A692" s="114" t="s">
        <v>11795</v>
      </c>
      <c r="B692" s="4" t="s">
        <v>11796</v>
      </c>
      <c r="C692" s="113" t="s">
        <v>15363</v>
      </c>
      <c r="D692" s="155" t="s">
        <v>10485</v>
      </c>
      <c r="E692" s="159">
        <v>1007</v>
      </c>
      <c r="F692" s="157" t="s">
        <v>11797</v>
      </c>
      <c r="G692" s="155" t="s">
        <v>11796</v>
      </c>
      <c r="H692" s="113" t="s">
        <v>11712</v>
      </c>
      <c r="I692" s="4" t="s">
        <v>11796</v>
      </c>
      <c r="J692" s="155" t="s">
        <v>11797</v>
      </c>
      <c r="K692" s="2" t="s">
        <v>10522</v>
      </c>
    </row>
    <row r="693" spans="1:11" s="2" customFormat="1" x14ac:dyDescent="0.25">
      <c r="A693" s="114" t="s">
        <v>11798</v>
      </c>
      <c r="B693" s="4" t="s">
        <v>11799</v>
      </c>
      <c r="C693" s="113" t="s">
        <v>15363</v>
      </c>
      <c r="D693" s="155" t="s">
        <v>10189</v>
      </c>
      <c r="E693" s="159">
        <v>198</v>
      </c>
      <c r="F693" s="157" t="s">
        <v>11800</v>
      </c>
      <c r="G693" s="155" t="s">
        <v>11799</v>
      </c>
      <c r="H693" s="113" t="s">
        <v>11712</v>
      </c>
      <c r="I693" s="4" t="s">
        <v>11799</v>
      </c>
      <c r="J693" s="155" t="s">
        <v>11800</v>
      </c>
      <c r="K693" s="2" t="s">
        <v>9887</v>
      </c>
    </row>
    <row r="694" spans="1:11" s="2" customFormat="1" x14ac:dyDescent="0.25">
      <c r="A694" s="114" t="s">
        <v>11801</v>
      </c>
      <c r="B694" s="4" t="s">
        <v>11802</v>
      </c>
      <c r="C694" s="113" t="s">
        <v>15363</v>
      </c>
      <c r="D694" s="155" t="s">
        <v>9764</v>
      </c>
      <c r="E694" s="159">
        <v>100</v>
      </c>
      <c r="F694" s="157" t="s">
        <v>11803</v>
      </c>
      <c r="G694" s="155" t="s">
        <v>11802</v>
      </c>
      <c r="H694" s="113" t="s">
        <v>11712</v>
      </c>
      <c r="I694" s="4" t="s">
        <v>11802</v>
      </c>
      <c r="J694" s="155" t="s">
        <v>11803</v>
      </c>
      <c r="K694" s="2" t="s">
        <v>15427</v>
      </c>
    </row>
    <row r="695" spans="1:11" s="2" customFormat="1" x14ac:dyDescent="0.25">
      <c r="A695" s="114" t="s">
        <v>11804</v>
      </c>
      <c r="B695" s="4" t="s">
        <v>11805</v>
      </c>
      <c r="C695" s="113" t="s">
        <v>15363</v>
      </c>
      <c r="D695" s="155" t="s">
        <v>10181</v>
      </c>
      <c r="E695" s="159">
        <v>100</v>
      </c>
      <c r="F695" s="157" t="s">
        <v>11806</v>
      </c>
      <c r="G695" s="155" t="s">
        <v>11805</v>
      </c>
      <c r="H695" s="113" t="s">
        <v>11712</v>
      </c>
      <c r="I695" s="4" t="s">
        <v>11805</v>
      </c>
      <c r="J695" s="155" t="s">
        <v>11806</v>
      </c>
      <c r="K695" s="2" t="s">
        <v>11851</v>
      </c>
    </row>
    <row r="696" spans="1:11" s="2" customFormat="1" x14ac:dyDescent="0.25">
      <c r="A696" s="114" t="s">
        <v>11807</v>
      </c>
      <c r="B696" s="4" t="s">
        <v>11808</v>
      </c>
      <c r="C696" s="113" t="s">
        <v>15363</v>
      </c>
      <c r="D696" s="155" t="s">
        <v>11809</v>
      </c>
      <c r="E696" s="159">
        <v>391</v>
      </c>
      <c r="F696" s="157" t="s">
        <v>11810</v>
      </c>
      <c r="G696" s="155" t="s">
        <v>11808</v>
      </c>
      <c r="H696" s="113" t="s">
        <v>11712</v>
      </c>
      <c r="I696" s="4" t="s">
        <v>11808</v>
      </c>
      <c r="J696" s="155" t="s">
        <v>11810</v>
      </c>
      <c r="K696" s="2" t="s">
        <v>15426</v>
      </c>
    </row>
    <row r="697" spans="1:11" s="2" customFormat="1" x14ac:dyDescent="0.25">
      <c r="A697" s="114" t="s">
        <v>11811</v>
      </c>
      <c r="B697" s="4" t="s">
        <v>11812</v>
      </c>
      <c r="C697" s="113" t="s">
        <v>15363</v>
      </c>
      <c r="D697" s="155" t="s">
        <v>10181</v>
      </c>
      <c r="E697" s="159">
        <v>358</v>
      </c>
      <c r="F697" s="157" t="s">
        <v>11813</v>
      </c>
      <c r="G697" s="155" t="s">
        <v>11812</v>
      </c>
      <c r="H697" s="113" t="s">
        <v>11712</v>
      </c>
      <c r="I697" s="4" t="s">
        <v>11812</v>
      </c>
      <c r="J697" s="155" t="s">
        <v>11813</v>
      </c>
      <c r="K697" s="2" t="s">
        <v>13686</v>
      </c>
    </row>
    <row r="698" spans="1:11" s="2" customFormat="1" x14ac:dyDescent="0.25">
      <c r="A698" s="114" t="s">
        <v>11814</v>
      </c>
      <c r="B698" s="4" t="s">
        <v>11815</v>
      </c>
      <c r="C698" s="113" t="s">
        <v>15363</v>
      </c>
      <c r="D698" s="155" t="s">
        <v>10317</v>
      </c>
      <c r="E698" s="159">
        <v>100</v>
      </c>
      <c r="F698" s="157" t="s">
        <v>11817</v>
      </c>
      <c r="G698" s="155" t="s">
        <v>11816</v>
      </c>
      <c r="H698" s="113" t="s">
        <v>11712</v>
      </c>
      <c r="I698" s="4" t="s">
        <v>11815</v>
      </c>
      <c r="J698" s="155" t="s">
        <v>11817</v>
      </c>
      <c r="K698" s="2" t="s">
        <v>11816</v>
      </c>
    </row>
    <row r="699" spans="1:11" s="2" customFormat="1" x14ac:dyDescent="0.25">
      <c r="A699" s="114" t="s">
        <v>11818</v>
      </c>
      <c r="B699" s="4" t="s">
        <v>11819</v>
      </c>
      <c r="C699" s="113" t="s">
        <v>15363</v>
      </c>
      <c r="D699" s="155" t="s">
        <v>9819</v>
      </c>
      <c r="E699" s="159">
        <v>100</v>
      </c>
      <c r="F699" s="157" t="s">
        <v>11821</v>
      </c>
      <c r="G699" s="155" t="s">
        <v>11820</v>
      </c>
      <c r="H699" s="113" t="s">
        <v>11712</v>
      </c>
      <c r="I699" s="4" t="s">
        <v>11819</v>
      </c>
      <c r="J699" s="155" t="s">
        <v>11821</v>
      </c>
      <c r="K699" s="2" t="s">
        <v>15426</v>
      </c>
    </row>
    <row r="700" spans="1:11" s="2" customFormat="1" x14ac:dyDescent="0.25">
      <c r="A700" s="114" t="s">
        <v>11822</v>
      </c>
      <c r="B700" s="4" t="s">
        <v>11823</v>
      </c>
      <c r="C700" s="113" t="s">
        <v>15363</v>
      </c>
      <c r="D700" s="155" t="s">
        <v>10059</v>
      </c>
      <c r="E700" s="159">
        <v>601</v>
      </c>
      <c r="F700" s="157" t="s">
        <v>11825</v>
      </c>
      <c r="G700" s="155" t="s">
        <v>11824</v>
      </c>
      <c r="H700" s="113" t="s">
        <v>11712</v>
      </c>
      <c r="I700" s="4" t="s">
        <v>11823</v>
      </c>
      <c r="J700" s="155" t="s">
        <v>11825</v>
      </c>
      <c r="K700" s="2" t="s">
        <v>15428</v>
      </c>
    </row>
    <row r="701" spans="1:11" s="2" customFormat="1" x14ac:dyDescent="0.25">
      <c r="A701" s="114" t="s">
        <v>11826</v>
      </c>
      <c r="B701" s="4" t="s">
        <v>11827</v>
      </c>
      <c r="C701" s="113" t="s">
        <v>15363</v>
      </c>
      <c r="D701" s="155" t="s">
        <v>9981</v>
      </c>
      <c r="E701" s="159">
        <v>135</v>
      </c>
      <c r="F701" s="157" t="s">
        <v>11828</v>
      </c>
      <c r="G701" s="155" t="s">
        <v>11827</v>
      </c>
      <c r="H701" s="113" t="s">
        <v>11712</v>
      </c>
      <c r="I701" s="4" t="s">
        <v>11827</v>
      </c>
      <c r="J701" s="155" t="s">
        <v>11828</v>
      </c>
      <c r="K701" s="2" t="s">
        <v>10104</v>
      </c>
    </row>
    <row r="702" spans="1:11" s="2" customFormat="1" x14ac:dyDescent="0.25">
      <c r="A702" s="114" t="s">
        <v>11829</v>
      </c>
      <c r="B702" s="4" t="s">
        <v>11830</v>
      </c>
      <c r="C702" s="113" t="s">
        <v>15363</v>
      </c>
      <c r="D702" s="155" t="s">
        <v>11831</v>
      </c>
      <c r="E702" s="159">
        <v>0</v>
      </c>
      <c r="F702" s="157" t="s">
        <v>11832</v>
      </c>
      <c r="G702" s="155" t="s">
        <v>11830</v>
      </c>
      <c r="H702" s="113" t="s">
        <v>11712</v>
      </c>
      <c r="I702" s="4" t="s">
        <v>11830</v>
      </c>
      <c r="J702" s="155" t="s">
        <v>11832</v>
      </c>
      <c r="K702" s="2" t="s">
        <v>9841</v>
      </c>
    </row>
    <row r="703" spans="1:11" s="2" customFormat="1" x14ac:dyDescent="0.25">
      <c r="A703" s="114" t="s">
        <v>11833</v>
      </c>
      <c r="B703" s="4" t="s">
        <v>11834</v>
      </c>
      <c r="C703" s="113" t="s">
        <v>15363</v>
      </c>
      <c r="D703" s="155" t="s">
        <v>10297</v>
      </c>
      <c r="E703" s="159">
        <v>575</v>
      </c>
      <c r="F703" s="157" t="s">
        <v>11835</v>
      </c>
      <c r="G703" s="155" t="s">
        <v>11834</v>
      </c>
      <c r="H703" s="113" t="s">
        <v>11712</v>
      </c>
      <c r="I703" s="4" t="s">
        <v>11834</v>
      </c>
      <c r="J703" s="155" t="s">
        <v>11835</v>
      </c>
      <c r="K703" s="2" t="s">
        <v>11834</v>
      </c>
    </row>
    <row r="704" spans="1:11" s="2" customFormat="1" x14ac:dyDescent="0.25">
      <c r="A704" s="114" t="s">
        <v>11836</v>
      </c>
      <c r="B704" s="4" t="s">
        <v>10451</v>
      </c>
      <c r="C704" s="113" t="s">
        <v>15363</v>
      </c>
      <c r="D704" s="155" t="s">
        <v>11837</v>
      </c>
      <c r="E704" s="159">
        <v>0</v>
      </c>
      <c r="F704" s="157" t="s">
        <v>11838</v>
      </c>
      <c r="G704" s="155" t="s">
        <v>10451</v>
      </c>
      <c r="H704" s="113" t="s">
        <v>11712</v>
      </c>
      <c r="I704" s="4" t="s">
        <v>10451</v>
      </c>
      <c r="J704" s="155" t="s">
        <v>11838</v>
      </c>
      <c r="K704" s="2" t="s">
        <v>10522</v>
      </c>
    </row>
    <row r="705" spans="1:11" s="2" customFormat="1" x14ac:dyDescent="0.25">
      <c r="A705" s="114" t="s">
        <v>11839</v>
      </c>
      <c r="B705" s="4" t="s">
        <v>11840</v>
      </c>
      <c r="C705" s="113" t="s">
        <v>15363</v>
      </c>
      <c r="D705" s="155" t="s">
        <v>11841</v>
      </c>
      <c r="E705" s="159">
        <v>233</v>
      </c>
      <c r="F705" s="157" t="s">
        <v>11842</v>
      </c>
      <c r="G705" s="155" t="s">
        <v>11840</v>
      </c>
      <c r="H705" s="113" t="s">
        <v>11712</v>
      </c>
      <c r="I705" s="4" t="s">
        <v>11840</v>
      </c>
      <c r="J705" s="155" t="s">
        <v>11842</v>
      </c>
      <c r="K705" s="2" t="s">
        <v>15429</v>
      </c>
    </row>
    <row r="706" spans="1:11" s="2" customFormat="1" x14ac:dyDescent="0.25">
      <c r="A706" s="114" t="s">
        <v>11843</v>
      </c>
      <c r="B706" s="4" t="s">
        <v>11844</v>
      </c>
      <c r="C706" s="113" t="s">
        <v>15363</v>
      </c>
      <c r="D706" s="155" t="s">
        <v>10878</v>
      </c>
      <c r="E706" s="159">
        <v>0</v>
      </c>
      <c r="F706" s="157" t="s">
        <v>11845</v>
      </c>
      <c r="G706" s="155" t="s">
        <v>11844</v>
      </c>
      <c r="H706" s="113" t="s">
        <v>11712</v>
      </c>
      <c r="I706" s="4" t="s">
        <v>11844</v>
      </c>
      <c r="J706" s="155" t="s">
        <v>11845</v>
      </c>
      <c r="K706" s="2" t="s">
        <v>13686</v>
      </c>
    </row>
    <row r="707" spans="1:11" s="2" customFormat="1" x14ac:dyDescent="0.25">
      <c r="A707" s="114" t="s">
        <v>11846</v>
      </c>
      <c r="B707" s="4" t="s">
        <v>11847</v>
      </c>
      <c r="C707" s="113" t="s">
        <v>15363</v>
      </c>
      <c r="D707" s="155" t="s">
        <v>10826</v>
      </c>
      <c r="E707" s="159">
        <v>199</v>
      </c>
      <c r="F707" s="157" t="s">
        <v>11848</v>
      </c>
      <c r="G707" s="155" t="s">
        <v>11847</v>
      </c>
      <c r="H707" s="113" t="s">
        <v>11712</v>
      </c>
      <c r="I707" s="4" t="s">
        <v>11847</v>
      </c>
      <c r="J707" s="155" t="s">
        <v>11848</v>
      </c>
      <c r="K707" s="2" t="s">
        <v>10748</v>
      </c>
    </row>
    <row r="708" spans="1:11" s="2" customFormat="1" x14ac:dyDescent="0.25">
      <c r="A708" s="114" t="s">
        <v>11849</v>
      </c>
      <c r="B708" s="4" t="s">
        <v>11850</v>
      </c>
      <c r="C708" s="113" t="s">
        <v>15363</v>
      </c>
      <c r="D708" s="155" t="s">
        <v>11851</v>
      </c>
      <c r="E708" s="159">
        <v>199</v>
      </c>
      <c r="F708" s="157" t="s">
        <v>11852</v>
      </c>
      <c r="G708" s="155" t="s">
        <v>11850</v>
      </c>
      <c r="H708" s="113" t="s">
        <v>11712</v>
      </c>
      <c r="I708" s="4" t="s">
        <v>11850</v>
      </c>
      <c r="J708" s="155" t="s">
        <v>11852</v>
      </c>
      <c r="K708" s="2" t="s">
        <v>15425</v>
      </c>
    </row>
    <row r="709" spans="1:11" s="2" customFormat="1" x14ac:dyDescent="0.25">
      <c r="A709" s="114" t="s">
        <v>11853</v>
      </c>
      <c r="B709" s="4" t="s">
        <v>11854</v>
      </c>
      <c r="C709" s="113" t="s">
        <v>15363</v>
      </c>
      <c r="D709" s="155" t="s">
        <v>11855</v>
      </c>
      <c r="E709" s="159">
        <v>250</v>
      </c>
      <c r="F709" s="157" t="s">
        <v>11856</v>
      </c>
      <c r="G709" s="155" t="s">
        <v>11854</v>
      </c>
      <c r="H709" s="113" t="s">
        <v>11712</v>
      </c>
      <c r="I709" s="4" t="s">
        <v>11854</v>
      </c>
      <c r="J709" s="155" t="s">
        <v>11856</v>
      </c>
      <c r="K709" s="2" t="s">
        <v>12712</v>
      </c>
    </row>
    <row r="710" spans="1:11" s="2" customFormat="1" x14ac:dyDescent="0.25">
      <c r="A710" s="114" t="s">
        <v>11857</v>
      </c>
      <c r="B710" s="4" t="s">
        <v>11858</v>
      </c>
      <c r="C710" s="113" t="s">
        <v>15364</v>
      </c>
      <c r="D710" s="155" t="s">
        <v>11859</v>
      </c>
      <c r="E710" s="159"/>
      <c r="F710" s="157" t="s">
        <v>11860</v>
      </c>
      <c r="G710" s="155" t="s">
        <v>11858</v>
      </c>
      <c r="H710" s="113" t="s">
        <v>11712</v>
      </c>
      <c r="I710" s="4" t="s">
        <v>11858</v>
      </c>
      <c r="J710" s="155" t="s">
        <v>11860</v>
      </c>
      <c r="K710" s="2" t="s">
        <v>15430</v>
      </c>
    </row>
    <row r="711" spans="1:11" s="2" customFormat="1" x14ac:dyDescent="0.25">
      <c r="A711" s="114" t="s">
        <v>11861</v>
      </c>
      <c r="B711" s="4" t="s">
        <v>11862</v>
      </c>
      <c r="C711" s="113" t="s">
        <v>15364</v>
      </c>
      <c r="D711" s="155" t="s">
        <v>11859</v>
      </c>
      <c r="E711" s="159"/>
      <c r="F711" s="157" t="s">
        <v>11863</v>
      </c>
      <c r="G711" s="155" t="s">
        <v>11862</v>
      </c>
      <c r="H711" s="113" t="s">
        <v>11712</v>
      </c>
      <c r="I711" s="4" t="s">
        <v>11862</v>
      </c>
      <c r="J711" s="155" t="s">
        <v>11863</v>
      </c>
      <c r="K711" s="2" t="s">
        <v>9841</v>
      </c>
    </row>
    <row r="712" spans="1:11" s="2" customFormat="1" x14ac:dyDescent="0.25">
      <c r="A712" s="114" t="s">
        <v>11864</v>
      </c>
      <c r="B712" s="4" t="s">
        <v>11865</v>
      </c>
      <c r="C712" s="113" t="s">
        <v>15364</v>
      </c>
      <c r="D712" s="155" t="s">
        <v>11859</v>
      </c>
      <c r="E712" s="159"/>
      <c r="F712" s="157" t="s">
        <v>11866</v>
      </c>
      <c r="G712" s="155" t="s">
        <v>11865</v>
      </c>
      <c r="H712" s="113" t="s">
        <v>11712</v>
      </c>
      <c r="I712" s="4" t="s">
        <v>11865</v>
      </c>
      <c r="J712" s="155" t="s">
        <v>11866</v>
      </c>
      <c r="K712" s="2" t="s">
        <v>13393</v>
      </c>
    </row>
    <row r="713" spans="1:11" s="2" customFormat="1" x14ac:dyDescent="0.25">
      <c r="A713" s="114" t="s">
        <v>11867</v>
      </c>
      <c r="B713" s="4" t="s">
        <v>11868</v>
      </c>
      <c r="C713" s="113" t="s">
        <v>15363</v>
      </c>
      <c r="D713" s="155" t="s">
        <v>11869</v>
      </c>
      <c r="E713" s="159">
        <v>0</v>
      </c>
      <c r="F713" s="157" t="s">
        <v>11870</v>
      </c>
      <c r="G713" s="155" t="s">
        <v>11868</v>
      </c>
      <c r="H713" s="113" t="s">
        <v>11712</v>
      </c>
      <c r="I713" s="4" t="s">
        <v>11868</v>
      </c>
      <c r="J713" s="155" t="s">
        <v>11870</v>
      </c>
      <c r="K713" s="2" t="s">
        <v>10522</v>
      </c>
    </row>
    <row r="714" spans="1:11" s="2" customFormat="1" x14ac:dyDescent="0.25">
      <c r="A714" s="114" t="s">
        <v>11871</v>
      </c>
      <c r="B714" s="4" t="s">
        <v>11872</v>
      </c>
      <c r="C714" s="113" t="s">
        <v>15364</v>
      </c>
      <c r="D714" s="155" t="s">
        <v>11873</v>
      </c>
      <c r="E714" s="159">
        <v>100</v>
      </c>
      <c r="F714" s="157" t="s">
        <v>11874</v>
      </c>
      <c r="G714" s="155" t="s">
        <v>11872</v>
      </c>
      <c r="H714" s="113" t="s">
        <v>11712</v>
      </c>
      <c r="I714" s="4" t="s">
        <v>11872</v>
      </c>
      <c r="J714" s="155" t="s">
        <v>11874</v>
      </c>
      <c r="K714" s="2" t="s">
        <v>13686</v>
      </c>
    </row>
    <row r="715" spans="1:11" s="2" customFormat="1" x14ac:dyDescent="0.25">
      <c r="A715" s="114" t="s">
        <v>11875</v>
      </c>
      <c r="B715" s="4" t="s">
        <v>11876</v>
      </c>
      <c r="C715" s="113" t="s">
        <v>15364</v>
      </c>
      <c r="D715" s="155" t="s">
        <v>11877</v>
      </c>
      <c r="E715" s="159">
        <v>0</v>
      </c>
      <c r="F715" s="157" t="s">
        <v>11878</v>
      </c>
      <c r="G715" s="155" t="s">
        <v>11876</v>
      </c>
      <c r="H715" s="113" t="s">
        <v>11712</v>
      </c>
      <c r="I715" s="4" t="s">
        <v>11876</v>
      </c>
      <c r="J715" s="155" t="s">
        <v>11878</v>
      </c>
      <c r="K715" s="2" t="s">
        <v>12712</v>
      </c>
    </row>
    <row r="716" spans="1:11" s="2" customFormat="1" x14ac:dyDescent="0.25">
      <c r="A716" s="114" t="s">
        <v>11879</v>
      </c>
      <c r="B716" s="4" t="s">
        <v>11880</v>
      </c>
      <c r="C716" s="113" t="s">
        <v>15364</v>
      </c>
      <c r="D716" s="155" t="s">
        <v>11859</v>
      </c>
      <c r="E716" s="159"/>
      <c r="F716" s="157" t="s">
        <v>11881</v>
      </c>
      <c r="G716" s="155" t="s">
        <v>11880</v>
      </c>
      <c r="H716" s="113" t="s">
        <v>11712</v>
      </c>
      <c r="I716" s="4" t="s">
        <v>11880</v>
      </c>
      <c r="J716" s="155" t="s">
        <v>11881</v>
      </c>
      <c r="K716" s="2" t="s">
        <v>15426</v>
      </c>
    </row>
    <row r="717" spans="1:11" s="2" customFormat="1" x14ac:dyDescent="0.25">
      <c r="A717" s="114" t="s">
        <v>11882</v>
      </c>
      <c r="B717" s="4" t="s">
        <v>11883</v>
      </c>
      <c r="C717" s="113" t="s">
        <v>15364</v>
      </c>
      <c r="D717" s="155" t="s">
        <v>11884</v>
      </c>
      <c r="E717" s="159"/>
      <c r="F717" s="157" t="s">
        <v>11886</v>
      </c>
      <c r="G717" s="155" t="s">
        <v>11885</v>
      </c>
      <c r="H717" s="113" t="s">
        <v>11712</v>
      </c>
      <c r="I717" s="4" t="s">
        <v>11883</v>
      </c>
      <c r="J717" s="155" t="s">
        <v>11886</v>
      </c>
      <c r="K717" s="2" t="s">
        <v>13970</v>
      </c>
    </row>
    <row r="718" spans="1:11" s="2" customFormat="1" x14ac:dyDescent="0.25">
      <c r="A718" s="114" t="s">
        <v>11887</v>
      </c>
      <c r="B718" s="4" t="s">
        <v>11888</v>
      </c>
      <c r="C718" s="113" t="s">
        <v>15363</v>
      </c>
      <c r="D718" s="155" t="s">
        <v>11889</v>
      </c>
      <c r="E718" s="159">
        <v>5120</v>
      </c>
      <c r="F718" s="157" t="s">
        <v>11890</v>
      </c>
      <c r="G718" s="155" t="s">
        <v>11888</v>
      </c>
      <c r="H718" s="113" t="s">
        <v>11712</v>
      </c>
      <c r="I718" s="4" t="s">
        <v>11888</v>
      </c>
      <c r="J718" s="155" t="s">
        <v>11890</v>
      </c>
      <c r="K718" s="2" t="s">
        <v>9841</v>
      </c>
    </row>
    <row r="719" spans="1:11" s="2" customFormat="1" x14ac:dyDescent="0.25">
      <c r="A719" s="114" t="s">
        <v>14060</v>
      </c>
      <c r="B719" s="4" t="s">
        <v>12646</v>
      </c>
      <c r="C719" s="113" t="s">
        <v>15363</v>
      </c>
      <c r="D719" s="155" t="s">
        <v>14061</v>
      </c>
      <c r="E719" s="159">
        <v>223</v>
      </c>
      <c r="F719" s="157" t="s">
        <v>14062</v>
      </c>
      <c r="G719" s="155" t="s">
        <v>12646</v>
      </c>
      <c r="H719" s="113" t="s">
        <v>12646</v>
      </c>
      <c r="I719" s="4" t="s">
        <v>12646</v>
      </c>
      <c r="J719" s="155" t="s">
        <v>14062</v>
      </c>
      <c r="K719" s="2" t="s">
        <v>15376</v>
      </c>
    </row>
    <row r="720" spans="1:11" s="2" customFormat="1" x14ac:dyDescent="0.25">
      <c r="A720" s="114" t="s">
        <v>14063</v>
      </c>
      <c r="B720" s="4" t="s">
        <v>14064</v>
      </c>
      <c r="C720" s="113" t="s">
        <v>15363</v>
      </c>
      <c r="D720" s="155" t="s">
        <v>11176</v>
      </c>
      <c r="E720" s="159">
        <v>15</v>
      </c>
      <c r="F720" s="157" t="s">
        <v>14065</v>
      </c>
      <c r="G720" s="155" t="s">
        <v>10199</v>
      </c>
      <c r="H720" s="113" t="s">
        <v>12646</v>
      </c>
      <c r="I720" s="4" t="s">
        <v>14064</v>
      </c>
      <c r="J720" s="155" t="s">
        <v>14065</v>
      </c>
      <c r="K720" s="2" t="s">
        <v>10199</v>
      </c>
    </row>
    <row r="721" spans="1:11" s="2" customFormat="1" x14ac:dyDescent="0.25">
      <c r="A721" s="114" t="s">
        <v>14066</v>
      </c>
      <c r="B721" s="4" t="s">
        <v>14067</v>
      </c>
      <c r="C721" s="113" t="s">
        <v>15363</v>
      </c>
      <c r="D721" s="155" t="s">
        <v>14068</v>
      </c>
      <c r="E721" s="159"/>
      <c r="F721" s="157" t="s">
        <v>14070</v>
      </c>
      <c r="G721" s="155" t="s">
        <v>14069</v>
      </c>
      <c r="H721" s="113" t="s">
        <v>12646</v>
      </c>
      <c r="I721" s="4" t="s">
        <v>14067</v>
      </c>
      <c r="J721" s="155" t="s">
        <v>14070</v>
      </c>
      <c r="K721" s="2" t="s">
        <v>14067</v>
      </c>
    </row>
    <row r="722" spans="1:11" s="2" customFormat="1" x14ac:dyDescent="0.25">
      <c r="A722" s="114" t="s">
        <v>14071</v>
      </c>
      <c r="B722" s="4" t="s">
        <v>14072</v>
      </c>
      <c r="C722" s="113" t="s">
        <v>15363</v>
      </c>
      <c r="D722" s="155" t="s">
        <v>14073</v>
      </c>
      <c r="E722" s="159">
        <v>6260</v>
      </c>
      <c r="F722" s="157" t="s">
        <v>14074</v>
      </c>
      <c r="G722" s="155" t="s">
        <v>14072</v>
      </c>
      <c r="H722" s="113" t="s">
        <v>12646</v>
      </c>
      <c r="I722" s="4" t="s">
        <v>14072</v>
      </c>
      <c r="J722" s="155" t="s">
        <v>14074</v>
      </c>
      <c r="K722" s="2" t="s">
        <v>10732</v>
      </c>
    </row>
    <row r="723" spans="1:11" s="2" customFormat="1" x14ac:dyDescent="0.25">
      <c r="A723" s="114" t="s">
        <v>14075</v>
      </c>
      <c r="B723" s="4" t="s">
        <v>14076</v>
      </c>
      <c r="C723" s="113" t="s">
        <v>15363</v>
      </c>
      <c r="D723" s="155" t="s">
        <v>11602</v>
      </c>
      <c r="E723" s="159">
        <v>10</v>
      </c>
      <c r="F723" s="157" t="s">
        <v>14077</v>
      </c>
      <c r="G723" s="155" t="s">
        <v>14076</v>
      </c>
      <c r="H723" s="113" t="s">
        <v>12646</v>
      </c>
      <c r="I723" s="4" t="s">
        <v>14076</v>
      </c>
      <c r="J723" s="155" t="s">
        <v>14077</v>
      </c>
      <c r="K723" s="2" t="s">
        <v>14095</v>
      </c>
    </row>
    <row r="724" spans="1:11" s="2" customFormat="1" x14ac:dyDescent="0.25">
      <c r="A724" s="114" t="s">
        <v>14078</v>
      </c>
      <c r="B724" s="4" t="s">
        <v>14079</v>
      </c>
      <c r="C724" s="113" t="s">
        <v>15363</v>
      </c>
      <c r="D724" s="155" t="s">
        <v>10599</v>
      </c>
      <c r="E724" s="159">
        <v>0</v>
      </c>
      <c r="F724" s="157" t="s">
        <v>14080</v>
      </c>
      <c r="G724" s="155" t="s">
        <v>14079</v>
      </c>
      <c r="H724" s="113" t="s">
        <v>12646</v>
      </c>
      <c r="I724" s="4" t="s">
        <v>14079</v>
      </c>
      <c r="J724" s="155" t="s">
        <v>14080</v>
      </c>
      <c r="K724" s="2" t="s">
        <v>14082</v>
      </c>
    </row>
    <row r="725" spans="1:11" s="2" customFormat="1" x14ac:dyDescent="0.25">
      <c r="A725" s="114" t="s">
        <v>14081</v>
      </c>
      <c r="B725" s="4" t="s">
        <v>14082</v>
      </c>
      <c r="C725" s="113" t="s">
        <v>15363</v>
      </c>
      <c r="D725" s="155" t="s">
        <v>12106</v>
      </c>
      <c r="E725" s="159">
        <v>0</v>
      </c>
      <c r="F725" s="157" t="s">
        <v>14083</v>
      </c>
      <c r="G725" s="155" t="s">
        <v>14082</v>
      </c>
      <c r="H725" s="113" t="s">
        <v>12646</v>
      </c>
      <c r="I725" s="4" t="s">
        <v>14082</v>
      </c>
      <c r="J725" s="155" t="s">
        <v>14083</v>
      </c>
      <c r="K725" s="2" t="s">
        <v>14082</v>
      </c>
    </row>
    <row r="726" spans="1:11" s="2" customFormat="1" x14ac:dyDescent="0.25">
      <c r="A726" s="114" t="s">
        <v>14084</v>
      </c>
      <c r="B726" s="4" t="s">
        <v>14085</v>
      </c>
      <c r="C726" s="113" t="s">
        <v>15363</v>
      </c>
      <c r="D726" s="155" t="s">
        <v>14086</v>
      </c>
      <c r="E726" s="159">
        <v>2995</v>
      </c>
      <c r="F726" s="157" t="s">
        <v>14087</v>
      </c>
      <c r="G726" s="155" t="s">
        <v>14085</v>
      </c>
      <c r="H726" s="113" t="s">
        <v>12646</v>
      </c>
      <c r="I726" s="4" t="s">
        <v>14085</v>
      </c>
      <c r="J726" s="155" t="s">
        <v>14087</v>
      </c>
      <c r="K726" s="2" t="s">
        <v>10560</v>
      </c>
    </row>
    <row r="727" spans="1:11" s="2" customFormat="1" x14ac:dyDescent="0.25">
      <c r="A727" s="114" t="s">
        <v>14088</v>
      </c>
      <c r="B727" s="4" t="s">
        <v>14089</v>
      </c>
      <c r="C727" s="113" t="s">
        <v>15363</v>
      </c>
      <c r="D727" s="155" t="s">
        <v>9850</v>
      </c>
      <c r="E727" s="159">
        <v>112</v>
      </c>
      <c r="F727" s="157" t="s">
        <v>14090</v>
      </c>
      <c r="G727" s="155" t="s">
        <v>14089</v>
      </c>
      <c r="H727" s="113" t="s">
        <v>12646</v>
      </c>
      <c r="I727" s="4" t="s">
        <v>14089</v>
      </c>
      <c r="J727" s="155" t="s">
        <v>14090</v>
      </c>
      <c r="K727" s="2" t="s">
        <v>14089</v>
      </c>
    </row>
    <row r="728" spans="1:11" s="2" customFormat="1" x14ac:dyDescent="0.25">
      <c r="A728" s="114" t="s">
        <v>14091</v>
      </c>
      <c r="B728" s="4" t="s">
        <v>14092</v>
      </c>
      <c r="C728" s="113" t="s">
        <v>15363</v>
      </c>
      <c r="D728" s="155" t="s">
        <v>6589</v>
      </c>
      <c r="E728" s="159">
        <v>405</v>
      </c>
      <c r="F728" s="157" t="s">
        <v>14093</v>
      </c>
      <c r="G728" s="155" t="s">
        <v>14092</v>
      </c>
      <c r="H728" s="113" t="s">
        <v>12646</v>
      </c>
      <c r="I728" s="4" t="s">
        <v>14092</v>
      </c>
      <c r="J728" s="155" t="s">
        <v>14093</v>
      </c>
      <c r="K728" s="2" t="s">
        <v>14092</v>
      </c>
    </row>
    <row r="729" spans="1:11" s="2" customFormat="1" x14ac:dyDescent="0.25">
      <c r="A729" s="114" t="s">
        <v>14094</v>
      </c>
      <c r="B729" s="4" t="s">
        <v>14095</v>
      </c>
      <c r="C729" s="113" t="s">
        <v>15363</v>
      </c>
      <c r="D729" s="155" t="s">
        <v>14096</v>
      </c>
      <c r="E729" s="159">
        <v>10</v>
      </c>
      <c r="F729" s="157" t="s">
        <v>14097</v>
      </c>
      <c r="G729" s="155" t="s">
        <v>14095</v>
      </c>
      <c r="H729" s="113" t="s">
        <v>12646</v>
      </c>
      <c r="I729" s="4" t="s">
        <v>14095</v>
      </c>
      <c r="J729" s="155" t="s">
        <v>14097</v>
      </c>
      <c r="K729" s="2" t="s">
        <v>14095</v>
      </c>
    </row>
    <row r="730" spans="1:11" s="2" customFormat="1" x14ac:dyDescent="0.25">
      <c r="A730" s="114" t="s">
        <v>14098</v>
      </c>
      <c r="B730" s="4" t="s">
        <v>14099</v>
      </c>
      <c r="C730" s="113" t="s">
        <v>15363</v>
      </c>
      <c r="D730" s="155" t="s">
        <v>9764</v>
      </c>
      <c r="E730" s="159">
        <v>493</v>
      </c>
      <c r="F730" s="157" t="s">
        <v>14100</v>
      </c>
      <c r="G730" s="155" t="s">
        <v>14099</v>
      </c>
      <c r="H730" s="113" t="s">
        <v>12646</v>
      </c>
      <c r="I730" s="4" t="s">
        <v>14099</v>
      </c>
      <c r="J730" s="155" t="s">
        <v>14100</v>
      </c>
      <c r="K730" s="2" t="s">
        <v>14099</v>
      </c>
    </row>
    <row r="731" spans="1:11" s="2" customFormat="1" x14ac:dyDescent="0.25">
      <c r="A731" s="114" t="s">
        <v>14101</v>
      </c>
      <c r="B731" s="4" t="s">
        <v>10251</v>
      </c>
      <c r="C731" s="113" t="s">
        <v>15363</v>
      </c>
      <c r="D731" s="155" t="s">
        <v>14102</v>
      </c>
      <c r="E731" s="159">
        <v>100</v>
      </c>
      <c r="F731" s="157" t="s">
        <v>14103</v>
      </c>
      <c r="G731" s="155" t="s">
        <v>10251</v>
      </c>
      <c r="H731" s="113" t="s">
        <v>12646</v>
      </c>
      <c r="I731" s="4" t="s">
        <v>10251</v>
      </c>
      <c r="J731" s="155" t="s">
        <v>14103</v>
      </c>
      <c r="K731" s="2" t="s">
        <v>14095</v>
      </c>
    </row>
    <row r="732" spans="1:11" s="2" customFormat="1" x14ac:dyDescent="0.25">
      <c r="A732" s="114" t="s">
        <v>14104</v>
      </c>
      <c r="B732" s="4" t="s">
        <v>14105</v>
      </c>
      <c r="C732" s="113" t="s">
        <v>15363</v>
      </c>
      <c r="D732" s="155" t="s">
        <v>14073</v>
      </c>
      <c r="E732" s="159">
        <v>7355</v>
      </c>
      <c r="F732" s="157" t="s">
        <v>14106</v>
      </c>
      <c r="G732" s="155" t="s">
        <v>14105</v>
      </c>
      <c r="H732" s="113" t="s">
        <v>12646</v>
      </c>
      <c r="I732" s="4" t="s">
        <v>14105</v>
      </c>
      <c r="J732" s="155" t="s">
        <v>14106</v>
      </c>
      <c r="K732" s="2" t="s">
        <v>10199</v>
      </c>
    </row>
    <row r="733" spans="1:11" s="2" customFormat="1" x14ac:dyDescent="0.25">
      <c r="A733" s="114" t="s">
        <v>14107</v>
      </c>
      <c r="B733" s="4" t="s">
        <v>14108</v>
      </c>
      <c r="C733" s="113" t="s">
        <v>15363</v>
      </c>
      <c r="D733" s="155" t="s">
        <v>14109</v>
      </c>
      <c r="E733" s="159">
        <v>69</v>
      </c>
      <c r="F733" s="157" t="s">
        <v>14110</v>
      </c>
      <c r="G733" s="155" t="s">
        <v>14108</v>
      </c>
      <c r="H733" s="113" t="s">
        <v>12646</v>
      </c>
      <c r="I733" s="4" t="s">
        <v>14108</v>
      </c>
      <c r="J733" s="155" t="s">
        <v>14110</v>
      </c>
      <c r="K733" s="2" t="s">
        <v>10043</v>
      </c>
    </row>
    <row r="734" spans="1:11" s="2" customFormat="1" x14ac:dyDescent="0.25">
      <c r="A734" s="114" t="s">
        <v>14111</v>
      </c>
      <c r="B734" s="4" t="s">
        <v>14112</v>
      </c>
      <c r="C734" s="113" t="s">
        <v>15363</v>
      </c>
      <c r="D734" s="155" t="s">
        <v>13339</v>
      </c>
      <c r="E734" s="159">
        <v>10</v>
      </c>
      <c r="F734" s="157" t="s">
        <v>14113</v>
      </c>
      <c r="G734" s="155" t="s">
        <v>14112</v>
      </c>
      <c r="H734" s="113" t="s">
        <v>12646</v>
      </c>
      <c r="I734" s="4" t="s">
        <v>14112</v>
      </c>
      <c r="J734" s="155" t="s">
        <v>14113</v>
      </c>
      <c r="K734" s="2" t="s">
        <v>14095</v>
      </c>
    </row>
    <row r="735" spans="1:11" s="2" customFormat="1" x14ac:dyDescent="0.25">
      <c r="A735" s="114" t="s">
        <v>14114</v>
      </c>
      <c r="B735" s="4" t="s">
        <v>10732</v>
      </c>
      <c r="C735" s="113" t="s">
        <v>15363</v>
      </c>
      <c r="D735" s="155" t="s">
        <v>14115</v>
      </c>
      <c r="E735" s="159">
        <v>709</v>
      </c>
      <c r="F735" s="157" t="s">
        <v>14116</v>
      </c>
      <c r="G735" s="155" t="s">
        <v>10732</v>
      </c>
      <c r="H735" s="113" t="s">
        <v>12646</v>
      </c>
      <c r="I735" s="4" t="s">
        <v>10732</v>
      </c>
      <c r="J735" s="155" t="s">
        <v>14116</v>
      </c>
      <c r="K735" s="2" t="s">
        <v>10732</v>
      </c>
    </row>
    <row r="736" spans="1:11" s="2" customFormat="1" x14ac:dyDescent="0.25">
      <c r="A736" s="114" t="s">
        <v>14117</v>
      </c>
      <c r="B736" s="4" t="s">
        <v>14118</v>
      </c>
      <c r="C736" s="113" t="s">
        <v>15363</v>
      </c>
      <c r="D736" s="155" t="s">
        <v>9786</v>
      </c>
      <c r="E736" s="159">
        <v>75</v>
      </c>
      <c r="F736" s="157" t="s">
        <v>14120</v>
      </c>
      <c r="G736" s="155" t="s">
        <v>14119</v>
      </c>
      <c r="H736" s="113" t="s">
        <v>12646</v>
      </c>
      <c r="I736" s="4" t="s">
        <v>14118</v>
      </c>
      <c r="J736" s="155" t="s">
        <v>14120</v>
      </c>
      <c r="K736" s="2" t="s">
        <v>14118</v>
      </c>
    </row>
    <row r="737" spans="1:11" s="2" customFormat="1" x14ac:dyDescent="0.25">
      <c r="A737" s="114" t="s">
        <v>14121</v>
      </c>
      <c r="B737" s="4" t="s">
        <v>14122</v>
      </c>
      <c r="C737" s="113" t="s">
        <v>15363</v>
      </c>
      <c r="D737" s="155" t="s">
        <v>10560</v>
      </c>
      <c r="E737" s="159">
        <v>1082</v>
      </c>
      <c r="F737" s="157" t="s">
        <v>14123</v>
      </c>
      <c r="G737" s="155" t="s">
        <v>14122</v>
      </c>
      <c r="H737" s="113" t="s">
        <v>12646</v>
      </c>
      <c r="I737" s="4" t="s">
        <v>14122</v>
      </c>
      <c r="J737" s="155" t="s">
        <v>14123</v>
      </c>
      <c r="K737" s="2" t="s">
        <v>15431</v>
      </c>
    </row>
    <row r="738" spans="1:11" s="2" customFormat="1" x14ac:dyDescent="0.25">
      <c r="A738" s="114" t="s">
        <v>14124</v>
      </c>
      <c r="B738" s="4" t="s">
        <v>14125</v>
      </c>
      <c r="C738" s="113" t="s">
        <v>15363</v>
      </c>
      <c r="D738" s="155" t="s">
        <v>10244</v>
      </c>
      <c r="E738" s="159">
        <v>0</v>
      </c>
      <c r="F738" s="157" t="s">
        <v>14126</v>
      </c>
      <c r="G738" s="155" t="s">
        <v>14125</v>
      </c>
      <c r="H738" s="113" t="s">
        <v>12646</v>
      </c>
      <c r="I738" s="4" t="s">
        <v>14125</v>
      </c>
      <c r="J738" s="155" t="s">
        <v>14126</v>
      </c>
      <c r="K738" s="2" t="s">
        <v>15432</v>
      </c>
    </row>
    <row r="739" spans="1:11" s="2" customFormat="1" x14ac:dyDescent="0.25">
      <c r="A739" s="114" t="s">
        <v>14127</v>
      </c>
      <c r="B739" s="4" t="s">
        <v>14128</v>
      </c>
      <c r="C739" s="113" t="s">
        <v>15363</v>
      </c>
      <c r="D739" s="155" t="s">
        <v>14086</v>
      </c>
      <c r="E739" s="159">
        <v>446</v>
      </c>
      <c r="F739" s="157" t="s">
        <v>14129</v>
      </c>
      <c r="G739" s="155" t="s">
        <v>14128</v>
      </c>
      <c r="H739" s="113" t="s">
        <v>12646</v>
      </c>
      <c r="I739" s="4" t="s">
        <v>14128</v>
      </c>
      <c r="J739" s="155" t="s">
        <v>14129</v>
      </c>
      <c r="K739" s="2" t="s">
        <v>10560</v>
      </c>
    </row>
    <row r="740" spans="1:11" s="2" customFormat="1" x14ac:dyDescent="0.25">
      <c r="A740" s="114" t="s">
        <v>14130</v>
      </c>
      <c r="B740" s="4" t="s">
        <v>14131</v>
      </c>
      <c r="C740" s="113" t="s">
        <v>15363</v>
      </c>
      <c r="D740" s="155" t="s">
        <v>9810</v>
      </c>
      <c r="E740" s="159">
        <v>400</v>
      </c>
      <c r="F740" s="157" t="s">
        <v>14132</v>
      </c>
      <c r="G740" s="155" t="s">
        <v>14131</v>
      </c>
      <c r="H740" s="113" t="s">
        <v>12646</v>
      </c>
      <c r="I740" s="4" t="s">
        <v>14131</v>
      </c>
      <c r="J740" s="155" t="s">
        <v>14132</v>
      </c>
      <c r="K740" s="2" t="s">
        <v>9887</v>
      </c>
    </row>
    <row r="741" spans="1:11" s="2" customFormat="1" x14ac:dyDescent="0.25">
      <c r="A741" s="114" t="s">
        <v>14133</v>
      </c>
      <c r="B741" s="4" t="s">
        <v>14134</v>
      </c>
      <c r="C741" s="113" t="s">
        <v>4</v>
      </c>
      <c r="D741" s="155" t="s">
        <v>10370</v>
      </c>
      <c r="E741" s="159">
        <v>0</v>
      </c>
      <c r="F741" s="157" t="s">
        <v>14135</v>
      </c>
      <c r="G741" s="155" t="s">
        <v>9764</v>
      </c>
      <c r="H741" s="113" t="s">
        <v>12646</v>
      </c>
      <c r="I741" s="4" t="s">
        <v>14134</v>
      </c>
      <c r="J741" s="155" t="s">
        <v>14135</v>
      </c>
      <c r="K741" s="2" t="s">
        <v>9764</v>
      </c>
    </row>
    <row r="742" spans="1:11" s="2" customFormat="1" x14ac:dyDescent="0.25">
      <c r="A742" s="114" t="s">
        <v>14136</v>
      </c>
      <c r="B742" s="4" t="s">
        <v>14137</v>
      </c>
      <c r="C742" s="113" t="s">
        <v>15364</v>
      </c>
      <c r="D742" s="155" t="s">
        <v>14138</v>
      </c>
      <c r="E742" s="159"/>
      <c r="F742" s="157" t="s">
        <v>14139</v>
      </c>
      <c r="G742" s="155" t="s">
        <v>14137</v>
      </c>
      <c r="H742" s="113" t="s">
        <v>12646</v>
      </c>
      <c r="I742" s="4" t="s">
        <v>14137</v>
      </c>
      <c r="J742" s="155" t="s">
        <v>14139</v>
      </c>
      <c r="K742" s="2" t="s">
        <v>14099</v>
      </c>
    </row>
    <row r="743" spans="1:11" s="2" customFormat="1" x14ac:dyDescent="0.25">
      <c r="A743" s="114" t="s">
        <v>14140</v>
      </c>
      <c r="B743" s="4" t="s">
        <v>14141</v>
      </c>
      <c r="C743" s="113" t="s">
        <v>15364</v>
      </c>
      <c r="D743" s="155" t="s">
        <v>14142</v>
      </c>
      <c r="E743" s="159">
        <v>0</v>
      </c>
      <c r="F743" s="157" t="s">
        <v>14143</v>
      </c>
      <c r="G743" s="155" t="s">
        <v>14141</v>
      </c>
      <c r="H743" s="113" t="s">
        <v>12646</v>
      </c>
      <c r="I743" s="4" t="s">
        <v>14141</v>
      </c>
      <c r="J743" s="155" t="s">
        <v>14143</v>
      </c>
      <c r="K743" s="2" t="s">
        <v>14118</v>
      </c>
    </row>
    <row r="744" spans="1:11" s="2" customFormat="1" x14ac:dyDescent="0.25">
      <c r="A744" s="114" t="s">
        <v>11523</v>
      </c>
      <c r="B744" s="4" t="s">
        <v>11524</v>
      </c>
      <c r="C744" s="113" t="s">
        <v>15363</v>
      </c>
      <c r="D744" s="155" t="s">
        <v>9764</v>
      </c>
      <c r="E744" s="159">
        <v>761</v>
      </c>
      <c r="F744" s="157" t="s">
        <v>11526</v>
      </c>
      <c r="G744" s="155" t="s">
        <v>11525</v>
      </c>
      <c r="H744" s="113" t="s">
        <v>11524</v>
      </c>
      <c r="I744" s="4" t="s">
        <v>11524</v>
      </c>
      <c r="J744" s="155" t="s">
        <v>11526</v>
      </c>
      <c r="K744" s="2" t="s">
        <v>15376</v>
      </c>
    </row>
    <row r="745" spans="1:11" s="2" customFormat="1" x14ac:dyDescent="0.25">
      <c r="A745" s="114" t="s">
        <v>11527</v>
      </c>
      <c r="B745" s="4" t="s">
        <v>11528</v>
      </c>
      <c r="C745" s="113" t="s">
        <v>4</v>
      </c>
      <c r="D745" s="155" t="s">
        <v>11529</v>
      </c>
      <c r="E745" s="159"/>
      <c r="F745" s="157" t="s">
        <v>11530</v>
      </c>
      <c r="G745" s="155" t="s">
        <v>11528</v>
      </c>
      <c r="H745" s="113" t="s">
        <v>11524</v>
      </c>
      <c r="I745" s="4" t="s">
        <v>11528</v>
      </c>
      <c r="J745" s="155" t="s">
        <v>11530</v>
      </c>
      <c r="K745" s="2" t="s">
        <v>11528</v>
      </c>
    </row>
    <row r="746" spans="1:11" s="2" customFormat="1" x14ac:dyDescent="0.25">
      <c r="A746" s="114" t="s">
        <v>11531</v>
      </c>
      <c r="B746" s="4" t="s">
        <v>11532</v>
      </c>
      <c r="C746" s="113" t="s">
        <v>15363</v>
      </c>
      <c r="D746" s="155" t="s">
        <v>10467</v>
      </c>
      <c r="E746" s="159">
        <v>198</v>
      </c>
      <c r="F746" s="157" t="s">
        <v>11533</v>
      </c>
      <c r="G746" s="155" t="s">
        <v>11532</v>
      </c>
      <c r="H746" s="113" t="s">
        <v>11524</v>
      </c>
      <c r="I746" s="4" t="s">
        <v>11532</v>
      </c>
      <c r="J746" s="155" t="s">
        <v>11533</v>
      </c>
      <c r="K746" s="2" t="s">
        <v>11532</v>
      </c>
    </row>
    <row r="747" spans="1:11" s="2" customFormat="1" x14ac:dyDescent="0.25">
      <c r="A747" s="114" t="s">
        <v>11534</v>
      </c>
      <c r="B747" s="4" t="s">
        <v>11535</v>
      </c>
      <c r="C747" s="113" t="s">
        <v>4</v>
      </c>
      <c r="D747" s="155" t="s">
        <v>11536</v>
      </c>
      <c r="E747" s="159">
        <v>0</v>
      </c>
      <c r="F747" s="157" t="s">
        <v>11537</v>
      </c>
      <c r="G747" s="155" t="s">
        <v>11535</v>
      </c>
      <c r="H747" s="113" t="s">
        <v>11524</v>
      </c>
      <c r="I747" s="4" t="s">
        <v>11535</v>
      </c>
      <c r="J747" s="155" t="s">
        <v>11537</v>
      </c>
      <c r="K747" s="2" t="s">
        <v>11634</v>
      </c>
    </row>
    <row r="748" spans="1:11" s="2" customFormat="1" x14ac:dyDescent="0.25">
      <c r="A748" s="114" t="s">
        <v>11538</v>
      </c>
      <c r="B748" s="4" t="s">
        <v>11539</v>
      </c>
      <c r="C748" s="113" t="s">
        <v>15363</v>
      </c>
      <c r="D748" s="155" t="s">
        <v>9764</v>
      </c>
      <c r="E748" s="159">
        <v>543</v>
      </c>
      <c r="F748" s="157" t="s">
        <v>11540</v>
      </c>
      <c r="G748" s="155" t="s">
        <v>11539</v>
      </c>
      <c r="H748" s="113" t="s">
        <v>11524</v>
      </c>
      <c r="I748" s="4" t="s">
        <v>11539</v>
      </c>
      <c r="J748" s="155" t="s">
        <v>11540</v>
      </c>
      <c r="K748" s="2" t="s">
        <v>11539</v>
      </c>
    </row>
    <row r="749" spans="1:11" s="2" customFormat="1" x14ac:dyDescent="0.25">
      <c r="A749" s="114" t="s">
        <v>11541</v>
      </c>
      <c r="B749" s="4" t="s">
        <v>11542</v>
      </c>
      <c r="C749" s="113" t="s">
        <v>15363</v>
      </c>
      <c r="D749" s="155" t="s">
        <v>9850</v>
      </c>
      <c r="E749" s="159">
        <v>200</v>
      </c>
      <c r="F749" s="157" t="s">
        <v>11543</v>
      </c>
      <c r="G749" s="155" t="s">
        <v>11542</v>
      </c>
      <c r="H749" s="113" t="s">
        <v>11524</v>
      </c>
      <c r="I749" s="4" t="s">
        <v>11542</v>
      </c>
      <c r="J749" s="155" t="s">
        <v>11543</v>
      </c>
      <c r="K749" s="2" t="s">
        <v>15433</v>
      </c>
    </row>
    <row r="750" spans="1:11" s="2" customFormat="1" x14ac:dyDescent="0.25">
      <c r="A750" s="114" t="s">
        <v>11544</v>
      </c>
      <c r="B750" s="4" t="s">
        <v>11545</v>
      </c>
      <c r="C750" s="113" t="s">
        <v>4</v>
      </c>
      <c r="D750" s="155" t="s">
        <v>11546</v>
      </c>
      <c r="E750" s="159">
        <v>0</v>
      </c>
      <c r="F750" s="157" t="s">
        <v>11547</v>
      </c>
      <c r="G750" s="155" t="s">
        <v>11545</v>
      </c>
      <c r="H750" s="113" t="s">
        <v>11524</v>
      </c>
      <c r="I750" s="4" t="s">
        <v>11545</v>
      </c>
      <c r="J750" s="155" t="s">
        <v>11547</v>
      </c>
      <c r="K750" s="2" t="s">
        <v>11642</v>
      </c>
    </row>
    <row r="751" spans="1:11" s="2" customFormat="1" x14ac:dyDescent="0.25">
      <c r="A751" s="114" t="s">
        <v>11548</v>
      </c>
      <c r="B751" s="4" t="s">
        <v>11549</v>
      </c>
      <c r="C751" s="113" t="s">
        <v>15363</v>
      </c>
      <c r="D751" s="155" t="s">
        <v>11550</v>
      </c>
      <c r="E751" s="159"/>
      <c r="F751" s="157" t="s">
        <v>11551</v>
      </c>
      <c r="G751" s="155" t="s">
        <v>11549</v>
      </c>
      <c r="H751" s="113" t="s">
        <v>11524</v>
      </c>
      <c r="I751" s="4" t="s">
        <v>11549</v>
      </c>
      <c r="J751" s="155" t="s">
        <v>11551</v>
      </c>
      <c r="K751" s="2" t="s">
        <v>11532</v>
      </c>
    </row>
    <row r="752" spans="1:11" s="2" customFormat="1" x14ac:dyDescent="0.25">
      <c r="A752" s="114" t="s">
        <v>11552</v>
      </c>
      <c r="B752" s="4" t="s">
        <v>11553</v>
      </c>
      <c r="C752" s="113" t="s">
        <v>15363</v>
      </c>
      <c r="D752" s="155" t="s">
        <v>11554</v>
      </c>
      <c r="E752" s="159">
        <v>0</v>
      </c>
      <c r="F752" s="157" t="s">
        <v>11555</v>
      </c>
      <c r="G752" s="155" t="s">
        <v>11553</v>
      </c>
      <c r="H752" s="113" t="s">
        <v>11524</v>
      </c>
      <c r="I752" s="4" t="s">
        <v>11553</v>
      </c>
      <c r="J752" s="155" t="s">
        <v>11555</v>
      </c>
      <c r="K752" s="2" t="s">
        <v>11553</v>
      </c>
    </row>
    <row r="753" spans="1:11" s="2" customFormat="1" x14ac:dyDescent="0.25">
      <c r="A753" s="114" t="s">
        <v>11556</v>
      </c>
      <c r="B753" s="4" t="s">
        <v>11557</v>
      </c>
      <c r="C753" s="113" t="s">
        <v>15363</v>
      </c>
      <c r="D753" s="155" t="s">
        <v>11558</v>
      </c>
      <c r="E753" s="159">
        <v>0</v>
      </c>
      <c r="F753" s="157" t="s">
        <v>11559</v>
      </c>
      <c r="G753" s="155" t="s">
        <v>11557</v>
      </c>
      <c r="H753" s="113" t="s">
        <v>11524</v>
      </c>
      <c r="I753" s="4" t="s">
        <v>11557</v>
      </c>
      <c r="J753" s="155" t="s">
        <v>11559</v>
      </c>
      <c r="K753" s="2" t="s">
        <v>15434</v>
      </c>
    </row>
    <row r="754" spans="1:11" s="2" customFormat="1" x14ac:dyDescent="0.25">
      <c r="A754" s="114" t="s">
        <v>11560</v>
      </c>
      <c r="B754" s="4" t="s">
        <v>11561</v>
      </c>
      <c r="C754" s="113" t="s">
        <v>4</v>
      </c>
      <c r="D754" s="155" t="s">
        <v>11562</v>
      </c>
      <c r="E754" s="159"/>
      <c r="F754" s="157" t="s">
        <v>11563</v>
      </c>
      <c r="G754" s="155" t="s">
        <v>11561</v>
      </c>
      <c r="H754" s="113" t="s">
        <v>11524</v>
      </c>
      <c r="I754" s="4" t="s">
        <v>11561</v>
      </c>
      <c r="J754" s="155" t="s">
        <v>11563</v>
      </c>
      <c r="K754" s="2" t="s">
        <v>12096</v>
      </c>
    </row>
    <row r="755" spans="1:11" s="2" customFormat="1" x14ac:dyDescent="0.25">
      <c r="A755" s="114" t="s">
        <v>11564</v>
      </c>
      <c r="B755" s="4" t="s">
        <v>11565</v>
      </c>
      <c r="C755" s="113" t="s">
        <v>15363</v>
      </c>
      <c r="D755" s="155" t="s">
        <v>11566</v>
      </c>
      <c r="E755" s="159">
        <v>0</v>
      </c>
      <c r="F755" s="157" t="s">
        <v>11567</v>
      </c>
      <c r="G755" s="155" t="s">
        <v>11565</v>
      </c>
      <c r="H755" s="113" t="s">
        <v>11524</v>
      </c>
      <c r="I755" s="4" t="s">
        <v>11565</v>
      </c>
      <c r="J755" s="155" t="s">
        <v>11567</v>
      </c>
      <c r="K755" s="2" t="s">
        <v>11642</v>
      </c>
    </row>
    <row r="756" spans="1:11" s="2" customFormat="1" x14ac:dyDescent="0.25">
      <c r="A756" s="114" t="s">
        <v>11568</v>
      </c>
      <c r="B756" s="4" t="s">
        <v>11569</v>
      </c>
      <c r="C756" s="113" t="s">
        <v>4</v>
      </c>
      <c r="D756" s="155" t="s">
        <v>9850</v>
      </c>
      <c r="E756" s="159">
        <v>0</v>
      </c>
      <c r="F756" s="157" t="s">
        <v>11570</v>
      </c>
      <c r="G756" s="155" t="s">
        <v>11569</v>
      </c>
      <c r="H756" s="113" t="s">
        <v>11524</v>
      </c>
      <c r="I756" s="4" t="s">
        <v>11569</v>
      </c>
      <c r="J756" s="155" t="s">
        <v>11570</v>
      </c>
      <c r="K756" s="2" t="s">
        <v>11539</v>
      </c>
    </row>
    <row r="757" spans="1:11" s="2" customFormat="1" x14ac:dyDescent="0.25">
      <c r="A757" s="114" t="s">
        <v>11571</v>
      </c>
      <c r="B757" s="4" t="s">
        <v>11572</v>
      </c>
      <c r="C757" s="113" t="s">
        <v>15363</v>
      </c>
      <c r="D757" s="155" t="s">
        <v>11573</v>
      </c>
      <c r="E757" s="159"/>
      <c r="F757" s="157" t="s">
        <v>11574</v>
      </c>
      <c r="G757" s="155" t="s">
        <v>11572</v>
      </c>
      <c r="H757" s="113" t="s">
        <v>11524</v>
      </c>
      <c r="I757" s="4" t="s">
        <v>11572</v>
      </c>
      <c r="J757" s="155" t="s">
        <v>11574</v>
      </c>
      <c r="K757" s="2" t="s">
        <v>15433</v>
      </c>
    </row>
    <row r="758" spans="1:11" s="2" customFormat="1" x14ac:dyDescent="0.25">
      <c r="A758" s="114" t="s">
        <v>11575</v>
      </c>
      <c r="B758" s="4" t="s">
        <v>11576</v>
      </c>
      <c r="C758" s="113" t="s">
        <v>15363</v>
      </c>
      <c r="D758" s="155" t="s">
        <v>11577</v>
      </c>
      <c r="E758" s="159">
        <v>0</v>
      </c>
      <c r="F758" s="157" t="s">
        <v>11578</v>
      </c>
      <c r="G758" s="155" t="s">
        <v>11576</v>
      </c>
      <c r="H758" s="113" t="s">
        <v>11524</v>
      </c>
      <c r="I758" s="4" t="s">
        <v>11576</v>
      </c>
      <c r="J758" s="155" t="s">
        <v>11578</v>
      </c>
      <c r="K758" s="2" t="s">
        <v>15435</v>
      </c>
    </row>
    <row r="759" spans="1:11" s="2" customFormat="1" x14ac:dyDescent="0.25">
      <c r="A759" s="114" t="s">
        <v>11579</v>
      </c>
      <c r="B759" s="4" t="s">
        <v>11580</v>
      </c>
      <c r="C759" s="113" t="s">
        <v>15363</v>
      </c>
      <c r="D759" s="155" t="s">
        <v>11573</v>
      </c>
      <c r="E759" s="159"/>
      <c r="F759" s="157" t="s">
        <v>11581</v>
      </c>
      <c r="G759" s="155" t="s">
        <v>11580</v>
      </c>
      <c r="H759" s="113" t="s">
        <v>11524</v>
      </c>
      <c r="I759" s="4" t="s">
        <v>11580</v>
      </c>
      <c r="J759" s="155" t="s">
        <v>11581</v>
      </c>
      <c r="K759" s="2" t="s">
        <v>15434</v>
      </c>
    </row>
    <row r="760" spans="1:11" s="2" customFormat="1" x14ac:dyDescent="0.25">
      <c r="A760" s="114" t="s">
        <v>11582</v>
      </c>
      <c r="B760" s="4" t="s">
        <v>11583</v>
      </c>
      <c r="C760" s="113" t="s">
        <v>15363</v>
      </c>
      <c r="D760" s="155" t="s">
        <v>11584</v>
      </c>
      <c r="E760" s="159">
        <v>0</v>
      </c>
      <c r="F760" s="157" t="s">
        <v>11585</v>
      </c>
      <c r="G760" s="155" t="s">
        <v>11583</v>
      </c>
      <c r="H760" s="113" t="s">
        <v>11524</v>
      </c>
      <c r="I760" s="4" t="s">
        <v>11583</v>
      </c>
      <c r="J760" s="155" t="s">
        <v>11585</v>
      </c>
      <c r="K760" s="2" t="s">
        <v>11634</v>
      </c>
    </row>
    <row r="761" spans="1:11" s="2" customFormat="1" x14ac:dyDescent="0.25">
      <c r="A761" s="114" t="s">
        <v>11586</v>
      </c>
      <c r="B761" s="4" t="s">
        <v>11587</v>
      </c>
      <c r="C761" s="113" t="s">
        <v>4</v>
      </c>
      <c r="D761" s="155" t="s">
        <v>11588</v>
      </c>
      <c r="E761" s="159">
        <v>0</v>
      </c>
      <c r="F761" s="157" t="s">
        <v>11590</v>
      </c>
      <c r="G761" s="155" t="s">
        <v>11589</v>
      </c>
      <c r="H761" s="113" t="s">
        <v>11524</v>
      </c>
      <c r="I761" s="4" t="s">
        <v>11587</v>
      </c>
      <c r="J761" s="155" t="s">
        <v>11590</v>
      </c>
      <c r="K761" s="2" t="s">
        <v>11539</v>
      </c>
    </row>
    <row r="762" spans="1:11" s="2" customFormat="1" x14ac:dyDescent="0.25">
      <c r="A762" s="114" t="s">
        <v>11591</v>
      </c>
      <c r="B762" s="4" t="s">
        <v>11592</v>
      </c>
      <c r="C762" s="113" t="s">
        <v>15364</v>
      </c>
      <c r="D762" s="155" t="s">
        <v>11593</v>
      </c>
      <c r="E762" s="159"/>
      <c r="F762" s="157" t="s">
        <v>11595</v>
      </c>
      <c r="G762" s="155" t="s">
        <v>11594</v>
      </c>
      <c r="H762" s="113" t="s">
        <v>11524</v>
      </c>
      <c r="I762" s="4" t="s">
        <v>11592</v>
      </c>
      <c r="J762" s="155" t="s">
        <v>11595</v>
      </c>
      <c r="K762" s="2" t="s">
        <v>15434</v>
      </c>
    </row>
    <row r="763" spans="1:11" s="2" customFormat="1" x14ac:dyDescent="0.25">
      <c r="A763" s="114" t="s">
        <v>11596</v>
      </c>
      <c r="B763" s="4" t="s">
        <v>11597</v>
      </c>
      <c r="C763" s="113" t="s">
        <v>15363</v>
      </c>
      <c r="D763" s="155" t="s">
        <v>11598</v>
      </c>
      <c r="E763" s="159"/>
      <c r="F763" s="157" t="s">
        <v>11599</v>
      </c>
      <c r="G763" s="155" t="s">
        <v>11597</v>
      </c>
      <c r="H763" s="113" t="s">
        <v>11524</v>
      </c>
      <c r="I763" s="4" t="s">
        <v>11597</v>
      </c>
      <c r="J763" s="155" t="s">
        <v>11599</v>
      </c>
      <c r="K763" s="2" t="s">
        <v>11634</v>
      </c>
    </row>
    <row r="764" spans="1:11" s="2" customFormat="1" x14ac:dyDescent="0.25">
      <c r="A764" s="114" t="s">
        <v>11600</v>
      </c>
      <c r="B764" s="4" t="s">
        <v>11601</v>
      </c>
      <c r="C764" s="113" t="s">
        <v>15363</v>
      </c>
      <c r="D764" s="155" t="s">
        <v>11602</v>
      </c>
      <c r="E764" s="159">
        <v>0</v>
      </c>
      <c r="F764" s="157" t="s">
        <v>11603</v>
      </c>
      <c r="G764" s="155" t="s">
        <v>11601</v>
      </c>
      <c r="H764" s="113" t="s">
        <v>11524</v>
      </c>
      <c r="I764" s="4" t="s">
        <v>11601</v>
      </c>
      <c r="J764" s="155" t="s">
        <v>11603</v>
      </c>
      <c r="K764" s="2" t="s">
        <v>15433</v>
      </c>
    </row>
    <row r="765" spans="1:11" s="2" customFormat="1" x14ac:dyDescent="0.25">
      <c r="A765" s="114" t="s">
        <v>11604</v>
      </c>
      <c r="B765" s="4" t="s">
        <v>11605</v>
      </c>
      <c r="C765" s="113" t="s">
        <v>4</v>
      </c>
      <c r="D765" s="155" t="s">
        <v>11606</v>
      </c>
      <c r="E765" s="159"/>
      <c r="F765" s="157" t="s">
        <v>11607</v>
      </c>
      <c r="G765" s="155" t="s">
        <v>11605</v>
      </c>
      <c r="H765" s="113" t="s">
        <v>11524</v>
      </c>
      <c r="I765" s="4" t="s">
        <v>11605</v>
      </c>
      <c r="J765" s="155" t="s">
        <v>11607</v>
      </c>
      <c r="K765" s="2" t="s">
        <v>11614</v>
      </c>
    </row>
    <row r="766" spans="1:11" s="2" customFormat="1" x14ac:dyDescent="0.25">
      <c r="A766" s="114" t="s">
        <v>11608</v>
      </c>
      <c r="B766" s="4" t="s">
        <v>11609</v>
      </c>
      <c r="C766" s="113" t="s">
        <v>15363</v>
      </c>
      <c r="D766" s="155" t="s">
        <v>11610</v>
      </c>
      <c r="E766" s="159">
        <v>0</v>
      </c>
      <c r="F766" s="157" t="s">
        <v>11612</v>
      </c>
      <c r="G766" s="155" t="s">
        <v>11611</v>
      </c>
      <c r="H766" s="113" t="s">
        <v>11524</v>
      </c>
      <c r="I766" s="4" t="s">
        <v>11609</v>
      </c>
      <c r="J766" s="155" t="s">
        <v>11612</v>
      </c>
      <c r="K766" s="2" t="s">
        <v>15436</v>
      </c>
    </row>
    <row r="767" spans="1:11" s="2" customFormat="1" x14ac:dyDescent="0.25">
      <c r="A767" s="114" t="s">
        <v>11613</v>
      </c>
      <c r="B767" s="4" t="s">
        <v>11614</v>
      </c>
      <c r="C767" s="113" t="s">
        <v>15363</v>
      </c>
      <c r="D767" s="155" t="s">
        <v>11615</v>
      </c>
      <c r="E767" s="159">
        <v>143</v>
      </c>
      <c r="F767" s="157" t="s">
        <v>11616</v>
      </c>
      <c r="G767" s="155" t="s">
        <v>11614</v>
      </c>
      <c r="H767" s="113" t="s">
        <v>11524</v>
      </c>
      <c r="I767" s="4" t="s">
        <v>11614</v>
      </c>
      <c r="J767" s="155" t="s">
        <v>11616</v>
      </c>
      <c r="K767" s="2" t="s">
        <v>11614</v>
      </c>
    </row>
    <row r="768" spans="1:11" s="2" customFormat="1" x14ac:dyDescent="0.25">
      <c r="A768" s="114" t="s">
        <v>11617</v>
      </c>
      <c r="B768" s="4" t="s">
        <v>11618</v>
      </c>
      <c r="C768" s="113" t="s">
        <v>15363</v>
      </c>
      <c r="D768" s="155" t="s">
        <v>11619</v>
      </c>
      <c r="E768" s="159">
        <v>100</v>
      </c>
      <c r="F768" s="157" t="s">
        <v>11620</v>
      </c>
      <c r="G768" s="155" t="s">
        <v>11618</v>
      </c>
      <c r="H768" s="113" t="s">
        <v>11524</v>
      </c>
      <c r="I768" s="4" t="s">
        <v>11618</v>
      </c>
      <c r="J768" s="155" t="s">
        <v>11620</v>
      </c>
      <c r="K768" s="2" t="s">
        <v>12096</v>
      </c>
    </row>
    <row r="769" spans="1:11" s="2" customFormat="1" x14ac:dyDescent="0.25">
      <c r="A769" s="114" t="s">
        <v>11621</v>
      </c>
      <c r="B769" s="4" t="s">
        <v>11622</v>
      </c>
      <c r="C769" s="113" t="s">
        <v>15363</v>
      </c>
      <c r="D769" s="155" t="s">
        <v>11623</v>
      </c>
      <c r="E769" s="159">
        <v>0</v>
      </c>
      <c r="F769" s="157" t="s">
        <v>11624</v>
      </c>
      <c r="G769" s="155" t="s">
        <v>11622</v>
      </c>
      <c r="H769" s="113" t="s">
        <v>11524</v>
      </c>
      <c r="I769" s="4" t="s">
        <v>11622</v>
      </c>
      <c r="J769" s="155" t="s">
        <v>11624</v>
      </c>
      <c r="K769" s="2" t="s">
        <v>12096</v>
      </c>
    </row>
    <row r="770" spans="1:11" s="2" customFormat="1" x14ac:dyDescent="0.25">
      <c r="A770" s="114" t="s">
        <v>11625</v>
      </c>
      <c r="B770" s="4" t="s">
        <v>11626</v>
      </c>
      <c r="C770" s="113" t="s">
        <v>4</v>
      </c>
      <c r="D770" s="155" t="s">
        <v>11627</v>
      </c>
      <c r="E770" s="159">
        <v>100</v>
      </c>
      <c r="F770" s="157" t="s">
        <v>11628</v>
      </c>
      <c r="G770" s="155" t="s">
        <v>11626</v>
      </c>
      <c r="H770" s="113" t="s">
        <v>11524</v>
      </c>
      <c r="I770" s="4" t="s">
        <v>11626</v>
      </c>
      <c r="J770" s="155" t="s">
        <v>11628</v>
      </c>
      <c r="K770" s="2" t="s">
        <v>11630</v>
      </c>
    </row>
    <row r="771" spans="1:11" s="2" customFormat="1" x14ac:dyDescent="0.25">
      <c r="A771" s="114" t="s">
        <v>11629</v>
      </c>
      <c r="B771" s="4" t="s">
        <v>11630</v>
      </c>
      <c r="C771" s="113" t="s">
        <v>15363</v>
      </c>
      <c r="D771" s="155" t="s">
        <v>11631</v>
      </c>
      <c r="E771" s="159">
        <v>375</v>
      </c>
      <c r="F771" s="157" t="s">
        <v>11632</v>
      </c>
      <c r="G771" s="155" t="s">
        <v>11630</v>
      </c>
      <c r="H771" s="113" t="s">
        <v>11524</v>
      </c>
      <c r="I771" s="4" t="s">
        <v>11630</v>
      </c>
      <c r="J771" s="155" t="s">
        <v>11632</v>
      </c>
      <c r="K771" s="2" t="s">
        <v>11630</v>
      </c>
    </row>
    <row r="772" spans="1:11" s="2" customFormat="1" x14ac:dyDescent="0.25">
      <c r="A772" s="114" t="s">
        <v>11633</v>
      </c>
      <c r="B772" s="4" t="s">
        <v>11634</v>
      </c>
      <c r="C772" s="113" t="s">
        <v>4</v>
      </c>
      <c r="D772" s="155" t="s">
        <v>11635</v>
      </c>
      <c r="E772" s="159">
        <v>50</v>
      </c>
      <c r="F772" s="157" t="s">
        <v>11636</v>
      </c>
      <c r="G772" s="155" t="s">
        <v>11634</v>
      </c>
      <c r="H772" s="113" t="s">
        <v>11524</v>
      </c>
      <c r="I772" s="4" t="s">
        <v>11634</v>
      </c>
      <c r="J772" s="155" t="s">
        <v>11636</v>
      </c>
      <c r="K772" s="2" t="s">
        <v>11642</v>
      </c>
    </row>
    <row r="773" spans="1:11" s="2" customFormat="1" x14ac:dyDescent="0.25">
      <c r="A773" s="114" t="s">
        <v>11637</v>
      </c>
      <c r="B773" s="4" t="s">
        <v>11638</v>
      </c>
      <c r="C773" s="113" t="s">
        <v>15363</v>
      </c>
      <c r="D773" s="155" t="s">
        <v>11639</v>
      </c>
      <c r="E773" s="159">
        <v>410</v>
      </c>
      <c r="F773" s="157" t="s">
        <v>11640</v>
      </c>
      <c r="G773" s="155" t="s">
        <v>11638</v>
      </c>
      <c r="H773" s="113" t="s">
        <v>11524</v>
      </c>
      <c r="I773" s="4" t="s">
        <v>11638</v>
      </c>
      <c r="J773" s="155" t="s">
        <v>11640</v>
      </c>
      <c r="K773" s="2" t="s">
        <v>11614</v>
      </c>
    </row>
    <row r="774" spans="1:11" s="2" customFormat="1" x14ac:dyDescent="0.25">
      <c r="A774" s="114" t="s">
        <v>11641</v>
      </c>
      <c r="B774" s="4" t="s">
        <v>11642</v>
      </c>
      <c r="C774" s="113" t="s">
        <v>15363</v>
      </c>
      <c r="D774" s="155" t="s">
        <v>10808</v>
      </c>
      <c r="E774" s="159">
        <v>785</v>
      </c>
      <c r="F774" s="157" t="s">
        <v>11643</v>
      </c>
      <c r="G774" s="155" t="s">
        <v>11642</v>
      </c>
      <c r="H774" s="113" t="s">
        <v>11524</v>
      </c>
      <c r="I774" s="4" t="s">
        <v>11642</v>
      </c>
      <c r="J774" s="155" t="s">
        <v>11643</v>
      </c>
      <c r="K774" s="2" t="s">
        <v>11642</v>
      </c>
    </row>
    <row r="775" spans="1:11" s="2" customFormat="1" x14ac:dyDescent="0.25">
      <c r="A775" s="114" t="s">
        <v>11644</v>
      </c>
      <c r="B775" s="4" t="s">
        <v>11645</v>
      </c>
      <c r="C775" s="113" t="s">
        <v>15363</v>
      </c>
      <c r="D775" s="155" t="s">
        <v>11646</v>
      </c>
      <c r="E775" s="159"/>
      <c r="F775" s="157" t="s">
        <v>11648</v>
      </c>
      <c r="G775" s="155" t="s">
        <v>11647</v>
      </c>
      <c r="H775" s="113" t="s">
        <v>11524</v>
      </c>
      <c r="I775" s="4" t="s">
        <v>11645</v>
      </c>
      <c r="J775" s="155" t="s">
        <v>11648</v>
      </c>
      <c r="K775" s="2" t="s">
        <v>11645</v>
      </c>
    </row>
    <row r="776" spans="1:11" s="2" customFormat="1" x14ac:dyDescent="0.25">
      <c r="A776" s="114" t="s">
        <v>11649</v>
      </c>
      <c r="B776" s="4" t="s">
        <v>11650</v>
      </c>
      <c r="C776" s="113" t="s">
        <v>15363</v>
      </c>
      <c r="D776" s="155" t="s">
        <v>11651</v>
      </c>
      <c r="E776" s="159">
        <v>100</v>
      </c>
      <c r="F776" s="157" t="s">
        <v>11652</v>
      </c>
      <c r="G776" s="155" t="s">
        <v>11525</v>
      </c>
      <c r="H776" s="113" t="s">
        <v>11524</v>
      </c>
      <c r="I776" s="4" t="s">
        <v>11650</v>
      </c>
      <c r="J776" s="155" t="s">
        <v>11652</v>
      </c>
      <c r="K776" s="2" t="s">
        <v>15376</v>
      </c>
    </row>
    <row r="777" spans="1:11" s="2" customFormat="1" x14ac:dyDescent="0.25">
      <c r="A777" s="114" t="s">
        <v>11653</v>
      </c>
      <c r="B777" s="4" t="s">
        <v>11654</v>
      </c>
      <c r="C777" s="113" t="s">
        <v>15363</v>
      </c>
      <c r="D777" s="155" t="s">
        <v>11655</v>
      </c>
      <c r="E777" s="159">
        <v>1500</v>
      </c>
      <c r="F777" s="157" t="s">
        <v>11656</v>
      </c>
      <c r="G777" s="155" t="s">
        <v>11525</v>
      </c>
      <c r="H777" s="113" t="s">
        <v>11524</v>
      </c>
      <c r="I777" s="4" t="s">
        <v>11654</v>
      </c>
      <c r="J777" s="155" t="s">
        <v>11656</v>
      </c>
      <c r="K777" s="2" t="s">
        <v>15376</v>
      </c>
    </row>
    <row r="778" spans="1:11" s="2" customFormat="1" x14ac:dyDescent="0.25">
      <c r="A778" s="114" t="s">
        <v>11657</v>
      </c>
      <c r="B778" s="4" t="s">
        <v>11658</v>
      </c>
      <c r="C778" s="113" t="s">
        <v>15364</v>
      </c>
      <c r="D778" s="155" t="s">
        <v>11593</v>
      </c>
      <c r="E778" s="159"/>
      <c r="F778" s="157" t="s">
        <v>11660</v>
      </c>
      <c r="G778" s="155" t="s">
        <v>11659</v>
      </c>
      <c r="H778" s="113" t="s">
        <v>11524</v>
      </c>
      <c r="I778" s="4" t="s">
        <v>11658</v>
      </c>
      <c r="J778" s="155" t="s">
        <v>11660</v>
      </c>
      <c r="K778" s="2" t="s">
        <v>15433</v>
      </c>
    </row>
    <row r="779" spans="1:11" s="2" customFormat="1" x14ac:dyDescent="0.25">
      <c r="A779" s="114" t="s">
        <v>11661</v>
      </c>
      <c r="B779" s="4" t="s">
        <v>11662</v>
      </c>
      <c r="C779" s="113" t="s">
        <v>15364</v>
      </c>
      <c r="D779" s="155" t="s">
        <v>11663</v>
      </c>
      <c r="E779" s="159">
        <v>0</v>
      </c>
      <c r="F779" s="157" t="s">
        <v>11665</v>
      </c>
      <c r="G779" s="155" t="s">
        <v>11664</v>
      </c>
      <c r="H779" s="113" t="s">
        <v>11524</v>
      </c>
      <c r="I779" s="4" t="s">
        <v>11662</v>
      </c>
      <c r="J779" s="155" t="s">
        <v>11665</v>
      </c>
      <c r="K779" s="2" t="s">
        <v>11664</v>
      </c>
    </row>
    <row r="780" spans="1:11" s="2" customFormat="1" x14ac:dyDescent="0.25">
      <c r="A780" s="114" t="s">
        <v>11666</v>
      </c>
      <c r="B780" s="4" t="s">
        <v>11667</v>
      </c>
      <c r="C780" s="113" t="s">
        <v>15364</v>
      </c>
      <c r="D780" s="155" t="s">
        <v>11668</v>
      </c>
      <c r="E780" s="159"/>
      <c r="F780" s="157" t="s">
        <v>11669</v>
      </c>
      <c r="G780" s="155" t="s">
        <v>11667</v>
      </c>
      <c r="H780" s="113" t="s">
        <v>11524</v>
      </c>
      <c r="I780" s="4" t="s">
        <v>11667</v>
      </c>
      <c r="J780" s="155" t="s">
        <v>11669</v>
      </c>
      <c r="K780" s="2" t="s">
        <v>11614</v>
      </c>
    </row>
    <row r="781" spans="1:11" s="2" customFormat="1" x14ac:dyDescent="0.25">
      <c r="A781" s="114" t="s">
        <v>11670</v>
      </c>
      <c r="B781" s="4" t="s">
        <v>11671</v>
      </c>
      <c r="C781" s="113" t="s">
        <v>15364</v>
      </c>
      <c r="D781" s="155" t="s">
        <v>11671</v>
      </c>
      <c r="E781" s="159"/>
      <c r="F781" s="157" t="s">
        <v>11672</v>
      </c>
      <c r="G781" s="155" t="s">
        <v>11671</v>
      </c>
      <c r="H781" s="113" t="s">
        <v>11524</v>
      </c>
      <c r="I781" s="4" t="s">
        <v>11671</v>
      </c>
      <c r="J781" s="155" t="s">
        <v>11672</v>
      </c>
      <c r="K781" s="2" t="s">
        <v>11539</v>
      </c>
    </row>
    <row r="782" spans="1:11" s="2" customFormat="1" x14ac:dyDescent="0.25">
      <c r="A782" s="114" t="s">
        <v>11673</v>
      </c>
      <c r="B782" s="4" t="s">
        <v>11674</v>
      </c>
      <c r="C782" s="113" t="s">
        <v>15364</v>
      </c>
      <c r="D782" s="155" t="s">
        <v>11668</v>
      </c>
      <c r="E782" s="159"/>
      <c r="F782" s="157" t="s">
        <v>11675</v>
      </c>
      <c r="G782" s="155" t="s">
        <v>11674</v>
      </c>
      <c r="H782" s="113" t="s">
        <v>11524</v>
      </c>
      <c r="I782" s="4" t="s">
        <v>11674</v>
      </c>
      <c r="J782" s="155" t="s">
        <v>11675</v>
      </c>
      <c r="K782" s="2" t="s">
        <v>11539</v>
      </c>
    </row>
    <row r="783" spans="1:11" s="2" customFormat="1" x14ac:dyDescent="0.25">
      <c r="A783" s="114" t="s">
        <v>11676</v>
      </c>
      <c r="B783" s="4" t="s">
        <v>11677</v>
      </c>
      <c r="C783" s="113" t="s">
        <v>15364</v>
      </c>
      <c r="D783" s="155" t="s">
        <v>11668</v>
      </c>
      <c r="E783" s="159"/>
      <c r="F783" s="157" t="s">
        <v>11678</v>
      </c>
      <c r="G783" s="155" t="s">
        <v>11677</v>
      </c>
      <c r="H783" s="113" t="s">
        <v>11524</v>
      </c>
      <c r="I783" s="4" t="s">
        <v>11677</v>
      </c>
      <c r="J783" s="155" t="s">
        <v>11678</v>
      </c>
      <c r="K783" s="2" t="s">
        <v>11539</v>
      </c>
    </row>
    <row r="784" spans="1:11" s="2" customFormat="1" x14ac:dyDescent="0.25">
      <c r="A784" s="114" t="s">
        <v>11679</v>
      </c>
      <c r="B784" s="4" t="s">
        <v>11680</v>
      </c>
      <c r="C784" s="113" t="s">
        <v>15364</v>
      </c>
      <c r="D784" s="155" t="s">
        <v>11668</v>
      </c>
      <c r="E784" s="159"/>
      <c r="F784" s="157" t="s">
        <v>11681</v>
      </c>
      <c r="G784" s="155" t="s">
        <v>11680</v>
      </c>
      <c r="H784" s="113" t="s">
        <v>11524</v>
      </c>
      <c r="I784" s="4" t="s">
        <v>11680</v>
      </c>
      <c r="J784" s="155" t="s">
        <v>11681</v>
      </c>
      <c r="K784" s="2" t="s">
        <v>15435</v>
      </c>
    </row>
    <row r="785" spans="1:11" s="2" customFormat="1" x14ac:dyDescent="0.25">
      <c r="A785" s="114" t="s">
        <v>11682</v>
      </c>
      <c r="B785" s="4" t="s">
        <v>11683</v>
      </c>
      <c r="C785" s="113" t="s">
        <v>15364</v>
      </c>
      <c r="D785" s="155" t="s">
        <v>11668</v>
      </c>
      <c r="E785" s="159"/>
      <c r="F785" s="157" t="s">
        <v>11684</v>
      </c>
      <c r="G785" s="155" t="s">
        <v>11683</v>
      </c>
      <c r="H785" s="113" t="s">
        <v>11524</v>
      </c>
      <c r="I785" s="4" t="s">
        <v>11683</v>
      </c>
      <c r="J785" s="155" t="s">
        <v>11684</v>
      </c>
      <c r="K785" s="2" t="s">
        <v>11645</v>
      </c>
    </row>
    <row r="786" spans="1:11" s="2" customFormat="1" x14ac:dyDescent="0.25">
      <c r="A786" s="114" t="s">
        <v>11685</v>
      </c>
      <c r="B786" s="4" t="s">
        <v>11686</v>
      </c>
      <c r="C786" s="113" t="s">
        <v>15364</v>
      </c>
      <c r="D786" s="155" t="s">
        <v>11668</v>
      </c>
      <c r="E786" s="159"/>
      <c r="F786" s="157" t="s">
        <v>11687</v>
      </c>
      <c r="G786" s="155" t="s">
        <v>11686</v>
      </c>
      <c r="H786" s="113" t="s">
        <v>11524</v>
      </c>
      <c r="I786" s="4" t="s">
        <v>11686</v>
      </c>
      <c r="J786" s="155" t="s">
        <v>11687</v>
      </c>
      <c r="K786" s="2" t="s">
        <v>11539</v>
      </c>
    </row>
    <row r="787" spans="1:11" s="2" customFormat="1" x14ac:dyDescent="0.25">
      <c r="A787" s="114" t="s">
        <v>11688</v>
      </c>
      <c r="B787" s="4" t="s">
        <v>11689</v>
      </c>
      <c r="C787" s="113" t="s">
        <v>15364</v>
      </c>
      <c r="D787" s="155" t="s">
        <v>11690</v>
      </c>
      <c r="E787" s="159">
        <v>0</v>
      </c>
      <c r="F787" s="157" t="s">
        <v>11691</v>
      </c>
      <c r="G787" s="155" t="s">
        <v>11689</v>
      </c>
      <c r="H787" s="113" t="s">
        <v>11524</v>
      </c>
      <c r="I787" s="4" t="s">
        <v>11689</v>
      </c>
      <c r="J787" s="155" t="s">
        <v>11691</v>
      </c>
      <c r="K787" s="2" t="s">
        <v>11642</v>
      </c>
    </row>
    <row r="788" spans="1:11" s="2" customFormat="1" x14ac:dyDescent="0.25">
      <c r="A788" s="114" t="s">
        <v>11692</v>
      </c>
      <c r="B788" s="4" t="s">
        <v>11693</v>
      </c>
      <c r="C788" s="113" t="s">
        <v>15364</v>
      </c>
      <c r="D788" s="155" t="s">
        <v>11694</v>
      </c>
      <c r="E788" s="159">
        <v>10</v>
      </c>
      <c r="F788" s="157" t="s">
        <v>11696</v>
      </c>
      <c r="G788" s="155" t="s">
        <v>11695</v>
      </c>
      <c r="H788" s="113" t="s">
        <v>11524</v>
      </c>
      <c r="I788" s="4" t="s">
        <v>11693</v>
      </c>
      <c r="J788" s="155" t="s">
        <v>11696</v>
      </c>
      <c r="K788" s="2" t="s">
        <v>11539</v>
      </c>
    </row>
    <row r="789" spans="1:11" s="2" customFormat="1" x14ac:dyDescent="0.25">
      <c r="A789" s="114" t="s">
        <v>11697</v>
      </c>
      <c r="B789" s="4" t="s">
        <v>11698</v>
      </c>
      <c r="C789" s="113" t="s">
        <v>15364</v>
      </c>
      <c r="D789" s="155" t="s">
        <v>11668</v>
      </c>
      <c r="E789" s="159"/>
      <c r="F789" s="157" t="s">
        <v>11699</v>
      </c>
      <c r="G789" s="155" t="s">
        <v>11698</v>
      </c>
      <c r="H789" s="113" t="s">
        <v>11524</v>
      </c>
      <c r="I789" s="4" t="s">
        <v>11698</v>
      </c>
      <c r="J789" s="155" t="s">
        <v>11699</v>
      </c>
      <c r="K789" s="2" t="s">
        <v>11630</v>
      </c>
    </row>
    <row r="790" spans="1:11" s="2" customFormat="1" x14ac:dyDescent="0.25">
      <c r="A790" s="114" t="s">
        <v>11700</v>
      </c>
      <c r="B790" s="4" t="s">
        <v>11701</v>
      </c>
      <c r="C790" s="113" t="s">
        <v>4</v>
      </c>
      <c r="D790" s="155" t="s">
        <v>9810</v>
      </c>
      <c r="E790" s="159">
        <v>0</v>
      </c>
      <c r="F790" s="157" t="s">
        <v>11702</v>
      </c>
      <c r="G790" s="155" t="s">
        <v>11701</v>
      </c>
      <c r="H790" s="113" t="s">
        <v>11524</v>
      </c>
      <c r="I790" s="4" t="s">
        <v>11701</v>
      </c>
      <c r="J790" s="155" t="s">
        <v>11702</v>
      </c>
      <c r="K790" s="2" t="s">
        <v>11634</v>
      </c>
    </row>
    <row r="791" spans="1:11" s="2" customFormat="1" x14ac:dyDescent="0.25">
      <c r="A791" s="114" t="s">
        <v>11703</v>
      </c>
      <c r="B791" s="4" t="s">
        <v>15293</v>
      </c>
      <c r="C791" s="113" t="s">
        <v>4</v>
      </c>
      <c r="D791" s="155" t="s">
        <v>11529</v>
      </c>
      <c r="E791" s="159"/>
      <c r="F791" s="157" t="s">
        <v>11705</v>
      </c>
      <c r="G791" s="155" t="s">
        <v>15293</v>
      </c>
      <c r="H791" s="113" t="s">
        <v>11524</v>
      </c>
      <c r="I791" s="4" t="s">
        <v>15293</v>
      </c>
      <c r="J791" s="155" t="s">
        <v>11705</v>
      </c>
      <c r="K791" s="2" t="s">
        <v>12096</v>
      </c>
    </row>
    <row r="792" spans="1:11" s="2" customFormat="1" x14ac:dyDescent="0.25">
      <c r="A792" s="114" t="s">
        <v>11706</v>
      </c>
      <c r="B792" s="4" t="s">
        <v>11707</v>
      </c>
      <c r="C792" s="113" t="s">
        <v>15363</v>
      </c>
      <c r="D792" s="155" t="s">
        <v>10269</v>
      </c>
      <c r="E792" s="159">
        <v>881</v>
      </c>
      <c r="F792" s="157" t="s">
        <v>11708</v>
      </c>
      <c r="G792" s="155" t="s">
        <v>11525</v>
      </c>
      <c r="H792" s="113" t="s">
        <v>11524</v>
      </c>
      <c r="I792" s="4" t="s">
        <v>11707</v>
      </c>
      <c r="J792" s="155" t="s">
        <v>11708</v>
      </c>
      <c r="K792" s="2" t="s">
        <v>15376</v>
      </c>
    </row>
    <row r="793" spans="1:11" s="2" customFormat="1" x14ac:dyDescent="0.25">
      <c r="A793" s="114" t="s">
        <v>13148</v>
      </c>
      <c r="B793" s="4" t="s">
        <v>11634</v>
      </c>
      <c r="C793" s="113" t="s">
        <v>15363</v>
      </c>
      <c r="D793" s="155" t="s">
        <v>10467</v>
      </c>
      <c r="E793" s="159">
        <v>202</v>
      </c>
      <c r="F793" s="157" t="s">
        <v>13150</v>
      </c>
      <c r="G793" s="155" t="s">
        <v>11634</v>
      </c>
      <c r="H793" s="113" t="s">
        <v>13149</v>
      </c>
      <c r="I793" s="4" t="s">
        <v>11634</v>
      </c>
      <c r="J793" s="155" t="s">
        <v>13150</v>
      </c>
      <c r="K793" s="2" t="s">
        <v>15376</v>
      </c>
    </row>
    <row r="794" spans="1:11" s="2" customFormat="1" x14ac:dyDescent="0.25">
      <c r="A794" s="114" t="s">
        <v>13151</v>
      </c>
      <c r="B794" s="4" t="s">
        <v>13152</v>
      </c>
      <c r="C794" s="113" t="s">
        <v>15363</v>
      </c>
      <c r="D794" s="155" t="s">
        <v>9887</v>
      </c>
      <c r="E794" s="159">
        <v>200</v>
      </c>
      <c r="F794" s="157" t="s">
        <v>13153</v>
      </c>
      <c r="G794" s="155" t="s">
        <v>13152</v>
      </c>
      <c r="H794" s="113" t="s">
        <v>13149</v>
      </c>
      <c r="I794" s="4" t="s">
        <v>13152</v>
      </c>
      <c r="J794" s="155" t="s">
        <v>13153</v>
      </c>
      <c r="K794" s="2" t="s">
        <v>13209</v>
      </c>
    </row>
    <row r="795" spans="1:11" s="2" customFormat="1" x14ac:dyDescent="0.25">
      <c r="A795" s="114" t="s">
        <v>13154</v>
      </c>
      <c r="B795" s="4" t="s">
        <v>13155</v>
      </c>
      <c r="C795" s="113" t="s">
        <v>15363</v>
      </c>
      <c r="D795" s="155" t="s">
        <v>10595</v>
      </c>
      <c r="E795" s="159">
        <v>437</v>
      </c>
      <c r="F795" s="157" t="s">
        <v>13156</v>
      </c>
      <c r="G795" s="155" t="s">
        <v>13155</v>
      </c>
      <c r="H795" s="113" t="s">
        <v>13149</v>
      </c>
      <c r="I795" s="4" t="s">
        <v>13155</v>
      </c>
      <c r="J795" s="155" t="s">
        <v>13156</v>
      </c>
      <c r="K795" s="2" t="s">
        <v>13244</v>
      </c>
    </row>
    <row r="796" spans="1:11" s="2" customFormat="1" x14ac:dyDescent="0.25">
      <c r="A796" s="114" t="s">
        <v>13157</v>
      </c>
      <c r="B796" s="4" t="s">
        <v>13158</v>
      </c>
      <c r="C796" s="113" t="s">
        <v>15363</v>
      </c>
      <c r="D796" s="155" t="s">
        <v>15366</v>
      </c>
      <c r="E796" s="159">
        <v>404</v>
      </c>
      <c r="F796" s="157" t="s">
        <v>13159</v>
      </c>
      <c r="G796" s="155" t="s">
        <v>13158</v>
      </c>
      <c r="H796" s="113" t="s">
        <v>13149</v>
      </c>
      <c r="I796" s="4" t="s">
        <v>13158</v>
      </c>
      <c r="J796" s="155" t="s">
        <v>13159</v>
      </c>
      <c r="K796" s="2" t="s">
        <v>15376</v>
      </c>
    </row>
    <row r="797" spans="1:11" s="2" customFormat="1" x14ac:dyDescent="0.25">
      <c r="A797" s="114" t="s">
        <v>13160</v>
      </c>
      <c r="B797" s="4" t="s">
        <v>13161</v>
      </c>
      <c r="C797" s="113" t="s">
        <v>15363</v>
      </c>
      <c r="D797" s="155" t="s">
        <v>9850</v>
      </c>
      <c r="E797" s="159">
        <v>393</v>
      </c>
      <c r="F797" s="157" t="s">
        <v>13162</v>
      </c>
      <c r="G797" s="155" t="s">
        <v>13161</v>
      </c>
      <c r="H797" s="113" t="s">
        <v>13149</v>
      </c>
      <c r="I797" s="4" t="s">
        <v>13161</v>
      </c>
      <c r="J797" s="155" t="s">
        <v>13162</v>
      </c>
      <c r="K797" s="2" t="s">
        <v>13257</v>
      </c>
    </row>
    <row r="798" spans="1:11" s="2" customFormat="1" x14ac:dyDescent="0.25">
      <c r="A798" s="114" t="s">
        <v>13163</v>
      </c>
      <c r="B798" s="4" t="s">
        <v>13164</v>
      </c>
      <c r="C798" s="113" t="s">
        <v>15363</v>
      </c>
      <c r="D798" s="155" t="s">
        <v>13165</v>
      </c>
      <c r="E798" s="159">
        <v>337</v>
      </c>
      <c r="F798" s="157" t="s">
        <v>13166</v>
      </c>
      <c r="G798" s="155" t="s">
        <v>13164</v>
      </c>
      <c r="H798" s="113" t="s">
        <v>13149</v>
      </c>
      <c r="I798" s="4" t="s">
        <v>13164</v>
      </c>
      <c r="J798" s="155" t="s">
        <v>13166</v>
      </c>
      <c r="K798" s="2" t="s">
        <v>15437</v>
      </c>
    </row>
    <row r="799" spans="1:11" s="2" customFormat="1" x14ac:dyDescent="0.25">
      <c r="A799" s="114" t="s">
        <v>13167</v>
      </c>
      <c r="B799" s="4" t="s">
        <v>13168</v>
      </c>
      <c r="C799" s="113" t="s">
        <v>15363</v>
      </c>
      <c r="D799" s="155" t="s">
        <v>13169</v>
      </c>
      <c r="E799" s="159">
        <v>55</v>
      </c>
      <c r="F799" s="157" t="s">
        <v>13170</v>
      </c>
      <c r="G799" s="155" t="s">
        <v>13168</v>
      </c>
      <c r="H799" s="113" t="s">
        <v>13149</v>
      </c>
      <c r="I799" s="4" t="s">
        <v>13168</v>
      </c>
      <c r="J799" s="155" t="s">
        <v>13170</v>
      </c>
      <c r="K799" s="2" t="s">
        <v>15438</v>
      </c>
    </row>
    <row r="800" spans="1:11" s="2" customFormat="1" x14ac:dyDescent="0.25">
      <c r="A800" s="114" t="s">
        <v>13171</v>
      </c>
      <c r="B800" s="4" t="s">
        <v>13172</v>
      </c>
      <c r="C800" s="113" t="s">
        <v>15363</v>
      </c>
      <c r="D800" s="155" t="s">
        <v>9764</v>
      </c>
      <c r="E800" s="159">
        <v>100</v>
      </c>
      <c r="F800" s="157" t="s">
        <v>13173</v>
      </c>
      <c r="G800" s="155" t="s">
        <v>13172</v>
      </c>
      <c r="H800" s="113" t="s">
        <v>13149</v>
      </c>
      <c r="I800" s="4" t="s">
        <v>13172</v>
      </c>
      <c r="J800" s="155" t="s">
        <v>13173</v>
      </c>
      <c r="K800" s="2" t="s">
        <v>13241</v>
      </c>
    </row>
    <row r="801" spans="1:11" s="2" customFormat="1" x14ac:dyDescent="0.25">
      <c r="A801" s="114" t="s">
        <v>13174</v>
      </c>
      <c r="B801" s="4" t="s">
        <v>13175</v>
      </c>
      <c r="C801" s="113" t="s">
        <v>15363</v>
      </c>
      <c r="D801" s="155" t="s">
        <v>9865</v>
      </c>
      <c r="E801" s="159">
        <v>305</v>
      </c>
      <c r="F801" s="157" t="s">
        <v>13176</v>
      </c>
      <c r="G801" s="155" t="s">
        <v>13175</v>
      </c>
      <c r="H801" s="113" t="s">
        <v>13149</v>
      </c>
      <c r="I801" s="4" t="s">
        <v>13175</v>
      </c>
      <c r="J801" s="155" t="s">
        <v>13176</v>
      </c>
      <c r="K801" s="2" t="s">
        <v>13175</v>
      </c>
    </row>
    <row r="802" spans="1:11" s="2" customFormat="1" x14ac:dyDescent="0.25">
      <c r="A802" s="114" t="s">
        <v>13177</v>
      </c>
      <c r="B802" s="4" t="s">
        <v>13178</v>
      </c>
      <c r="C802" s="113" t="s">
        <v>15363</v>
      </c>
      <c r="D802" s="155" t="s">
        <v>10181</v>
      </c>
      <c r="E802" s="159">
        <v>1165</v>
      </c>
      <c r="F802" s="157" t="s">
        <v>13179</v>
      </c>
      <c r="G802" s="155" t="s">
        <v>13178</v>
      </c>
      <c r="H802" s="113" t="s">
        <v>13149</v>
      </c>
      <c r="I802" s="4" t="s">
        <v>13178</v>
      </c>
      <c r="J802" s="155" t="s">
        <v>13179</v>
      </c>
      <c r="K802" s="2" t="s">
        <v>13238</v>
      </c>
    </row>
    <row r="803" spans="1:11" s="2" customFormat="1" x14ac:dyDescent="0.25">
      <c r="A803" s="114" t="s">
        <v>13180</v>
      </c>
      <c r="B803" s="4" t="s">
        <v>13181</v>
      </c>
      <c r="C803" s="113" t="s">
        <v>15363</v>
      </c>
      <c r="D803" s="155" t="s">
        <v>10059</v>
      </c>
      <c r="E803" s="159">
        <v>100</v>
      </c>
      <c r="F803" s="157" t="s">
        <v>13183</v>
      </c>
      <c r="G803" s="155" t="s">
        <v>13182</v>
      </c>
      <c r="H803" s="113" t="s">
        <v>13149</v>
      </c>
      <c r="I803" s="4" t="s">
        <v>13181</v>
      </c>
      <c r="J803" s="155" t="s">
        <v>13183</v>
      </c>
      <c r="K803" s="2" t="s">
        <v>15437</v>
      </c>
    </row>
    <row r="804" spans="1:11" s="2" customFormat="1" x14ac:dyDescent="0.25">
      <c r="A804" s="114" t="s">
        <v>13184</v>
      </c>
      <c r="B804" s="4" t="s">
        <v>13185</v>
      </c>
      <c r="C804" s="113" t="s">
        <v>15363</v>
      </c>
      <c r="D804" s="155" t="s">
        <v>13186</v>
      </c>
      <c r="E804" s="159">
        <v>498</v>
      </c>
      <c r="F804" s="157" t="s">
        <v>13187</v>
      </c>
      <c r="G804" s="155" t="s">
        <v>13185</v>
      </c>
      <c r="H804" s="113" t="s">
        <v>13149</v>
      </c>
      <c r="I804" s="4" t="s">
        <v>13185</v>
      </c>
      <c r="J804" s="155" t="s">
        <v>13187</v>
      </c>
      <c r="K804" s="2" t="s">
        <v>15439</v>
      </c>
    </row>
    <row r="805" spans="1:11" s="2" customFormat="1" x14ac:dyDescent="0.25">
      <c r="A805" s="114" t="s">
        <v>13188</v>
      </c>
      <c r="B805" s="4" t="s">
        <v>13189</v>
      </c>
      <c r="C805" s="113" t="s">
        <v>15363</v>
      </c>
      <c r="D805" s="155" t="s">
        <v>10900</v>
      </c>
      <c r="E805" s="159">
        <v>1141</v>
      </c>
      <c r="F805" s="157" t="s">
        <v>13190</v>
      </c>
      <c r="G805" s="155" t="s">
        <v>13189</v>
      </c>
      <c r="H805" s="113" t="s">
        <v>13149</v>
      </c>
      <c r="I805" s="4" t="s">
        <v>13189</v>
      </c>
      <c r="J805" s="155" t="s">
        <v>13190</v>
      </c>
      <c r="K805" s="2" t="s">
        <v>15440</v>
      </c>
    </row>
    <row r="806" spans="1:11" s="2" customFormat="1" x14ac:dyDescent="0.25">
      <c r="A806" s="114" t="s">
        <v>13191</v>
      </c>
      <c r="B806" s="4" t="s">
        <v>13192</v>
      </c>
      <c r="C806" s="113" t="s">
        <v>15363</v>
      </c>
      <c r="D806" s="155" t="s">
        <v>13193</v>
      </c>
      <c r="E806" s="159">
        <v>280</v>
      </c>
      <c r="F806" s="157" t="s">
        <v>13194</v>
      </c>
      <c r="G806" s="155" t="s">
        <v>13192</v>
      </c>
      <c r="H806" s="113" t="s">
        <v>13149</v>
      </c>
      <c r="I806" s="4" t="s">
        <v>13192</v>
      </c>
      <c r="J806" s="155" t="s">
        <v>13194</v>
      </c>
      <c r="K806" s="2" t="s">
        <v>13244</v>
      </c>
    </row>
    <row r="807" spans="1:11" s="2" customFormat="1" x14ac:dyDescent="0.25">
      <c r="A807" s="114" t="s">
        <v>13195</v>
      </c>
      <c r="B807" s="4" t="s">
        <v>13196</v>
      </c>
      <c r="C807" s="113" t="s">
        <v>15363</v>
      </c>
      <c r="D807" s="155" t="s">
        <v>13197</v>
      </c>
      <c r="E807" s="159">
        <v>790</v>
      </c>
      <c r="F807" s="157" t="s">
        <v>13199</v>
      </c>
      <c r="G807" s="155" t="s">
        <v>13198</v>
      </c>
      <c r="H807" s="113" t="s">
        <v>13149</v>
      </c>
      <c r="I807" s="4" t="s">
        <v>13196</v>
      </c>
      <c r="J807" s="155" t="s">
        <v>13199</v>
      </c>
      <c r="K807" s="2" t="s">
        <v>15441</v>
      </c>
    </row>
    <row r="808" spans="1:11" s="2" customFormat="1" x14ac:dyDescent="0.25">
      <c r="A808" s="114" t="s">
        <v>13200</v>
      </c>
      <c r="B808" s="4" t="s">
        <v>13201</v>
      </c>
      <c r="C808" s="113" t="s">
        <v>15363</v>
      </c>
      <c r="D808" s="155" t="s">
        <v>13202</v>
      </c>
      <c r="E808" s="159">
        <v>653</v>
      </c>
      <c r="F808" s="157" t="s">
        <v>13204</v>
      </c>
      <c r="G808" s="155" t="s">
        <v>13203</v>
      </c>
      <c r="H808" s="113" t="s">
        <v>13149</v>
      </c>
      <c r="I808" s="4" t="s">
        <v>13201</v>
      </c>
      <c r="J808" s="155" t="s">
        <v>13204</v>
      </c>
      <c r="K808" s="2" t="s">
        <v>15442</v>
      </c>
    </row>
    <row r="809" spans="1:11" s="2" customFormat="1" x14ac:dyDescent="0.25">
      <c r="A809" s="114" t="s">
        <v>13205</v>
      </c>
      <c r="B809" s="4" t="s">
        <v>11758</v>
      </c>
      <c r="C809" s="113" t="s">
        <v>15363</v>
      </c>
      <c r="D809" s="155" t="s">
        <v>13206</v>
      </c>
      <c r="E809" s="159">
        <v>250</v>
      </c>
      <c r="F809" s="157" t="s">
        <v>13207</v>
      </c>
      <c r="G809" s="155" t="s">
        <v>9766</v>
      </c>
      <c r="H809" s="113" t="s">
        <v>13149</v>
      </c>
      <c r="I809" s="4" t="s">
        <v>11758</v>
      </c>
      <c r="J809" s="155" t="s">
        <v>13207</v>
      </c>
      <c r="K809" s="2" t="s">
        <v>15438</v>
      </c>
    </row>
    <row r="810" spans="1:11" s="2" customFormat="1" x14ac:dyDescent="0.25">
      <c r="A810" s="114" t="s">
        <v>13208</v>
      </c>
      <c r="B810" s="4" t="s">
        <v>13209</v>
      </c>
      <c r="C810" s="113" t="s">
        <v>15363</v>
      </c>
      <c r="D810" s="155" t="s">
        <v>11989</v>
      </c>
      <c r="E810" s="159">
        <v>457</v>
      </c>
      <c r="F810" s="157" t="s">
        <v>13210</v>
      </c>
      <c r="G810" s="155" t="s">
        <v>13209</v>
      </c>
      <c r="H810" s="113" t="s">
        <v>13149</v>
      </c>
      <c r="I810" s="4" t="s">
        <v>13209</v>
      </c>
      <c r="J810" s="155" t="s">
        <v>13210</v>
      </c>
      <c r="K810" s="2" t="s">
        <v>13209</v>
      </c>
    </row>
    <row r="811" spans="1:11" s="2" customFormat="1" x14ac:dyDescent="0.25">
      <c r="A811" s="114" t="s">
        <v>13211</v>
      </c>
      <c r="B811" s="4" t="s">
        <v>13212</v>
      </c>
      <c r="C811" s="113" t="s">
        <v>15363</v>
      </c>
      <c r="D811" s="155" t="s">
        <v>12066</v>
      </c>
      <c r="E811" s="159">
        <v>597</v>
      </c>
      <c r="F811" s="157" t="s">
        <v>13214</v>
      </c>
      <c r="G811" s="155" t="s">
        <v>13213</v>
      </c>
      <c r="H811" s="113" t="s">
        <v>13149</v>
      </c>
      <c r="I811" s="4" t="s">
        <v>13212</v>
      </c>
      <c r="J811" s="155" t="s">
        <v>13214</v>
      </c>
      <c r="K811" s="2" t="s">
        <v>13244</v>
      </c>
    </row>
    <row r="812" spans="1:11" s="2" customFormat="1" x14ac:dyDescent="0.25">
      <c r="A812" s="114" t="s">
        <v>13215</v>
      </c>
      <c r="B812" s="4" t="s">
        <v>13216</v>
      </c>
      <c r="C812" s="113" t="s">
        <v>15363</v>
      </c>
      <c r="D812" s="155" t="s">
        <v>12372</v>
      </c>
      <c r="E812" s="159">
        <v>494</v>
      </c>
      <c r="F812" s="157" t="s">
        <v>13217</v>
      </c>
      <c r="G812" s="155" t="s">
        <v>13216</v>
      </c>
      <c r="H812" s="113" t="s">
        <v>13149</v>
      </c>
      <c r="I812" s="4" t="s">
        <v>13216</v>
      </c>
      <c r="J812" s="155" t="s">
        <v>13217</v>
      </c>
      <c r="K812" s="2" t="s">
        <v>15437</v>
      </c>
    </row>
    <row r="813" spans="1:11" s="2" customFormat="1" x14ac:dyDescent="0.25">
      <c r="A813" s="114" t="s">
        <v>13218</v>
      </c>
      <c r="B813" s="4" t="s">
        <v>13219</v>
      </c>
      <c r="C813" s="113" t="s">
        <v>15363</v>
      </c>
      <c r="D813" s="155" t="s">
        <v>15366</v>
      </c>
      <c r="E813" s="159">
        <v>928</v>
      </c>
      <c r="F813" s="157" t="s">
        <v>13220</v>
      </c>
      <c r="G813" s="155" t="s">
        <v>13219</v>
      </c>
      <c r="H813" s="113" t="s">
        <v>13149</v>
      </c>
      <c r="I813" s="4" t="s">
        <v>13219</v>
      </c>
      <c r="J813" s="155" t="s">
        <v>13220</v>
      </c>
      <c r="K813" s="2" t="s">
        <v>15438</v>
      </c>
    </row>
    <row r="814" spans="1:11" s="2" customFormat="1" x14ac:dyDescent="0.25">
      <c r="A814" s="114" t="s">
        <v>13221</v>
      </c>
      <c r="B814" s="4" t="s">
        <v>13222</v>
      </c>
      <c r="C814" s="113" t="s">
        <v>15363</v>
      </c>
      <c r="D814" s="155" t="s">
        <v>13223</v>
      </c>
      <c r="E814" s="159">
        <v>1</v>
      </c>
      <c r="F814" s="157" t="s">
        <v>13224</v>
      </c>
      <c r="G814" s="155" t="s">
        <v>13222</v>
      </c>
      <c r="H814" s="113" t="s">
        <v>13149</v>
      </c>
      <c r="I814" s="4" t="s">
        <v>13222</v>
      </c>
      <c r="J814" s="155" t="s">
        <v>13224</v>
      </c>
      <c r="K814" s="2" t="s">
        <v>13175</v>
      </c>
    </row>
    <row r="815" spans="1:11" s="2" customFormat="1" x14ac:dyDescent="0.25">
      <c r="A815" s="114" t="s">
        <v>13225</v>
      </c>
      <c r="B815" s="4" t="s">
        <v>13226</v>
      </c>
      <c r="C815" s="113" t="s">
        <v>15363</v>
      </c>
      <c r="D815" s="155" t="s">
        <v>10541</v>
      </c>
      <c r="E815" s="159">
        <v>350</v>
      </c>
      <c r="F815" s="157" t="s">
        <v>13227</v>
      </c>
      <c r="G815" s="155" t="s">
        <v>13226</v>
      </c>
      <c r="H815" s="113" t="s">
        <v>13149</v>
      </c>
      <c r="I815" s="4" t="s">
        <v>13226</v>
      </c>
      <c r="J815" s="155" t="s">
        <v>13227</v>
      </c>
      <c r="K815" s="2" t="s">
        <v>15439</v>
      </c>
    </row>
    <row r="816" spans="1:11" s="2" customFormat="1" x14ac:dyDescent="0.25">
      <c r="A816" s="114" t="s">
        <v>13228</v>
      </c>
      <c r="B816" s="4" t="s">
        <v>13229</v>
      </c>
      <c r="C816" s="113" t="s">
        <v>15363</v>
      </c>
      <c r="D816" s="155" t="s">
        <v>9764</v>
      </c>
      <c r="E816" s="159">
        <v>431</v>
      </c>
      <c r="F816" s="157" t="s">
        <v>13230</v>
      </c>
      <c r="G816" s="155" t="s">
        <v>13229</v>
      </c>
      <c r="H816" s="113" t="s">
        <v>13149</v>
      </c>
      <c r="I816" s="4" t="s">
        <v>13229</v>
      </c>
      <c r="J816" s="155" t="s">
        <v>13230</v>
      </c>
      <c r="K816" s="2" t="s">
        <v>13238</v>
      </c>
    </row>
    <row r="817" spans="1:11" s="2" customFormat="1" x14ac:dyDescent="0.25">
      <c r="A817" s="114" t="s">
        <v>13231</v>
      </c>
      <c r="B817" s="4" t="s">
        <v>13232</v>
      </c>
      <c r="C817" s="113" t="s">
        <v>15363</v>
      </c>
      <c r="D817" s="155" t="s">
        <v>9819</v>
      </c>
      <c r="E817" s="159">
        <v>450</v>
      </c>
      <c r="F817" s="157" t="s">
        <v>13233</v>
      </c>
      <c r="G817" s="155" t="s">
        <v>13232</v>
      </c>
      <c r="H817" s="113" t="s">
        <v>13149</v>
      </c>
      <c r="I817" s="4" t="s">
        <v>13232</v>
      </c>
      <c r="J817" s="155" t="s">
        <v>13233</v>
      </c>
      <c r="K817" s="2" t="s">
        <v>15439</v>
      </c>
    </row>
    <row r="818" spans="1:11" s="2" customFormat="1" x14ac:dyDescent="0.25">
      <c r="A818" s="114" t="s">
        <v>13234</v>
      </c>
      <c r="B818" s="4" t="s">
        <v>13235</v>
      </c>
      <c r="C818" s="113" t="s">
        <v>15363</v>
      </c>
      <c r="D818" s="155" t="s">
        <v>10104</v>
      </c>
      <c r="E818" s="159">
        <v>444</v>
      </c>
      <c r="F818" s="157" t="s">
        <v>13236</v>
      </c>
      <c r="G818" s="155" t="s">
        <v>13235</v>
      </c>
      <c r="H818" s="113" t="s">
        <v>13149</v>
      </c>
      <c r="I818" s="4" t="s">
        <v>13235</v>
      </c>
      <c r="J818" s="155" t="s">
        <v>13236</v>
      </c>
      <c r="K818" s="2" t="s">
        <v>13241</v>
      </c>
    </row>
    <row r="819" spans="1:11" s="2" customFormat="1" x14ac:dyDescent="0.25">
      <c r="A819" s="114" t="s">
        <v>13237</v>
      </c>
      <c r="B819" s="4" t="s">
        <v>13238</v>
      </c>
      <c r="C819" s="113" t="s">
        <v>15363</v>
      </c>
      <c r="D819" s="155" t="s">
        <v>10043</v>
      </c>
      <c r="E819" s="159">
        <v>290</v>
      </c>
      <c r="F819" s="157" t="s">
        <v>13239</v>
      </c>
      <c r="G819" s="155" t="s">
        <v>13238</v>
      </c>
      <c r="H819" s="113" t="s">
        <v>13149</v>
      </c>
      <c r="I819" s="4" t="s">
        <v>13238</v>
      </c>
      <c r="J819" s="155" t="s">
        <v>13239</v>
      </c>
      <c r="K819" s="2" t="s">
        <v>13238</v>
      </c>
    </row>
    <row r="820" spans="1:11" s="2" customFormat="1" x14ac:dyDescent="0.25">
      <c r="A820" s="114" t="s">
        <v>13240</v>
      </c>
      <c r="B820" s="4" t="s">
        <v>13241</v>
      </c>
      <c r="C820" s="113" t="s">
        <v>15363</v>
      </c>
      <c r="D820" s="155" t="s">
        <v>9937</v>
      </c>
      <c r="E820" s="159">
        <v>231</v>
      </c>
      <c r="F820" s="157" t="s">
        <v>13242</v>
      </c>
      <c r="G820" s="155" t="s">
        <v>13241</v>
      </c>
      <c r="H820" s="113" t="s">
        <v>13149</v>
      </c>
      <c r="I820" s="4" t="s">
        <v>13241</v>
      </c>
      <c r="J820" s="155" t="s">
        <v>13242</v>
      </c>
      <c r="K820" s="2" t="s">
        <v>13241</v>
      </c>
    </row>
    <row r="821" spans="1:11" s="2" customFormat="1" x14ac:dyDescent="0.25">
      <c r="A821" s="114" t="s">
        <v>13243</v>
      </c>
      <c r="B821" s="4" t="s">
        <v>13244</v>
      </c>
      <c r="C821" s="113" t="s">
        <v>15363</v>
      </c>
      <c r="D821" s="155" t="s">
        <v>13245</v>
      </c>
      <c r="E821" s="159">
        <v>1443</v>
      </c>
      <c r="F821" s="157" t="s">
        <v>13246</v>
      </c>
      <c r="G821" s="155" t="s">
        <v>13244</v>
      </c>
      <c r="H821" s="113" t="s">
        <v>13149</v>
      </c>
      <c r="I821" s="4" t="s">
        <v>13244</v>
      </c>
      <c r="J821" s="155" t="s">
        <v>13246</v>
      </c>
      <c r="K821" s="2" t="s">
        <v>13244</v>
      </c>
    </row>
    <row r="822" spans="1:11" s="2" customFormat="1" x14ac:dyDescent="0.25">
      <c r="A822" s="114" t="s">
        <v>13247</v>
      </c>
      <c r="B822" s="4" t="s">
        <v>13248</v>
      </c>
      <c r="C822" s="113" t="s">
        <v>4</v>
      </c>
      <c r="D822" s="155" t="s">
        <v>10104</v>
      </c>
      <c r="E822" s="159">
        <v>121</v>
      </c>
      <c r="F822" s="157" t="s">
        <v>13249</v>
      </c>
      <c r="G822" s="155" t="s">
        <v>13248</v>
      </c>
      <c r="H822" s="113" t="s">
        <v>13149</v>
      </c>
      <c r="I822" s="4" t="s">
        <v>13248</v>
      </c>
      <c r="J822" s="155" t="s">
        <v>13249</v>
      </c>
      <c r="K822" s="2" t="s">
        <v>15439</v>
      </c>
    </row>
    <row r="823" spans="1:11" s="2" customFormat="1" x14ac:dyDescent="0.25">
      <c r="A823" s="114" t="s">
        <v>13250</v>
      </c>
      <c r="B823" s="4" t="s">
        <v>13251</v>
      </c>
      <c r="C823" s="113" t="s">
        <v>4</v>
      </c>
      <c r="D823" s="155" t="s">
        <v>9819</v>
      </c>
      <c r="E823" s="159">
        <v>532</v>
      </c>
      <c r="F823" s="157" t="s">
        <v>13252</v>
      </c>
      <c r="G823" s="155" t="s">
        <v>13251</v>
      </c>
      <c r="H823" s="113" t="s">
        <v>13149</v>
      </c>
      <c r="I823" s="4" t="s">
        <v>13251</v>
      </c>
      <c r="J823" s="155" t="s">
        <v>13252</v>
      </c>
      <c r="K823" s="2" t="s">
        <v>15443</v>
      </c>
    </row>
    <row r="824" spans="1:11" s="2" customFormat="1" x14ac:dyDescent="0.25">
      <c r="A824" s="114" t="s">
        <v>13253</v>
      </c>
      <c r="B824" s="4" t="s">
        <v>13254</v>
      </c>
      <c r="C824" s="113" t="s">
        <v>15363</v>
      </c>
      <c r="D824" s="155" t="s">
        <v>9810</v>
      </c>
      <c r="E824" s="159">
        <v>465</v>
      </c>
      <c r="F824" s="157" t="s">
        <v>13255</v>
      </c>
      <c r="G824" s="155" t="s">
        <v>13254</v>
      </c>
      <c r="H824" s="113" t="s">
        <v>13149</v>
      </c>
      <c r="I824" s="4" t="s">
        <v>13254</v>
      </c>
      <c r="J824" s="155" t="s">
        <v>13255</v>
      </c>
      <c r="K824" s="2" t="s">
        <v>13254</v>
      </c>
    </row>
    <row r="825" spans="1:11" s="2" customFormat="1" x14ac:dyDescent="0.25">
      <c r="A825" s="114" t="s">
        <v>13256</v>
      </c>
      <c r="B825" s="4" t="s">
        <v>13257</v>
      </c>
      <c r="C825" s="113" t="s">
        <v>15363</v>
      </c>
      <c r="D825" s="155" t="s">
        <v>13258</v>
      </c>
      <c r="E825" s="159">
        <v>45</v>
      </c>
      <c r="F825" s="157" t="s">
        <v>13259</v>
      </c>
      <c r="G825" s="155" t="s">
        <v>13257</v>
      </c>
      <c r="H825" s="113" t="s">
        <v>13149</v>
      </c>
      <c r="I825" s="4" t="s">
        <v>13257</v>
      </c>
      <c r="J825" s="155" t="s">
        <v>13259</v>
      </c>
      <c r="K825" s="2" t="s">
        <v>13257</v>
      </c>
    </row>
    <row r="826" spans="1:11" s="2" customFormat="1" x14ac:dyDescent="0.25">
      <c r="A826" s="114" t="s">
        <v>13260</v>
      </c>
      <c r="B826" s="4" t="s">
        <v>13261</v>
      </c>
      <c r="C826" s="113" t="s">
        <v>15363</v>
      </c>
      <c r="D826" s="155" t="s">
        <v>13262</v>
      </c>
      <c r="E826" s="159">
        <v>0</v>
      </c>
      <c r="F826" s="157" t="s">
        <v>13263</v>
      </c>
      <c r="G826" s="155" t="s">
        <v>13261</v>
      </c>
      <c r="H826" s="113" t="s">
        <v>13149</v>
      </c>
      <c r="I826" s="4" t="s">
        <v>13261</v>
      </c>
      <c r="J826" s="155" t="s">
        <v>13263</v>
      </c>
      <c r="K826" s="2" t="s">
        <v>13175</v>
      </c>
    </row>
    <row r="827" spans="1:11" s="2" customFormat="1" x14ac:dyDescent="0.25">
      <c r="A827" s="114" t="s">
        <v>13264</v>
      </c>
      <c r="B827" s="4" t="s">
        <v>13265</v>
      </c>
      <c r="C827" s="113" t="s">
        <v>15363</v>
      </c>
      <c r="D827" s="155" t="s">
        <v>13266</v>
      </c>
      <c r="E827" s="159">
        <v>394</v>
      </c>
      <c r="F827" s="157" t="s">
        <v>13267</v>
      </c>
      <c r="G827" s="155" t="s">
        <v>9887</v>
      </c>
      <c r="H827" s="113" t="s">
        <v>13149</v>
      </c>
      <c r="I827" s="4" t="s">
        <v>13265</v>
      </c>
      <c r="J827" s="155" t="s">
        <v>13267</v>
      </c>
      <c r="K827" s="2" t="s">
        <v>15444</v>
      </c>
    </row>
    <row r="828" spans="1:11" s="2" customFormat="1" x14ac:dyDescent="0.25">
      <c r="A828" s="114" t="s">
        <v>13268</v>
      </c>
      <c r="B828" s="4" t="s">
        <v>13269</v>
      </c>
      <c r="C828" s="113" t="s">
        <v>15363</v>
      </c>
      <c r="D828" s="155" t="s">
        <v>11097</v>
      </c>
      <c r="E828" s="159">
        <v>996</v>
      </c>
      <c r="F828" s="157" t="s">
        <v>13270</v>
      </c>
      <c r="G828" s="155" t="s">
        <v>13269</v>
      </c>
      <c r="H828" s="113" t="s">
        <v>13149</v>
      </c>
      <c r="I828" s="4" t="s">
        <v>13269</v>
      </c>
      <c r="J828" s="155" t="s">
        <v>13270</v>
      </c>
      <c r="K828" s="2" t="s">
        <v>15443</v>
      </c>
    </row>
    <row r="829" spans="1:11" s="2" customFormat="1" x14ac:dyDescent="0.25">
      <c r="A829" s="114" t="s">
        <v>13271</v>
      </c>
      <c r="B829" s="4" t="s">
        <v>13272</v>
      </c>
      <c r="C829" s="113" t="s">
        <v>15363</v>
      </c>
      <c r="D829" s="155" t="s">
        <v>9850</v>
      </c>
      <c r="E829" s="159">
        <v>315</v>
      </c>
      <c r="F829" s="157" t="s">
        <v>13273</v>
      </c>
      <c r="G829" s="155" t="s">
        <v>13272</v>
      </c>
      <c r="H829" s="113" t="s">
        <v>13149</v>
      </c>
      <c r="I829" s="4" t="s">
        <v>13272</v>
      </c>
      <c r="J829" s="155" t="s">
        <v>13273</v>
      </c>
      <c r="K829" s="2" t="s">
        <v>15440</v>
      </c>
    </row>
    <row r="830" spans="1:11" s="2" customFormat="1" x14ac:dyDescent="0.25">
      <c r="A830" s="114" t="s">
        <v>13274</v>
      </c>
      <c r="B830" s="4" t="s">
        <v>15315</v>
      </c>
      <c r="C830" s="113" t="s">
        <v>4</v>
      </c>
      <c r="D830" s="155" t="s">
        <v>11663</v>
      </c>
      <c r="E830" s="159">
        <v>0</v>
      </c>
      <c r="F830" s="157" t="s">
        <v>13275</v>
      </c>
      <c r="G830" s="155" t="s">
        <v>11634</v>
      </c>
      <c r="H830" s="113" t="s">
        <v>13149</v>
      </c>
      <c r="I830" s="4" t="s">
        <v>15315</v>
      </c>
      <c r="J830" s="155" t="s">
        <v>13275</v>
      </c>
      <c r="K830" s="2" t="s">
        <v>15376</v>
      </c>
    </row>
    <row r="831" spans="1:11" s="2" customFormat="1" x14ac:dyDescent="0.25">
      <c r="A831" s="114" t="s">
        <v>13276</v>
      </c>
      <c r="B831" s="4" t="s">
        <v>13277</v>
      </c>
      <c r="C831" s="113" t="s">
        <v>15364</v>
      </c>
      <c r="D831" s="155" t="s">
        <v>11635</v>
      </c>
      <c r="E831" s="159">
        <v>100</v>
      </c>
      <c r="F831" s="157" t="s">
        <v>13278</v>
      </c>
      <c r="G831" s="155" t="s">
        <v>13277</v>
      </c>
      <c r="H831" s="113" t="s">
        <v>13149</v>
      </c>
      <c r="I831" s="4" t="s">
        <v>13277</v>
      </c>
      <c r="J831" s="155" t="s">
        <v>13278</v>
      </c>
      <c r="K831" s="2" t="s">
        <v>13241</v>
      </c>
    </row>
    <row r="832" spans="1:11" s="2" customFormat="1" x14ac:dyDescent="0.25">
      <c r="A832" s="114" t="s">
        <v>13382</v>
      </c>
      <c r="B832" s="4" t="s">
        <v>6589</v>
      </c>
      <c r="C832" s="113" t="s">
        <v>15363</v>
      </c>
      <c r="D832" s="155" t="s">
        <v>9819</v>
      </c>
      <c r="E832" s="159">
        <v>678</v>
      </c>
      <c r="F832" s="157" t="s">
        <v>13383</v>
      </c>
      <c r="G832" s="155" t="s">
        <v>6589</v>
      </c>
      <c r="H832" s="113" t="s">
        <v>6589</v>
      </c>
      <c r="I832" s="4" t="s">
        <v>6589</v>
      </c>
      <c r="J832" s="155" t="s">
        <v>13383</v>
      </c>
      <c r="K832" s="2" t="s">
        <v>15376</v>
      </c>
    </row>
    <row r="833" spans="1:11" s="2" customFormat="1" x14ac:dyDescent="0.25">
      <c r="A833" s="114" t="s">
        <v>13384</v>
      </c>
      <c r="B833" s="4" t="s">
        <v>13385</v>
      </c>
      <c r="C833" s="113" t="s">
        <v>15363</v>
      </c>
      <c r="D833" s="155" t="s">
        <v>13386</v>
      </c>
      <c r="E833" s="159">
        <v>501</v>
      </c>
      <c r="F833" s="157" t="s">
        <v>13387</v>
      </c>
      <c r="G833" s="155" t="s">
        <v>6589</v>
      </c>
      <c r="H833" s="113" t="s">
        <v>6589</v>
      </c>
      <c r="I833" s="4" t="s">
        <v>13385</v>
      </c>
      <c r="J833" s="155" t="s">
        <v>13387</v>
      </c>
      <c r="K833" s="2" t="s">
        <v>15376</v>
      </c>
    </row>
    <row r="834" spans="1:11" s="2" customFormat="1" x14ac:dyDescent="0.25">
      <c r="A834" s="114" t="s">
        <v>13388</v>
      </c>
      <c r="B834" s="4" t="s">
        <v>13389</v>
      </c>
      <c r="C834" s="113" t="s">
        <v>4</v>
      </c>
      <c r="D834" s="155" t="s">
        <v>13390</v>
      </c>
      <c r="E834" s="159">
        <v>861</v>
      </c>
      <c r="F834" s="157" t="s">
        <v>13391</v>
      </c>
      <c r="G834" s="155" t="s">
        <v>10203</v>
      </c>
      <c r="H834" s="113" t="s">
        <v>6589</v>
      </c>
      <c r="I834" s="4" t="s">
        <v>13389</v>
      </c>
      <c r="J834" s="155" t="s">
        <v>13391</v>
      </c>
      <c r="K834" s="2" t="s">
        <v>15445</v>
      </c>
    </row>
    <row r="835" spans="1:11" s="2" customFormat="1" x14ac:dyDescent="0.25">
      <c r="A835" s="114" t="s">
        <v>13392</v>
      </c>
      <c r="B835" s="4" t="s">
        <v>13393</v>
      </c>
      <c r="C835" s="113" t="s">
        <v>15363</v>
      </c>
      <c r="D835" s="155" t="s">
        <v>13394</v>
      </c>
      <c r="E835" s="159">
        <v>3600</v>
      </c>
      <c r="F835" s="157" t="s">
        <v>13395</v>
      </c>
      <c r="G835" s="155" t="s">
        <v>13393</v>
      </c>
      <c r="H835" s="113" t="s">
        <v>6589</v>
      </c>
      <c r="I835" s="4" t="s">
        <v>13393</v>
      </c>
      <c r="J835" s="155" t="s">
        <v>13395</v>
      </c>
      <c r="K835" s="2" t="s">
        <v>15445</v>
      </c>
    </row>
    <row r="836" spans="1:11" s="2" customFormat="1" x14ac:dyDescent="0.25">
      <c r="A836" s="114" t="s">
        <v>13396</v>
      </c>
      <c r="B836" s="4" t="s">
        <v>13397</v>
      </c>
      <c r="C836" s="113" t="s">
        <v>15363</v>
      </c>
      <c r="D836" s="155" t="s">
        <v>10370</v>
      </c>
      <c r="E836" s="159">
        <v>378</v>
      </c>
      <c r="F836" s="157" t="s">
        <v>13398</v>
      </c>
      <c r="G836" s="155" t="s">
        <v>13397</v>
      </c>
      <c r="H836" s="113" t="s">
        <v>6589</v>
      </c>
      <c r="I836" s="4" t="s">
        <v>13397</v>
      </c>
      <c r="J836" s="155" t="s">
        <v>13398</v>
      </c>
      <c r="K836" s="2" t="s">
        <v>10226</v>
      </c>
    </row>
    <row r="837" spans="1:11" s="2" customFormat="1" x14ac:dyDescent="0.25">
      <c r="A837" s="114" t="s">
        <v>13399</v>
      </c>
      <c r="B837" s="4" t="s">
        <v>13400</v>
      </c>
      <c r="C837" s="113" t="s">
        <v>15363</v>
      </c>
      <c r="D837" s="155" t="s">
        <v>10878</v>
      </c>
      <c r="E837" s="159">
        <v>527</v>
      </c>
      <c r="F837" s="157" t="s">
        <v>13402</v>
      </c>
      <c r="G837" s="155" t="s">
        <v>13401</v>
      </c>
      <c r="H837" s="113" t="s">
        <v>6589</v>
      </c>
      <c r="I837" s="4" t="s">
        <v>13400</v>
      </c>
      <c r="J837" s="155" t="s">
        <v>13402</v>
      </c>
      <c r="K837" s="2" t="s">
        <v>13464</v>
      </c>
    </row>
    <row r="838" spans="1:11" s="2" customFormat="1" x14ac:dyDescent="0.25">
      <c r="A838" s="114" t="s">
        <v>13403</v>
      </c>
      <c r="B838" s="4" t="s">
        <v>13404</v>
      </c>
      <c r="C838" s="113" t="s">
        <v>15363</v>
      </c>
      <c r="D838" s="155" t="s">
        <v>13405</v>
      </c>
      <c r="E838" s="159">
        <v>0</v>
      </c>
      <c r="F838" s="157" t="s">
        <v>13407</v>
      </c>
      <c r="G838" s="155" t="s">
        <v>13406</v>
      </c>
      <c r="H838" s="113" t="s">
        <v>6589</v>
      </c>
      <c r="I838" s="4" t="s">
        <v>13404</v>
      </c>
      <c r="J838" s="155" t="s">
        <v>13407</v>
      </c>
      <c r="K838" s="2" t="s">
        <v>13512</v>
      </c>
    </row>
    <row r="839" spans="1:11" s="2" customFormat="1" x14ac:dyDescent="0.25">
      <c r="A839" s="114" t="s">
        <v>13408</v>
      </c>
      <c r="B839" s="4" t="s">
        <v>13409</v>
      </c>
      <c r="C839" s="113" t="s">
        <v>15363</v>
      </c>
      <c r="D839" s="155" t="s">
        <v>9767</v>
      </c>
      <c r="E839" s="159">
        <v>10</v>
      </c>
      <c r="F839" s="157" t="s">
        <v>13410</v>
      </c>
      <c r="G839" s="155" t="s">
        <v>13409</v>
      </c>
      <c r="H839" s="113" t="s">
        <v>6589</v>
      </c>
      <c r="I839" s="4" t="s">
        <v>13409</v>
      </c>
      <c r="J839" s="155" t="s">
        <v>13410</v>
      </c>
      <c r="K839" s="2" t="s">
        <v>10226</v>
      </c>
    </row>
    <row r="840" spans="1:11" s="2" customFormat="1" x14ac:dyDescent="0.25">
      <c r="A840" s="114" t="s">
        <v>13411</v>
      </c>
      <c r="B840" s="4" t="s">
        <v>13412</v>
      </c>
      <c r="C840" s="113" t="s">
        <v>15363</v>
      </c>
      <c r="D840" s="155" t="s">
        <v>13413</v>
      </c>
      <c r="E840" s="159">
        <v>1337</v>
      </c>
      <c r="F840" s="157" t="s">
        <v>13415</v>
      </c>
      <c r="G840" s="155" t="s">
        <v>13414</v>
      </c>
      <c r="H840" s="113" t="s">
        <v>6589</v>
      </c>
      <c r="I840" s="4" t="s">
        <v>13412</v>
      </c>
      <c r="J840" s="155" t="s">
        <v>13415</v>
      </c>
      <c r="K840" s="2" t="s">
        <v>13464</v>
      </c>
    </row>
    <row r="841" spans="1:11" s="2" customFormat="1" x14ac:dyDescent="0.25">
      <c r="A841" s="114" t="s">
        <v>13416</v>
      </c>
      <c r="B841" s="4" t="s">
        <v>13417</v>
      </c>
      <c r="C841" s="113" t="s">
        <v>15363</v>
      </c>
      <c r="D841" s="155" t="s">
        <v>9786</v>
      </c>
      <c r="E841" s="159">
        <v>198</v>
      </c>
      <c r="F841" s="157" t="s">
        <v>13419</v>
      </c>
      <c r="G841" s="155" t="s">
        <v>13418</v>
      </c>
      <c r="H841" s="113" t="s">
        <v>6589</v>
      </c>
      <c r="I841" s="4" t="s">
        <v>13417</v>
      </c>
      <c r="J841" s="155" t="s">
        <v>13419</v>
      </c>
      <c r="K841" s="2" t="s">
        <v>10226</v>
      </c>
    </row>
    <row r="842" spans="1:11" s="2" customFormat="1" x14ac:dyDescent="0.25">
      <c r="A842" s="114" t="s">
        <v>13420</v>
      </c>
      <c r="B842" s="4" t="s">
        <v>13421</v>
      </c>
      <c r="C842" s="113" t="s">
        <v>15363</v>
      </c>
      <c r="D842" s="155" t="s">
        <v>13422</v>
      </c>
      <c r="E842" s="159">
        <v>332</v>
      </c>
      <c r="F842" s="157" t="s">
        <v>13424</v>
      </c>
      <c r="G842" s="155" t="s">
        <v>13423</v>
      </c>
      <c r="H842" s="113" t="s">
        <v>6589</v>
      </c>
      <c r="I842" s="4" t="s">
        <v>13421</v>
      </c>
      <c r="J842" s="155" t="s">
        <v>13424</v>
      </c>
      <c r="K842" s="2" t="s">
        <v>12200</v>
      </c>
    </row>
    <row r="843" spans="1:11" s="2" customFormat="1" x14ac:dyDescent="0.25">
      <c r="A843" s="114" t="s">
        <v>13425</v>
      </c>
      <c r="B843" s="4" t="s">
        <v>13426</v>
      </c>
      <c r="C843" s="113" t="s">
        <v>15363</v>
      </c>
      <c r="D843" s="155" t="s">
        <v>10353</v>
      </c>
      <c r="E843" s="159">
        <v>590</v>
      </c>
      <c r="F843" s="157" t="s">
        <v>13428</v>
      </c>
      <c r="G843" s="155" t="s">
        <v>13427</v>
      </c>
      <c r="H843" s="113" t="s">
        <v>6589</v>
      </c>
      <c r="I843" s="4" t="s">
        <v>13426</v>
      </c>
      <c r="J843" s="155" t="s">
        <v>13428</v>
      </c>
      <c r="K843" s="2" t="s">
        <v>10748</v>
      </c>
    </row>
    <row r="844" spans="1:11" s="2" customFormat="1" x14ac:dyDescent="0.25">
      <c r="A844" s="114" t="s">
        <v>13429</v>
      </c>
      <c r="B844" s="4" t="s">
        <v>13430</v>
      </c>
      <c r="C844" s="113" t="s">
        <v>15363</v>
      </c>
      <c r="D844" s="155" t="s">
        <v>13431</v>
      </c>
      <c r="E844" s="159">
        <v>20</v>
      </c>
      <c r="F844" s="157" t="s">
        <v>13432</v>
      </c>
      <c r="G844" s="155" t="s">
        <v>10226</v>
      </c>
      <c r="H844" s="113" t="s">
        <v>6589</v>
      </c>
      <c r="I844" s="4" t="s">
        <v>13430</v>
      </c>
      <c r="J844" s="155" t="s">
        <v>13432</v>
      </c>
      <c r="K844" s="2" t="s">
        <v>10226</v>
      </c>
    </row>
    <row r="845" spans="1:11" s="2" customFormat="1" x14ac:dyDescent="0.25">
      <c r="A845" s="114" t="s">
        <v>13433</v>
      </c>
      <c r="B845" s="4" t="s">
        <v>11758</v>
      </c>
      <c r="C845" s="113" t="s">
        <v>15363</v>
      </c>
      <c r="D845" s="155" t="s">
        <v>9887</v>
      </c>
      <c r="E845" s="159">
        <v>389</v>
      </c>
      <c r="F845" s="157" t="s">
        <v>13434</v>
      </c>
      <c r="G845" s="155" t="s">
        <v>9764</v>
      </c>
      <c r="H845" s="113" t="s">
        <v>6589</v>
      </c>
      <c r="I845" s="4" t="s">
        <v>11758</v>
      </c>
      <c r="J845" s="155" t="s">
        <v>13434</v>
      </c>
      <c r="K845" s="2" t="s">
        <v>9764</v>
      </c>
    </row>
    <row r="846" spans="1:11" s="2" customFormat="1" x14ac:dyDescent="0.25">
      <c r="A846" s="114" t="s">
        <v>13435</v>
      </c>
      <c r="B846" s="4" t="s">
        <v>13436</v>
      </c>
      <c r="C846" s="113" t="s">
        <v>15363</v>
      </c>
      <c r="D846" s="155" t="s">
        <v>13437</v>
      </c>
      <c r="E846" s="159">
        <v>50</v>
      </c>
      <c r="F846" s="157" t="s">
        <v>13438</v>
      </c>
      <c r="G846" s="155" t="s">
        <v>13436</v>
      </c>
      <c r="H846" s="113" t="s">
        <v>6589</v>
      </c>
      <c r="I846" s="4" t="s">
        <v>13436</v>
      </c>
      <c r="J846" s="155" t="s">
        <v>13438</v>
      </c>
      <c r="K846" s="2" t="s">
        <v>13436</v>
      </c>
    </row>
    <row r="847" spans="1:11" s="2" customFormat="1" x14ac:dyDescent="0.25">
      <c r="A847" s="114" t="s">
        <v>13439</v>
      </c>
      <c r="B847" s="4" t="s">
        <v>13440</v>
      </c>
      <c r="C847" s="113" t="s">
        <v>4</v>
      </c>
      <c r="D847" s="155" t="s">
        <v>13441</v>
      </c>
      <c r="E847" s="159">
        <v>0</v>
      </c>
      <c r="F847" s="157" t="s">
        <v>13443</v>
      </c>
      <c r="G847" s="155" t="s">
        <v>13442</v>
      </c>
      <c r="H847" s="113" t="s">
        <v>6589</v>
      </c>
      <c r="I847" s="4" t="s">
        <v>13440</v>
      </c>
      <c r="J847" s="155" t="s">
        <v>13443</v>
      </c>
      <c r="K847" s="2" t="s">
        <v>10476</v>
      </c>
    </row>
    <row r="848" spans="1:11" s="2" customFormat="1" x14ac:dyDescent="0.25">
      <c r="A848" s="114" t="s">
        <v>13444</v>
      </c>
      <c r="B848" s="4" t="s">
        <v>13445</v>
      </c>
      <c r="C848" s="113" t="s">
        <v>15363</v>
      </c>
      <c r="D848" s="155" t="s">
        <v>9819</v>
      </c>
      <c r="E848" s="159">
        <v>410</v>
      </c>
      <c r="F848" s="157" t="s">
        <v>13446</v>
      </c>
      <c r="G848" s="155" t="s">
        <v>13445</v>
      </c>
      <c r="H848" s="113" t="s">
        <v>6589</v>
      </c>
      <c r="I848" s="4" t="s">
        <v>13445</v>
      </c>
      <c r="J848" s="155" t="s">
        <v>13446</v>
      </c>
      <c r="K848" s="2" t="s">
        <v>12200</v>
      </c>
    </row>
    <row r="849" spans="1:11" s="2" customFormat="1" x14ac:dyDescent="0.25">
      <c r="A849" s="114" t="s">
        <v>13447</v>
      </c>
      <c r="B849" s="4" t="s">
        <v>13448</v>
      </c>
      <c r="C849" s="113" t="s">
        <v>15363</v>
      </c>
      <c r="D849" s="155" t="s">
        <v>13449</v>
      </c>
      <c r="E849" s="159">
        <v>76</v>
      </c>
      <c r="F849" s="157" t="s">
        <v>13450</v>
      </c>
      <c r="G849" s="155" t="s">
        <v>13448</v>
      </c>
      <c r="H849" s="113" t="s">
        <v>6589</v>
      </c>
      <c r="I849" s="4" t="s">
        <v>13448</v>
      </c>
      <c r="J849" s="155" t="s">
        <v>13450</v>
      </c>
      <c r="K849" s="2" t="s">
        <v>11634</v>
      </c>
    </row>
    <row r="850" spans="1:11" s="2" customFormat="1" x14ac:dyDescent="0.25">
      <c r="A850" s="114" t="s">
        <v>13451</v>
      </c>
      <c r="B850" s="4" t="s">
        <v>12096</v>
      </c>
      <c r="C850" s="113" t="s">
        <v>15363</v>
      </c>
      <c r="D850" s="155" t="s">
        <v>10443</v>
      </c>
      <c r="E850" s="159">
        <v>200</v>
      </c>
      <c r="F850" s="157" t="s">
        <v>13452</v>
      </c>
      <c r="G850" s="155" t="s">
        <v>12096</v>
      </c>
      <c r="H850" s="113" t="s">
        <v>6589</v>
      </c>
      <c r="I850" s="4" t="s">
        <v>12096</v>
      </c>
      <c r="J850" s="155" t="s">
        <v>13452</v>
      </c>
      <c r="K850" s="2" t="s">
        <v>12096</v>
      </c>
    </row>
    <row r="851" spans="1:11" s="2" customFormat="1" x14ac:dyDescent="0.25">
      <c r="A851" s="114" t="s">
        <v>13453</v>
      </c>
      <c r="B851" s="4" t="s">
        <v>13454</v>
      </c>
      <c r="C851" s="113" t="s">
        <v>15363</v>
      </c>
      <c r="D851" s="155" t="s">
        <v>13455</v>
      </c>
      <c r="E851" s="159">
        <v>256</v>
      </c>
      <c r="F851" s="157" t="s">
        <v>13456</v>
      </c>
      <c r="G851" s="155" t="s">
        <v>13454</v>
      </c>
      <c r="H851" s="113" t="s">
        <v>6589</v>
      </c>
      <c r="I851" s="4" t="s">
        <v>13454</v>
      </c>
      <c r="J851" s="155" t="s">
        <v>13456</v>
      </c>
      <c r="K851" s="2" t="s">
        <v>11634</v>
      </c>
    </row>
    <row r="852" spans="1:11" s="2" customFormat="1" x14ac:dyDescent="0.25">
      <c r="A852" s="114" t="s">
        <v>13457</v>
      </c>
      <c r="B852" s="4" t="s">
        <v>10256</v>
      </c>
      <c r="C852" s="113" t="s">
        <v>15363</v>
      </c>
      <c r="D852" s="155" t="s">
        <v>10317</v>
      </c>
      <c r="E852" s="159">
        <v>1494</v>
      </c>
      <c r="F852" s="157" t="s">
        <v>13458</v>
      </c>
      <c r="G852" s="155" t="s">
        <v>10256</v>
      </c>
      <c r="H852" s="113" t="s">
        <v>6589</v>
      </c>
      <c r="I852" s="4" t="s">
        <v>10256</v>
      </c>
      <c r="J852" s="155" t="s">
        <v>13458</v>
      </c>
      <c r="K852" s="2" t="s">
        <v>10256</v>
      </c>
    </row>
    <row r="853" spans="1:11" s="2" customFormat="1" x14ac:dyDescent="0.25">
      <c r="A853" s="114" t="s">
        <v>13459</v>
      </c>
      <c r="B853" s="4" t="s">
        <v>11583</v>
      </c>
      <c r="C853" s="113" t="s">
        <v>15363</v>
      </c>
      <c r="D853" s="155" t="s">
        <v>13460</v>
      </c>
      <c r="E853" s="159">
        <v>11</v>
      </c>
      <c r="F853" s="157" t="s">
        <v>13462</v>
      </c>
      <c r="G853" s="155" t="s">
        <v>13461</v>
      </c>
      <c r="H853" s="113" t="s">
        <v>6589</v>
      </c>
      <c r="I853" s="4" t="s">
        <v>11583</v>
      </c>
      <c r="J853" s="155" t="s">
        <v>13462</v>
      </c>
      <c r="K853" s="2" t="s">
        <v>11583</v>
      </c>
    </row>
    <row r="854" spans="1:11" s="2" customFormat="1" x14ac:dyDescent="0.25">
      <c r="A854" s="114" t="s">
        <v>13463</v>
      </c>
      <c r="B854" s="4" t="s">
        <v>13464</v>
      </c>
      <c r="C854" s="113" t="s">
        <v>15363</v>
      </c>
      <c r="D854" s="155" t="s">
        <v>10348</v>
      </c>
      <c r="E854" s="159">
        <v>18</v>
      </c>
      <c r="F854" s="157" t="s">
        <v>13465</v>
      </c>
      <c r="G854" s="155" t="s">
        <v>13464</v>
      </c>
      <c r="H854" s="113" t="s">
        <v>6589</v>
      </c>
      <c r="I854" s="4" t="s">
        <v>13464</v>
      </c>
      <c r="J854" s="155" t="s">
        <v>13465</v>
      </c>
      <c r="K854" s="2" t="s">
        <v>13464</v>
      </c>
    </row>
    <row r="855" spans="1:11" s="2" customFormat="1" x14ac:dyDescent="0.25">
      <c r="A855" s="114" t="s">
        <v>13466</v>
      </c>
      <c r="B855" s="4" t="s">
        <v>10748</v>
      </c>
      <c r="C855" s="113" t="s">
        <v>15363</v>
      </c>
      <c r="D855" s="155" t="s">
        <v>10244</v>
      </c>
      <c r="E855" s="159">
        <v>335</v>
      </c>
      <c r="F855" s="157" t="s">
        <v>13467</v>
      </c>
      <c r="G855" s="155" t="s">
        <v>10748</v>
      </c>
      <c r="H855" s="113" t="s">
        <v>6589</v>
      </c>
      <c r="I855" s="4" t="s">
        <v>10748</v>
      </c>
      <c r="J855" s="155" t="s">
        <v>13467</v>
      </c>
      <c r="K855" s="2" t="s">
        <v>10748</v>
      </c>
    </row>
    <row r="856" spans="1:11" s="2" customFormat="1" x14ac:dyDescent="0.25">
      <c r="A856" s="114" t="s">
        <v>13468</v>
      </c>
      <c r="B856" s="4" t="s">
        <v>13469</v>
      </c>
      <c r="C856" s="113" t="s">
        <v>15363</v>
      </c>
      <c r="D856" s="155" t="s">
        <v>13470</v>
      </c>
      <c r="E856" s="159">
        <v>203</v>
      </c>
      <c r="F856" s="157" t="s">
        <v>13472</v>
      </c>
      <c r="G856" s="155" t="s">
        <v>13471</v>
      </c>
      <c r="H856" s="113" t="s">
        <v>6589</v>
      </c>
      <c r="I856" s="4" t="s">
        <v>13469</v>
      </c>
      <c r="J856" s="155" t="s">
        <v>13472</v>
      </c>
      <c r="K856" s="2" t="s">
        <v>13471</v>
      </c>
    </row>
    <row r="857" spans="1:11" s="2" customFormat="1" x14ac:dyDescent="0.25">
      <c r="A857" s="114" t="s">
        <v>13473</v>
      </c>
      <c r="B857" s="4" t="s">
        <v>13474</v>
      </c>
      <c r="C857" s="113" t="s">
        <v>15363</v>
      </c>
      <c r="D857" s="155" t="s">
        <v>9977</v>
      </c>
      <c r="E857" s="159">
        <v>0</v>
      </c>
      <c r="F857" s="157" t="s">
        <v>13475</v>
      </c>
      <c r="G857" s="155" t="s">
        <v>13474</v>
      </c>
      <c r="H857" s="113" t="s">
        <v>6589</v>
      </c>
      <c r="I857" s="4" t="s">
        <v>13474</v>
      </c>
      <c r="J857" s="155" t="s">
        <v>13475</v>
      </c>
      <c r="K857" s="2" t="s">
        <v>10199</v>
      </c>
    </row>
    <row r="858" spans="1:11" s="2" customFormat="1" x14ac:dyDescent="0.25">
      <c r="A858" s="114" t="s">
        <v>13476</v>
      </c>
      <c r="B858" s="4" t="s">
        <v>13477</v>
      </c>
      <c r="C858" s="113" t="s">
        <v>15363</v>
      </c>
      <c r="D858" s="155" t="s">
        <v>9767</v>
      </c>
      <c r="E858" s="159">
        <v>201</v>
      </c>
      <c r="F858" s="157" t="s">
        <v>13478</v>
      </c>
      <c r="G858" s="155" t="s">
        <v>13477</v>
      </c>
      <c r="H858" s="113" t="s">
        <v>6589</v>
      </c>
      <c r="I858" s="4" t="s">
        <v>13477</v>
      </c>
      <c r="J858" s="155" t="s">
        <v>13478</v>
      </c>
      <c r="K858" s="2" t="s">
        <v>13507</v>
      </c>
    </row>
    <row r="859" spans="1:11" s="2" customFormat="1" x14ac:dyDescent="0.25">
      <c r="A859" s="114" t="s">
        <v>13479</v>
      </c>
      <c r="B859" s="4" t="s">
        <v>13480</v>
      </c>
      <c r="C859" s="113" t="s">
        <v>15363</v>
      </c>
      <c r="D859" s="155" t="s">
        <v>13481</v>
      </c>
      <c r="E859" s="159">
        <v>200</v>
      </c>
      <c r="F859" s="157" t="s">
        <v>13482</v>
      </c>
      <c r="G859" s="155" t="s">
        <v>13480</v>
      </c>
      <c r="H859" s="113" t="s">
        <v>6589</v>
      </c>
      <c r="I859" s="4" t="s">
        <v>13480</v>
      </c>
      <c r="J859" s="155" t="s">
        <v>13482</v>
      </c>
      <c r="K859" s="2" t="s">
        <v>9764</v>
      </c>
    </row>
    <row r="860" spans="1:11" s="2" customFormat="1" x14ac:dyDescent="0.25">
      <c r="A860" s="114" t="s">
        <v>13483</v>
      </c>
      <c r="B860" s="4" t="s">
        <v>13484</v>
      </c>
      <c r="C860" s="113" t="s">
        <v>15363</v>
      </c>
      <c r="D860" s="155" t="s">
        <v>13485</v>
      </c>
      <c r="E860" s="159"/>
      <c r="F860" s="157" t="s">
        <v>13486</v>
      </c>
      <c r="G860" s="155" t="s">
        <v>13484</v>
      </c>
      <c r="H860" s="113" t="s">
        <v>6589</v>
      </c>
      <c r="I860" s="4" t="s">
        <v>13484</v>
      </c>
      <c r="J860" s="155" t="s">
        <v>13486</v>
      </c>
      <c r="K860" s="2" t="s">
        <v>10256</v>
      </c>
    </row>
    <row r="861" spans="1:11" s="2" customFormat="1" x14ac:dyDescent="0.25">
      <c r="A861" s="114" t="s">
        <v>13487</v>
      </c>
      <c r="B861" s="4" t="s">
        <v>13488</v>
      </c>
      <c r="C861" s="113" t="s">
        <v>15363</v>
      </c>
      <c r="D861" s="155" t="s">
        <v>9764</v>
      </c>
      <c r="E861" s="159">
        <v>280</v>
      </c>
      <c r="F861" s="157" t="s">
        <v>13489</v>
      </c>
      <c r="G861" s="155" t="s">
        <v>13488</v>
      </c>
      <c r="H861" s="113" t="s">
        <v>6589</v>
      </c>
      <c r="I861" s="4" t="s">
        <v>13488</v>
      </c>
      <c r="J861" s="155" t="s">
        <v>13489</v>
      </c>
      <c r="K861" s="2" t="s">
        <v>13507</v>
      </c>
    </row>
    <row r="862" spans="1:11" s="2" customFormat="1" x14ac:dyDescent="0.25">
      <c r="A862" s="114" t="s">
        <v>13490</v>
      </c>
      <c r="B862" s="4" t="s">
        <v>10199</v>
      </c>
      <c r="C862" s="113" t="s">
        <v>15363</v>
      </c>
      <c r="D862" s="155" t="s">
        <v>10595</v>
      </c>
      <c r="E862" s="159">
        <v>189</v>
      </c>
      <c r="F862" s="157" t="s">
        <v>13491</v>
      </c>
      <c r="G862" s="155" t="s">
        <v>10199</v>
      </c>
      <c r="H862" s="113" t="s">
        <v>6589</v>
      </c>
      <c r="I862" s="4" t="s">
        <v>10199</v>
      </c>
      <c r="J862" s="155" t="s">
        <v>13491</v>
      </c>
      <c r="K862" s="2" t="s">
        <v>10199</v>
      </c>
    </row>
    <row r="863" spans="1:11" s="2" customFormat="1" x14ac:dyDescent="0.25">
      <c r="A863" s="114" t="s">
        <v>13492</v>
      </c>
      <c r="B863" s="4" t="s">
        <v>13493</v>
      </c>
      <c r="C863" s="113" t="s">
        <v>15363</v>
      </c>
      <c r="D863" s="155" t="s">
        <v>13494</v>
      </c>
      <c r="E863" s="159">
        <v>10523</v>
      </c>
      <c r="F863" s="157" t="s">
        <v>13496</v>
      </c>
      <c r="G863" s="155" t="s">
        <v>13495</v>
      </c>
      <c r="H863" s="113" t="s">
        <v>6589</v>
      </c>
      <c r="I863" s="4" t="s">
        <v>13493</v>
      </c>
      <c r="J863" s="155" t="s">
        <v>13496</v>
      </c>
      <c r="K863" s="2" t="s">
        <v>15445</v>
      </c>
    </row>
    <row r="864" spans="1:11" s="2" customFormat="1" x14ac:dyDescent="0.25">
      <c r="A864" s="114" t="s">
        <v>13497</v>
      </c>
      <c r="B864" s="4" t="s">
        <v>13498</v>
      </c>
      <c r="C864" s="113" t="s">
        <v>15363</v>
      </c>
      <c r="D864" s="155" t="s">
        <v>13499</v>
      </c>
      <c r="E864" s="159">
        <v>4387</v>
      </c>
      <c r="F864" s="157" t="s">
        <v>13500</v>
      </c>
      <c r="G864" s="155" t="s">
        <v>13498</v>
      </c>
      <c r="H864" s="113" t="s">
        <v>6589</v>
      </c>
      <c r="I864" s="4" t="s">
        <v>13498</v>
      </c>
      <c r="J864" s="155" t="s">
        <v>13500</v>
      </c>
      <c r="K864" s="2" t="s">
        <v>10748</v>
      </c>
    </row>
    <row r="865" spans="1:11" s="2" customFormat="1" x14ac:dyDescent="0.25">
      <c r="A865" s="114" t="s">
        <v>13501</v>
      </c>
      <c r="B865" s="4" t="s">
        <v>12200</v>
      </c>
      <c r="C865" s="113" t="s">
        <v>15363</v>
      </c>
      <c r="D865" s="155" t="s">
        <v>9764</v>
      </c>
      <c r="E865" s="159">
        <v>169</v>
      </c>
      <c r="F865" s="157" t="s">
        <v>13502</v>
      </c>
      <c r="G865" s="155" t="s">
        <v>12200</v>
      </c>
      <c r="H865" s="113" t="s">
        <v>6589</v>
      </c>
      <c r="I865" s="4" t="s">
        <v>12200</v>
      </c>
      <c r="J865" s="155" t="s">
        <v>13502</v>
      </c>
      <c r="K865" s="2" t="s">
        <v>12200</v>
      </c>
    </row>
    <row r="866" spans="1:11" s="2" customFormat="1" x14ac:dyDescent="0.25">
      <c r="A866" s="114" t="s">
        <v>13503</v>
      </c>
      <c r="B866" s="4" t="s">
        <v>11626</v>
      </c>
      <c r="C866" s="113" t="s">
        <v>15363</v>
      </c>
      <c r="D866" s="155" t="s">
        <v>13504</v>
      </c>
      <c r="E866" s="159">
        <v>1116</v>
      </c>
      <c r="F866" s="157" t="s">
        <v>13505</v>
      </c>
      <c r="G866" s="155" t="s">
        <v>11626</v>
      </c>
      <c r="H866" s="113" t="s">
        <v>6589</v>
      </c>
      <c r="I866" s="4" t="s">
        <v>11626</v>
      </c>
      <c r="J866" s="155" t="s">
        <v>13505</v>
      </c>
      <c r="K866" s="2" t="s">
        <v>15445</v>
      </c>
    </row>
    <row r="867" spans="1:11" s="2" customFormat="1" x14ac:dyDescent="0.25">
      <c r="A867" s="114" t="s">
        <v>13506</v>
      </c>
      <c r="B867" s="4" t="s">
        <v>13507</v>
      </c>
      <c r="C867" s="113" t="s">
        <v>15363</v>
      </c>
      <c r="D867" s="155" t="s">
        <v>12712</v>
      </c>
      <c r="E867" s="159">
        <v>69</v>
      </c>
      <c r="F867" s="157" t="s">
        <v>13508</v>
      </c>
      <c r="G867" s="155" t="s">
        <v>13507</v>
      </c>
      <c r="H867" s="113" t="s">
        <v>6589</v>
      </c>
      <c r="I867" s="4" t="s">
        <v>13507</v>
      </c>
      <c r="J867" s="155" t="s">
        <v>13508</v>
      </c>
      <c r="K867" s="2" t="s">
        <v>13507</v>
      </c>
    </row>
    <row r="868" spans="1:11" s="2" customFormat="1" x14ac:dyDescent="0.25">
      <c r="A868" s="114" t="s">
        <v>13509</v>
      </c>
      <c r="B868" s="4" t="s">
        <v>11634</v>
      </c>
      <c r="C868" s="113" t="s">
        <v>15363</v>
      </c>
      <c r="D868" s="155" t="s">
        <v>9861</v>
      </c>
      <c r="E868" s="159">
        <v>269</v>
      </c>
      <c r="F868" s="157" t="s">
        <v>13510</v>
      </c>
      <c r="G868" s="155" t="s">
        <v>11634</v>
      </c>
      <c r="H868" s="113" t="s">
        <v>6589</v>
      </c>
      <c r="I868" s="4" t="s">
        <v>11634</v>
      </c>
      <c r="J868" s="155" t="s">
        <v>13510</v>
      </c>
      <c r="K868" s="2" t="s">
        <v>11634</v>
      </c>
    </row>
    <row r="869" spans="1:11" s="2" customFormat="1" x14ac:dyDescent="0.25">
      <c r="A869" s="114" t="s">
        <v>13511</v>
      </c>
      <c r="B869" s="4" t="s">
        <v>13512</v>
      </c>
      <c r="C869" s="113" t="s">
        <v>15363</v>
      </c>
      <c r="D869" s="155" t="s">
        <v>10181</v>
      </c>
      <c r="E869" s="159">
        <v>721</v>
      </c>
      <c r="F869" s="157" t="s">
        <v>13513</v>
      </c>
      <c r="G869" s="155" t="s">
        <v>13512</v>
      </c>
      <c r="H869" s="113" t="s">
        <v>6589</v>
      </c>
      <c r="I869" s="4" t="s">
        <v>13512</v>
      </c>
      <c r="J869" s="155" t="s">
        <v>13513</v>
      </c>
      <c r="K869" s="2" t="s">
        <v>13512</v>
      </c>
    </row>
    <row r="870" spans="1:11" s="2" customFormat="1" x14ac:dyDescent="0.25">
      <c r="A870" s="114" t="s">
        <v>13514</v>
      </c>
      <c r="B870" s="4" t="s">
        <v>13515</v>
      </c>
      <c r="C870" s="113" t="s">
        <v>15363</v>
      </c>
      <c r="D870" s="155" t="s">
        <v>10900</v>
      </c>
      <c r="E870" s="159">
        <v>100</v>
      </c>
      <c r="F870" s="157" t="s">
        <v>13516</v>
      </c>
      <c r="G870" s="155" t="s">
        <v>13515</v>
      </c>
      <c r="H870" s="113" t="s">
        <v>6589</v>
      </c>
      <c r="I870" s="4" t="s">
        <v>13515</v>
      </c>
      <c r="J870" s="155" t="s">
        <v>13516</v>
      </c>
      <c r="K870" s="2" t="s">
        <v>13515</v>
      </c>
    </row>
    <row r="871" spans="1:11" s="2" customFormat="1" x14ac:dyDescent="0.25">
      <c r="A871" s="114" t="s">
        <v>13517</v>
      </c>
      <c r="B871" s="4" t="s">
        <v>13518</v>
      </c>
      <c r="C871" s="113" t="s">
        <v>15363</v>
      </c>
      <c r="D871" s="155" t="s">
        <v>13519</v>
      </c>
      <c r="E871" s="159">
        <v>0</v>
      </c>
      <c r="F871" s="157" t="s">
        <v>13520</v>
      </c>
      <c r="G871" s="155" t="s">
        <v>13518</v>
      </c>
      <c r="H871" s="113" t="s">
        <v>6589</v>
      </c>
      <c r="I871" s="4" t="s">
        <v>13518</v>
      </c>
      <c r="J871" s="155" t="s">
        <v>13520</v>
      </c>
      <c r="K871" s="2" t="s">
        <v>10256</v>
      </c>
    </row>
    <row r="872" spans="1:11" s="2" customFormat="1" x14ac:dyDescent="0.25">
      <c r="A872" s="114" t="s">
        <v>13521</v>
      </c>
      <c r="B872" s="4" t="s">
        <v>15306</v>
      </c>
      <c r="C872" s="113" t="s">
        <v>4</v>
      </c>
      <c r="D872" s="155" t="s">
        <v>15370</v>
      </c>
      <c r="E872" s="159"/>
      <c r="F872" s="157" t="s">
        <v>13522</v>
      </c>
      <c r="G872" s="155" t="s">
        <v>15305</v>
      </c>
      <c r="H872" s="113" t="s">
        <v>6589</v>
      </c>
      <c r="I872" s="4" t="s">
        <v>15306</v>
      </c>
      <c r="J872" s="155" t="s">
        <v>13522</v>
      </c>
      <c r="K872" s="2" t="s">
        <v>13471</v>
      </c>
    </row>
    <row r="873" spans="1:11" s="2" customFormat="1" x14ac:dyDescent="0.25">
      <c r="A873" s="114" t="s">
        <v>13523</v>
      </c>
      <c r="B873" s="4" t="s">
        <v>13524</v>
      </c>
      <c r="C873" s="113" t="s">
        <v>15363</v>
      </c>
      <c r="D873" s="155" t="s">
        <v>10317</v>
      </c>
      <c r="E873" s="159">
        <v>32</v>
      </c>
      <c r="F873" s="157" t="s">
        <v>13525</v>
      </c>
      <c r="G873" s="155" t="s">
        <v>13524</v>
      </c>
      <c r="H873" s="113" t="s">
        <v>6589</v>
      </c>
      <c r="I873" s="4" t="s">
        <v>13524</v>
      </c>
      <c r="J873" s="155" t="s">
        <v>13525</v>
      </c>
      <c r="K873" s="2" t="s">
        <v>13507</v>
      </c>
    </row>
    <row r="874" spans="1:11" s="2" customFormat="1" x14ac:dyDescent="0.25">
      <c r="A874" s="114" t="s">
        <v>13526</v>
      </c>
      <c r="B874" s="4" t="s">
        <v>13527</v>
      </c>
      <c r="C874" s="113" t="s">
        <v>15363</v>
      </c>
      <c r="D874" s="155" t="s">
        <v>10317</v>
      </c>
      <c r="E874" s="159">
        <v>93</v>
      </c>
      <c r="F874" s="157" t="s">
        <v>13528</v>
      </c>
      <c r="G874" s="155" t="s">
        <v>10476</v>
      </c>
      <c r="H874" s="113" t="s">
        <v>6589</v>
      </c>
      <c r="I874" s="4" t="s">
        <v>13527</v>
      </c>
      <c r="J874" s="155" t="s">
        <v>13528</v>
      </c>
      <c r="K874" s="2" t="s">
        <v>10476</v>
      </c>
    </row>
    <row r="875" spans="1:11" s="2" customFormat="1" x14ac:dyDescent="0.25">
      <c r="A875" s="114" t="s">
        <v>13529</v>
      </c>
      <c r="B875" s="4" t="s">
        <v>12542</v>
      </c>
      <c r="C875" s="113" t="s">
        <v>15363</v>
      </c>
      <c r="D875" s="155" t="s">
        <v>13530</v>
      </c>
      <c r="E875" s="159">
        <v>4190</v>
      </c>
      <c r="F875" s="157" t="s">
        <v>13531</v>
      </c>
      <c r="G875" s="155" t="s">
        <v>12542</v>
      </c>
      <c r="H875" s="113" t="s">
        <v>6589</v>
      </c>
      <c r="I875" s="4" t="s">
        <v>12542</v>
      </c>
      <c r="J875" s="155" t="s">
        <v>13531</v>
      </c>
      <c r="K875" s="2" t="s">
        <v>15445</v>
      </c>
    </row>
    <row r="876" spans="1:11" s="2" customFormat="1" x14ac:dyDescent="0.25">
      <c r="A876" s="114" t="s">
        <v>13532</v>
      </c>
      <c r="B876" s="4" t="s">
        <v>13533</v>
      </c>
      <c r="C876" s="113" t="s">
        <v>15363</v>
      </c>
      <c r="D876" s="155" t="s">
        <v>10808</v>
      </c>
      <c r="E876" s="159">
        <v>131</v>
      </c>
      <c r="F876" s="157" t="s">
        <v>13534</v>
      </c>
      <c r="G876" s="155" t="s">
        <v>13533</v>
      </c>
      <c r="H876" s="113" t="s">
        <v>6589</v>
      </c>
      <c r="I876" s="4" t="s">
        <v>13533</v>
      </c>
      <c r="J876" s="155" t="s">
        <v>13534</v>
      </c>
      <c r="K876" s="2" t="s">
        <v>13512</v>
      </c>
    </row>
    <row r="877" spans="1:11" s="2" customFormat="1" x14ac:dyDescent="0.25">
      <c r="A877" s="114" t="s">
        <v>13535</v>
      </c>
      <c r="B877" s="4" t="s">
        <v>13536</v>
      </c>
      <c r="C877" s="113" t="s">
        <v>15364</v>
      </c>
      <c r="D877" s="155" t="s">
        <v>13537</v>
      </c>
      <c r="E877" s="159"/>
      <c r="F877" s="157" t="s">
        <v>13539</v>
      </c>
      <c r="G877" s="155" t="s">
        <v>13538</v>
      </c>
      <c r="H877" s="113" t="s">
        <v>6589</v>
      </c>
      <c r="I877" s="4" t="s">
        <v>13536</v>
      </c>
      <c r="J877" s="155" t="s">
        <v>13539</v>
      </c>
      <c r="K877" s="2" t="s">
        <v>11583</v>
      </c>
    </row>
    <row r="878" spans="1:11" s="2" customFormat="1" x14ac:dyDescent="0.25">
      <c r="A878" s="114" t="s">
        <v>13540</v>
      </c>
      <c r="B878" s="4" t="s">
        <v>13541</v>
      </c>
      <c r="C878" s="113" t="s">
        <v>15364</v>
      </c>
      <c r="D878" s="155" t="s">
        <v>13542</v>
      </c>
      <c r="E878" s="159"/>
      <c r="F878" s="157" t="s">
        <v>13543</v>
      </c>
      <c r="G878" s="155" t="s">
        <v>13541</v>
      </c>
      <c r="H878" s="113" t="s">
        <v>6589</v>
      </c>
      <c r="I878" s="4" t="s">
        <v>13541</v>
      </c>
      <c r="J878" s="155" t="s">
        <v>13543</v>
      </c>
      <c r="K878" s="2" t="s">
        <v>13471</v>
      </c>
    </row>
    <row r="879" spans="1:11" s="2" customFormat="1" x14ac:dyDescent="0.25">
      <c r="A879" s="114" t="s">
        <v>13544</v>
      </c>
      <c r="B879" s="4" t="s">
        <v>13545</v>
      </c>
      <c r="C879" s="113" t="s">
        <v>15364</v>
      </c>
      <c r="D879" s="155" t="s">
        <v>13546</v>
      </c>
      <c r="E879" s="159">
        <v>0</v>
      </c>
      <c r="F879" s="157" t="s">
        <v>13547</v>
      </c>
      <c r="G879" s="155" t="s">
        <v>13545</v>
      </c>
      <c r="H879" s="113" t="s">
        <v>6589</v>
      </c>
      <c r="I879" s="4" t="s">
        <v>13545</v>
      </c>
      <c r="J879" s="155" t="s">
        <v>13547</v>
      </c>
      <c r="K879" s="2" t="s">
        <v>10199</v>
      </c>
    </row>
    <row r="880" spans="1:11" s="2" customFormat="1" x14ac:dyDescent="0.25">
      <c r="A880" s="114" t="s">
        <v>13548</v>
      </c>
      <c r="B880" s="4" t="s">
        <v>13549</v>
      </c>
      <c r="C880" s="113" t="s">
        <v>15364</v>
      </c>
      <c r="D880" s="155" t="s">
        <v>13549</v>
      </c>
      <c r="E880" s="159"/>
      <c r="F880" s="157" t="s">
        <v>13551</v>
      </c>
      <c r="G880" s="155" t="s">
        <v>13550</v>
      </c>
      <c r="H880" s="113" t="s">
        <v>6589</v>
      </c>
      <c r="I880" s="4" t="s">
        <v>13549</v>
      </c>
      <c r="J880" s="155" t="s">
        <v>13551</v>
      </c>
      <c r="K880" s="2" t="s">
        <v>10256</v>
      </c>
    </row>
    <row r="881" spans="1:11" s="2" customFormat="1" x14ac:dyDescent="0.25">
      <c r="A881" s="114" t="s">
        <v>13552</v>
      </c>
      <c r="B881" s="4" t="s">
        <v>13553</v>
      </c>
      <c r="C881" s="113" t="s">
        <v>15363</v>
      </c>
      <c r="D881" s="155" t="s">
        <v>13554</v>
      </c>
      <c r="E881" s="159">
        <v>2112</v>
      </c>
      <c r="F881" s="157" t="s">
        <v>13556</v>
      </c>
      <c r="G881" s="155" t="s">
        <v>13553</v>
      </c>
      <c r="H881" s="113" t="s">
        <v>13555</v>
      </c>
      <c r="I881" s="4" t="s">
        <v>13553</v>
      </c>
      <c r="J881" s="155" t="s">
        <v>13556</v>
      </c>
      <c r="K881" s="2" t="s">
        <v>15376</v>
      </c>
    </row>
    <row r="882" spans="1:11" s="2" customFormat="1" x14ac:dyDescent="0.25">
      <c r="A882" s="114" t="s">
        <v>13557</v>
      </c>
      <c r="B882" s="4" t="s">
        <v>13558</v>
      </c>
      <c r="C882" s="113" t="s">
        <v>15363</v>
      </c>
      <c r="D882" s="155" t="s">
        <v>10244</v>
      </c>
      <c r="E882" s="159">
        <v>0</v>
      </c>
      <c r="F882" s="157" t="s">
        <v>13559</v>
      </c>
      <c r="G882" s="155" t="s">
        <v>13558</v>
      </c>
      <c r="H882" s="113" t="s">
        <v>13555</v>
      </c>
      <c r="I882" s="4" t="s">
        <v>13558</v>
      </c>
      <c r="J882" s="155" t="s">
        <v>13559</v>
      </c>
      <c r="K882" s="2" t="s">
        <v>9887</v>
      </c>
    </row>
    <row r="883" spans="1:11" s="2" customFormat="1" x14ac:dyDescent="0.25">
      <c r="A883" s="114" t="s">
        <v>13560</v>
      </c>
      <c r="B883" s="4" t="s">
        <v>13561</v>
      </c>
      <c r="C883" s="113" t="s">
        <v>15363</v>
      </c>
      <c r="D883" s="155" t="s">
        <v>11711</v>
      </c>
      <c r="E883" s="159">
        <v>334</v>
      </c>
      <c r="F883" s="157" t="s">
        <v>13562</v>
      </c>
      <c r="G883" s="155" t="s">
        <v>13561</v>
      </c>
      <c r="H883" s="113" t="s">
        <v>13555</v>
      </c>
      <c r="I883" s="4" t="s">
        <v>13561</v>
      </c>
      <c r="J883" s="155" t="s">
        <v>13562</v>
      </c>
      <c r="K883" s="2" t="s">
        <v>13561</v>
      </c>
    </row>
    <row r="884" spans="1:11" s="2" customFormat="1" x14ac:dyDescent="0.25">
      <c r="A884" s="114" t="s">
        <v>13563</v>
      </c>
      <c r="B884" s="4" t="s">
        <v>13564</v>
      </c>
      <c r="C884" s="113" t="s">
        <v>15363</v>
      </c>
      <c r="D884" s="155" t="s">
        <v>13565</v>
      </c>
      <c r="E884" s="159">
        <v>877</v>
      </c>
      <c r="F884" s="157" t="s">
        <v>13566</v>
      </c>
      <c r="G884" s="155" t="s">
        <v>10595</v>
      </c>
      <c r="H884" s="113" t="s">
        <v>13555</v>
      </c>
      <c r="I884" s="4" t="s">
        <v>13564</v>
      </c>
      <c r="J884" s="155" t="s">
        <v>13566</v>
      </c>
      <c r="K884" s="2" t="s">
        <v>15446</v>
      </c>
    </row>
    <row r="885" spans="1:11" s="2" customFormat="1" x14ac:dyDescent="0.25">
      <c r="A885" s="114" t="s">
        <v>13567</v>
      </c>
      <c r="B885" s="4" t="s">
        <v>13568</v>
      </c>
      <c r="C885" s="113" t="s">
        <v>15363</v>
      </c>
      <c r="D885" s="155" t="s">
        <v>11711</v>
      </c>
      <c r="E885" s="159">
        <v>0</v>
      </c>
      <c r="F885" s="157" t="s">
        <v>13569</v>
      </c>
      <c r="G885" s="155" t="s">
        <v>13568</v>
      </c>
      <c r="H885" s="113" t="s">
        <v>13555</v>
      </c>
      <c r="I885" s="4" t="s">
        <v>13568</v>
      </c>
      <c r="J885" s="155" t="s">
        <v>13569</v>
      </c>
      <c r="K885" s="2" t="s">
        <v>13561</v>
      </c>
    </row>
    <row r="886" spans="1:11" s="2" customFormat="1" x14ac:dyDescent="0.25">
      <c r="A886" s="114" t="s">
        <v>13570</v>
      </c>
      <c r="B886" s="4" t="s">
        <v>13571</v>
      </c>
      <c r="C886" s="113" t="s">
        <v>15363</v>
      </c>
      <c r="D886" s="155" t="s">
        <v>10104</v>
      </c>
      <c r="E886" s="159">
        <v>0</v>
      </c>
      <c r="F886" s="157" t="s">
        <v>13573</v>
      </c>
      <c r="G886" s="155" t="s">
        <v>13572</v>
      </c>
      <c r="H886" s="113" t="s">
        <v>13555</v>
      </c>
      <c r="I886" s="4" t="s">
        <v>13571</v>
      </c>
      <c r="J886" s="155" t="s">
        <v>13573</v>
      </c>
      <c r="K886" s="2" t="s">
        <v>15447</v>
      </c>
    </row>
    <row r="887" spans="1:11" s="2" customFormat="1" x14ac:dyDescent="0.25">
      <c r="A887" s="114" t="s">
        <v>13574</v>
      </c>
      <c r="B887" s="4" t="s">
        <v>12758</v>
      </c>
      <c r="C887" s="113" t="s">
        <v>15363</v>
      </c>
      <c r="D887" s="155" t="s">
        <v>12477</v>
      </c>
      <c r="E887" s="159">
        <v>0</v>
      </c>
      <c r="F887" s="157" t="s">
        <v>13575</v>
      </c>
      <c r="G887" s="155" t="s">
        <v>12758</v>
      </c>
      <c r="H887" s="113" t="s">
        <v>13555</v>
      </c>
      <c r="I887" s="4" t="s">
        <v>12758</v>
      </c>
      <c r="J887" s="155" t="s">
        <v>13575</v>
      </c>
      <c r="K887" s="2" t="s">
        <v>13584</v>
      </c>
    </row>
    <row r="888" spans="1:11" s="2" customFormat="1" x14ac:dyDescent="0.25">
      <c r="A888" s="114" t="s">
        <v>13576</v>
      </c>
      <c r="B888" s="4" t="s">
        <v>13577</v>
      </c>
      <c r="C888" s="113" t="s">
        <v>15363</v>
      </c>
      <c r="D888" s="155" t="s">
        <v>10353</v>
      </c>
      <c r="E888" s="159">
        <v>200</v>
      </c>
      <c r="F888" s="157" t="s">
        <v>13578</v>
      </c>
      <c r="G888" s="155" t="s">
        <v>13577</v>
      </c>
      <c r="H888" s="113" t="s">
        <v>13555</v>
      </c>
      <c r="I888" s="4" t="s">
        <v>13577</v>
      </c>
      <c r="J888" s="155" t="s">
        <v>13578</v>
      </c>
      <c r="K888" s="2" t="s">
        <v>15446</v>
      </c>
    </row>
    <row r="889" spans="1:11" s="2" customFormat="1" x14ac:dyDescent="0.25">
      <c r="A889" s="114" t="s">
        <v>13579</v>
      </c>
      <c r="B889" s="4" t="s">
        <v>13580</v>
      </c>
      <c r="C889" s="113" t="s">
        <v>15363</v>
      </c>
      <c r="D889" s="155" t="s">
        <v>13581</v>
      </c>
      <c r="E889" s="159">
        <v>376</v>
      </c>
      <c r="F889" s="157" t="s">
        <v>13582</v>
      </c>
      <c r="G889" s="155" t="s">
        <v>13580</v>
      </c>
      <c r="H889" s="113" t="s">
        <v>13555</v>
      </c>
      <c r="I889" s="4" t="s">
        <v>13580</v>
      </c>
      <c r="J889" s="155" t="s">
        <v>13582</v>
      </c>
      <c r="K889" s="2" t="s">
        <v>13647</v>
      </c>
    </row>
    <row r="890" spans="1:11" s="2" customFormat="1" x14ac:dyDescent="0.25">
      <c r="A890" s="114" t="s">
        <v>13583</v>
      </c>
      <c r="B890" s="4" t="s">
        <v>13584</v>
      </c>
      <c r="C890" s="113" t="s">
        <v>15363</v>
      </c>
      <c r="D890" s="155" t="s">
        <v>13585</v>
      </c>
      <c r="E890" s="159">
        <v>710</v>
      </c>
      <c r="F890" s="157" t="s">
        <v>13586</v>
      </c>
      <c r="G890" s="155" t="s">
        <v>13584</v>
      </c>
      <c r="H890" s="113" t="s">
        <v>13555</v>
      </c>
      <c r="I890" s="4" t="s">
        <v>13584</v>
      </c>
      <c r="J890" s="155" t="s">
        <v>13586</v>
      </c>
      <c r="K890" s="2" t="s">
        <v>13584</v>
      </c>
    </row>
    <row r="891" spans="1:11" s="2" customFormat="1" x14ac:dyDescent="0.25">
      <c r="A891" s="114" t="s">
        <v>13587</v>
      </c>
      <c r="B891" s="4" t="s">
        <v>13588</v>
      </c>
      <c r="C891" s="113" t="s">
        <v>15363</v>
      </c>
      <c r="D891" s="155" t="s">
        <v>10620</v>
      </c>
      <c r="E891" s="159">
        <v>584</v>
      </c>
      <c r="F891" s="157" t="s">
        <v>13589</v>
      </c>
      <c r="G891" s="155" t="s">
        <v>13588</v>
      </c>
      <c r="H891" s="113" t="s">
        <v>13555</v>
      </c>
      <c r="I891" s="4" t="s">
        <v>13588</v>
      </c>
      <c r="J891" s="155" t="s">
        <v>13589</v>
      </c>
      <c r="K891" s="2" t="s">
        <v>10481</v>
      </c>
    </row>
    <row r="892" spans="1:11" s="2" customFormat="1" x14ac:dyDescent="0.25">
      <c r="A892" s="114" t="s">
        <v>13590</v>
      </c>
      <c r="B892" s="4" t="s">
        <v>13591</v>
      </c>
      <c r="C892" s="113" t="s">
        <v>15363</v>
      </c>
      <c r="D892" s="155" t="s">
        <v>13592</v>
      </c>
      <c r="E892" s="159">
        <v>254</v>
      </c>
      <c r="F892" s="157" t="s">
        <v>13593</v>
      </c>
      <c r="G892" s="155" t="s">
        <v>13591</v>
      </c>
      <c r="H892" s="113" t="s">
        <v>13555</v>
      </c>
      <c r="I892" s="4" t="s">
        <v>13591</v>
      </c>
      <c r="J892" s="155" t="s">
        <v>13593</v>
      </c>
      <c r="K892" s="2" t="s">
        <v>15426</v>
      </c>
    </row>
    <row r="893" spans="1:11" s="2" customFormat="1" x14ac:dyDescent="0.25">
      <c r="A893" s="114" t="s">
        <v>13594</v>
      </c>
      <c r="B893" s="4" t="s">
        <v>13595</v>
      </c>
      <c r="C893" s="113" t="s">
        <v>15363</v>
      </c>
      <c r="D893" s="155" t="s">
        <v>9819</v>
      </c>
      <c r="E893" s="159">
        <v>0</v>
      </c>
      <c r="F893" s="157" t="s">
        <v>13596</v>
      </c>
      <c r="G893" s="155" t="s">
        <v>9887</v>
      </c>
      <c r="H893" s="113" t="s">
        <v>13555</v>
      </c>
      <c r="I893" s="4" t="s">
        <v>13595</v>
      </c>
      <c r="J893" s="155" t="s">
        <v>13596</v>
      </c>
      <c r="K893" s="2" t="s">
        <v>9887</v>
      </c>
    </row>
    <row r="894" spans="1:11" s="2" customFormat="1" x14ac:dyDescent="0.25">
      <c r="A894" s="114" t="s">
        <v>13597</v>
      </c>
      <c r="B894" s="4" t="s">
        <v>13598</v>
      </c>
      <c r="C894" s="113" t="s">
        <v>15363</v>
      </c>
      <c r="D894" s="155" t="s">
        <v>13599</v>
      </c>
      <c r="E894" s="159">
        <v>133</v>
      </c>
      <c r="F894" s="157" t="s">
        <v>13601</v>
      </c>
      <c r="G894" s="155" t="s">
        <v>13600</v>
      </c>
      <c r="H894" s="113" t="s">
        <v>13555</v>
      </c>
      <c r="I894" s="4" t="s">
        <v>13598</v>
      </c>
      <c r="J894" s="155" t="s">
        <v>13601</v>
      </c>
      <c r="K894" s="2" t="s">
        <v>13627</v>
      </c>
    </row>
    <row r="895" spans="1:11" s="2" customFormat="1" x14ac:dyDescent="0.25">
      <c r="A895" s="114" t="s">
        <v>13602</v>
      </c>
      <c r="B895" s="4" t="s">
        <v>13603</v>
      </c>
      <c r="C895" s="113" t="s">
        <v>15363</v>
      </c>
      <c r="D895" s="155" t="s">
        <v>13604</v>
      </c>
      <c r="E895" s="159">
        <v>0</v>
      </c>
      <c r="F895" s="157" t="s">
        <v>13605</v>
      </c>
      <c r="G895" s="155" t="s">
        <v>13603</v>
      </c>
      <c r="H895" s="113" t="s">
        <v>13555</v>
      </c>
      <c r="I895" s="4" t="s">
        <v>13603</v>
      </c>
      <c r="J895" s="155" t="s">
        <v>13605</v>
      </c>
      <c r="K895" s="2" t="s">
        <v>12661</v>
      </c>
    </row>
    <row r="896" spans="1:11" s="2" customFormat="1" x14ac:dyDescent="0.25">
      <c r="A896" s="114" t="s">
        <v>13606</v>
      </c>
      <c r="B896" s="4" t="s">
        <v>13607</v>
      </c>
      <c r="C896" s="113" t="s">
        <v>15363</v>
      </c>
      <c r="D896" s="155" t="s">
        <v>13608</v>
      </c>
      <c r="E896" s="159">
        <v>0</v>
      </c>
      <c r="F896" s="157" t="s">
        <v>13609</v>
      </c>
      <c r="G896" s="155" t="s">
        <v>13607</v>
      </c>
      <c r="H896" s="113" t="s">
        <v>13555</v>
      </c>
      <c r="I896" s="4" t="s">
        <v>13607</v>
      </c>
      <c r="J896" s="155" t="s">
        <v>13609</v>
      </c>
      <c r="K896" s="2" t="s">
        <v>13669</v>
      </c>
    </row>
    <row r="897" spans="1:11" s="2" customFormat="1" x14ac:dyDescent="0.25">
      <c r="A897" s="114" t="s">
        <v>13610</v>
      </c>
      <c r="B897" s="4" t="s">
        <v>13611</v>
      </c>
      <c r="C897" s="113" t="s">
        <v>15363</v>
      </c>
      <c r="D897" s="155" t="s">
        <v>9810</v>
      </c>
      <c r="E897" s="159">
        <v>1000</v>
      </c>
      <c r="F897" s="157" t="s">
        <v>13613</v>
      </c>
      <c r="G897" s="155" t="s">
        <v>13612</v>
      </c>
      <c r="H897" s="113" t="s">
        <v>13555</v>
      </c>
      <c r="I897" s="4" t="s">
        <v>13611</v>
      </c>
      <c r="J897" s="155" t="s">
        <v>13613</v>
      </c>
      <c r="K897" s="2" t="s">
        <v>15446</v>
      </c>
    </row>
    <row r="898" spans="1:11" s="2" customFormat="1" x14ac:dyDescent="0.25">
      <c r="A898" s="114" t="s">
        <v>13614</v>
      </c>
      <c r="B898" s="4" t="s">
        <v>13615</v>
      </c>
      <c r="C898" s="113" t="s">
        <v>15363</v>
      </c>
      <c r="D898" s="155" t="s">
        <v>9819</v>
      </c>
      <c r="E898" s="159">
        <v>1690</v>
      </c>
      <c r="F898" s="157" t="s">
        <v>13617</v>
      </c>
      <c r="G898" s="155" t="s">
        <v>13616</v>
      </c>
      <c r="H898" s="113" t="s">
        <v>13555</v>
      </c>
      <c r="I898" s="4" t="s">
        <v>13615</v>
      </c>
      <c r="J898" s="155" t="s">
        <v>13617</v>
      </c>
      <c r="K898" s="2" t="s">
        <v>13616</v>
      </c>
    </row>
    <row r="899" spans="1:11" s="2" customFormat="1" x14ac:dyDescent="0.25">
      <c r="A899" s="114" t="s">
        <v>13618</v>
      </c>
      <c r="B899" s="4" t="s">
        <v>13619</v>
      </c>
      <c r="C899" s="113" t="s">
        <v>15363</v>
      </c>
      <c r="D899" s="155" t="s">
        <v>13620</v>
      </c>
      <c r="E899" s="159">
        <v>0</v>
      </c>
      <c r="F899" s="157" t="s">
        <v>13621</v>
      </c>
      <c r="G899" s="155" t="s">
        <v>13619</v>
      </c>
      <c r="H899" s="113" t="s">
        <v>13555</v>
      </c>
      <c r="I899" s="4" t="s">
        <v>13619</v>
      </c>
      <c r="J899" s="155" t="s">
        <v>13621</v>
      </c>
      <c r="K899" s="2" t="s">
        <v>15448</v>
      </c>
    </row>
    <row r="900" spans="1:11" s="2" customFormat="1" x14ac:dyDescent="0.25">
      <c r="A900" s="114" t="s">
        <v>13622</v>
      </c>
      <c r="B900" s="4" t="s">
        <v>13623</v>
      </c>
      <c r="C900" s="113" t="s">
        <v>15363</v>
      </c>
      <c r="D900" s="155" t="s">
        <v>9913</v>
      </c>
      <c r="E900" s="159">
        <v>1842</v>
      </c>
      <c r="F900" s="157" t="s">
        <v>13625</v>
      </c>
      <c r="G900" s="155" t="s">
        <v>13624</v>
      </c>
      <c r="H900" s="113" t="s">
        <v>13555</v>
      </c>
      <c r="I900" s="4" t="s">
        <v>13623</v>
      </c>
      <c r="J900" s="155" t="s">
        <v>13625</v>
      </c>
      <c r="K900" s="2" t="s">
        <v>13669</v>
      </c>
    </row>
    <row r="901" spans="1:11" s="2" customFormat="1" x14ac:dyDescent="0.25">
      <c r="A901" s="114" t="s">
        <v>13626</v>
      </c>
      <c r="B901" s="4" t="s">
        <v>13627</v>
      </c>
      <c r="C901" s="113" t="s">
        <v>15363</v>
      </c>
      <c r="D901" s="155" t="s">
        <v>9819</v>
      </c>
      <c r="E901" s="159">
        <v>384</v>
      </c>
      <c r="F901" s="157" t="s">
        <v>13629</v>
      </c>
      <c r="G901" s="155" t="s">
        <v>13628</v>
      </c>
      <c r="H901" s="113" t="s">
        <v>13555</v>
      </c>
      <c r="I901" s="4" t="s">
        <v>13627</v>
      </c>
      <c r="J901" s="155" t="s">
        <v>13629</v>
      </c>
      <c r="K901" s="2" t="s">
        <v>13627</v>
      </c>
    </row>
    <row r="902" spans="1:11" s="2" customFormat="1" x14ac:dyDescent="0.25">
      <c r="A902" s="114" t="s">
        <v>13630</v>
      </c>
      <c r="B902" s="4" t="s">
        <v>13631</v>
      </c>
      <c r="C902" s="113" t="s">
        <v>15363</v>
      </c>
      <c r="D902" s="155" t="s">
        <v>10500</v>
      </c>
      <c r="E902" s="159">
        <v>100</v>
      </c>
      <c r="F902" s="157" t="s">
        <v>13632</v>
      </c>
      <c r="G902" s="155" t="s">
        <v>13631</v>
      </c>
      <c r="H902" s="113" t="s">
        <v>13555</v>
      </c>
      <c r="I902" s="4" t="s">
        <v>13631</v>
      </c>
      <c r="J902" s="155" t="s">
        <v>13632</v>
      </c>
      <c r="K902" s="2" t="s">
        <v>13672</v>
      </c>
    </row>
    <row r="903" spans="1:11" s="2" customFormat="1" x14ac:dyDescent="0.25">
      <c r="A903" s="114" t="s">
        <v>13633</v>
      </c>
      <c r="B903" s="4" t="s">
        <v>13634</v>
      </c>
      <c r="C903" s="113" t="s">
        <v>15363</v>
      </c>
      <c r="D903" s="155" t="s">
        <v>12106</v>
      </c>
      <c r="E903" s="159">
        <v>650</v>
      </c>
      <c r="F903" s="157" t="s">
        <v>13635</v>
      </c>
      <c r="G903" s="155" t="s">
        <v>13634</v>
      </c>
      <c r="H903" s="113" t="s">
        <v>13555</v>
      </c>
      <c r="I903" s="4" t="s">
        <v>13634</v>
      </c>
      <c r="J903" s="155" t="s">
        <v>13635</v>
      </c>
      <c r="K903" s="2" t="s">
        <v>13669</v>
      </c>
    </row>
    <row r="904" spans="1:11" s="2" customFormat="1" x14ac:dyDescent="0.25">
      <c r="A904" s="114" t="s">
        <v>13636</v>
      </c>
      <c r="B904" s="4" t="s">
        <v>13637</v>
      </c>
      <c r="C904" s="113" t="s">
        <v>15363</v>
      </c>
      <c r="D904" s="155" t="s">
        <v>9921</v>
      </c>
      <c r="E904" s="159">
        <v>1</v>
      </c>
      <c r="F904" s="157" t="s">
        <v>13638</v>
      </c>
      <c r="G904" s="155" t="s">
        <v>10481</v>
      </c>
      <c r="H904" s="113" t="s">
        <v>13555</v>
      </c>
      <c r="I904" s="4" t="s">
        <v>13637</v>
      </c>
      <c r="J904" s="155" t="s">
        <v>13638</v>
      </c>
      <c r="K904" s="2" t="s">
        <v>10481</v>
      </c>
    </row>
    <row r="905" spans="1:11" s="2" customFormat="1" x14ac:dyDescent="0.25">
      <c r="A905" s="114" t="s">
        <v>13639</v>
      </c>
      <c r="B905" s="4" t="s">
        <v>10104</v>
      </c>
      <c r="C905" s="113" t="s">
        <v>15363</v>
      </c>
      <c r="D905" s="155" t="s">
        <v>10553</v>
      </c>
      <c r="E905" s="159">
        <v>351</v>
      </c>
      <c r="F905" s="157" t="s">
        <v>13640</v>
      </c>
      <c r="G905" s="155" t="s">
        <v>10104</v>
      </c>
      <c r="H905" s="113" t="s">
        <v>13555</v>
      </c>
      <c r="I905" s="4" t="s">
        <v>10104</v>
      </c>
      <c r="J905" s="155" t="s">
        <v>13640</v>
      </c>
      <c r="K905" s="2" t="s">
        <v>13627</v>
      </c>
    </row>
    <row r="906" spans="1:11" s="2" customFormat="1" x14ac:dyDescent="0.25">
      <c r="A906" s="114" t="s">
        <v>13641</v>
      </c>
      <c r="B906" s="4" t="s">
        <v>13642</v>
      </c>
      <c r="C906" s="113" t="s">
        <v>15363</v>
      </c>
      <c r="D906" s="156" t="s">
        <v>13643</v>
      </c>
      <c r="E906" s="159">
        <v>1</v>
      </c>
      <c r="F906" s="157" t="s">
        <v>13644</v>
      </c>
      <c r="G906" s="155" t="s">
        <v>13642</v>
      </c>
      <c r="H906" s="113" t="s">
        <v>13555</v>
      </c>
      <c r="I906" s="4" t="s">
        <v>13642</v>
      </c>
      <c r="J906" s="155" t="s">
        <v>13644</v>
      </c>
      <c r="K906" s="2" t="s">
        <v>13642</v>
      </c>
    </row>
    <row r="907" spans="1:11" s="2" customFormat="1" x14ac:dyDescent="0.25">
      <c r="A907" s="114" t="s">
        <v>13645</v>
      </c>
      <c r="B907" s="4" t="s">
        <v>13646</v>
      </c>
      <c r="C907" s="113" t="s">
        <v>15363</v>
      </c>
      <c r="D907" s="155" t="s">
        <v>10541</v>
      </c>
      <c r="E907" s="159">
        <v>205</v>
      </c>
      <c r="F907" s="157" t="s">
        <v>13648</v>
      </c>
      <c r="G907" s="155" t="s">
        <v>13647</v>
      </c>
      <c r="H907" s="113" t="s">
        <v>13555</v>
      </c>
      <c r="I907" s="4" t="s">
        <v>13646</v>
      </c>
      <c r="J907" s="155" t="s">
        <v>13648</v>
      </c>
      <c r="K907" s="2" t="s">
        <v>13647</v>
      </c>
    </row>
    <row r="908" spans="1:11" s="2" customFormat="1" x14ac:dyDescent="0.25">
      <c r="A908" s="114" t="s">
        <v>13649</v>
      </c>
      <c r="B908" s="4" t="s">
        <v>13650</v>
      </c>
      <c r="C908" s="113" t="s">
        <v>15363</v>
      </c>
      <c r="D908" s="155" t="s">
        <v>13651</v>
      </c>
      <c r="E908" s="159">
        <v>0</v>
      </c>
      <c r="F908" s="157" t="s">
        <v>13652</v>
      </c>
      <c r="G908" s="155" t="s">
        <v>13553</v>
      </c>
      <c r="H908" s="113" t="s">
        <v>13555</v>
      </c>
      <c r="I908" s="4" t="s">
        <v>13650</v>
      </c>
      <c r="J908" s="155" t="s">
        <v>13652</v>
      </c>
      <c r="K908" s="2" t="s">
        <v>15376</v>
      </c>
    </row>
    <row r="909" spans="1:11" s="2" customFormat="1" x14ac:dyDescent="0.25">
      <c r="A909" s="114" t="s">
        <v>13653</v>
      </c>
      <c r="B909" s="4" t="s">
        <v>13654</v>
      </c>
      <c r="C909" s="113" t="s">
        <v>15363</v>
      </c>
      <c r="D909" s="155" t="s">
        <v>13655</v>
      </c>
      <c r="E909" s="159">
        <v>3842</v>
      </c>
      <c r="F909" s="157" t="s">
        <v>13656</v>
      </c>
      <c r="G909" s="155" t="s">
        <v>13553</v>
      </c>
      <c r="H909" s="113" t="s">
        <v>13555</v>
      </c>
      <c r="I909" s="4" t="s">
        <v>13654</v>
      </c>
      <c r="J909" s="155" t="s">
        <v>13656</v>
      </c>
      <c r="K909" s="2" t="s">
        <v>15376</v>
      </c>
    </row>
    <row r="910" spans="1:11" s="2" customFormat="1" x14ac:dyDescent="0.25">
      <c r="A910" s="114" t="s">
        <v>13657</v>
      </c>
      <c r="B910" s="4" t="s">
        <v>13658</v>
      </c>
      <c r="C910" s="113" t="s">
        <v>15363</v>
      </c>
      <c r="D910" s="155" t="s">
        <v>12646</v>
      </c>
      <c r="E910" s="159">
        <v>100</v>
      </c>
      <c r="F910" s="157" t="s">
        <v>13660</v>
      </c>
      <c r="G910" s="155" t="s">
        <v>13659</v>
      </c>
      <c r="H910" s="113" t="s">
        <v>13555</v>
      </c>
      <c r="I910" s="4" t="s">
        <v>13658</v>
      </c>
      <c r="J910" s="155" t="s">
        <v>13660</v>
      </c>
      <c r="K910" s="2" t="s">
        <v>13627</v>
      </c>
    </row>
    <row r="911" spans="1:11" s="2" customFormat="1" x14ac:dyDescent="0.25">
      <c r="A911" s="114" t="s">
        <v>13661</v>
      </c>
      <c r="B911" s="4" t="s">
        <v>13662</v>
      </c>
      <c r="C911" s="113" t="s">
        <v>15363</v>
      </c>
      <c r="D911" s="155" t="s">
        <v>12712</v>
      </c>
      <c r="E911" s="159">
        <v>0</v>
      </c>
      <c r="F911" s="157" t="s">
        <v>13663</v>
      </c>
      <c r="G911" s="155" t="s">
        <v>13662</v>
      </c>
      <c r="H911" s="113" t="s">
        <v>13555</v>
      </c>
      <c r="I911" s="4" t="s">
        <v>13662</v>
      </c>
      <c r="J911" s="155" t="s">
        <v>13663</v>
      </c>
      <c r="K911" s="2" t="s">
        <v>13642</v>
      </c>
    </row>
    <row r="912" spans="1:11" s="2" customFormat="1" x14ac:dyDescent="0.25">
      <c r="A912" s="114" t="s">
        <v>13664</v>
      </c>
      <c r="B912" s="4" t="s">
        <v>13665</v>
      </c>
      <c r="C912" s="113" t="s">
        <v>15363</v>
      </c>
      <c r="D912" s="155" t="s">
        <v>13666</v>
      </c>
      <c r="E912" s="159">
        <v>115</v>
      </c>
      <c r="F912" s="157" t="s">
        <v>13667</v>
      </c>
      <c r="G912" s="155" t="s">
        <v>13665</v>
      </c>
      <c r="H912" s="113" t="s">
        <v>13555</v>
      </c>
      <c r="I912" s="4" t="s">
        <v>13665</v>
      </c>
      <c r="J912" s="155" t="s">
        <v>13667</v>
      </c>
      <c r="K912" s="2" t="s">
        <v>15426</v>
      </c>
    </row>
    <row r="913" spans="1:11" s="2" customFormat="1" x14ac:dyDescent="0.25">
      <c r="A913" s="114" t="s">
        <v>13668</v>
      </c>
      <c r="B913" s="4" t="s">
        <v>13669</v>
      </c>
      <c r="C913" s="113" t="s">
        <v>15363</v>
      </c>
      <c r="D913" s="155" t="s">
        <v>10500</v>
      </c>
      <c r="E913" s="159">
        <v>500</v>
      </c>
      <c r="F913" s="157" t="s">
        <v>13670</v>
      </c>
      <c r="G913" s="155" t="s">
        <v>13669</v>
      </c>
      <c r="H913" s="113" t="s">
        <v>13555</v>
      </c>
      <c r="I913" s="4" t="s">
        <v>13669</v>
      </c>
      <c r="J913" s="155" t="s">
        <v>13670</v>
      </c>
      <c r="K913" s="2" t="s">
        <v>13669</v>
      </c>
    </row>
    <row r="914" spans="1:11" s="2" customFormat="1" x14ac:dyDescent="0.25">
      <c r="A914" s="114" t="s">
        <v>13671</v>
      </c>
      <c r="B914" s="4" t="s">
        <v>13672</v>
      </c>
      <c r="C914" s="113" t="s">
        <v>15363</v>
      </c>
      <c r="D914" s="155" t="s">
        <v>13673</v>
      </c>
      <c r="E914" s="159">
        <v>691</v>
      </c>
      <c r="F914" s="157" t="s">
        <v>13674</v>
      </c>
      <c r="G914" s="155" t="s">
        <v>13672</v>
      </c>
      <c r="H914" s="113" t="s">
        <v>13555</v>
      </c>
      <c r="I914" s="4" t="s">
        <v>13672</v>
      </c>
      <c r="J914" s="155" t="s">
        <v>13674</v>
      </c>
      <c r="K914" s="2" t="s">
        <v>13672</v>
      </c>
    </row>
    <row r="915" spans="1:11" s="2" customFormat="1" x14ac:dyDescent="0.25">
      <c r="A915" s="114" t="s">
        <v>13675</v>
      </c>
      <c r="B915" s="4" t="s">
        <v>11626</v>
      </c>
      <c r="C915" s="113" t="s">
        <v>15363</v>
      </c>
      <c r="D915" s="155" t="s">
        <v>10043</v>
      </c>
      <c r="E915" s="159">
        <v>200</v>
      </c>
      <c r="F915" s="157" t="s">
        <v>13676</v>
      </c>
      <c r="G915" s="155" t="s">
        <v>11626</v>
      </c>
      <c r="H915" s="113" t="s">
        <v>13555</v>
      </c>
      <c r="I915" s="4" t="s">
        <v>11626</v>
      </c>
      <c r="J915" s="155" t="s">
        <v>13676</v>
      </c>
      <c r="K915" s="2" t="s">
        <v>13561</v>
      </c>
    </row>
    <row r="916" spans="1:11" s="2" customFormat="1" x14ac:dyDescent="0.25">
      <c r="A916" s="114" t="s">
        <v>13677</v>
      </c>
      <c r="B916" s="4" t="s">
        <v>10729</v>
      </c>
      <c r="C916" s="113" t="s">
        <v>15363</v>
      </c>
      <c r="D916" s="155" t="s">
        <v>10485</v>
      </c>
      <c r="E916" s="159">
        <v>561</v>
      </c>
      <c r="F916" s="157" t="s">
        <v>13678</v>
      </c>
      <c r="G916" s="155" t="s">
        <v>10729</v>
      </c>
      <c r="H916" s="113" t="s">
        <v>13555</v>
      </c>
      <c r="I916" s="4" t="s">
        <v>10729</v>
      </c>
      <c r="J916" s="155" t="s">
        <v>13678</v>
      </c>
      <c r="K916" s="2" t="s">
        <v>10729</v>
      </c>
    </row>
    <row r="917" spans="1:11" s="2" customFormat="1" x14ac:dyDescent="0.25">
      <c r="A917" s="114" t="s">
        <v>13679</v>
      </c>
      <c r="B917" s="4" t="s">
        <v>13680</v>
      </c>
      <c r="C917" s="113" t="s">
        <v>15363</v>
      </c>
      <c r="D917" s="155" t="s">
        <v>10500</v>
      </c>
      <c r="E917" s="159">
        <v>0</v>
      </c>
      <c r="F917" s="157" t="s">
        <v>13681</v>
      </c>
      <c r="G917" s="155" t="s">
        <v>13680</v>
      </c>
      <c r="H917" s="113" t="s">
        <v>13555</v>
      </c>
      <c r="I917" s="4" t="s">
        <v>13680</v>
      </c>
      <c r="J917" s="155" t="s">
        <v>13681</v>
      </c>
      <c r="K917" s="2" t="s">
        <v>13669</v>
      </c>
    </row>
    <row r="918" spans="1:11" s="2" customFormat="1" x14ac:dyDescent="0.25">
      <c r="A918" s="114" t="s">
        <v>13682</v>
      </c>
      <c r="B918" s="4" t="s">
        <v>11161</v>
      </c>
      <c r="C918" s="113" t="s">
        <v>15363</v>
      </c>
      <c r="D918" s="155" t="s">
        <v>13683</v>
      </c>
      <c r="E918" s="159">
        <v>297</v>
      </c>
      <c r="F918" s="157" t="s">
        <v>13684</v>
      </c>
      <c r="G918" s="155" t="s">
        <v>11161</v>
      </c>
      <c r="H918" s="113" t="s">
        <v>13555</v>
      </c>
      <c r="I918" s="4" t="s">
        <v>11161</v>
      </c>
      <c r="J918" s="155" t="s">
        <v>13684</v>
      </c>
      <c r="K918" s="2" t="s">
        <v>15448</v>
      </c>
    </row>
    <row r="919" spans="1:11" s="2" customFormat="1" x14ac:dyDescent="0.25">
      <c r="A919" s="114" t="s">
        <v>13685</v>
      </c>
      <c r="B919" s="4" t="s">
        <v>13686</v>
      </c>
      <c r="C919" s="113" t="s">
        <v>15363</v>
      </c>
      <c r="D919" s="155" t="s">
        <v>13687</v>
      </c>
      <c r="E919" s="159">
        <v>0</v>
      </c>
      <c r="F919" s="157" t="s">
        <v>13688</v>
      </c>
      <c r="G919" s="155" t="s">
        <v>13686</v>
      </c>
      <c r="H919" s="113" t="s">
        <v>13555</v>
      </c>
      <c r="I919" s="4" t="s">
        <v>13686</v>
      </c>
      <c r="J919" s="155" t="s">
        <v>13688</v>
      </c>
      <c r="K919" s="2" t="s">
        <v>15447</v>
      </c>
    </row>
    <row r="920" spans="1:11" s="2" customFormat="1" x14ac:dyDescent="0.25">
      <c r="A920" s="114" t="s">
        <v>13689</v>
      </c>
      <c r="B920" s="4" t="s">
        <v>13690</v>
      </c>
      <c r="C920" s="113" t="s">
        <v>15363</v>
      </c>
      <c r="D920" s="155" t="s">
        <v>13691</v>
      </c>
      <c r="E920" s="159">
        <v>0</v>
      </c>
      <c r="F920" s="157" t="s">
        <v>13692</v>
      </c>
      <c r="G920" s="155" t="s">
        <v>13690</v>
      </c>
      <c r="H920" s="113" t="s">
        <v>13555</v>
      </c>
      <c r="I920" s="4" t="s">
        <v>13690</v>
      </c>
      <c r="J920" s="155" t="s">
        <v>13692</v>
      </c>
      <c r="K920" s="2" t="s">
        <v>13584</v>
      </c>
    </row>
    <row r="921" spans="1:11" s="2" customFormat="1" x14ac:dyDescent="0.25">
      <c r="A921" s="114" t="s">
        <v>12983</v>
      </c>
      <c r="B921" s="4" t="s">
        <v>12984</v>
      </c>
      <c r="C921" s="113" t="s">
        <v>15363</v>
      </c>
      <c r="D921" s="155" t="s">
        <v>12985</v>
      </c>
      <c r="E921" s="159">
        <v>1401</v>
      </c>
      <c r="F921" s="157" t="s">
        <v>12986</v>
      </c>
      <c r="G921" s="155" t="s">
        <v>12984</v>
      </c>
      <c r="H921" s="113" t="s">
        <v>10653</v>
      </c>
      <c r="I921" s="4" t="s">
        <v>12984</v>
      </c>
      <c r="J921" s="155" t="s">
        <v>12986</v>
      </c>
      <c r="K921" s="2" t="s">
        <v>15449</v>
      </c>
    </row>
    <row r="922" spans="1:11" s="2" customFormat="1" x14ac:dyDescent="0.25">
      <c r="A922" s="114" t="s">
        <v>12987</v>
      </c>
      <c r="B922" s="4" t="s">
        <v>12988</v>
      </c>
      <c r="C922" s="113" t="s">
        <v>15363</v>
      </c>
      <c r="D922" s="155" t="s">
        <v>11221</v>
      </c>
      <c r="E922" s="159">
        <v>100</v>
      </c>
      <c r="F922" s="157" t="s">
        <v>12989</v>
      </c>
      <c r="G922" s="155" t="s">
        <v>12988</v>
      </c>
      <c r="H922" s="113" t="s">
        <v>10653</v>
      </c>
      <c r="I922" s="4" t="s">
        <v>12988</v>
      </c>
      <c r="J922" s="155" t="s">
        <v>12989</v>
      </c>
      <c r="K922" s="2" t="s">
        <v>13030</v>
      </c>
    </row>
    <row r="923" spans="1:11" s="2" customFormat="1" x14ac:dyDescent="0.25">
      <c r="A923" s="114" t="s">
        <v>12990</v>
      </c>
      <c r="B923" s="4" t="s">
        <v>12991</v>
      </c>
      <c r="C923" s="113" t="s">
        <v>15363</v>
      </c>
      <c r="D923" s="155" t="s">
        <v>9887</v>
      </c>
      <c r="E923" s="159">
        <v>0</v>
      </c>
      <c r="F923" s="157" t="s">
        <v>12992</v>
      </c>
      <c r="G923" s="155" t="s">
        <v>12991</v>
      </c>
      <c r="H923" s="113" t="s">
        <v>10653</v>
      </c>
      <c r="I923" s="4" t="s">
        <v>12991</v>
      </c>
      <c r="J923" s="155" t="s">
        <v>12992</v>
      </c>
      <c r="K923" s="2" t="s">
        <v>15450</v>
      </c>
    </row>
    <row r="924" spans="1:11" s="2" customFormat="1" x14ac:dyDescent="0.25">
      <c r="A924" s="114" t="s">
        <v>12993</v>
      </c>
      <c r="B924" s="4" t="s">
        <v>12994</v>
      </c>
      <c r="C924" s="113" t="s">
        <v>15363</v>
      </c>
      <c r="D924" s="155" t="s">
        <v>12995</v>
      </c>
      <c r="E924" s="159">
        <v>0</v>
      </c>
      <c r="F924" s="157" t="s">
        <v>12996</v>
      </c>
      <c r="G924" s="155" t="s">
        <v>12994</v>
      </c>
      <c r="H924" s="113" t="s">
        <v>10653</v>
      </c>
      <c r="I924" s="4" t="s">
        <v>12994</v>
      </c>
      <c r="J924" s="155" t="s">
        <v>12996</v>
      </c>
      <c r="K924" s="2" t="s">
        <v>15451</v>
      </c>
    </row>
    <row r="925" spans="1:11" s="2" customFormat="1" x14ac:dyDescent="0.25">
      <c r="A925" s="114" t="s">
        <v>12997</v>
      </c>
      <c r="B925" s="4" t="s">
        <v>10653</v>
      </c>
      <c r="C925" s="113" t="s">
        <v>15363</v>
      </c>
      <c r="D925" s="155" t="s">
        <v>12998</v>
      </c>
      <c r="E925" s="159">
        <v>920</v>
      </c>
      <c r="F925" s="157" t="s">
        <v>12999</v>
      </c>
      <c r="G925" s="155" t="s">
        <v>10653</v>
      </c>
      <c r="H925" s="113" t="s">
        <v>10653</v>
      </c>
      <c r="I925" s="4" t="s">
        <v>10653</v>
      </c>
      <c r="J925" s="155" t="s">
        <v>12999</v>
      </c>
      <c r="K925" s="2" t="s">
        <v>10653</v>
      </c>
    </row>
    <row r="926" spans="1:11" s="2" customFormat="1" x14ac:dyDescent="0.25">
      <c r="A926" s="114" t="s">
        <v>13000</v>
      </c>
      <c r="B926" s="4" t="s">
        <v>13001</v>
      </c>
      <c r="C926" s="113" t="s">
        <v>15363</v>
      </c>
      <c r="D926" s="155" t="s">
        <v>13002</v>
      </c>
      <c r="E926" s="159">
        <v>0</v>
      </c>
      <c r="F926" s="157" t="s">
        <v>13004</v>
      </c>
      <c r="G926" s="155" t="s">
        <v>13003</v>
      </c>
      <c r="H926" s="113" t="s">
        <v>10653</v>
      </c>
      <c r="I926" s="4" t="s">
        <v>13001</v>
      </c>
      <c r="J926" s="155" t="s">
        <v>13004</v>
      </c>
      <c r="K926" s="2" t="s">
        <v>15451</v>
      </c>
    </row>
    <row r="927" spans="1:11" s="2" customFormat="1" x14ac:dyDescent="0.25">
      <c r="A927" s="114" t="s">
        <v>13005</v>
      </c>
      <c r="B927" s="4" t="s">
        <v>13006</v>
      </c>
      <c r="C927" s="113" t="s">
        <v>15363</v>
      </c>
      <c r="D927" s="155" t="s">
        <v>10944</v>
      </c>
      <c r="E927" s="159">
        <v>0</v>
      </c>
      <c r="F927" s="157" t="s">
        <v>13007</v>
      </c>
      <c r="G927" s="155" t="s">
        <v>13006</v>
      </c>
      <c r="H927" s="113" t="s">
        <v>10653</v>
      </c>
      <c r="I927" s="4" t="s">
        <v>13006</v>
      </c>
      <c r="J927" s="155" t="s">
        <v>13007</v>
      </c>
      <c r="K927" s="2" t="s">
        <v>15452</v>
      </c>
    </row>
    <row r="928" spans="1:11" s="2" customFormat="1" x14ac:dyDescent="0.25">
      <c r="A928" s="114" t="s">
        <v>13008</v>
      </c>
      <c r="B928" s="4" t="s">
        <v>13009</v>
      </c>
      <c r="C928" s="113" t="s">
        <v>15363</v>
      </c>
      <c r="D928" s="155" t="s">
        <v>10244</v>
      </c>
      <c r="E928" s="159">
        <v>795</v>
      </c>
      <c r="F928" s="157" t="s">
        <v>13010</v>
      </c>
      <c r="G928" s="155" t="s">
        <v>13009</v>
      </c>
      <c r="H928" s="113" t="s">
        <v>10653</v>
      </c>
      <c r="I928" s="4" t="s">
        <v>13009</v>
      </c>
      <c r="J928" s="155" t="s">
        <v>13010</v>
      </c>
      <c r="K928" s="2" t="s">
        <v>15451</v>
      </c>
    </row>
    <row r="929" spans="1:11" s="2" customFormat="1" x14ac:dyDescent="0.25">
      <c r="A929" s="114" t="s">
        <v>13011</v>
      </c>
      <c r="B929" s="4" t="s">
        <v>13012</v>
      </c>
      <c r="C929" s="113" t="s">
        <v>15363</v>
      </c>
      <c r="D929" s="155" t="s">
        <v>9764</v>
      </c>
      <c r="E929" s="159">
        <v>0</v>
      </c>
      <c r="F929" s="157" t="s">
        <v>13014</v>
      </c>
      <c r="G929" s="155" t="s">
        <v>13013</v>
      </c>
      <c r="H929" s="113" t="s">
        <v>10653</v>
      </c>
      <c r="I929" s="4" t="s">
        <v>13012</v>
      </c>
      <c r="J929" s="155" t="s">
        <v>13014</v>
      </c>
      <c r="K929" s="2" t="s">
        <v>15453</v>
      </c>
    </row>
    <row r="930" spans="1:11" s="2" customFormat="1" x14ac:dyDescent="0.25">
      <c r="A930" s="114" t="s">
        <v>13015</v>
      </c>
      <c r="B930" s="4" t="s">
        <v>11674</v>
      </c>
      <c r="C930" s="113" t="s">
        <v>15363</v>
      </c>
      <c r="D930" s="155" t="s">
        <v>10467</v>
      </c>
      <c r="E930" s="159">
        <v>0</v>
      </c>
      <c r="F930" s="157" t="s">
        <v>13016</v>
      </c>
      <c r="G930" s="155" t="s">
        <v>11674</v>
      </c>
      <c r="H930" s="113" t="s">
        <v>10653</v>
      </c>
      <c r="I930" s="4" t="s">
        <v>11674</v>
      </c>
      <c r="J930" s="155" t="s">
        <v>13016</v>
      </c>
      <c r="K930" s="2" t="s">
        <v>15449</v>
      </c>
    </row>
    <row r="931" spans="1:11" s="2" customFormat="1" x14ac:dyDescent="0.25">
      <c r="A931" s="114" t="s">
        <v>13017</v>
      </c>
      <c r="B931" s="4" t="s">
        <v>13018</v>
      </c>
      <c r="C931" s="113" t="s">
        <v>15363</v>
      </c>
      <c r="D931" s="155" t="s">
        <v>10500</v>
      </c>
      <c r="E931" s="159">
        <v>118</v>
      </c>
      <c r="F931" s="157" t="s">
        <v>13019</v>
      </c>
      <c r="G931" s="155" t="s">
        <v>13018</v>
      </c>
      <c r="H931" s="113" t="s">
        <v>10653</v>
      </c>
      <c r="I931" s="4" t="s">
        <v>13018</v>
      </c>
      <c r="J931" s="155" t="s">
        <v>13019</v>
      </c>
      <c r="K931" s="2" t="s">
        <v>15451</v>
      </c>
    </row>
    <row r="932" spans="1:11" s="2" customFormat="1" x14ac:dyDescent="0.25">
      <c r="A932" s="114" t="s">
        <v>13020</v>
      </c>
      <c r="B932" s="4" t="s">
        <v>15304</v>
      </c>
      <c r="C932" s="113" t="s">
        <v>15363</v>
      </c>
      <c r="D932" s="155" t="s">
        <v>13021</v>
      </c>
      <c r="E932" s="159"/>
      <c r="F932" s="157" t="s">
        <v>13022</v>
      </c>
      <c r="G932" s="155" t="s">
        <v>15303</v>
      </c>
      <c r="H932" s="113" t="s">
        <v>10653</v>
      </c>
      <c r="I932" s="4" t="s">
        <v>15304</v>
      </c>
      <c r="J932" s="155" t="s">
        <v>13022</v>
      </c>
      <c r="K932" s="2" t="s">
        <v>13030</v>
      </c>
    </row>
    <row r="933" spans="1:11" s="2" customFormat="1" x14ac:dyDescent="0.25">
      <c r="A933" s="114" t="s">
        <v>13023</v>
      </c>
      <c r="B933" s="4" t="s">
        <v>13024</v>
      </c>
      <c r="C933" s="113" t="s">
        <v>15363</v>
      </c>
      <c r="D933" s="155" t="s">
        <v>9819</v>
      </c>
      <c r="E933" s="159">
        <v>100</v>
      </c>
      <c r="F933" s="157" t="s">
        <v>13025</v>
      </c>
      <c r="G933" s="155" t="s">
        <v>13024</v>
      </c>
      <c r="H933" s="113" t="s">
        <v>10653</v>
      </c>
      <c r="I933" s="4" t="s">
        <v>13024</v>
      </c>
      <c r="J933" s="155" t="s">
        <v>13025</v>
      </c>
      <c r="K933" s="2" t="s">
        <v>15452</v>
      </c>
    </row>
    <row r="934" spans="1:11" s="2" customFormat="1" x14ac:dyDescent="0.25">
      <c r="A934" s="114" t="s">
        <v>13026</v>
      </c>
      <c r="B934" s="4" t="s">
        <v>13027</v>
      </c>
      <c r="C934" s="113" t="s">
        <v>15363</v>
      </c>
      <c r="D934" s="155" t="s">
        <v>12995</v>
      </c>
      <c r="E934" s="159">
        <v>0</v>
      </c>
      <c r="F934" s="157" t="s">
        <v>13028</v>
      </c>
      <c r="G934" s="155" t="s">
        <v>13027</v>
      </c>
      <c r="H934" s="113" t="s">
        <v>10653</v>
      </c>
      <c r="I934" s="4" t="s">
        <v>13027</v>
      </c>
      <c r="J934" s="155" t="s">
        <v>13028</v>
      </c>
      <c r="K934" s="2" t="s">
        <v>13030</v>
      </c>
    </row>
    <row r="935" spans="1:11" s="2" customFormat="1" x14ac:dyDescent="0.25">
      <c r="A935" s="114" t="s">
        <v>13029</v>
      </c>
      <c r="B935" s="4" t="s">
        <v>13030</v>
      </c>
      <c r="C935" s="113" t="s">
        <v>15363</v>
      </c>
      <c r="D935" s="155" t="s">
        <v>12998</v>
      </c>
      <c r="E935" s="159">
        <v>245</v>
      </c>
      <c r="F935" s="157" t="s">
        <v>13031</v>
      </c>
      <c r="G935" s="155" t="s">
        <v>13030</v>
      </c>
      <c r="H935" s="113" t="s">
        <v>10653</v>
      </c>
      <c r="I935" s="4" t="s">
        <v>13030</v>
      </c>
      <c r="J935" s="155" t="s">
        <v>13031</v>
      </c>
      <c r="K935" s="2" t="s">
        <v>13030</v>
      </c>
    </row>
    <row r="936" spans="1:11" s="2" customFormat="1" x14ac:dyDescent="0.25">
      <c r="A936" s="114" t="s">
        <v>13032</v>
      </c>
      <c r="B936" s="4" t="s">
        <v>13033</v>
      </c>
      <c r="C936" s="113" t="s">
        <v>15363</v>
      </c>
      <c r="D936" s="155" t="s">
        <v>10808</v>
      </c>
      <c r="E936" s="159">
        <v>143</v>
      </c>
      <c r="F936" s="157" t="s">
        <v>13034</v>
      </c>
      <c r="G936" s="155" t="s">
        <v>13033</v>
      </c>
      <c r="H936" s="113" t="s">
        <v>10653</v>
      </c>
      <c r="I936" s="4" t="s">
        <v>13033</v>
      </c>
      <c r="J936" s="155" t="s">
        <v>13034</v>
      </c>
      <c r="K936" s="2" t="s">
        <v>15451</v>
      </c>
    </row>
    <row r="937" spans="1:11" s="2" customFormat="1" x14ac:dyDescent="0.25">
      <c r="A937" s="114" t="s">
        <v>13035</v>
      </c>
      <c r="B937" s="4" t="s">
        <v>13036</v>
      </c>
      <c r="C937" s="113" t="s">
        <v>15363</v>
      </c>
      <c r="D937" s="155" t="s">
        <v>13037</v>
      </c>
      <c r="E937" s="159">
        <v>0</v>
      </c>
      <c r="F937" s="157" t="s">
        <v>13039</v>
      </c>
      <c r="G937" s="155" t="s">
        <v>13038</v>
      </c>
      <c r="H937" s="113" t="s">
        <v>10653</v>
      </c>
      <c r="I937" s="4" t="s">
        <v>13036</v>
      </c>
      <c r="J937" s="155" t="s">
        <v>13039</v>
      </c>
      <c r="K937" s="2" t="s">
        <v>15449</v>
      </c>
    </row>
    <row r="938" spans="1:11" s="2" customFormat="1" x14ac:dyDescent="0.25">
      <c r="A938" s="114" t="s">
        <v>13040</v>
      </c>
      <c r="B938" s="4" t="s">
        <v>13041</v>
      </c>
      <c r="C938" s="113" t="s">
        <v>15363</v>
      </c>
      <c r="D938" s="155" t="s">
        <v>10244</v>
      </c>
      <c r="E938" s="159">
        <v>195</v>
      </c>
      <c r="F938" s="157" t="s">
        <v>13043</v>
      </c>
      <c r="G938" s="155" t="s">
        <v>13042</v>
      </c>
      <c r="H938" s="113" t="s">
        <v>10653</v>
      </c>
      <c r="I938" s="4" t="s">
        <v>13041</v>
      </c>
      <c r="J938" s="155" t="s">
        <v>13043</v>
      </c>
      <c r="K938" s="2" t="s">
        <v>15452</v>
      </c>
    </row>
    <row r="939" spans="1:11" s="2" customFormat="1" x14ac:dyDescent="0.25">
      <c r="A939" s="114" t="s">
        <v>13044</v>
      </c>
      <c r="B939" s="4" t="s">
        <v>13045</v>
      </c>
      <c r="C939" s="113" t="s">
        <v>15363</v>
      </c>
      <c r="D939" s="155" t="s">
        <v>12327</v>
      </c>
      <c r="E939" s="159">
        <v>0</v>
      </c>
      <c r="F939" s="157" t="s">
        <v>13047</v>
      </c>
      <c r="G939" s="155" t="s">
        <v>13046</v>
      </c>
      <c r="H939" s="113" t="s">
        <v>10653</v>
      </c>
      <c r="I939" s="4" t="s">
        <v>13045</v>
      </c>
      <c r="J939" s="155" t="s">
        <v>13047</v>
      </c>
      <c r="K939" s="2" t="s">
        <v>15451</v>
      </c>
    </row>
    <row r="940" spans="1:11" s="2" customFormat="1" x14ac:dyDescent="0.25">
      <c r="A940" s="114" t="s">
        <v>13048</v>
      </c>
      <c r="B940" s="4" t="s">
        <v>13049</v>
      </c>
      <c r="C940" s="113" t="s">
        <v>15364</v>
      </c>
      <c r="D940" s="155" t="s">
        <v>12998</v>
      </c>
      <c r="E940" s="159">
        <v>0</v>
      </c>
      <c r="F940" s="157" t="s">
        <v>13050</v>
      </c>
      <c r="G940" s="155" t="s">
        <v>13049</v>
      </c>
      <c r="H940" s="113" t="s">
        <v>10653</v>
      </c>
      <c r="I940" s="4" t="s">
        <v>13049</v>
      </c>
      <c r="J940" s="155" t="s">
        <v>13050</v>
      </c>
      <c r="K940" s="2" t="s">
        <v>15450</v>
      </c>
    </row>
    <row r="941" spans="1:11" s="2" customFormat="1" x14ac:dyDescent="0.25">
      <c r="A941" s="114" t="s">
        <v>13051</v>
      </c>
      <c r="B941" s="4" t="s">
        <v>13052</v>
      </c>
      <c r="C941" s="113" t="s">
        <v>15364</v>
      </c>
      <c r="D941" s="155" t="s">
        <v>13053</v>
      </c>
      <c r="E941" s="159"/>
      <c r="F941" s="157" t="s">
        <v>13054</v>
      </c>
      <c r="G941" s="155" t="s">
        <v>13052</v>
      </c>
      <c r="H941" s="113" t="s">
        <v>10653</v>
      </c>
      <c r="I941" s="4" t="s">
        <v>13052</v>
      </c>
      <c r="J941" s="155" t="s">
        <v>13054</v>
      </c>
      <c r="K941" s="2" t="s">
        <v>10653</v>
      </c>
    </row>
    <row r="942" spans="1:11" s="2" customFormat="1" x14ac:dyDescent="0.25">
      <c r="A942" s="114" t="s">
        <v>13055</v>
      </c>
      <c r="B942" s="4" t="s">
        <v>13056</v>
      </c>
      <c r="C942" s="113" t="s">
        <v>15364</v>
      </c>
      <c r="D942" s="155" t="s">
        <v>13057</v>
      </c>
      <c r="E942" s="159"/>
      <c r="F942" s="157" t="s">
        <v>13059</v>
      </c>
      <c r="G942" s="155" t="s">
        <v>13058</v>
      </c>
      <c r="H942" s="113" t="s">
        <v>10653</v>
      </c>
      <c r="I942" s="4" t="s">
        <v>13056</v>
      </c>
      <c r="J942" s="155" t="s">
        <v>13059</v>
      </c>
      <c r="K942" s="2" t="s">
        <v>15452</v>
      </c>
    </row>
    <row r="943" spans="1:11" s="2" customFormat="1" x14ac:dyDescent="0.25">
      <c r="A943" s="114" t="s">
        <v>13060</v>
      </c>
      <c r="B943" s="4" t="s">
        <v>13061</v>
      </c>
      <c r="C943" s="113" t="s">
        <v>15364</v>
      </c>
      <c r="D943" s="155" t="s">
        <v>13053</v>
      </c>
      <c r="E943" s="159"/>
      <c r="F943" s="157" t="s">
        <v>13062</v>
      </c>
      <c r="G943" s="155" t="s">
        <v>13061</v>
      </c>
      <c r="H943" s="113" t="s">
        <v>10653</v>
      </c>
      <c r="I943" s="4" t="s">
        <v>13061</v>
      </c>
      <c r="J943" s="155" t="s">
        <v>13062</v>
      </c>
      <c r="K943" s="2" t="s">
        <v>10653</v>
      </c>
    </row>
    <row r="944" spans="1:11" s="2" customFormat="1" x14ac:dyDescent="0.25">
      <c r="A944" s="114" t="s">
        <v>13063</v>
      </c>
      <c r="B944" s="4" t="s">
        <v>13064</v>
      </c>
      <c r="C944" s="113" t="s">
        <v>15364</v>
      </c>
      <c r="D944" s="155" t="s">
        <v>13065</v>
      </c>
      <c r="E944" s="159">
        <v>0</v>
      </c>
      <c r="F944" s="157" t="s">
        <v>13066</v>
      </c>
      <c r="G944" s="155" t="s">
        <v>13064</v>
      </c>
      <c r="H944" s="113" t="s">
        <v>10653</v>
      </c>
      <c r="I944" s="4" t="s">
        <v>13064</v>
      </c>
      <c r="J944" s="155" t="s">
        <v>13066</v>
      </c>
      <c r="K944" s="2" t="s">
        <v>15450</v>
      </c>
    </row>
    <row r="945" spans="1:11" s="2" customFormat="1" x14ac:dyDescent="0.25">
      <c r="A945" s="114" t="s">
        <v>13067</v>
      </c>
      <c r="B945" s="4" t="s">
        <v>13068</v>
      </c>
      <c r="C945" s="113" t="s">
        <v>15364</v>
      </c>
      <c r="D945" s="155" t="s">
        <v>11663</v>
      </c>
      <c r="E945" s="159">
        <v>0</v>
      </c>
      <c r="F945" s="157" t="s">
        <v>13069</v>
      </c>
      <c r="G945" s="155" t="s">
        <v>12984</v>
      </c>
      <c r="H945" s="113" t="s">
        <v>10653</v>
      </c>
      <c r="I945" s="4" t="s">
        <v>13068</v>
      </c>
      <c r="J945" s="155" t="s">
        <v>13069</v>
      </c>
      <c r="K945" s="2" t="s">
        <v>15449</v>
      </c>
    </row>
    <row r="946" spans="1:11" s="2" customFormat="1" x14ac:dyDescent="0.25">
      <c r="A946" s="114" t="s">
        <v>13070</v>
      </c>
      <c r="B946" s="4" t="s">
        <v>13071</v>
      </c>
      <c r="C946" s="113" t="s">
        <v>15363</v>
      </c>
      <c r="D946" s="155" t="s">
        <v>13072</v>
      </c>
      <c r="E946" s="159">
        <v>0</v>
      </c>
      <c r="F946" s="157" t="s">
        <v>13073</v>
      </c>
      <c r="G946" s="155" t="s">
        <v>13071</v>
      </c>
      <c r="H946" s="113" t="s">
        <v>10653</v>
      </c>
      <c r="I946" s="4" t="s">
        <v>13071</v>
      </c>
      <c r="J946" s="155" t="s">
        <v>13073</v>
      </c>
      <c r="K946" s="2" t="s">
        <v>13030</v>
      </c>
    </row>
    <row r="947" spans="1:11" s="2" customFormat="1" x14ac:dyDescent="0.25">
      <c r="A947" s="114" t="s">
        <v>13074</v>
      </c>
      <c r="B947" s="4" t="s">
        <v>13075</v>
      </c>
      <c r="C947" s="113" t="s">
        <v>15363</v>
      </c>
      <c r="D947" s="155" t="s">
        <v>10500</v>
      </c>
      <c r="E947" s="159">
        <v>0</v>
      </c>
      <c r="F947" s="157" t="s">
        <v>13077</v>
      </c>
      <c r="G947" s="155" t="s">
        <v>13076</v>
      </c>
      <c r="H947" s="113" t="s">
        <v>10653</v>
      </c>
      <c r="I947" s="4" t="s">
        <v>13075</v>
      </c>
      <c r="J947" s="155" t="s">
        <v>13077</v>
      </c>
      <c r="K947" s="2" t="s">
        <v>15451</v>
      </c>
    </row>
    <row r="948" spans="1:11" s="2" customFormat="1" x14ac:dyDescent="0.25">
      <c r="A948" s="114" t="s">
        <v>13693</v>
      </c>
      <c r="B948" s="4" t="s">
        <v>13694</v>
      </c>
      <c r="C948" s="113" t="s">
        <v>15363</v>
      </c>
      <c r="D948" s="155" t="s">
        <v>10541</v>
      </c>
      <c r="E948" s="159">
        <v>101</v>
      </c>
      <c r="F948" s="157" t="s">
        <v>13695</v>
      </c>
      <c r="G948" s="155" t="s">
        <v>13694</v>
      </c>
      <c r="H948" s="113" t="s">
        <v>13694</v>
      </c>
      <c r="I948" s="4" t="s">
        <v>13694</v>
      </c>
      <c r="J948" s="155" t="s">
        <v>13695</v>
      </c>
      <c r="K948" s="2" t="s">
        <v>15454</v>
      </c>
    </row>
    <row r="949" spans="1:11" s="2" customFormat="1" x14ac:dyDescent="0.25">
      <c r="A949" s="114" t="s">
        <v>13696</v>
      </c>
      <c r="B949" s="4" t="s">
        <v>13697</v>
      </c>
      <c r="C949" s="113" t="s">
        <v>15363</v>
      </c>
      <c r="D949" s="155" t="s">
        <v>11252</v>
      </c>
      <c r="E949" s="159">
        <v>560</v>
      </c>
      <c r="F949" s="157" t="s">
        <v>13698</v>
      </c>
      <c r="G949" s="155" t="s">
        <v>13697</v>
      </c>
      <c r="H949" s="113" t="s">
        <v>13694</v>
      </c>
      <c r="I949" s="4" t="s">
        <v>13697</v>
      </c>
      <c r="J949" s="155" t="s">
        <v>13698</v>
      </c>
      <c r="K949" s="2" t="s">
        <v>13697</v>
      </c>
    </row>
    <row r="950" spans="1:11" s="2" customFormat="1" x14ac:dyDescent="0.25">
      <c r="A950" s="114" t="s">
        <v>13699</v>
      </c>
      <c r="B950" s="4" t="s">
        <v>13700</v>
      </c>
      <c r="C950" s="113" t="s">
        <v>15363</v>
      </c>
      <c r="D950" s="155" t="s">
        <v>13701</v>
      </c>
      <c r="E950" s="159">
        <v>202</v>
      </c>
      <c r="F950" s="157" t="s">
        <v>13702</v>
      </c>
      <c r="G950" s="155" t="s">
        <v>13700</v>
      </c>
      <c r="H950" s="113" t="s">
        <v>13694</v>
      </c>
      <c r="I950" s="4" t="s">
        <v>13700</v>
      </c>
      <c r="J950" s="155" t="s">
        <v>13702</v>
      </c>
      <c r="K950" s="2" t="s">
        <v>15455</v>
      </c>
    </row>
    <row r="951" spans="1:11" s="2" customFormat="1" x14ac:dyDescent="0.25">
      <c r="A951" s="114" t="s">
        <v>13703</v>
      </c>
      <c r="B951" s="4" t="s">
        <v>13704</v>
      </c>
      <c r="C951" s="113" t="s">
        <v>15363</v>
      </c>
      <c r="D951" s="155" t="s">
        <v>9764</v>
      </c>
      <c r="E951" s="159">
        <v>370</v>
      </c>
      <c r="F951" s="157" t="s">
        <v>13705</v>
      </c>
      <c r="G951" s="155" t="s">
        <v>13704</v>
      </c>
      <c r="H951" s="113" t="s">
        <v>13694</v>
      </c>
      <c r="I951" s="4" t="s">
        <v>13704</v>
      </c>
      <c r="J951" s="155" t="s">
        <v>13705</v>
      </c>
      <c r="K951" s="2" t="s">
        <v>15454</v>
      </c>
    </row>
    <row r="952" spans="1:11" s="2" customFormat="1" x14ac:dyDescent="0.25">
      <c r="A952" s="114" t="s">
        <v>13706</v>
      </c>
      <c r="B952" s="4" t="s">
        <v>13707</v>
      </c>
      <c r="C952" s="113" t="s">
        <v>15363</v>
      </c>
      <c r="D952" s="155" t="s">
        <v>10775</v>
      </c>
      <c r="E952" s="159">
        <v>518</v>
      </c>
      <c r="F952" s="157" t="s">
        <v>13708</v>
      </c>
      <c r="G952" s="155" t="s">
        <v>13707</v>
      </c>
      <c r="H952" s="113" t="s">
        <v>13694</v>
      </c>
      <c r="I952" s="4" t="s">
        <v>13707</v>
      </c>
      <c r="J952" s="155" t="s">
        <v>13708</v>
      </c>
      <c r="K952" s="2" t="s">
        <v>13707</v>
      </c>
    </row>
    <row r="953" spans="1:11" s="2" customFormat="1" x14ac:dyDescent="0.25">
      <c r="A953" s="114" t="s">
        <v>13709</v>
      </c>
      <c r="B953" s="4" t="s">
        <v>13710</v>
      </c>
      <c r="C953" s="113" t="s">
        <v>15363</v>
      </c>
      <c r="D953" s="155" t="s">
        <v>10244</v>
      </c>
      <c r="E953" s="159">
        <v>0</v>
      </c>
      <c r="F953" s="157" t="s">
        <v>13711</v>
      </c>
      <c r="G953" s="155" t="s">
        <v>13710</v>
      </c>
      <c r="H953" s="113" t="s">
        <v>13694</v>
      </c>
      <c r="I953" s="4" t="s">
        <v>13710</v>
      </c>
      <c r="J953" s="155" t="s">
        <v>13711</v>
      </c>
      <c r="K953" s="2" t="s">
        <v>13752</v>
      </c>
    </row>
    <row r="954" spans="1:11" s="2" customFormat="1" x14ac:dyDescent="0.25">
      <c r="A954" s="114" t="s">
        <v>13712</v>
      </c>
      <c r="B954" s="4" t="s">
        <v>13713</v>
      </c>
      <c r="C954" s="113" t="s">
        <v>15363</v>
      </c>
      <c r="D954" s="155" t="s">
        <v>10599</v>
      </c>
      <c r="E954" s="159">
        <v>660</v>
      </c>
      <c r="F954" s="157" t="s">
        <v>13714</v>
      </c>
      <c r="G954" s="155" t="s">
        <v>13713</v>
      </c>
      <c r="H954" s="113" t="s">
        <v>13694</v>
      </c>
      <c r="I954" s="4" t="s">
        <v>13713</v>
      </c>
      <c r="J954" s="155" t="s">
        <v>13714</v>
      </c>
      <c r="K954" s="2" t="s">
        <v>15454</v>
      </c>
    </row>
    <row r="955" spans="1:11" s="2" customFormat="1" x14ac:dyDescent="0.25">
      <c r="A955" s="114" t="s">
        <v>13715</v>
      </c>
      <c r="B955" s="4" t="s">
        <v>13716</v>
      </c>
      <c r="C955" s="113" t="s">
        <v>15363</v>
      </c>
      <c r="D955" s="155" t="s">
        <v>9861</v>
      </c>
      <c r="E955" s="159">
        <v>0</v>
      </c>
      <c r="F955" s="157" t="s">
        <v>13717</v>
      </c>
      <c r="G955" s="155" t="s">
        <v>13716</v>
      </c>
      <c r="H955" s="113" t="s">
        <v>13694</v>
      </c>
      <c r="I955" s="4" t="s">
        <v>13716</v>
      </c>
      <c r="J955" s="155" t="s">
        <v>13717</v>
      </c>
      <c r="K955" s="2" t="s">
        <v>15456</v>
      </c>
    </row>
    <row r="956" spans="1:11" s="2" customFormat="1" x14ac:dyDescent="0.25">
      <c r="A956" s="114" t="s">
        <v>13718</v>
      </c>
      <c r="B956" s="4" t="s">
        <v>13719</v>
      </c>
      <c r="C956" s="113" t="s">
        <v>15363</v>
      </c>
      <c r="D956" s="155" t="s">
        <v>13720</v>
      </c>
      <c r="E956" s="159">
        <v>305</v>
      </c>
      <c r="F956" s="157" t="s">
        <v>13721</v>
      </c>
      <c r="G956" s="155" t="s">
        <v>13719</v>
      </c>
      <c r="H956" s="113" t="s">
        <v>13694</v>
      </c>
      <c r="I956" s="4" t="s">
        <v>13719</v>
      </c>
      <c r="J956" s="155" t="s">
        <v>13721</v>
      </c>
      <c r="K956" s="2" t="s">
        <v>15457</v>
      </c>
    </row>
    <row r="957" spans="1:11" s="2" customFormat="1" x14ac:dyDescent="0.25">
      <c r="A957" s="114" t="s">
        <v>13722</v>
      </c>
      <c r="B957" s="4" t="s">
        <v>13723</v>
      </c>
      <c r="C957" s="113" t="s">
        <v>15363</v>
      </c>
      <c r="D957" s="155" t="s">
        <v>13724</v>
      </c>
      <c r="E957" s="159">
        <v>0</v>
      </c>
      <c r="F957" s="157" t="s">
        <v>13725</v>
      </c>
      <c r="G957" s="155" t="s">
        <v>13723</v>
      </c>
      <c r="H957" s="113" t="s">
        <v>13694</v>
      </c>
      <c r="I957" s="4" t="s">
        <v>13723</v>
      </c>
      <c r="J957" s="155" t="s">
        <v>13725</v>
      </c>
      <c r="K957" s="2" t="s">
        <v>13723</v>
      </c>
    </row>
    <row r="958" spans="1:11" s="2" customFormat="1" x14ac:dyDescent="0.25">
      <c r="A958" s="114" t="s">
        <v>13726</v>
      </c>
      <c r="B958" s="4" t="s">
        <v>13727</v>
      </c>
      <c r="C958" s="113" t="s">
        <v>15363</v>
      </c>
      <c r="D958" s="155" t="s">
        <v>13728</v>
      </c>
      <c r="E958" s="159">
        <v>168</v>
      </c>
      <c r="F958" s="157" t="s">
        <v>13729</v>
      </c>
      <c r="G958" s="155" t="s">
        <v>13727</v>
      </c>
      <c r="H958" s="113" t="s">
        <v>13694</v>
      </c>
      <c r="I958" s="4" t="s">
        <v>13727</v>
      </c>
      <c r="J958" s="155" t="s">
        <v>13729</v>
      </c>
      <c r="K958" s="2" t="s">
        <v>15458</v>
      </c>
    </row>
    <row r="959" spans="1:11" s="2" customFormat="1" x14ac:dyDescent="0.25">
      <c r="A959" s="114" t="s">
        <v>13730</v>
      </c>
      <c r="B959" s="4" t="s">
        <v>13731</v>
      </c>
      <c r="C959" s="113" t="s">
        <v>15363</v>
      </c>
      <c r="D959" s="155" t="s">
        <v>13732</v>
      </c>
      <c r="E959" s="159">
        <v>0</v>
      </c>
      <c r="F959" s="157" t="s">
        <v>13733</v>
      </c>
      <c r="G959" s="155" t="s">
        <v>13731</v>
      </c>
      <c r="H959" s="113" t="s">
        <v>13694</v>
      </c>
      <c r="I959" s="4" t="s">
        <v>13731</v>
      </c>
      <c r="J959" s="155" t="s">
        <v>13733</v>
      </c>
      <c r="K959" s="2" t="s">
        <v>13731</v>
      </c>
    </row>
    <row r="960" spans="1:11" s="2" customFormat="1" x14ac:dyDescent="0.25">
      <c r="A960" s="114" t="s">
        <v>13734</v>
      </c>
      <c r="B960" s="4" t="s">
        <v>13735</v>
      </c>
      <c r="C960" s="113" t="s">
        <v>15363</v>
      </c>
      <c r="D960" s="155" t="s">
        <v>10500</v>
      </c>
      <c r="E960" s="159">
        <v>497</v>
      </c>
      <c r="F960" s="157" t="s">
        <v>13736</v>
      </c>
      <c r="G960" s="155" t="s">
        <v>13735</v>
      </c>
      <c r="H960" s="113" t="s">
        <v>13694</v>
      </c>
      <c r="I960" s="4" t="s">
        <v>13735</v>
      </c>
      <c r="J960" s="155" t="s">
        <v>13736</v>
      </c>
      <c r="K960" s="2" t="s">
        <v>15454</v>
      </c>
    </row>
    <row r="961" spans="1:11" s="2" customFormat="1" x14ac:dyDescent="0.25">
      <c r="A961" s="114" t="s">
        <v>13737</v>
      </c>
      <c r="B961" s="4" t="s">
        <v>15307</v>
      </c>
      <c r="C961" s="113" t="s">
        <v>15363</v>
      </c>
      <c r="D961" s="155" t="s">
        <v>11101</v>
      </c>
      <c r="E961" s="159">
        <v>0</v>
      </c>
      <c r="F961" s="157" t="s">
        <v>13739</v>
      </c>
      <c r="G961" s="155" t="s">
        <v>15307</v>
      </c>
      <c r="H961" s="113" t="s">
        <v>13694</v>
      </c>
      <c r="I961" s="4" t="s">
        <v>15307</v>
      </c>
      <c r="J961" s="155" t="s">
        <v>13739</v>
      </c>
      <c r="K961" s="2" t="s">
        <v>13738</v>
      </c>
    </row>
    <row r="962" spans="1:11" s="2" customFormat="1" x14ac:dyDescent="0.25">
      <c r="A962" s="114" t="s">
        <v>13740</v>
      </c>
      <c r="B962" s="4" t="s">
        <v>13741</v>
      </c>
      <c r="C962" s="113" t="s">
        <v>15363</v>
      </c>
      <c r="D962" s="155" t="s">
        <v>13742</v>
      </c>
      <c r="E962" s="159">
        <v>160</v>
      </c>
      <c r="F962" s="157" t="s">
        <v>13743</v>
      </c>
      <c r="G962" s="155" t="s">
        <v>13741</v>
      </c>
      <c r="H962" s="113" t="s">
        <v>13694</v>
      </c>
      <c r="I962" s="4" t="s">
        <v>13741</v>
      </c>
      <c r="J962" s="155" t="s">
        <v>13743</v>
      </c>
      <c r="K962" s="2" t="s">
        <v>15454</v>
      </c>
    </row>
    <row r="963" spans="1:11" s="2" customFormat="1" x14ac:dyDescent="0.25">
      <c r="A963" s="114" t="s">
        <v>13744</v>
      </c>
      <c r="B963" s="4" t="s">
        <v>13745</v>
      </c>
      <c r="C963" s="113" t="s">
        <v>15363</v>
      </c>
      <c r="D963" s="155" t="s">
        <v>9797</v>
      </c>
      <c r="E963" s="159">
        <v>115</v>
      </c>
      <c r="F963" s="157" t="s">
        <v>13746</v>
      </c>
      <c r="G963" s="155" t="s">
        <v>13745</v>
      </c>
      <c r="H963" s="113" t="s">
        <v>13694</v>
      </c>
      <c r="I963" s="4" t="s">
        <v>13745</v>
      </c>
      <c r="J963" s="155" t="s">
        <v>13746</v>
      </c>
      <c r="K963" s="2" t="s">
        <v>15454</v>
      </c>
    </row>
    <row r="964" spans="1:11" s="2" customFormat="1" x14ac:dyDescent="0.25">
      <c r="A964" s="114" t="s">
        <v>13747</v>
      </c>
      <c r="B964" s="4" t="s">
        <v>13748</v>
      </c>
      <c r="C964" s="113" t="s">
        <v>15363</v>
      </c>
      <c r="D964" s="155" t="s">
        <v>13749</v>
      </c>
      <c r="E964" s="159">
        <v>0</v>
      </c>
      <c r="F964" s="157" t="s">
        <v>13750</v>
      </c>
      <c r="G964" s="155" t="s">
        <v>13748</v>
      </c>
      <c r="H964" s="113" t="s">
        <v>13694</v>
      </c>
      <c r="I964" s="4" t="s">
        <v>13748</v>
      </c>
      <c r="J964" s="155" t="s">
        <v>13750</v>
      </c>
      <c r="K964" s="2" t="s">
        <v>15454</v>
      </c>
    </row>
    <row r="965" spans="1:11" s="2" customFormat="1" x14ac:dyDescent="0.25">
      <c r="A965" s="114" t="s">
        <v>13751</v>
      </c>
      <c r="B965" s="4" t="s">
        <v>13752</v>
      </c>
      <c r="C965" s="113" t="s">
        <v>15363</v>
      </c>
      <c r="D965" s="155" t="s">
        <v>10500</v>
      </c>
      <c r="E965" s="159">
        <v>324</v>
      </c>
      <c r="F965" s="157" t="s">
        <v>13753</v>
      </c>
      <c r="G965" s="155" t="s">
        <v>13752</v>
      </c>
      <c r="H965" s="113" t="s">
        <v>13694</v>
      </c>
      <c r="I965" s="4" t="s">
        <v>13752</v>
      </c>
      <c r="J965" s="155" t="s">
        <v>13753</v>
      </c>
      <c r="K965" s="2" t="s">
        <v>13752</v>
      </c>
    </row>
    <row r="966" spans="1:11" s="2" customFormat="1" x14ac:dyDescent="0.25">
      <c r="A966" s="114" t="s">
        <v>13754</v>
      </c>
      <c r="B966" s="4" t="s">
        <v>13755</v>
      </c>
      <c r="C966" s="113" t="s">
        <v>15363</v>
      </c>
      <c r="D966" s="155" t="s">
        <v>10752</v>
      </c>
      <c r="E966" s="159">
        <v>602</v>
      </c>
      <c r="F966" s="157" t="s">
        <v>13756</v>
      </c>
      <c r="G966" s="155" t="s">
        <v>13755</v>
      </c>
      <c r="H966" s="113" t="s">
        <v>13694</v>
      </c>
      <c r="I966" s="4" t="s">
        <v>13755</v>
      </c>
      <c r="J966" s="155" t="s">
        <v>13756</v>
      </c>
      <c r="K966" s="2" t="s">
        <v>15459</v>
      </c>
    </row>
    <row r="967" spans="1:11" s="2" customFormat="1" x14ac:dyDescent="0.25">
      <c r="A967" s="114" t="s">
        <v>13757</v>
      </c>
      <c r="B967" s="4" t="s">
        <v>13758</v>
      </c>
      <c r="C967" s="113" t="s">
        <v>15363</v>
      </c>
      <c r="D967" s="155" t="s">
        <v>9861</v>
      </c>
      <c r="E967" s="159">
        <v>690</v>
      </c>
      <c r="F967" s="157" t="s">
        <v>13759</v>
      </c>
      <c r="G967" s="155" t="s">
        <v>13758</v>
      </c>
      <c r="H967" s="113" t="s">
        <v>13694</v>
      </c>
      <c r="I967" s="4" t="s">
        <v>13758</v>
      </c>
      <c r="J967" s="155" t="s">
        <v>13759</v>
      </c>
      <c r="K967" s="2" t="s">
        <v>15460</v>
      </c>
    </row>
    <row r="968" spans="1:11" s="2" customFormat="1" x14ac:dyDescent="0.25">
      <c r="A968" s="114" t="s">
        <v>13760</v>
      </c>
      <c r="B968" s="4" t="s">
        <v>13761</v>
      </c>
      <c r="C968" s="113" t="s">
        <v>15363</v>
      </c>
      <c r="D968" s="155" t="s">
        <v>13762</v>
      </c>
      <c r="E968" s="159">
        <v>0</v>
      </c>
      <c r="F968" s="157" t="s">
        <v>13763</v>
      </c>
      <c r="G968" s="155" t="s">
        <v>13761</v>
      </c>
      <c r="H968" s="113" t="s">
        <v>13694</v>
      </c>
      <c r="I968" s="4" t="s">
        <v>13761</v>
      </c>
      <c r="J968" s="155" t="s">
        <v>13763</v>
      </c>
      <c r="K968" s="2" t="s">
        <v>15461</v>
      </c>
    </row>
    <row r="969" spans="1:11" s="2" customFormat="1" x14ac:dyDescent="0.25">
      <c r="A969" s="114" t="s">
        <v>13764</v>
      </c>
      <c r="B969" s="4" t="s">
        <v>13765</v>
      </c>
      <c r="C969" s="113" t="s">
        <v>15363</v>
      </c>
      <c r="D969" s="155" t="s">
        <v>13766</v>
      </c>
      <c r="E969" s="159">
        <v>121</v>
      </c>
      <c r="F969" s="157" t="s">
        <v>13767</v>
      </c>
      <c r="G969" s="155" t="s">
        <v>13765</v>
      </c>
      <c r="H969" s="113" t="s">
        <v>13694</v>
      </c>
      <c r="I969" s="4" t="s">
        <v>13765</v>
      </c>
      <c r="J969" s="155" t="s">
        <v>13767</v>
      </c>
      <c r="K969" s="2" t="s">
        <v>15461</v>
      </c>
    </row>
    <row r="970" spans="1:11" s="2" customFormat="1" x14ac:dyDescent="0.25">
      <c r="A970" s="114" t="s">
        <v>13768</v>
      </c>
      <c r="B970" s="4" t="s">
        <v>13769</v>
      </c>
      <c r="C970" s="113" t="s">
        <v>15363</v>
      </c>
      <c r="D970" s="155" t="s">
        <v>10370</v>
      </c>
      <c r="E970" s="159">
        <v>90</v>
      </c>
      <c r="F970" s="157" t="s">
        <v>13770</v>
      </c>
      <c r="G970" s="155" t="s">
        <v>13769</v>
      </c>
      <c r="H970" s="113" t="s">
        <v>13694</v>
      </c>
      <c r="I970" s="4" t="s">
        <v>13769</v>
      </c>
      <c r="J970" s="155" t="s">
        <v>13770</v>
      </c>
      <c r="K970" s="2" t="s">
        <v>15462</v>
      </c>
    </row>
    <row r="971" spans="1:11" s="2" customFormat="1" x14ac:dyDescent="0.25">
      <c r="A971" s="114" t="s">
        <v>13771</v>
      </c>
      <c r="B971" s="4" t="s">
        <v>13772</v>
      </c>
      <c r="C971" s="113" t="s">
        <v>15364</v>
      </c>
      <c r="D971" s="155" t="s">
        <v>11663</v>
      </c>
      <c r="E971" s="159">
        <v>0</v>
      </c>
      <c r="F971" s="157" t="s">
        <v>13773</v>
      </c>
      <c r="G971" s="155" t="s">
        <v>13772</v>
      </c>
      <c r="H971" s="113" t="s">
        <v>13694</v>
      </c>
      <c r="I971" s="4" t="s">
        <v>13772</v>
      </c>
      <c r="J971" s="155" t="s">
        <v>13773</v>
      </c>
      <c r="K971" s="2" t="s">
        <v>15455</v>
      </c>
    </row>
    <row r="972" spans="1:11" s="2" customFormat="1" x14ac:dyDescent="0.25">
      <c r="A972" s="114" t="s">
        <v>13774</v>
      </c>
      <c r="B972" s="4" t="s">
        <v>13775</v>
      </c>
      <c r="C972" s="113" t="s">
        <v>15363</v>
      </c>
      <c r="D972" s="155" t="s">
        <v>13776</v>
      </c>
      <c r="E972" s="159">
        <v>0</v>
      </c>
      <c r="F972" s="157" t="s">
        <v>13777</v>
      </c>
      <c r="G972" s="155" t="s">
        <v>13775</v>
      </c>
      <c r="H972" s="113" t="s">
        <v>13694</v>
      </c>
      <c r="I972" s="4" t="s">
        <v>13775</v>
      </c>
      <c r="J972" s="155" t="s">
        <v>13777</v>
      </c>
      <c r="K972" s="2" t="s">
        <v>13738</v>
      </c>
    </row>
    <row r="973" spans="1:11" s="2" customFormat="1" x14ac:dyDescent="0.25">
      <c r="A973" s="114" t="s">
        <v>13778</v>
      </c>
      <c r="B973" s="4" t="s">
        <v>13779</v>
      </c>
      <c r="C973" s="113" t="s">
        <v>15363</v>
      </c>
      <c r="D973" s="155" t="s">
        <v>11929</v>
      </c>
      <c r="E973" s="159">
        <v>175</v>
      </c>
      <c r="F973" s="157" t="s">
        <v>13782</v>
      </c>
      <c r="G973" s="155" t="s">
        <v>13780</v>
      </c>
      <c r="H973" s="113" t="s">
        <v>13781</v>
      </c>
      <c r="I973" s="4" t="s">
        <v>13779</v>
      </c>
      <c r="J973" s="155" t="s">
        <v>13782</v>
      </c>
      <c r="K973" s="2" t="s">
        <v>15463</v>
      </c>
    </row>
    <row r="974" spans="1:11" s="2" customFormat="1" x14ac:dyDescent="0.25">
      <c r="A974" s="114" t="s">
        <v>13783</v>
      </c>
      <c r="B974" s="4" t="s">
        <v>13784</v>
      </c>
      <c r="C974" s="113" t="s">
        <v>15363</v>
      </c>
      <c r="D974" s="155" t="s">
        <v>13785</v>
      </c>
      <c r="E974" s="159">
        <v>1450</v>
      </c>
      <c r="F974" s="157" t="s">
        <v>13786</v>
      </c>
      <c r="G974" s="155" t="s">
        <v>13780</v>
      </c>
      <c r="H974" s="113" t="s">
        <v>13781</v>
      </c>
      <c r="I974" s="4" t="s">
        <v>13784</v>
      </c>
      <c r="J974" s="155" t="s">
        <v>13786</v>
      </c>
      <c r="K974" s="2" t="s">
        <v>15463</v>
      </c>
    </row>
    <row r="975" spans="1:11" s="2" customFormat="1" x14ac:dyDescent="0.25">
      <c r="A975" s="114" t="s">
        <v>13787</v>
      </c>
      <c r="B975" s="4" t="s">
        <v>13788</v>
      </c>
      <c r="C975" s="113" t="s">
        <v>15363</v>
      </c>
      <c r="D975" s="155" t="s">
        <v>10324</v>
      </c>
      <c r="E975" s="159">
        <v>100</v>
      </c>
      <c r="F975" s="157" t="s">
        <v>13789</v>
      </c>
      <c r="G975" s="155" t="s">
        <v>13788</v>
      </c>
      <c r="H975" s="113" t="s">
        <v>13781</v>
      </c>
      <c r="I975" s="4" t="s">
        <v>13788</v>
      </c>
      <c r="J975" s="155" t="s">
        <v>13789</v>
      </c>
      <c r="K975" s="2" t="s">
        <v>13802</v>
      </c>
    </row>
    <row r="976" spans="1:11" s="2" customFormat="1" x14ac:dyDescent="0.25">
      <c r="A976" s="114" t="s">
        <v>13790</v>
      </c>
      <c r="B976" s="4" t="s">
        <v>13791</v>
      </c>
      <c r="C976" s="113" t="s">
        <v>15363</v>
      </c>
      <c r="D976" s="155" t="s">
        <v>10104</v>
      </c>
      <c r="E976" s="159">
        <v>100</v>
      </c>
      <c r="F976" s="157" t="s">
        <v>13793</v>
      </c>
      <c r="G976" s="155" t="s">
        <v>13792</v>
      </c>
      <c r="H976" s="113" t="s">
        <v>13781</v>
      </c>
      <c r="I976" s="4" t="s">
        <v>13791</v>
      </c>
      <c r="J976" s="155" t="s">
        <v>13793</v>
      </c>
      <c r="K976" s="2" t="s">
        <v>9887</v>
      </c>
    </row>
    <row r="977" spans="1:11" s="2" customFormat="1" x14ac:dyDescent="0.25">
      <c r="A977" s="114" t="s">
        <v>13794</v>
      </c>
      <c r="B977" s="4" t="s">
        <v>13795</v>
      </c>
      <c r="C977" s="113" t="s">
        <v>15363</v>
      </c>
      <c r="D977" s="155" t="s">
        <v>10317</v>
      </c>
      <c r="E977" s="159">
        <v>900</v>
      </c>
      <c r="F977" s="157" t="s">
        <v>13796</v>
      </c>
      <c r="G977" s="155" t="s">
        <v>13795</v>
      </c>
      <c r="H977" s="113" t="s">
        <v>13781</v>
      </c>
      <c r="I977" s="4" t="s">
        <v>13795</v>
      </c>
      <c r="J977" s="155" t="s">
        <v>13796</v>
      </c>
      <c r="K977" s="2" t="s">
        <v>9887</v>
      </c>
    </row>
    <row r="978" spans="1:11" s="2" customFormat="1" x14ac:dyDescent="0.25">
      <c r="A978" s="114" t="s">
        <v>13797</v>
      </c>
      <c r="B978" s="4" t="s">
        <v>15308</v>
      </c>
      <c r="C978" s="113" t="s">
        <v>15363</v>
      </c>
      <c r="D978" s="155" t="s">
        <v>13799</v>
      </c>
      <c r="E978" s="159"/>
      <c r="F978" s="157" t="s">
        <v>13800</v>
      </c>
      <c r="G978" s="155" t="s">
        <v>15308</v>
      </c>
      <c r="H978" s="113" t="s">
        <v>13781</v>
      </c>
      <c r="I978" s="4" t="s">
        <v>15308</v>
      </c>
      <c r="J978" s="155" t="s">
        <v>13800</v>
      </c>
      <c r="K978" s="2" t="s">
        <v>13798</v>
      </c>
    </row>
    <row r="979" spans="1:11" s="2" customFormat="1" x14ac:dyDescent="0.25">
      <c r="A979" s="114" t="s">
        <v>13801</v>
      </c>
      <c r="B979" s="4" t="s">
        <v>13802</v>
      </c>
      <c r="C979" s="113" t="s">
        <v>15363</v>
      </c>
      <c r="D979" s="155" t="s">
        <v>13803</v>
      </c>
      <c r="E979" s="159"/>
      <c r="F979" s="157" t="s">
        <v>13804</v>
      </c>
      <c r="G979" s="155" t="s">
        <v>13802</v>
      </c>
      <c r="H979" s="113" t="s">
        <v>13781</v>
      </c>
      <c r="I979" s="4" t="s">
        <v>13802</v>
      </c>
      <c r="J979" s="155" t="s">
        <v>13804</v>
      </c>
      <c r="K979" s="2" t="s">
        <v>13802</v>
      </c>
    </row>
    <row r="980" spans="1:11" s="2" customFormat="1" x14ac:dyDescent="0.25">
      <c r="A980" s="114" t="s">
        <v>13805</v>
      </c>
      <c r="B980" s="4" t="s">
        <v>13806</v>
      </c>
      <c r="C980" s="113" t="s">
        <v>15363</v>
      </c>
      <c r="D980" s="155" t="s">
        <v>10500</v>
      </c>
      <c r="E980" s="159">
        <v>2860</v>
      </c>
      <c r="F980" s="157" t="s">
        <v>13807</v>
      </c>
      <c r="G980" s="155" t="s">
        <v>13806</v>
      </c>
      <c r="H980" s="113" t="s">
        <v>13781</v>
      </c>
      <c r="I980" s="4" t="s">
        <v>13806</v>
      </c>
      <c r="J980" s="155" t="s">
        <v>13807</v>
      </c>
      <c r="K980" s="2" t="s">
        <v>15463</v>
      </c>
    </row>
    <row r="981" spans="1:11" s="2" customFormat="1" x14ac:dyDescent="0.25">
      <c r="A981" s="114" t="s">
        <v>13808</v>
      </c>
      <c r="B981" s="4" t="s">
        <v>13809</v>
      </c>
      <c r="C981" s="113" t="s">
        <v>15363</v>
      </c>
      <c r="D981" s="155" t="s">
        <v>13810</v>
      </c>
      <c r="E981" s="159">
        <v>168</v>
      </c>
      <c r="F981" s="157" t="s">
        <v>13811</v>
      </c>
      <c r="G981" s="155" t="s">
        <v>13809</v>
      </c>
      <c r="H981" s="113" t="s">
        <v>13781</v>
      </c>
      <c r="I981" s="4" t="s">
        <v>13809</v>
      </c>
      <c r="J981" s="155" t="s">
        <v>13811</v>
      </c>
      <c r="K981" s="2" t="s">
        <v>12375</v>
      </c>
    </row>
    <row r="982" spans="1:11" s="2" customFormat="1" x14ac:dyDescent="0.25">
      <c r="A982" s="114" t="s">
        <v>13812</v>
      </c>
      <c r="B982" s="4" t="s">
        <v>13813</v>
      </c>
      <c r="C982" s="113" t="s">
        <v>15363</v>
      </c>
      <c r="D982" s="155" t="s">
        <v>13814</v>
      </c>
      <c r="E982" s="159">
        <v>201</v>
      </c>
      <c r="F982" s="157" t="s">
        <v>13815</v>
      </c>
      <c r="G982" s="155" t="s">
        <v>13813</v>
      </c>
      <c r="H982" s="113" t="s">
        <v>13781</v>
      </c>
      <c r="I982" s="4" t="s">
        <v>13813</v>
      </c>
      <c r="J982" s="155" t="s">
        <v>13815</v>
      </c>
      <c r="K982" s="2" t="s">
        <v>12375</v>
      </c>
    </row>
    <row r="983" spans="1:11" s="2" customFormat="1" x14ac:dyDescent="0.25">
      <c r="A983" s="114" t="s">
        <v>13816</v>
      </c>
      <c r="B983" s="4" t="s">
        <v>13817</v>
      </c>
      <c r="C983" s="113" t="s">
        <v>15363</v>
      </c>
      <c r="D983" s="155" t="s">
        <v>13818</v>
      </c>
      <c r="E983" s="159">
        <v>240</v>
      </c>
      <c r="F983" s="157" t="s">
        <v>13819</v>
      </c>
      <c r="G983" s="155" t="s">
        <v>13817</v>
      </c>
      <c r="H983" s="113" t="s">
        <v>13781</v>
      </c>
      <c r="I983" s="4" t="s">
        <v>13817</v>
      </c>
      <c r="J983" s="155" t="s">
        <v>13819</v>
      </c>
      <c r="K983" s="2" t="s">
        <v>12375</v>
      </c>
    </row>
    <row r="984" spans="1:11" s="2" customFormat="1" x14ac:dyDescent="0.25">
      <c r="A984" s="114" t="s">
        <v>13820</v>
      </c>
      <c r="B984" s="4" t="s">
        <v>13821</v>
      </c>
      <c r="C984" s="113" t="s">
        <v>15363</v>
      </c>
      <c r="D984" s="155" t="s">
        <v>10500</v>
      </c>
      <c r="E984" s="159">
        <v>225</v>
      </c>
      <c r="F984" s="157" t="s">
        <v>13822</v>
      </c>
      <c r="G984" s="155" t="s">
        <v>13821</v>
      </c>
      <c r="H984" s="113" t="s">
        <v>13781</v>
      </c>
      <c r="I984" s="4" t="s">
        <v>13821</v>
      </c>
      <c r="J984" s="155" t="s">
        <v>13822</v>
      </c>
      <c r="K984" s="2" t="s">
        <v>12375</v>
      </c>
    </row>
    <row r="985" spans="1:11" s="2" customFormat="1" x14ac:dyDescent="0.25">
      <c r="A985" s="114" t="s">
        <v>13823</v>
      </c>
      <c r="B985" s="4" t="s">
        <v>13824</v>
      </c>
      <c r="C985" s="113" t="s">
        <v>15363</v>
      </c>
      <c r="D985" s="155" t="s">
        <v>10043</v>
      </c>
      <c r="E985" s="159">
        <v>141</v>
      </c>
      <c r="F985" s="157" t="s">
        <v>13825</v>
      </c>
      <c r="G985" s="155" t="s">
        <v>13824</v>
      </c>
      <c r="H985" s="113" t="s">
        <v>13781</v>
      </c>
      <c r="I985" s="4" t="s">
        <v>13824</v>
      </c>
      <c r="J985" s="155" t="s">
        <v>13825</v>
      </c>
      <c r="K985" s="2" t="s">
        <v>9912</v>
      </c>
    </row>
    <row r="986" spans="1:11" s="2" customFormat="1" x14ac:dyDescent="0.25">
      <c r="A986" s="114" t="s">
        <v>13826</v>
      </c>
      <c r="B986" s="4" t="s">
        <v>13827</v>
      </c>
      <c r="C986" s="113" t="s">
        <v>15363</v>
      </c>
      <c r="D986" s="155" t="s">
        <v>13828</v>
      </c>
      <c r="E986" s="159">
        <v>22</v>
      </c>
      <c r="F986" s="157" t="s">
        <v>13829</v>
      </c>
      <c r="G986" s="155" t="s">
        <v>13827</v>
      </c>
      <c r="H986" s="113" t="s">
        <v>13781</v>
      </c>
      <c r="I986" s="4" t="s">
        <v>13827</v>
      </c>
      <c r="J986" s="155" t="s">
        <v>13829</v>
      </c>
      <c r="K986" s="2" t="s">
        <v>12375</v>
      </c>
    </row>
    <row r="987" spans="1:11" s="2" customFormat="1" x14ac:dyDescent="0.25">
      <c r="A987" s="114" t="s">
        <v>13830</v>
      </c>
      <c r="B987" s="4" t="s">
        <v>13831</v>
      </c>
      <c r="C987" s="113" t="s">
        <v>15363</v>
      </c>
      <c r="D987" s="155" t="s">
        <v>15371</v>
      </c>
      <c r="E987" s="159">
        <v>5</v>
      </c>
      <c r="F987" s="157" t="s">
        <v>13832</v>
      </c>
      <c r="G987" s="155" t="s">
        <v>13831</v>
      </c>
      <c r="H987" s="113" t="s">
        <v>13781</v>
      </c>
      <c r="I987" s="4" t="s">
        <v>13831</v>
      </c>
      <c r="J987" s="155" t="s">
        <v>13832</v>
      </c>
      <c r="K987" s="2" t="s">
        <v>12375</v>
      </c>
    </row>
    <row r="988" spans="1:11" s="2" customFormat="1" x14ac:dyDescent="0.25">
      <c r="A988" s="114" t="s">
        <v>13833</v>
      </c>
      <c r="B988" s="4" t="s">
        <v>13834</v>
      </c>
      <c r="C988" s="113" t="s">
        <v>15363</v>
      </c>
      <c r="D988" s="155" t="s">
        <v>13781</v>
      </c>
      <c r="E988" s="159">
        <v>50</v>
      </c>
      <c r="F988" s="157" t="s">
        <v>13835</v>
      </c>
      <c r="G988" s="155" t="s">
        <v>13834</v>
      </c>
      <c r="H988" s="113" t="s">
        <v>13781</v>
      </c>
      <c r="I988" s="4" t="s">
        <v>13834</v>
      </c>
      <c r="J988" s="155" t="s">
        <v>13835</v>
      </c>
      <c r="K988" s="2" t="s">
        <v>12375</v>
      </c>
    </row>
    <row r="989" spans="1:11" s="2" customFormat="1" x14ac:dyDescent="0.25">
      <c r="A989" s="114" t="s">
        <v>13836</v>
      </c>
      <c r="B989" s="4" t="s">
        <v>13837</v>
      </c>
      <c r="C989" s="113" t="s">
        <v>15363</v>
      </c>
      <c r="D989" s="155" t="s">
        <v>10244</v>
      </c>
      <c r="E989" s="159">
        <v>180</v>
      </c>
      <c r="F989" s="157" t="s">
        <v>13839</v>
      </c>
      <c r="G989" s="155" t="s">
        <v>13838</v>
      </c>
      <c r="H989" s="113" t="s">
        <v>13781</v>
      </c>
      <c r="I989" s="4" t="s">
        <v>13837</v>
      </c>
      <c r="J989" s="155" t="s">
        <v>13839</v>
      </c>
      <c r="K989" s="2" t="s">
        <v>12375</v>
      </c>
    </row>
    <row r="990" spans="1:11" s="2" customFormat="1" x14ac:dyDescent="0.25">
      <c r="A990" s="114" t="s">
        <v>13840</v>
      </c>
      <c r="B990" s="4" t="s">
        <v>13841</v>
      </c>
      <c r="C990" s="113" t="s">
        <v>15363</v>
      </c>
      <c r="D990" s="155" t="s">
        <v>12998</v>
      </c>
      <c r="E990" s="159">
        <v>400</v>
      </c>
      <c r="F990" s="157" t="s">
        <v>13843</v>
      </c>
      <c r="G990" s="155" t="s">
        <v>13842</v>
      </c>
      <c r="H990" s="113" t="s">
        <v>13781</v>
      </c>
      <c r="I990" s="4" t="s">
        <v>13841</v>
      </c>
      <c r="J990" s="155" t="s">
        <v>13843</v>
      </c>
      <c r="K990" s="2" t="s">
        <v>12375</v>
      </c>
    </row>
    <row r="991" spans="1:11" s="2" customFormat="1" x14ac:dyDescent="0.25">
      <c r="A991" s="114" t="s">
        <v>13844</v>
      </c>
      <c r="B991" s="4" t="s">
        <v>13845</v>
      </c>
      <c r="C991" s="113" t="s">
        <v>15363</v>
      </c>
      <c r="D991" s="155" t="s">
        <v>10599</v>
      </c>
      <c r="E991" s="159">
        <v>1462</v>
      </c>
      <c r="F991" s="157" t="s">
        <v>13846</v>
      </c>
      <c r="G991" s="155" t="s">
        <v>12375</v>
      </c>
      <c r="H991" s="113" t="s">
        <v>13781</v>
      </c>
      <c r="I991" s="4" t="s">
        <v>13845</v>
      </c>
      <c r="J991" s="155" t="s">
        <v>13846</v>
      </c>
      <c r="K991" s="2" t="s">
        <v>12375</v>
      </c>
    </row>
    <row r="992" spans="1:11" s="2" customFormat="1" x14ac:dyDescent="0.25">
      <c r="A992" s="114" t="s">
        <v>13847</v>
      </c>
      <c r="B992" s="4" t="s">
        <v>13848</v>
      </c>
      <c r="C992" s="113" t="s">
        <v>15363</v>
      </c>
      <c r="D992" s="155" t="s">
        <v>11037</v>
      </c>
      <c r="E992" s="159">
        <v>970</v>
      </c>
      <c r="F992" s="157" t="s">
        <v>13850</v>
      </c>
      <c r="G992" s="155" t="s">
        <v>13849</v>
      </c>
      <c r="H992" s="113" t="s">
        <v>13781</v>
      </c>
      <c r="I992" s="4" t="s">
        <v>13848</v>
      </c>
      <c r="J992" s="155" t="s">
        <v>13850</v>
      </c>
      <c r="K992" s="2" t="s">
        <v>12375</v>
      </c>
    </row>
    <row r="993" spans="1:11" s="2" customFormat="1" x14ac:dyDescent="0.25">
      <c r="A993" s="114" t="s">
        <v>13851</v>
      </c>
      <c r="B993" s="4" t="s">
        <v>13852</v>
      </c>
      <c r="C993" s="113" t="s">
        <v>15363</v>
      </c>
      <c r="D993" s="155" t="s">
        <v>13853</v>
      </c>
      <c r="E993" s="159">
        <v>580</v>
      </c>
      <c r="F993" s="157" t="s">
        <v>13854</v>
      </c>
      <c r="G993" s="155" t="s">
        <v>13852</v>
      </c>
      <c r="H993" s="113" t="s">
        <v>13781</v>
      </c>
      <c r="I993" s="4" t="s">
        <v>13852</v>
      </c>
      <c r="J993" s="155" t="s">
        <v>13854</v>
      </c>
      <c r="K993" s="2" t="s">
        <v>12375</v>
      </c>
    </row>
    <row r="994" spans="1:11" s="2" customFormat="1" x14ac:dyDescent="0.25">
      <c r="A994" s="114" t="s">
        <v>13855</v>
      </c>
      <c r="B994" s="4" t="s">
        <v>13856</v>
      </c>
      <c r="C994" s="113" t="s">
        <v>15363</v>
      </c>
      <c r="D994" s="155" t="s">
        <v>10317</v>
      </c>
      <c r="E994" s="159">
        <v>98</v>
      </c>
      <c r="F994" s="157" t="s">
        <v>13857</v>
      </c>
      <c r="G994" s="155" t="s">
        <v>13856</v>
      </c>
      <c r="H994" s="113" t="s">
        <v>13781</v>
      </c>
      <c r="I994" s="4" t="s">
        <v>13856</v>
      </c>
      <c r="J994" s="155" t="s">
        <v>13857</v>
      </c>
      <c r="K994" s="2" t="s">
        <v>12375</v>
      </c>
    </row>
    <row r="995" spans="1:11" s="2" customFormat="1" x14ac:dyDescent="0.25">
      <c r="A995" s="114" t="s">
        <v>13858</v>
      </c>
      <c r="B995" s="4" t="s">
        <v>13859</v>
      </c>
      <c r="C995" s="113" t="s">
        <v>15363</v>
      </c>
      <c r="D995" s="155" t="s">
        <v>11438</v>
      </c>
      <c r="E995" s="159">
        <v>446</v>
      </c>
      <c r="F995" s="157" t="s">
        <v>13860</v>
      </c>
      <c r="G995" s="155" t="s">
        <v>13859</v>
      </c>
      <c r="H995" s="113" t="s">
        <v>13781</v>
      </c>
      <c r="I995" s="4" t="s">
        <v>13859</v>
      </c>
      <c r="J995" s="155" t="s">
        <v>13860</v>
      </c>
      <c r="K995" s="2" t="s">
        <v>12375</v>
      </c>
    </row>
    <row r="996" spans="1:11" s="2" customFormat="1" x14ac:dyDescent="0.25">
      <c r="A996" s="114" t="s">
        <v>13861</v>
      </c>
      <c r="B996" s="4" t="s">
        <v>13862</v>
      </c>
      <c r="C996" s="113" t="s">
        <v>15363</v>
      </c>
      <c r="D996" s="155" t="s">
        <v>10467</v>
      </c>
      <c r="E996" s="159">
        <v>151</v>
      </c>
      <c r="F996" s="157" t="s">
        <v>13863</v>
      </c>
      <c r="G996" s="155" t="s">
        <v>13862</v>
      </c>
      <c r="H996" s="113" t="s">
        <v>13781</v>
      </c>
      <c r="I996" s="4" t="s">
        <v>13862</v>
      </c>
      <c r="J996" s="155" t="s">
        <v>13863</v>
      </c>
      <c r="K996" s="2" t="s">
        <v>15394</v>
      </c>
    </row>
    <row r="997" spans="1:11" s="2" customFormat="1" x14ac:dyDescent="0.25">
      <c r="A997" s="114" t="s">
        <v>13864</v>
      </c>
      <c r="B997" s="4" t="s">
        <v>13865</v>
      </c>
      <c r="C997" s="113" t="s">
        <v>15363</v>
      </c>
      <c r="D997" s="155" t="s">
        <v>9819</v>
      </c>
      <c r="E997" s="159">
        <v>1298</v>
      </c>
      <c r="F997" s="157" t="s">
        <v>13866</v>
      </c>
      <c r="G997" s="155" t="s">
        <v>13865</v>
      </c>
      <c r="H997" s="113" t="s">
        <v>13781</v>
      </c>
      <c r="I997" s="4" t="s">
        <v>13865</v>
      </c>
      <c r="J997" s="155" t="s">
        <v>13866</v>
      </c>
      <c r="K997" s="2" t="s">
        <v>9912</v>
      </c>
    </row>
    <row r="998" spans="1:11" s="2" customFormat="1" x14ac:dyDescent="0.25">
      <c r="A998" s="114" t="s">
        <v>13867</v>
      </c>
      <c r="B998" s="4" t="s">
        <v>13868</v>
      </c>
      <c r="C998" s="113" t="s">
        <v>15363</v>
      </c>
      <c r="D998" s="155" t="s">
        <v>9764</v>
      </c>
      <c r="E998" s="159">
        <v>100</v>
      </c>
      <c r="F998" s="157" t="s">
        <v>13869</v>
      </c>
      <c r="G998" s="155" t="s">
        <v>13868</v>
      </c>
      <c r="H998" s="113" t="s">
        <v>13781</v>
      </c>
      <c r="I998" s="4" t="s">
        <v>13868</v>
      </c>
      <c r="J998" s="155" t="s">
        <v>13869</v>
      </c>
      <c r="K998" s="2" t="s">
        <v>9912</v>
      </c>
    </row>
    <row r="999" spans="1:11" s="2" customFormat="1" x14ac:dyDescent="0.25">
      <c r="A999" s="114" t="s">
        <v>13870</v>
      </c>
      <c r="B999" s="4" t="s">
        <v>13871</v>
      </c>
      <c r="C999" s="113" t="s">
        <v>15363</v>
      </c>
      <c r="D999" s="155" t="s">
        <v>13872</v>
      </c>
      <c r="E999" s="159">
        <v>100</v>
      </c>
      <c r="F999" s="157" t="s">
        <v>13873</v>
      </c>
      <c r="G999" s="155" t="s">
        <v>13871</v>
      </c>
      <c r="H999" s="113" t="s">
        <v>13781</v>
      </c>
      <c r="I999" s="4" t="s">
        <v>13871</v>
      </c>
      <c r="J999" s="155" t="s">
        <v>13873</v>
      </c>
      <c r="K999" s="2" t="s">
        <v>9912</v>
      </c>
    </row>
    <row r="1000" spans="1:11" s="2" customFormat="1" x14ac:dyDescent="0.25">
      <c r="A1000" s="114" t="s">
        <v>13874</v>
      </c>
      <c r="B1000" s="4" t="s">
        <v>13875</v>
      </c>
      <c r="C1000" s="113" t="s">
        <v>15363</v>
      </c>
      <c r="D1000" s="158" t="s">
        <v>9767</v>
      </c>
      <c r="E1000" s="159">
        <v>687</v>
      </c>
      <c r="F1000" s="157" t="s">
        <v>13876</v>
      </c>
      <c r="G1000" s="155" t="s">
        <v>13875</v>
      </c>
      <c r="H1000" s="113" t="s">
        <v>13781</v>
      </c>
      <c r="I1000" s="4" t="s">
        <v>13875</v>
      </c>
      <c r="J1000" s="155" t="s">
        <v>13876</v>
      </c>
      <c r="K1000" s="2" t="s">
        <v>9887</v>
      </c>
    </row>
    <row r="1001" spans="1:11" s="2" customFormat="1" x14ac:dyDescent="0.25">
      <c r="A1001" s="114" t="s">
        <v>13877</v>
      </c>
      <c r="B1001" s="4" t="s">
        <v>13878</v>
      </c>
      <c r="C1001" s="113" t="s">
        <v>15363</v>
      </c>
      <c r="D1001" s="155" t="s">
        <v>10900</v>
      </c>
      <c r="E1001" s="159">
        <v>305</v>
      </c>
      <c r="F1001" s="157" t="s">
        <v>13879</v>
      </c>
      <c r="G1001" s="155" t="s">
        <v>13878</v>
      </c>
      <c r="H1001" s="113" t="s">
        <v>13781</v>
      </c>
      <c r="I1001" s="4" t="s">
        <v>13878</v>
      </c>
      <c r="J1001" s="155" t="s">
        <v>13879</v>
      </c>
      <c r="K1001" s="2" t="s">
        <v>15464</v>
      </c>
    </row>
    <row r="1002" spans="1:11" s="2" customFormat="1" x14ac:dyDescent="0.25">
      <c r="A1002" s="114" t="s">
        <v>13880</v>
      </c>
      <c r="B1002" s="4" t="s">
        <v>10234</v>
      </c>
      <c r="C1002" s="113" t="s">
        <v>15363</v>
      </c>
      <c r="D1002" s="155" t="s">
        <v>10181</v>
      </c>
      <c r="E1002" s="159">
        <v>377</v>
      </c>
      <c r="F1002" s="157" t="s">
        <v>13881</v>
      </c>
      <c r="G1002" s="155" t="s">
        <v>10236</v>
      </c>
      <c r="H1002" s="113" t="s">
        <v>13781</v>
      </c>
      <c r="I1002" s="4" t="s">
        <v>10234</v>
      </c>
      <c r="J1002" s="155" t="s">
        <v>13881</v>
      </c>
      <c r="K1002" s="2" t="s">
        <v>10652</v>
      </c>
    </row>
    <row r="1003" spans="1:11" s="2" customFormat="1" x14ac:dyDescent="0.25">
      <c r="A1003" s="114" t="s">
        <v>13882</v>
      </c>
      <c r="B1003" s="4" t="s">
        <v>13883</v>
      </c>
      <c r="C1003" s="113" t="s">
        <v>15363</v>
      </c>
      <c r="D1003" s="155" t="s">
        <v>10114</v>
      </c>
      <c r="E1003" s="159">
        <v>495</v>
      </c>
      <c r="F1003" s="157" t="s">
        <v>13884</v>
      </c>
      <c r="G1003" s="155" t="s">
        <v>13883</v>
      </c>
      <c r="H1003" s="113" t="s">
        <v>13781</v>
      </c>
      <c r="I1003" s="4" t="s">
        <v>13883</v>
      </c>
      <c r="J1003" s="155" t="s">
        <v>13884</v>
      </c>
      <c r="K1003" s="2" t="s">
        <v>15465</v>
      </c>
    </row>
    <row r="1004" spans="1:11" s="2" customFormat="1" x14ac:dyDescent="0.25">
      <c r="A1004" s="114" t="s">
        <v>13885</v>
      </c>
      <c r="B1004" s="4" t="s">
        <v>13886</v>
      </c>
      <c r="C1004" s="113" t="s">
        <v>15363</v>
      </c>
      <c r="D1004" s="155" t="s">
        <v>10014</v>
      </c>
      <c r="E1004" s="159">
        <v>189</v>
      </c>
      <c r="F1004" s="157" t="s">
        <v>13887</v>
      </c>
      <c r="G1004" s="155" t="s">
        <v>13886</v>
      </c>
      <c r="H1004" s="113" t="s">
        <v>13781</v>
      </c>
      <c r="I1004" s="4" t="s">
        <v>13886</v>
      </c>
      <c r="J1004" s="155" t="s">
        <v>13887</v>
      </c>
      <c r="K1004" s="2" t="s">
        <v>15464</v>
      </c>
    </row>
    <row r="1005" spans="1:11" s="2" customFormat="1" x14ac:dyDescent="0.25">
      <c r="A1005" s="114" t="s">
        <v>13888</v>
      </c>
      <c r="B1005" s="4" t="s">
        <v>13889</v>
      </c>
      <c r="C1005" s="113" t="s">
        <v>15363</v>
      </c>
      <c r="D1005" s="155" t="s">
        <v>13890</v>
      </c>
      <c r="E1005" s="159">
        <v>622</v>
      </c>
      <c r="F1005" s="157" t="s">
        <v>13891</v>
      </c>
      <c r="G1005" s="155" t="s">
        <v>13889</v>
      </c>
      <c r="H1005" s="113" t="s">
        <v>13781</v>
      </c>
      <c r="I1005" s="4" t="s">
        <v>13889</v>
      </c>
      <c r="J1005" s="155" t="s">
        <v>13891</v>
      </c>
      <c r="K1005" s="2" t="s">
        <v>13889</v>
      </c>
    </row>
    <row r="1006" spans="1:11" s="2" customFormat="1" x14ac:dyDescent="0.25">
      <c r="A1006" s="114" t="s">
        <v>13892</v>
      </c>
      <c r="B1006" s="4" t="s">
        <v>13893</v>
      </c>
      <c r="C1006" s="113" t="s">
        <v>15364</v>
      </c>
      <c r="D1006" s="155" t="s">
        <v>13894</v>
      </c>
      <c r="E1006" s="159"/>
      <c r="F1006" s="157" t="s">
        <v>13895</v>
      </c>
      <c r="G1006" s="155" t="s">
        <v>13893</v>
      </c>
      <c r="H1006" s="113" t="s">
        <v>13781</v>
      </c>
      <c r="I1006" s="4" t="s">
        <v>13893</v>
      </c>
      <c r="J1006" s="155" t="s">
        <v>13895</v>
      </c>
      <c r="K1006" s="2" t="s">
        <v>15466</v>
      </c>
    </row>
    <row r="1007" spans="1:11" s="2" customFormat="1" x14ac:dyDescent="0.25">
      <c r="A1007" s="114" t="s">
        <v>13896</v>
      </c>
      <c r="B1007" s="4" t="s">
        <v>13897</v>
      </c>
      <c r="C1007" s="113" t="s">
        <v>15364</v>
      </c>
      <c r="D1007" s="155" t="s">
        <v>10500</v>
      </c>
      <c r="E1007" s="159">
        <v>0</v>
      </c>
      <c r="F1007" s="157" t="s">
        <v>13899</v>
      </c>
      <c r="G1007" s="155" t="s">
        <v>13898</v>
      </c>
      <c r="H1007" s="113" t="s">
        <v>13781</v>
      </c>
      <c r="I1007" s="4" t="s">
        <v>13897</v>
      </c>
      <c r="J1007" s="155" t="s">
        <v>13899</v>
      </c>
      <c r="K1007" s="2" t="s">
        <v>9810</v>
      </c>
    </row>
    <row r="1008" spans="1:11" s="2" customFormat="1" x14ac:dyDescent="0.25">
      <c r="A1008" s="114" t="s">
        <v>13900</v>
      </c>
      <c r="B1008" s="4" t="s">
        <v>13901</v>
      </c>
      <c r="C1008" s="113" t="s">
        <v>15364</v>
      </c>
      <c r="D1008" s="155" t="s">
        <v>10500</v>
      </c>
      <c r="E1008" s="159">
        <v>0</v>
      </c>
      <c r="F1008" s="157" t="s">
        <v>13902</v>
      </c>
      <c r="G1008" s="155" t="s">
        <v>13901</v>
      </c>
      <c r="H1008" s="113" t="s">
        <v>13781</v>
      </c>
      <c r="I1008" s="4" t="s">
        <v>13901</v>
      </c>
      <c r="J1008" s="155" t="s">
        <v>13902</v>
      </c>
      <c r="K1008" s="2" t="s">
        <v>9810</v>
      </c>
    </row>
    <row r="1009" spans="1:26" s="2" customFormat="1" x14ac:dyDescent="0.25">
      <c r="A1009" s="114" t="s">
        <v>13903</v>
      </c>
      <c r="B1009" s="4" t="s">
        <v>13904</v>
      </c>
      <c r="C1009" s="113" t="s">
        <v>15363</v>
      </c>
      <c r="D1009" s="155" t="s">
        <v>13806</v>
      </c>
      <c r="E1009" s="159">
        <v>500</v>
      </c>
      <c r="F1009" s="157" t="s">
        <v>13906</v>
      </c>
      <c r="G1009" s="155" t="s">
        <v>13905</v>
      </c>
      <c r="H1009" s="113" t="s">
        <v>13781</v>
      </c>
      <c r="I1009" s="4" t="s">
        <v>13904</v>
      </c>
      <c r="J1009" s="155" t="s">
        <v>13906</v>
      </c>
      <c r="K1009" s="2" t="s">
        <v>15464</v>
      </c>
    </row>
    <row r="1010" spans="1:26" s="2" customFormat="1" x14ac:dyDescent="0.25">
      <c r="A1010" s="114" t="s">
        <v>13907</v>
      </c>
      <c r="B1010" s="4" t="s">
        <v>13908</v>
      </c>
      <c r="C1010" s="113" t="s">
        <v>15364</v>
      </c>
      <c r="D1010" s="155" t="s">
        <v>13909</v>
      </c>
      <c r="E1010" s="159">
        <v>605</v>
      </c>
      <c r="F1010" s="157" t="s">
        <v>13911</v>
      </c>
      <c r="G1010" s="155" t="s">
        <v>13910</v>
      </c>
      <c r="H1010" s="113" t="s">
        <v>13781</v>
      </c>
      <c r="I1010" s="4" t="s">
        <v>13908</v>
      </c>
      <c r="J1010" s="155" t="s">
        <v>13911</v>
      </c>
      <c r="K1010" s="2" t="s">
        <v>9912</v>
      </c>
    </row>
    <row r="1011" spans="1:26" s="2" customFormat="1" x14ac:dyDescent="0.25">
      <c r="A1011" s="114" t="s">
        <v>13912</v>
      </c>
      <c r="B1011" s="4" t="s">
        <v>13913</v>
      </c>
      <c r="C1011" s="113" t="s">
        <v>15364</v>
      </c>
      <c r="D1011" s="155" t="s">
        <v>13914</v>
      </c>
      <c r="E1011" s="159">
        <v>764</v>
      </c>
      <c r="F1011" s="157" t="s">
        <v>13915</v>
      </c>
      <c r="G1011" s="155" t="s">
        <v>13913</v>
      </c>
      <c r="H1011" s="113" t="s">
        <v>13781</v>
      </c>
      <c r="I1011" s="4" t="s">
        <v>13913</v>
      </c>
      <c r="J1011" s="155" t="s">
        <v>13915</v>
      </c>
      <c r="K1011" s="2" t="s">
        <v>15394</v>
      </c>
    </row>
    <row r="1012" spans="1:26" s="2" customFormat="1" x14ac:dyDescent="0.25">
      <c r="A1012" s="114" t="s">
        <v>13916</v>
      </c>
      <c r="B1012" s="4" t="s">
        <v>13917</v>
      </c>
      <c r="C1012" s="113" t="s">
        <v>15363</v>
      </c>
      <c r="D1012" s="155" t="s">
        <v>15366</v>
      </c>
      <c r="E1012" s="159">
        <v>134</v>
      </c>
      <c r="F1012" s="157" t="s">
        <v>13918</v>
      </c>
      <c r="G1012" s="155" t="s">
        <v>13831</v>
      </c>
      <c r="H1012" s="113" t="s">
        <v>13781</v>
      </c>
      <c r="I1012" s="4" t="s">
        <v>13917</v>
      </c>
      <c r="J1012" s="155" t="s">
        <v>13918</v>
      </c>
      <c r="K1012" s="2" t="s">
        <v>12375</v>
      </c>
    </row>
    <row r="1013" spans="1:26" s="2" customFormat="1" x14ac:dyDescent="0.25">
      <c r="A1013" s="114" t="s">
        <v>13919</v>
      </c>
      <c r="B1013" s="4" t="s">
        <v>13920</v>
      </c>
      <c r="C1013" s="113" t="s">
        <v>15363</v>
      </c>
      <c r="D1013" s="155" t="s">
        <v>10467</v>
      </c>
      <c r="E1013" s="159">
        <v>830</v>
      </c>
      <c r="F1013" s="157" t="s">
        <v>13921</v>
      </c>
      <c r="G1013" s="155" t="s">
        <v>13780</v>
      </c>
      <c r="H1013" s="113" t="s">
        <v>13781</v>
      </c>
      <c r="I1013" s="4" t="s">
        <v>13920</v>
      </c>
      <c r="J1013" s="155" t="s">
        <v>13921</v>
      </c>
      <c r="K1013" s="2" t="s">
        <v>15463</v>
      </c>
    </row>
    <row r="1014" spans="1:26" s="2" customFormat="1" x14ac:dyDescent="0.25">
      <c r="A1014" s="114" t="s">
        <v>14299</v>
      </c>
      <c r="B1014" s="4" t="s">
        <v>10541</v>
      </c>
      <c r="C1014" s="113" t="s">
        <v>15363</v>
      </c>
      <c r="D1014" s="155" t="s">
        <v>6589</v>
      </c>
      <c r="E1014" s="159">
        <v>2430</v>
      </c>
      <c r="F1014" s="157" t="s">
        <v>14300</v>
      </c>
      <c r="G1014" s="155" t="s">
        <v>10541</v>
      </c>
      <c r="H1014" s="113" t="s">
        <v>10541</v>
      </c>
      <c r="I1014" s="4" t="s">
        <v>10541</v>
      </c>
      <c r="J1014" s="155" t="s">
        <v>14300</v>
      </c>
      <c r="K1014" s="2" t="s">
        <v>15467</v>
      </c>
    </row>
    <row r="1015" spans="1:26" s="2" customFormat="1" x14ac:dyDescent="0.25">
      <c r="A1015" s="114" t="s">
        <v>14301</v>
      </c>
      <c r="B1015" s="4" t="s">
        <v>12649</v>
      </c>
      <c r="C1015" s="113" t="s">
        <v>15363</v>
      </c>
      <c r="D1015" s="155" t="s">
        <v>10244</v>
      </c>
      <c r="E1015" s="159">
        <v>1863</v>
      </c>
      <c r="F1015" s="157" t="s">
        <v>14302</v>
      </c>
      <c r="G1015" s="155" t="s">
        <v>10541</v>
      </c>
      <c r="H1015" s="113" t="s">
        <v>10541</v>
      </c>
      <c r="I1015" s="4" t="s">
        <v>12649</v>
      </c>
      <c r="J1015" s="155" t="s">
        <v>14302</v>
      </c>
      <c r="K1015" s="2" t="s">
        <v>15467</v>
      </c>
    </row>
    <row r="1016" spans="1:26" s="2" customFormat="1" x14ac:dyDescent="0.25">
      <c r="A1016" s="114" t="s">
        <v>14303</v>
      </c>
      <c r="B1016" s="4" t="s">
        <v>12785</v>
      </c>
      <c r="C1016" s="113" t="s">
        <v>15363</v>
      </c>
      <c r="D1016" s="155" t="s">
        <v>14304</v>
      </c>
      <c r="E1016" s="159">
        <v>1408</v>
      </c>
      <c r="F1016" s="157" t="s">
        <v>14305</v>
      </c>
      <c r="G1016" s="155" t="s">
        <v>10541</v>
      </c>
      <c r="H1016" s="113" t="s">
        <v>10541</v>
      </c>
      <c r="I1016" s="4" t="s">
        <v>12785</v>
      </c>
      <c r="J1016" s="155" t="s">
        <v>14305</v>
      </c>
      <c r="K1016" s="2" t="s">
        <v>15467</v>
      </c>
    </row>
    <row r="1017" spans="1:26" s="2" customFormat="1" x14ac:dyDescent="0.25">
      <c r="A1017" s="114" t="s">
        <v>14306</v>
      </c>
      <c r="B1017" s="4" t="s">
        <v>12652</v>
      </c>
      <c r="C1017" s="113" t="s">
        <v>15363</v>
      </c>
      <c r="D1017" s="155" t="s">
        <v>9810</v>
      </c>
      <c r="E1017" s="159">
        <v>3501</v>
      </c>
      <c r="F1017" s="157" t="s">
        <v>14307</v>
      </c>
      <c r="G1017" s="155" t="s">
        <v>10541</v>
      </c>
      <c r="H1017" s="113" t="s">
        <v>10541</v>
      </c>
      <c r="I1017" s="4" t="s">
        <v>12652</v>
      </c>
      <c r="J1017" s="155" t="s">
        <v>14307</v>
      </c>
      <c r="K1017" s="2" t="s">
        <v>15467</v>
      </c>
    </row>
    <row r="1018" spans="1:26" s="2" customFormat="1" x14ac:dyDescent="0.25">
      <c r="A1018" s="114" t="s">
        <v>14308</v>
      </c>
      <c r="B1018" s="4" t="s">
        <v>12792</v>
      </c>
      <c r="C1018" s="113" t="s">
        <v>15363</v>
      </c>
      <c r="D1018" s="155" t="s">
        <v>12042</v>
      </c>
      <c r="E1018" s="159">
        <v>2999</v>
      </c>
      <c r="F1018" s="157" t="s">
        <v>14309</v>
      </c>
      <c r="G1018" s="155" t="s">
        <v>10541</v>
      </c>
      <c r="H1018" s="113" t="s">
        <v>10541</v>
      </c>
      <c r="I1018" s="4" t="s">
        <v>12792</v>
      </c>
      <c r="J1018" s="155" t="s">
        <v>14309</v>
      </c>
      <c r="K1018" s="2" t="s">
        <v>15467</v>
      </c>
    </row>
    <row r="1019" spans="1:26" s="2" customFormat="1" x14ac:dyDescent="0.25">
      <c r="A1019" s="114" t="s">
        <v>14310</v>
      </c>
      <c r="B1019" s="4" t="s">
        <v>14311</v>
      </c>
      <c r="C1019" s="113" t="s">
        <v>15363</v>
      </c>
      <c r="D1019" s="155" t="s">
        <v>10759</v>
      </c>
      <c r="E1019" s="159">
        <v>7276</v>
      </c>
      <c r="F1019" s="157" t="s">
        <v>14312</v>
      </c>
      <c r="G1019" s="155" t="s">
        <v>10541</v>
      </c>
      <c r="H1019" s="113" t="s">
        <v>10541</v>
      </c>
      <c r="I1019" s="4" t="s">
        <v>14311</v>
      </c>
      <c r="J1019" s="155" t="s">
        <v>14312</v>
      </c>
      <c r="K1019" s="4" t="s">
        <v>15467</v>
      </c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</row>
    <row r="1020" spans="1:26" s="2" customFormat="1" x14ac:dyDescent="0.25">
      <c r="A1020" s="114" t="s">
        <v>14313</v>
      </c>
      <c r="B1020" s="4" t="s">
        <v>14314</v>
      </c>
      <c r="C1020" s="113" t="s">
        <v>15363</v>
      </c>
      <c r="D1020" s="155" t="s">
        <v>10775</v>
      </c>
      <c r="E1020" s="159">
        <v>5347</v>
      </c>
      <c r="F1020" s="157" t="s">
        <v>14315</v>
      </c>
      <c r="G1020" s="155" t="s">
        <v>10541</v>
      </c>
      <c r="H1020" s="113" t="s">
        <v>10541</v>
      </c>
      <c r="I1020" s="4" t="s">
        <v>14314</v>
      </c>
      <c r="J1020" s="155" t="s">
        <v>14315</v>
      </c>
      <c r="K1020" s="4" t="s">
        <v>15467</v>
      </c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 s="2" customFormat="1" x14ac:dyDescent="0.25">
      <c r="A1021" s="114" t="s">
        <v>14316</v>
      </c>
      <c r="B1021" s="4" t="s">
        <v>14317</v>
      </c>
      <c r="C1021" s="113" t="s">
        <v>15363</v>
      </c>
      <c r="D1021" s="155" t="s">
        <v>14318</v>
      </c>
      <c r="E1021" s="159">
        <v>6855</v>
      </c>
      <c r="F1021" s="157" t="s">
        <v>14319</v>
      </c>
      <c r="G1021" s="155" t="s">
        <v>10541</v>
      </c>
      <c r="H1021" s="113" t="s">
        <v>10541</v>
      </c>
      <c r="I1021" s="4" t="s">
        <v>14317</v>
      </c>
      <c r="J1021" s="155" t="s">
        <v>14319</v>
      </c>
      <c r="K1021" s="4" t="s">
        <v>15467</v>
      </c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 s="2" customFormat="1" x14ac:dyDescent="0.25">
      <c r="A1022" s="114" t="s">
        <v>14320</v>
      </c>
      <c r="B1022" s="4" t="s">
        <v>14321</v>
      </c>
      <c r="C1022" s="113" t="s">
        <v>15363</v>
      </c>
      <c r="D1022" s="155" t="s">
        <v>14322</v>
      </c>
      <c r="E1022" s="159">
        <v>7699</v>
      </c>
      <c r="F1022" s="157" t="s">
        <v>14323</v>
      </c>
      <c r="G1022" s="155" t="s">
        <v>10541</v>
      </c>
      <c r="H1022" s="113" t="s">
        <v>10541</v>
      </c>
      <c r="I1022" s="4" t="s">
        <v>14321</v>
      </c>
      <c r="J1022" s="155" t="s">
        <v>14323</v>
      </c>
      <c r="K1022" s="4" t="s">
        <v>15467</v>
      </c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 s="2" customFormat="1" x14ac:dyDescent="0.25">
      <c r="A1023" s="114" t="s">
        <v>14324</v>
      </c>
      <c r="B1023" s="4" t="s">
        <v>14325</v>
      </c>
      <c r="C1023" s="113" t="s">
        <v>15363</v>
      </c>
      <c r="D1023" s="155" t="s">
        <v>10500</v>
      </c>
      <c r="E1023" s="159">
        <v>1405</v>
      </c>
      <c r="F1023" s="157" t="s">
        <v>14326</v>
      </c>
      <c r="G1023" s="155" t="s">
        <v>14325</v>
      </c>
      <c r="H1023" s="113" t="s">
        <v>10541</v>
      </c>
      <c r="I1023" s="4" t="s">
        <v>14325</v>
      </c>
      <c r="J1023" s="155" t="s">
        <v>14326</v>
      </c>
      <c r="K1023" s="4" t="s">
        <v>13672</v>
      </c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 s="2" customFormat="1" x14ac:dyDescent="0.25">
      <c r="A1024" s="114" t="s">
        <v>14327</v>
      </c>
      <c r="B1024" s="4" t="s">
        <v>14328</v>
      </c>
      <c r="C1024" s="113" t="s">
        <v>15363</v>
      </c>
      <c r="D1024" s="155" t="s">
        <v>14329</v>
      </c>
      <c r="E1024" s="159">
        <v>348</v>
      </c>
      <c r="F1024" s="157" t="s">
        <v>14330</v>
      </c>
      <c r="G1024" s="155" t="s">
        <v>14328</v>
      </c>
      <c r="H1024" s="113" t="s">
        <v>10541</v>
      </c>
      <c r="I1024" s="4" t="s">
        <v>14328</v>
      </c>
      <c r="J1024" s="155" t="s">
        <v>14330</v>
      </c>
      <c r="K1024" s="4" t="s">
        <v>15468</v>
      </c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 s="2" customFormat="1" x14ac:dyDescent="0.25">
      <c r="A1025" s="114" t="s">
        <v>14331</v>
      </c>
      <c r="B1025" s="4" t="s">
        <v>14332</v>
      </c>
      <c r="C1025" s="113" t="s">
        <v>15363</v>
      </c>
      <c r="D1025" s="155" t="s">
        <v>14333</v>
      </c>
      <c r="E1025" s="159">
        <v>380</v>
      </c>
      <c r="F1025" s="157" t="s">
        <v>14334</v>
      </c>
      <c r="G1025" s="155" t="s">
        <v>14332</v>
      </c>
      <c r="H1025" s="113" t="s">
        <v>10541</v>
      </c>
      <c r="I1025" s="4" t="s">
        <v>14332</v>
      </c>
      <c r="J1025" s="155" t="s">
        <v>14334</v>
      </c>
      <c r="K1025" s="4" t="s">
        <v>15469</v>
      </c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 s="2" customFormat="1" x14ac:dyDescent="0.25">
      <c r="A1026" s="114" t="s">
        <v>14335</v>
      </c>
      <c r="B1026" s="4" t="s">
        <v>14336</v>
      </c>
      <c r="C1026" s="113" t="s">
        <v>15363</v>
      </c>
      <c r="D1026" s="155" t="s">
        <v>10244</v>
      </c>
      <c r="E1026" s="159">
        <v>151</v>
      </c>
      <c r="F1026" s="157" t="s">
        <v>14337</v>
      </c>
      <c r="G1026" s="155" t="s">
        <v>14336</v>
      </c>
      <c r="H1026" s="113" t="s">
        <v>10541</v>
      </c>
      <c r="I1026" s="4" t="s">
        <v>14336</v>
      </c>
      <c r="J1026" s="155" t="s">
        <v>14337</v>
      </c>
      <c r="K1026" s="4" t="s">
        <v>11356</v>
      </c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 s="2" customFormat="1" x14ac:dyDescent="0.25">
      <c r="A1027" s="114" t="s">
        <v>14338</v>
      </c>
      <c r="B1027" s="4" t="s">
        <v>14339</v>
      </c>
      <c r="C1027" s="113" t="s">
        <v>15363</v>
      </c>
      <c r="D1027" s="155" t="s">
        <v>10114</v>
      </c>
      <c r="E1027" s="159">
        <v>98</v>
      </c>
      <c r="F1027" s="157" t="s">
        <v>14340</v>
      </c>
      <c r="G1027" s="155" t="s">
        <v>14339</v>
      </c>
      <c r="H1027" s="113" t="s">
        <v>10541</v>
      </c>
      <c r="I1027" s="4" t="s">
        <v>14339</v>
      </c>
      <c r="J1027" s="155" t="s">
        <v>14340</v>
      </c>
      <c r="K1027" s="4" t="s">
        <v>15468</v>
      </c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 s="2" customFormat="1" x14ac:dyDescent="0.25">
      <c r="A1028" s="114" t="s">
        <v>14341</v>
      </c>
      <c r="B1028" s="4" t="s">
        <v>9912</v>
      </c>
      <c r="C1028" s="113" t="s">
        <v>15363</v>
      </c>
      <c r="D1028" s="155" t="s">
        <v>10165</v>
      </c>
      <c r="E1028" s="159">
        <v>692</v>
      </c>
      <c r="F1028" s="157" t="s">
        <v>14342</v>
      </c>
      <c r="G1028" s="155" t="s">
        <v>9912</v>
      </c>
      <c r="H1028" s="113" t="s">
        <v>10541</v>
      </c>
      <c r="I1028" s="4" t="s">
        <v>9912</v>
      </c>
      <c r="J1028" s="155" t="s">
        <v>14342</v>
      </c>
      <c r="K1028" s="4" t="s">
        <v>15470</v>
      </c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 s="2" customFormat="1" x14ac:dyDescent="0.25">
      <c r="A1029" s="114" t="s">
        <v>14343</v>
      </c>
      <c r="B1029" s="4" t="s">
        <v>14253</v>
      </c>
      <c r="C1029" s="113" t="s">
        <v>15363</v>
      </c>
      <c r="D1029" s="155" t="s">
        <v>14344</v>
      </c>
      <c r="E1029" s="159">
        <v>131</v>
      </c>
      <c r="F1029" s="157" t="s">
        <v>14345</v>
      </c>
      <c r="G1029" s="155" t="s">
        <v>14253</v>
      </c>
      <c r="H1029" s="113" t="s">
        <v>10541</v>
      </c>
      <c r="I1029" s="4" t="s">
        <v>14253</v>
      </c>
      <c r="J1029" s="155" t="s">
        <v>14345</v>
      </c>
      <c r="K1029" s="2" t="s">
        <v>15469</v>
      </c>
    </row>
    <row r="1030" spans="1:26" s="2" customFormat="1" x14ac:dyDescent="0.25">
      <c r="A1030" s="114" t="s">
        <v>14346</v>
      </c>
      <c r="B1030" s="4" t="s">
        <v>14347</v>
      </c>
      <c r="C1030" s="113" t="s">
        <v>15363</v>
      </c>
      <c r="D1030" s="155" t="s">
        <v>14348</v>
      </c>
      <c r="E1030" s="159">
        <v>227</v>
      </c>
      <c r="F1030" s="157" t="s">
        <v>14349</v>
      </c>
      <c r="G1030" s="155" t="s">
        <v>13572</v>
      </c>
      <c r="H1030" s="113" t="s">
        <v>10541</v>
      </c>
      <c r="I1030" s="4" t="s">
        <v>14347</v>
      </c>
      <c r="J1030" s="155" t="s">
        <v>14349</v>
      </c>
      <c r="K1030" s="4" t="s">
        <v>15469</v>
      </c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</row>
    <row r="1031" spans="1:26" s="2" customFormat="1" x14ac:dyDescent="0.25">
      <c r="A1031" s="114" t="s">
        <v>14350</v>
      </c>
      <c r="B1031" s="4" t="s">
        <v>14351</v>
      </c>
      <c r="C1031" s="113" t="s">
        <v>15363</v>
      </c>
      <c r="D1031" s="155" t="s">
        <v>11056</v>
      </c>
      <c r="E1031" s="159">
        <v>1098</v>
      </c>
      <c r="F1031" s="157" t="s">
        <v>14352</v>
      </c>
      <c r="G1031" s="155" t="s">
        <v>14351</v>
      </c>
      <c r="H1031" s="113" t="s">
        <v>10541</v>
      </c>
      <c r="I1031" s="4" t="s">
        <v>14351</v>
      </c>
      <c r="J1031" s="155" t="s">
        <v>14352</v>
      </c>
      <c r="K1031" s="4" t="s">
        <v>15469</v>
      </c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 s="2" customFormat="1" x14ac:dyDescent="0.25">
      <c r="A1032" s="114" t="s">
        <v>14353</v>
      </c>
      <c r="B1032" s="4" t="s">
        <v>14354</v>
      </c>
      <c r="C1032" s="113" t="s">
        <v>15363</v>
      </c>
      <c r="D1032" s="155" t="s">
        <v>10443</v>
      </c>
      <c r="E1032" s="159">
        <v>512</v>
      </c>
      <c r="F1032" s="157" t="s">
        <v>14355</v>
      </c>
      <c r="G1032" s="155" t="s">
        <v>14354</v>
      </c>
      <c r="H1032" s="113" t="s">
        <v>10541</v>
      </c>
      <c r="I1032" s="4" t="s">
        <v>14354</v>
      </c>
      <c r="J1032" s="155" t="s">
        <v>14355</v>
      </c>
      <c r="K1032" s="4" t="s">
        <v>14593</v>
      </c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 s="2" customFormat="1" x14ac:dyDescent="0.25">
      <c r="A1033" s="114" t="s">
        <v>14356</v>
      </c>
      <c r="B1033" s="4" t="s">
        <v>14357</v>
      </c>
      <c r="C1033" s="113" t="s">
        <v>15363</v>
      </c>
      <c r="D1033" s="155" t="s">
        <v>14358</v>
      </c>
      <c r="E1033" s="159">
        <v>0</v>
      </c>
      <c r="F1033" s="157" t="s">
        <v>14359</v>
      </c>
      <c r="G1033" s="155" t="s">
        <v>14357</v>
      </c>
      <c r="H1033" s="113" t="s">
        <v>10541</v>
      </c>
      <c r="I1033" s="4" t="s">
        <v>14357</v>
      </c>
      <c r="J1033" s="155" t="s">
        <v>14359</v>
      </c>
      <c r="K1033" s="4" t="s">
        <v>15471</v>
      </c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 s="2" customFormat="1" x14ac:dyDescent="0.25">
      <c r="A1034" s="114" t="s">
        <v>14360</v>
      </c>
      <c r="B1034" s="4" t="s">
        <v>14361</v>
      </c>
      <c r="C1034" s="113" t="s">
        <v>15363</v>
      </c>
      <c r="D1034" s="155" t="s">
        <v>12414</v>
      </c>
      <c r="E1034" s="159">
        <v>146</v>
      </c>
      <c r="F1034" s="157" t="s">
        <v>14362</v>
      </c>
      <c r="G1034" s="155" t="s">
        <v>14361</v>
      </c>
      <c r="H1034" s="113" t="s">
        <v>10541</v>
      </c>
      <c r="I1034" s="4" t="s">
        <v>14361</v>
      </c>
      <c r="J1034" s="155" t="s">
        <v>14362</v>
      </c>
      <c r="K1034" s="2" t="s">
        <v>11356</v>
      </c>
    </row>
    <row r="1035" spans="1:26" s="2" customFormat="1" x14ac:dyDescent="0.25">
      <c r="A1035" s="114" t="s">
        <v>14363</v>
      </c>
      <c r="B1035" s="4" t="s">
        <v>14364</v>
      </c>
      <c r="C1035" s="113" t="s">
        <v>15363</v>
      </c>
      <c r="D1035" s="155" t="s">
        <v>14365</v>
      </c>
      <c r="E1035" s="159">
        <v>100</v>
      </c>
      <c r="F1035" s="157" t="s">
        <v>14367</v>
      </c>
      <c r="G1035" s="155" t="s">
        <v>14366</v>
      </c>
      <c r="H1035" s="113" t="s">
        <v>10541</v>
      </c>
      <c r="I1035" s="4" t="s">
        <v>14364</v>
      </c>
      <c r="J1035" s="155" t="s">
        <v>14367</v>
      </c>
      <c r="K1035" s="2" t="s">
        <v>15468</v>
      </c>
    </row>
    <row r="1036" spans="1:26" s="2" customFormat="1" x14ac:dyDescent="0.25">
      <c r="A1036" s="114" t="s">
        <v>14368</v>
      </c>
      <c r="B1036" s="4" t="s">
        <v>14369</v>
      </c>
      <c r="C1036" s="113" t="s">
        <v>15363</v>
      </c>
      <c r="D1036" s="155" t="s">
        <v>10317</v>
      </c>
      <c r="E1036" s="159">
        <v>968</v>
      </c>
      <c r="F1036" s="157" t="s">
        <v>14370</v>
      </c>
      <c r="G1036" s="155" t="s">
        <v>14369</v>
      </c>
      <c r="H1036" s="113" t="s">
        <v>10541</v>
      </c>
      <c r="I1036" s="4" t="s">
        <v>14369</v>
      </c>
      <c r="J1036" s="155" t="s">
        <v>14370</v>
      </c>
      <c r="K1036" s="2" t="s">
        <v>9764</v>
      </c>
    </row>
    <row r="1037" spans="1:26" s="2" customFormat="1" x14ac:dyDescent="0.25">
      <c r="A1037" s="114" t="s">
        <v>14371</v>
      </c>
      <c r="B1037" s="4" t="s">
        <v>14372</v>
      </c>
      <c r="C1037" s="113" t="s">
        <v>15363</v>
      </c>
      <c r="D1037" s="155" t="s">
        <v>14358</v>
      </c>
      <c r="E1037" s="159">
        <v>1657</v>
      </c>
      <c r="F1037" s="157" t="s">
        <v>14373</v>
      </c>
      <c r="G1037" s="155" t="s">
        <v>14372</v>
      </c>
      <c r="H1037" s="113" t="s">
        <v>10541</v>
      </c>
      <c r="I1037" s="4" t="s">
        <v>14372</v>
      </c>
      <c r="J1037" s="155" t="s">
        <v>14373</v>
      </c>
      <c r="K1037" s="2" t="s">
        <v>15469</v>
      </c>
    </row>
    <row r="1038" spans="1:26" s="2" customFormat="1" x14ac:dyDescent="0.25">
      <c r="A1038" s="114" t="s">
        <v>14374</v>
      </c>
      <c r="B1038" s="4" t="s">
        <v>15312</v>
      </c>
      <c r="C1038" s="113" t="s">
        <v>15363</v>
      </c>
      <c r="D1038" s="155" t="s">
        <v>10043</v>
      </c>
      <c r="E1038" s="159">
        <v>799</v>
      </c>
      <c r="F1038" s="157" t="s">
        <v>14375</v>
      </c>
      <c r="G1038" s="155" t="s">
        <v>15312</v>
      </c>
      <c r="H1038" s="113" t="s">
        <v>10541</v>
      </c>
      <c r="I1038" s="4" t="s">
        <v>15312</v>
      </c>
      <c r="J1038" s="155" t="s">
        <v>14375</v>
      </c>
      <c r="K1038" s="2" t="s">
        <v>9764</v>
      </c>
    </row>
    <row r="1039" spans="1:26" s="2" customFormat="1" x14ac:dyDescent="0.25">
      <c r="A1039" s="114" t="s">
        <v>14376</v>
      </c>
      <c r="B1039" s="4" t="s">
        <v>12372</v>
      </c>
      <c r="C1039" s="113" t="s">
        <v>15363</v>
      </c>
      <c r="D1039" s="155" t="s">
        <v>9810</v>
      </c>
      <c r="E1039" s="159">
        <v>175</v>
      </c>
      <c r="F1039" s="157" t="s">
        <v>14377</v>
      </c>
      <c r="G1039" s="155" t="s">
        <v>12372</v>
      </c>
      <c r="H1039" s="113" t="s">
        <v>10541</v>
      </c>
      <c r="I1039" s="4" t="s">
        <v>12372</v>
      </c>
      <c r="J1039" s="155" t="s">
        <v>14377</v>
      </c>
      <c r="K1039" s="2" t="s">
        <v>9764</v>
      </c>
    </row>
    <row r="1040" spans="1:26" s="2" customFormat="1" x14ac:dyDescent="0.25">
      <c r="A1040" s="114" t="s">
        <v>14378</v>
      </c>
      <c r="B1040" s="4" t="s">
        <v>14379</v>
      </c>
      <c r="C1040" s="113" t="s">
        <v>15363</v>
      </c>
      <c r="D1040" s="155" t="s">
        <v>14380</v>
      </c>
      <c r="E1040" s="159">
        <v>420</v>
      </c>
      <c r="F1040" s="157" t="s">
        <v>14381</v>
      </c>
      <c r="G1040" s="155" t="s">
        <v>14379</v>
      </c>
      <c r="H1040" s="113" t="s">
        <v>10541</v>
      </c>
      <c r="I1040" s="4" t="s">
        <v>14379</v>
      </c>
      <c r="J1040" s="155" t="s">
        <v>14381</v>
      </c>
      <c r="K1040" s="2" t="s">
        <v>15469</v>
      </c>
    </row>
    <row r="1041" spans="1:26" s="2" customFormat="1" x14ac:dyDescent="0.25">
      <c r="A1041" s="114" t="s">
        <v>14382</v>
      </c>
      <c r="B1041" s="4" t="s">
        <v>14383</v>
      </c>
      <c r="C1041" s="113" t="s">
        <v>15363</v>
      </c>
      <c r="D1041" s="155" t="s">
        <v>11221</v>
      </c>
      <c r="E1041" s="159">
        <v>399</v>
      </c>
      <c r="F1041" s="157" t="s">
        <v>14384</v>
      </c>
      <c r="G1041" s="155" t="s">
        <v>14383</v>
      </c>
      <c r="H1041" s="113" t="s">
        <v>10541</v>
      </c>
      <c r="I1041" s="4" t="s">
        <v>14383</v>
      </c>
      <c r="J1041" s="155" t="s">
        <v>14384</v>
      </c>
      <c r="K1041" s="2" t="s">
        <v>15472</v>
      </c>
    </row>
    <row r="1042" spans="1:26" s="2" customFormat="1" x14ac:dyDescent="0.25">
      <c r="A1042" s="114" t="s">
        <v>14385</v>
      </c>
      <c r="B1042" s="4" t="s">
        <v>14386</v>
      </c>
      <c r="C1042" s="113" t="s">
        <v>15363</v>
      </c>
      <c r="D1042" s="155" t="s">
        <v>10244</v>
      </c>
      <c r="E1042" s="159">
        <v>1231</v>
      </c>
      <c r="F1042" s="157" t="s">
        <v>14387</v>
      </c>
      <c r="G1042" s="155" t="s">
        <v>14386</v>
      </c>
      <c r="H1042" s="113" t="s">
        <v>10541</v>
      </c>
      <c r="I1042" s="4" t="s">
        <v>14386</v>
      </c>
      <c r="J1042" s="155" t="s">
        <v>14387</v>
      </c>
      <c r="K1042" s="2" t="s">
        <v>15472</v>
      </c>
    </row>
    <row r="1043" spans="1:26" s="2" customFormat="1" x14ac:dyDescent="0.25">
      <c r="A1043" s="114" t="s">
        <v>14388</v>
      </c>
      <c r="B1043" s="4" t="s">
        <v>14389</v>
      </c>
      <c r="C1043" s="113" t="s">
        <v>15363</v>
      </c>
      <c r="D1043" s="155" t="s">
        <v>14390</v>
      </c>
      <c r="E1043" s="159">
        <v>1161</v>
      </c>
      <c r="F1043" s="157" t="s">
        <v>14391</v>
      </c>
      <c r="G1043" s="155" t="s">
        <v>14389</v>
      </c>
      <c r="H1043" s="113" t="s">
        <v>10541</v>
      </c>
      <c r="I1043" s="4" t="s">
        <v>14389</v>
      </c>
      <c r="J1043" s="155" t="s">
        <v>14391</v>
      </c>
      <c r="K1043" s="4" t="s">
        <v>9764</v>
      </c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</row>
    <row r="1044" spans="1:26" s="2" customFormat="1" x14ac:dyDescent="0.25">
      <c r="A1044" s="114" t="s">
        <v>14392</v>
      </c>
      <c r="B1044" s="4" t="s">
        <v>14393</v>
      </c>
      <c r="C1044" s="113" t="s">
        <v>15363</v>
      </c>
      <c r="D1044" s="155" t="s">
        <v>14394</v>
      </c>
      <c r="E1044" s="159">
        <v>204</v>
      </c>
      <c r="F1044" s="157" t="s">
        <v>14395</v>
      </c>
      <c r="G1044" s="155" t="s">
        <v>14393</v>
      </c>
      <c r="H1044" s="113" t="s">
        <v>10541</v>
      </c>
      <c r="I1044" s="4" t="s">
        <v>14393</v>
      </c>
      <c r="J1044" s="155" t="s">
        <v>14395</v>
      </c>
      <c r="K1044" s="2" t="s">
        <v>15472</v>
      </c>
    </row>
    <row r="1045" spans="1:26" s="2" customFormat="1" x14ac:dyDescent="0.25">
      <c r="A1045" s="114" t="s">
        <v>14396</v>
      </c>
      <c r="B1045" s="4" t="s">
        <v>14397</v>
      </c>
      <c r="C1045" s="113" t="s">
        <v>15363</v>
      </c>
      <c r="D1045" s="155" t="s">
        <v>9764</v>
      </c>
      <c r="E1045" s="159">
        <v>655</v>
      </c>
      <c r="F1045" s="157" t="s">
        <v>14398</v>
      </c>
      <c r="G1045" s="155" t="s">
        <v>14397</v>
      </c>
      <c r="H1045" s="113" t="s">
        <v>10541</v>
      </c>
      <c r="I1045" s="4" t="s">
        <v>14397</v>
      </c>
      <c r="J1045" s="155" t="s">
        <v>14398</v>
      </c>
      <c r="K1045" s="2" t="s">
        <v>15470</v>
      </c>
    </row>
    <row r="1046" spans="1:26" s="2" customFormat="1" x14ac:dyDescent="0.25">
      <c r="A1046" s="114" t="s">
        <v>14399</v>
      </c>
      <c r="B1046" s="4" t="s">
        <v>14400</v>
      </c>
      <c r="C1046" s="113" t="s">
        <v>15363</v>
      </c>
      <c r="D1046" s="155" t="s">
        <v>10353</v>
      </c>
      <c r="E1046" s="159">
        <v>1983</v>
      </c>
      <c r="F1046" s="157" t="s">
        <v>14401</v>
      </c>
      <c r="G1046" s="155" t="s">
        <v>14400</v>
      </c>
      <c r="H1046" s="113" t="s">
        <v>10541</v>
      </c>
      <c r="I1046" s="4" t="s">
        <v>14400</v>
      </c>
      <c r="J1046" s="155" t="s">
        <v>14401</v>
      </c>
      <c r="K1046" s="2" t="s">
        <v>15472</v>
      </c>
    </row>
    <row r="1047" spans="1:26" s="2" customFormat="1" x14ac:dyDescent="0.25">
      <c r="A1047" s="114" t="s">
        <v>14402</v>
      </c>
      <c r="B1047" s="4" t="s">
        <v>14403</v>
      </c>
      <c r="C1047" s="113" t="s">
        <v>15363</v>
      </c>
      <c r="D1047" s="155" t="s">
        <v>14404</v>
      </c>
      <c r="E1047" s="159">
        <v>100</v>
      </c>
      <c r="F1047" s="157" t="s">
        <v>14405</v>
      </c>
      <c r="G1047" s="155" t="s">
        <v>14403</v>
      </c>
      <c r="H1047" s="113" t="s">
        <v>10541</v>
      </c>
      <c r="I1047" s="4" t="s">
        <v>14403</v>
      </c>
      <c r="J1047" s="155" t="s">
        <v>14405</v>
      </c>
      <c r="K1047" s="2" t="s">
        <v>15468</v>
      </c>
    </row>
    <row r="1048" spans="1:26" s="2" customFormat="1" x14ac:dyDescent="0.25">
      <c r="A1048" s="114" t="s">
        <v>14406</v>
      </c>
      <c r="B1048" s="4" t="s">
        <v>14407</v>
      </c>
      <c r="C1048" s="113" t="s">
        <v>15363</v>
      </c>
      <c r="D1048" s="155" t="s">
        <v>9850</v>
      </c>
      <c r="E1048" s="159">
        <v>735</v>
      </c>
      <c r="F1048" s="157" t="s">
        <v>14408</v>
      </c>
      <c r="G1048" s="155" t="s">
        <v>14407</v>
      </c>
      <c r="H1048" s="113" t="s">
        <v>10541</v>
      </c>
      <c r="I1048" s="4" t="s">
        <v>14407</v>
      </c>
      <c r="J1048" s="155" t="s">
        <v>14408</v>
      </c>
      <c r="K1048" s="2" t="s">
        <v>15469</v>
      </c>
    </row>
    <row r="1049" spans="1:26" s="2" customFormat="1" x14ac:dyDescent="0.25">
      <c r="A1049" s="114" t="s">
        <v>14409</v>
      </c>
      <c r="B1049" s="4" t="s">
        <v>14410</v>
      </c>
      <c r="C1049" s="113" t="s">
        <v>15363</v>
      </c>
      <c r="D1049" s="155" t="s">
        <v>9937</v>
      </c>
      <c r="E1049" s="159">
        <v>961</v>
      </c>
      <c r="F1049" s="157" t="s">
        <v>14411</v>
      </c>
      <c r="G1049" s="155" t="s">
        <v>14410</v>
      </c>
      <c r="H1049" s="113" t="s">
        <v>10541</v>
      </c>
      <c r="I1049" s="4" t="s">
        <v>14410</v>
      </c>
      <c r="J1049" s="155" t="s">
        <v>14411</v>
      </c>
      <c r="K1049" s="2" t="s">
        <v>15469</v>
      </c>
    </row>
    <row r="1050" spans="1:26" s="2" customFormat="1" x14ac:dyDescent="0.25">
      <c r="A1050" s="114" t="s">
        <v>14412</v>
      </c>
      <c r="B1050" s="4" t="s">
        <v>14413</v>
      </c>
      <c r="C1050" s="113" t="s">
        <v>15363</v>
      </c>
      <c r="D1050" s="155" t="s">
        <v>14414</v>
      </c>
      <c r="E1050" s="159">
        <v>134</v>
      </c>
      <c r="F1050" s="157" t="s">
        <v>14416</v>
      </c>
      <c r="G1050" s="155" t="s">
        <v>14415</v>
      </c>
      <c r="H1050" s="113" t="s">
        <v>10541</v>
      </c>
      <c r="I1050" s="4" t="s">
        <v>14413</v>
      </c>
      <c r="J1050" s="155" t="s">
        <v>14416</v>
      </c>
      <c r="K1050" s="2" t="s">
        <v>9956</v>
      </c>
    </row>
    <row r="1051" spans="1:26" s="2" customFormat="1" x14ac:dyDescent="0.25">
      <c r="A1051" s="114" t="s">
        <v>14417</v>
      </c>
      <c r="B1051" s="4" t="s">
        <v>14418</v>
      </c>
      <c r="C1051" s="113" t="s">
        <v>15363</v>
      </c>
      <c r="D1051" s="155" t="s">
        <v>9764</v>
      </c>
      <c r="E1051" s="159">
        <v>550</v>
      </c>
      <c r="F1051" s="157" t="s">
        <v>14419</v>
      </c>
      <c r="G1051" s="155" t="s">
        <v>14418</v>
      </c>
      <c r="H1051" s="113" t="s">
        <v>10541</v>
      </c>
      <c r="I1051" s="4" t="s">
        <v>14418</v>
      </c>
      <c r="J1051" s="155" t="s">
        <v>14419</v>
      </c>
      <c r="K1051" s="2" t="s">
        <v>15471</v>
      </c>
    </row>
    <row r="1052" spans="1:26" s="2" customFormat="1" x14ac:dyDescent="0.25">
      <c r="A1052" s="114" t="s">
        <v>14420</v>
      </c>
      <c r="B1052" s="4" t="s">
        <v>14421</v>
      </c>
      <c r="C1052" s="113" t="s">
        <v>15363</v>
      </c>
      <c r="D1052" s="155" t="s">
        <v>10492</v>
      </c>
      <c r="E1052" s="159">
        <v>327</v>
      </c>
      <c r="F1052" s="157" t="s">
        <v>14422</v>
      </c>
      <c r="G1052" s="155" t="s">
        <v>14421</v>
      </c>
      <c r="H1052" s="113" t="s">
        <v>10541</v>
      </c>
      <c r="I1052" s="4" t="s">
        <v>14421</v>
      </c>
      <c r="J1052" s="155" t="s">
        <v>14422</v>
      </c>
      <c r="K1052" s="2" t="s">
        <v>11356</v>
      </c>
    </row>
    <row r="1053" spans="1:26" s="2" customFormat="1" x14ac:dyDescent="0.25">
      <c r="A1053" s="114" t="s">
        <v>14423</v>
      </c>
      <c r="B1053" s="4" t="s">
        <v>14424</v>
      </c>
      <c r="C1053" s="113" t="s">
        <v>15363</v>
      </c>
      <c r="D1053" s="155" t="s">
        <v>10467</v>
      </c>
      <c r="E1053" s="159">
        <v>157</v>
      </c>
      <c r="F1053" s="157" t="s">
        <v>14426</v>
      </c>
      <c r="G1053" s="155" t="s">
        <v>14425</v>
      </c>
      <c r="H1053" s="113" t="s">
        <v>10541</v>
      </c>
      <c r="I1053" s="4" t="s">
        <v>14424</v>
      </c>
      <c r="J1053" s="155" t="s">
        <v>14426</v>
      </c>
      <c r="K1053" s="2" t="s">
        <v>15468</v>
      </c>
    </row>
    <row r="1054" spans="1:26" s="2" customFormat="1" x14ac:dyDescent="0.25">
      <c r="A1054" s="114" t="s">
        <v>14427</v>
      </c>
      <c r="B1054" s="4" t="s">
        <v>14428</v>
      </c>
      <c r="C1054" s="113" t="s">
        <v>15363</v>
      </c>
      <c r="D1054" s="155" t="s">
        <v>9819</v>
      </c>
      <c r="E1054" s="159">
        <v>1636</v>
      </c>
      <c r="F1054" s="157" t="s">
        <v>14429</v>
      </c>
      <c r="G1054" s="155" t="s">
        <v>14428</v>
      </c>
      <c r="H1054" s="113" t="s">
        <v>10541</v>
      </c>
      <c r="I1054" s="4" t="s">
        <v>14428</v>
      </c>
      <c r="J1054" s="155" t="s">
        <v>14429</v>
      </c>
      <c r="K1054" s="2" t="s">
        <v>15472</v>
      </c>
    </row>
    <row r="1055" spans="1:26" s="2" customFormat="1" x14ac:dyDescent="0.25">
      <c r="A1055" s="114" t="s">
        <v>14430</v>
      </c>
      <c r="B1055" s="4" t="s">
        <v>10787</v>
      </c>
      <c r="C1055" s="113" t="s">
        <v>15363</v>
      </c>
      <c r="D1055" s="155" t="s">
        <v>10443</v>
      </c>
      <c r="E1055" s="159">
        <v>560</v>
      </c>
      <c r="F1055" s="157" t="s">
        <v>14431</v>
      </c>
      <c r="G1055" s="155" t="s">
        <v>10787</v>
      </c>
      <c r="H1055" s="113" t="s">
        <v>10541</v>
      </c>
      <c r="I1055" s="4" t="s">
        <v>10787</v>
      </c>
      <c r="J1055" s="155" t="s">
        <v>14431</v>
      </c>
      <c r="K1055" s="2" t="s">
        <v>15469</v>
      </c>
    </row>
    <row r="1056" spans="1:26" s="2" customFormat="1" x14ac:dyDescent="0.25">
      <c r="A1056" s="114" t="s">
        <v>14432</v>
      </c>
      <c r="B1056" s="4" t="s">
        <v>14433</v>
      </c>
      <c r="C1056" s="113" t="s">
        <v>15363</v>
      </c>
      <c r="D1056" s="155" t="s">
        <v>9850</v>
      </c>
      <c r="E1056" s="159">
        <v>180</v>
      </c>
      <c r="F1056" s="157" t="s">
        <v>14434</v>
      </c>
      <c r="G1056" s="155" t="s">
        <v>14433</v>
      </c>
      <c r="H1056" s="113" t="s">
        <v>10541</v>
      </c>
      <c r="I1056" s="4" t="s">
        <v>14433</v>
      </c>
      <c r="J1056" s="155" t="s">
        <v>14434</v>
      </c>
      <c r="K1056" s="2" t="s">
        <v>9764</v>
      </c>
    </row>
    <row r="1057" spans="1:11" s="2" customFormat="1" x14ac:dyDescent="0.25">
      <c r="A1057" s="114" t="s">
        <v>14435</v>
      </c>
      <c r="B1057" s="4" t="s">
        <v>14436</v>
      </c>
      <c r="C1057" s="113" t="s">
        <v>15363</v>
      </c>
      <c r="D1057" s="155" t="s">
        <v>9810</v>
      </c>
      <c r="E1057" s="159">
        <v>304</v>
      </c>
      <c r="F1057" s="157" t="s">
        <v>14437</v>
      </c>
      <c r="G1057" s="155" t="s">
        <v>14436</v>
      </c>
      <c r="H1057" s="113" t="s">
        <v>10541</v>
      </c>
      <c r="I1057" s="4" t="s">
        <v>14436</v>
      </c>
      <c r="J1057" s="155" t="s">
        <v>14437</v>
      </c>
      <c r="K1057" s="2" t="s">
        <v>9956</v>
      </c>
    </row>
    <row r="1058" spans="1:11" s="2" customFormat="1" x14ac:dyDescent="0.25">
      <c r="A1058" s="114" t="s">
        <v>14438</v>
      </c>
      <c r="B1058" s="4" t="s">
        <v>14439</v>
      </c>
      <c r="C1058" s="113" t="s">
        <v>15363</v>
      </c>
      <c r="D1058" s="155" t="s">
        <v>10443</v>
      </c>
      <c r="E1058" s="159">
        <v>100</v>
      </c>
      <c r="F1058" s="157" t="s">
        <v>14440</v>
      </c>
      <c r="G1058" s="155" t="s">
        <v>14439</v>
      </c>
      <c r="H1058" s="113" t="s">
        <v>10541</v>
      </c>
      <c r="I1058" s="4" t="s">
        <v>14439</v>
      </c>
      <c r="J1058" s="155" t="s">
        <v>14440</v>
      </c>
      <c r="K1058" s="2" t="s">
        <v>14593</v>
      </c>
    </row>
    <row r="1059" spans="1:11" s="2" customFormat="1" x14ac:dyDescent="0.25">
      <c r="A1059" s="114" t="s">
        <v>14441</v>
      </c>
      <c r="B1059" s="4" t="s">
        <v>14442</v>
      </c>
      <c r="C1059" s="113" t="s">
        <v>15363</v>
      </c>
      <c r="D1059" s="155" t="s">
        <v>11851</v>
      </c>
      <c r="E1059" s="159">
        <v>1198</v>
      </c>
      <c r="F1059" s="157" t="s">
        <v>14443</v>
      </c>
      <c r="G1059" s="155" t="s">
        <v>14442</v>
      </c>
      <c r="H1059" s="113" t="s">
        <v>10541</v>
      </c>
      <c r="I1059" s="4" t="s">
        <v>14442</v>
      </c>
      <c r="J1059" s="155" t="s">
        <v>14443</v>
      </c>
      <c r="K1059" s="2" t="s">
        <v>15467</v>
      </c>
    </row>
    <row r="1060" spans="1:11" s="2" customFormat="1" x14ac:dyDescent="0.25">
      <c r="A1060" s="114" t="s">
        <v>14444</v>
      </c>
      <c r="B1060" s="4" t="s">
        <v>14445</v>
      </c>
      <c r="C1060" s="113" t="s">
        <v>15363</v>
      </c>
      <c r="D1060" s="155" t="s">
        <v>14446</v>
      </c>
      <c r="E1060" s="159">
        <v>834</v>
      </c>
      <c r="F1060" s="157" t="s">
        <v>14447</v>
      </c>
      <c r="G1060" s="155" t="s">
        <v>14445</v>
      </c>
      <c r="H1060" s="113" t="s">
        <v>10541</v>
      </c>
      <c r="I1060" s="4" t="s">
        <v>14445</v>
      </c>
      <c r="J1060" s="155" t="s">
        <v>14447</v>
      </c>
      <c r="K1060" s="2" t="s">
        <v>15470</v>
      </c>
    </row>
    <row r="1061" spans="1:11" s="2" customFormat="1" x14ac:dyDescent="0.25">
      <c r="A1061" s="114" t="s">
        <v>14448</v>
      </c>
      <c r="B1061" s="4" t="s">
        <v>14449</v>
      </c>
      <c r="C1061" s="113" t="s">
        <v>15363</v>
      </c>
      <c r="D1061" s="155" t="s">
        <v>9810</v>
      </c>
      <c r="E1061" s="159">
        <v>1</v>
      </c>
      <c r="F1061" s="157" t="s">
        <v>14450</v>
      </c>
      <c r="G1061" s="155" t="s">
        <v>14449</v>
      </c>
      <c r="H1061" s="113" t="s">
        <v>10541</v>
      </c>
      <c r="I1061" s="4" t="s">
        <v>14449</v>
      </c>
      <c r="J1061" s="155" t="s">
        <v>14450</v>
      </c>
      <c r="K1061" s="2" t="s">
        <v>15468</v>
      </c>
    </row>
    <row r="1062" spans="1:11" s="2" customFormat="1" x14ac:dyDescent="0.25">
      <c r="A1062" s="114" t="s">
        <v>14451</v>
      </c>
      <c r="B1062" s="4" t="s">
        <v>14452</v>
      </c>
      <c r="C1062" s="113" t="s">
        <v>15363</v>
      </c>
      <c r="D1062" s="155" t="s">
        <v>12836</v>
      </c>
      <c r="E1062" s="159">
        <v>307</v>
      </c>
      <c r="F1062" s="157" t="s">
        <v>14453</v>
      </c>
      <c r="G1062" s="155" t="s">
        <v>14452</v>
      </c>
      <c r="H1062" s="113" t="s">
        <v>10541</v>
      </c>
      <c r="I1062" s="4" t="s">
        <v>14452</v>
      </c>
      <c r="J1062" s="155" t="s">
        <v>14453</v>
      </c>
      <c r="K1062" s="2" t="s">
        <v>15467</v>
      </c>
    </row>
    <row r="1063" spans="1:11" s="2" customFormat="1" x14ac:dyDescent="0.25">
      <c r="A1063" s="114" t="s">
        <v>14454</v>
      </c>
      <c r="B1063" s="4" t="s">
        <v>14455</v>
      </c>
      <c r="C1063" s="113" t="s">
        <v>15363</v>
      </c>
      <c r="D1063" s="155" t="s">
        <v>11221</v>
      </c>
      <c r="E1063" s="159">
        <v>1454</v>
      </c>
      <c r="F1063" s="157" t="s">
        <v>14456</v>
      </c>
      <c r="G1063" s="155" t="s">
        <v>14455</v>
      </c>
      <c r="H1063" s="113" t="s">
        <v>10541</v>
      </c>
      <c r="I1063" s="4" t="s">
        <v>14455</v>
      </c>
      <c r="J1063" s="155" t="s">
        <v>14456</v>
      </c>
      <c r="K1063" s="2" t="s">
        <v>15469</v>
      </c>
    </row>
    <row r="1064" spans="1:11" s="2" customFormat="1" x14ac:dyDescent="0.25">
      <c r="A1064" s="114" t="s">
        <v>14457</v>
      </c>
      <c r="B1064" s="4" t="s">
        <v>14458</v>
      </c>
      <c r="C1064" s="113" t="s">
        <v>15363</v>
      </c>
      <c r="D1064" s="155" t="s">
        <v>10304</v>
      </c>
      <c r="E1064" s="159">
        <v>360</v>
      </c>
      <c r="F1064" s="157" t="s">
        <v>14459</v>
      </c>
      <c r="G1064" s="155" t="s">
        <v>14458</v>
      </c>
      <c r="H1064" s="113" t="s">
        <v>10541</v>
      </c>
      <c r="I1064" s="4" t="s">
        <v>14458</v>
      </c>
      <c r="J1064" s="155" t="s">
        <v>14459</v>
      </c>
      <c r="K1064" s="2" t="s">
        <v>9764</v>
      </c>
    </row>
    <row r="1065" spans="1:11" s="2" customFormat="1" x14ac:dyDescent="0.25">
      <c r="A1065" s="114" t="s">
        <v>14460</v>
      </c>
      <c r="B1065" s="4" t="s">
        <v>14461</v>
      </c>
      <c r="C1065" s="113" t="s">
        <v>15363</v>
      </c>
      <c r="D1065" s="155" t="s">
        <v>14462</v>
      </c>
      <c r="E1065" s="159">
        <v>420</v>
      </c>
      <c r="F1065" s="157" t="s">
        <v>14463</v>
      </c>
      <c r="G1065" s="155" t="s">
        <v>14461</v>
      </c>
      <c r="H1065" s="113" t="s">
        <v>10541</v>
      </c>
      <c r="I1065" s="4" t="s">
        <v>14461</v>
      </c>
      <c r="J1065" s="155" t="s">
        <v>14463</v>
      </c>
      <c r="K1065" s="2" t="s">
        <v>9764</v>
      </c>
    </row>
    <row r="1066" spans="1:11" s="2" customFormat="1" x14ac:dyDescent="0.25">
      <c r="A1066" s="114" t="s">
        <v>14464</v>
      </c>
      <c r="B1066" s="4" t="s">
        <v>14465</v>
      </c>
      <c r="C1066" s="113" t="s">
        <v>15363</v>
      </c>
      <c r="D1066" s="155" t="s">
        <v>12646</v>
      </c>
      <c r="E1066" s="159">
        <v>762</v>
      </c>
      <c r="F1066" s="157" t="s">
        <v>14466</v>
      </c>
      <c r="G1066" s="155" t="s">
        <v>14465</v>
      </c>
      <c r="H1066" s="113" t="s">
        <v>10541</v>
      </c>
      <c r="I1066" s="4" t="s">
        <v>14465</v>
      </c>
      <c r="J1066" s="155" t="s">
        <v>14466</v>
      </c>
      <c r="K1066" s="2" t="s">
        <v>15469</v>
      </c>
    </row>
    <row r="1067" spans="1:11" s="2" customFormat="1" x14ac:dyDescent="0.25">
      <c r="A1067" s="114" t="s">
        <v>14467</v>
      </c>
      <c r="B1067" s="4" t="s">
        <v>14468</v>
      </c>
      <c r="C1067" s="113" t="s">
        <v>15363</v>
      </c>
      <c r="D1067" s="155" t="s">
        <v>14469</v>
      </c>
      <c r="E1067" s="159">
        <v>902</v>
      </c>
      <c r="F1067" s="157" t="s">
        <v>14470</v>
      </c>
      <c r="G1067" s="155" t="s">
        <v>14468</v>
      </c>
      <c r="H1067" s="113" t="s">
        <v>10541</v>
      </c>
      <c r="I1067" s="4" t="s">
        <v>14468</v>
      </c>
      <c r="J1067" s="155" t="s">
        <v>14470</v>
      </c>
      <c r="K1067" s="2" t="s">
        <v>15470</v>
      </c>
    </row>
    <row r="1068" spans="1:11" s="2" customFormat="1" x14ac:dyDescent="0.25">
      <c r="A1068" s="114" t="s">
        <v>14471</v>
      </c>
      <c r="B1068" s="4" t="s">
        <v>14472</v>
      </c>
      <c r="C1068" s="113" t="s">
        <v>15363</v>
      </c>
      <c r="D1068" s="155" t="s">
        <v>11209</v>
      </c>
      <c r="E1068" s="159">
        <v>396</v>
      </c>
      <c r="F1068" s="157" t="s">
        <v>14473</v>
      </c>
      <c r="G1068" s="155" t="s">
        <v>14472</v>
      </c>
      <c r="H1068" s="113" t="s">
        <v>10541</v>
      </c>
      <c r="I1068" s="4" t="s">
        <v>14472</v>
      </c>
      <c r="J1068" s="155" t="s">
        <v>14473</v>
      </c>
      <c r="K1068" s="2" t="s">
        <v>9956</v>
      </c>
    </row>
    <row r="1069" spans="1:11" s="2" customFormat="1" x14ac:dyDescent="0.25">
      <c r="A1069" s="114" t="s">
        <v>14474</v>
      </c>
      <c r="B1069" s="4" t="s">
        <v>14475</v>
      </c>
      <c r="C1069" s="113" t="s">
        <v>15363</v>
      </c>
      <c r="D1069" s="155" t="s">
        <v>9850</v>
      </c>
      <c r="E1069" s="159">
        <v>0</v>
      </c>
      <c r="F1069" s="157" t="s">
        <v>14476</v>
      </c>
      <c r="G1069" s="155" t="s">
        <v>14475</v>
      </c>
      <c r="H1069" s="113" t="s">
        <v>10541</v>
      </c>
      <c r="I1069" s="4" t="s">
        <v>14475</v>
      </c>
      <c r="J1069" s="155" t="s">
        <v>14476</v>
      </c>
      <c r="K1069" s="2" t="s">
        <v>14593</v>
      </c>
    </row>
    <row r="1070" spans="1:11" s="2" customFormat="1" x14ac:dyDescent="0.25">
      <c r="A1070" s="114" t="s">
        <v>14477</v>
      </c>
      <c r="B1070" s="4" t="s">
        <v>14478</v>
      </c>
      <c r="C1070" s="113" t="s">
        <v>15363</v>
      </c>
      <c r="D1070" s="155" t="s">
        <v>10541</v>
      </c>
      <c r="E1070" s="159">
        <v>247</v>
      </c>
      <c r="F1070" s="157" t="s">
        <v>14479</v>
      </c>
      <c r="G1070" s="155" t="s">
        <v>14478</v>
      </c>
      <c r="H1070" s="113" t="s">
        <v>10541</v>
      </c>
      <c r="I1070" s="4" t="s">
        <v>14478</v>
      </c>
      <c r="J1070" s="155" t="s">
        <v>14479</v>
      </c>
      <c r="K1070" s="2" t="s">
        <v>15468</v>
      </c>
    </row>
    <row r="1071" spans="1:11" s="2" customFormat="1" x14ac:dyDescent="0.25">
      <c r="A1071" s="114" t="s">
        <v>14480</v>
      </c>
      <c r="B1071" s="4" t="s">
        <v>14481</v>
      </c>
      <c r="C1071" s="113" t="s">
        <v>15363</v>
      </c>
      <c r="D1071" s="155" t="s">
        <v>9810</v>
      </c>
      <c r="E1071" s="159">
        <v>162</v>
      </c>
      <c r="F1071" s="157" t="s">
        <v>14482</v>
      </c>
      <c r="G1071" s="155" t="s">
        <v>14481</v>
      </c>
      <c r="H1071" s="113" t="s">
        <v>10541</v>
      </c>
      <c r="I1071" s="4" t="s">
        <v>14481</v>
      </c>
      <c r="J1071" s="155" t="s">
        <v>14482</v>
      </c>
      <c r="K1071" s="2" t="s">
        <v>11356</v>
      </c>
    </row>
    <row r="1072" spans="1:11" s="2" customFormat="1" x14ac:dyDescent="0.25">
      <c r="A1072" s="114" t="s">
        <v>14483</v>
      </c>
      <c r="B1072" s="4" t="s">
        <v>14484</v>
      </c>
      <c r="C1072" s="113" t="s">
        <v>15363</v>
      </c>
      <c r="D1072" s="155" t="s">
        <v>12724</v>
      </c>
      <c r="E1072" s="159">
        <v>897</v>
      </c>
      <c r="F1072" s="157" t="s">
        <v>14485</v>
      </c>
      <c r="G1072" s="155" t="s">
        <v>14484</v>
      </c>
      <c r="H1072" s="113" t="s">
        <v>10541</v>
      </c>
      <c r="I1072" s="4" t="s">
        <v>14484</v>
      </c>
      <c r="J1072" s="155" t="s">
        <v>14485</v>
      </c>
      <c r="K1072" s="2" t="s">
        <v>9764</v>
      </c>
    </row>
    <row r="1073" spans="1:11" s="2" customFormat="1" x14ac:dyDescent="0.25">
      <c r="A1073" s="114" t="s">
        <v>14486</v>
      </c>
      <c r="B1073" s="4" t="s">
        <v>14487</v>
      </c>
      <c r="C1073" s="113" t="s">
        <v>15363</v>
      </c>
      <c r="D1073" s="155" t="s">
        <v>10181</v>
      </c>
      <c r="E1073" s="159">
        <v>428</v>
      </c>
      <c r="F1073" s="157" t="s">
        <v>14488</v>
      </c>
      <c r="G1073" s="155" t="s">
        <v>14487</v>
      </c>
      <c r="H1073" s="113" t="s">
        <v>10541</v>
      </c>
      <c r="I1073" s="4" t="s">
        <v>14487</v>
      </c>
      <c r="J1073" s="155" t="s">
        <v>14488</v>
      </c>
      <c r="K1073" s="2" t="s">
        <v>15469</v>
      </c>
    </row>
    <row r="1074" spans="1:11" s="2" customFormat="1" x14ac:dyDescent="0.25">
      <c r="A1074" s="114" t="s">
        <v>14489</v>
      </c>
      <c r="B1074" s="4" t="s">
        <v>14490</v>
      </c>
      <c r="C1074" s="113" t="s">
        <v>15363</v>
      </c>
      <c r="D1074" s="155" t="s">
        <v>10043</v>
      </c>
      <c r="E1074" s="159">
        <v>396</v>
      </c>
      <c r="F1074" s="157" t="s">
        <v>14491</v>
      </c>
      <c r="G1074" s="155" t="s">
        <v>14490</v>
      </c>
      <c r="H1074" s="113" t="s">
        <v>10541</v>
      </c>
      <c r="I1074" s="4" t="s">
        <v>14490</v>
      </c>
      <c r="J1074" s="155" t="s">
        <v>14491</v>
      </c>
      <c r="K1074" s="2" t="s">
        <v>15467</v>
      </c>
    </row>
    <row r="1075" spans="1:11" s="2" customFormat="1" x14ac:dyDescent="0.25">
      <c r="A1075" s="114" t="s">
        <v>14492</v>
      </c>
      <c r="B1075" s="4" t="s">
        <v>14493</v>
      </c>
      <c r="C1075" s="113" t="s">
        <v>15363</v>
      </c>
      <c r="D1075" s="155" t="s">
        <v>9977</v>
      </c>
      <c r="E1075" s="159">
        <v>1007</v>
      </c>
      <c r="F1075" s="157" t="s">
        <v>14494</v>
      </c>
      <c r="G1075" s="155" t="s">
        <v>14493</v>
      </c>
      <c r="H1075" s="113" t="s">
        <v>10541</v>
      </c>
      <c r="I1075" s="4" t="s">
        <v>14493</v>
      </c>
      <c r="J1075" s="155" t="s">
        <v>14494</v>
      </c>
      <c r="K1075" s="2" t="s">
        <v>9764</v>
      </c>
    </row>
    <row r="1076" spans="1:11" s="2" customFormat="1" x14ac:dyDescent="0.25">
      <c r="A1076" s="114" t="s">
        <v>14495</v>
      </c>
      <c r="B1076" s="4" t="s">
        <v>10704</v>
      </c>
      <c r="C1076" s="113" t="s">
        <v>15363</v>
      </c>
      <c r="D1076" s="155" t="s">
        <v>9887</v>
      </c>
      <c r="E1076" s="159">
        <v>1552</v>
      </c>
      <c r="F1076" s="157" t="s">
        <v>14496</v>
      </c>
      <c r="G1076" s="155" t="s">
        <v>10704</v>
      </c>
      <c r="H1076" s="113" t="s">
        <v>10541</v>
      </c>
      <c r="I1076" s="4" t="s">
        <v>10704</v>
      </c>
      <c r="J1076" s="155" t="s">
        <v>14496</v>
      </c>
      <c r="K1076" s="2" t="s">
        <v>15472</v>
      </c>
    </row>
    <row r="1077" spans="1:11" s="2" customFormat="1" x14ac:dyDescent="0.25">
      <c r="A1077" s="114" t="s">
        <v>14497</v>
      </c>
      <c r="B1077" s="4" t="s">
        <v>14498</v>
      </c>
      <c r="C1077" s="113" t="s">
        <v>15363</v>
      </c>
      <c r="D1077" s="155" t="s">
        <v>12958</v>
      </c>
      <c r="E1077" s="159">
        <v>0</v>
      </c>
      <c r="F1077" s="157" t="s">
        <v>14499</v>
      </c>
      <c r="G1077" s="155" t="s">
        <v>14498</v>
      </c>
      <c r="H1077" s="113" t="s">
        <v>10541</v>
      </c>
      <c r="I1077" s="4" t="s">
        <v>14498</v>
      </c>
      <c r="J1077" s="155" t="s">
        <v>14499</v>
      </c>
      <c r="K1077" s="2" t="s">
        <v>15472</v>
      </c>
    </row>
    <row r="1078" spans="1:11" s="2" customFormat="1" x14ac:dyDescent="0.25">
      <c r="A1078" s="114" t="s">
        <v>14500</v>
      </c>
      <c r="B1078" s="4" t="s">
        <v>14501</v>
      </c>
      <c r="C1078" s="113" t="s">
        <v>15363</v>
      </c>
      <c r="D1078" s="155" t="s">
        <v>10114</v>
      </c>
      <c r="E1078" s="159">
        <v>50</v>
      </c>
      <c r="F1078" s="157" t="s">
        <v>14503</v>
      </c>
      <c r="G1078" s="155" t="s">
        <v>14502</v>
      </c>
      <c r="H1078" s="113" t="s">
        <v>10541</v>
      </c>
      <c r="I1078" s="4" t="s">
        <v>14501</v>
      </c>
      <c r="J1078" s="155" t="s">
        <v>14503</v>
      </c>
      <c r="K1078" s="2" t="s">
        <v>15468</v>
      </c>
    </row>
    <row r="1079" spans="1:11" s="2" customFormat="1" x14ac:dyDescent="0.25">
      <c r="A1079" s="114" t="s">
        <v>14504</v>
      </c>
      <c r="B1079" s="4" t="s">
        <v>11618</v>
      </c>
      <c r="C1079" s="113" t="s">
        <v>15363</v>
      </c>
      <c r="D1079" s="155" t="s">
        <v>14505</v>
      </c>
      <c r="E1079" s="159">
        <v>1155</v>
      </c>
      <c r="F1079" s="157" t="s">
        <v>14506</v>
      </c>
      <c r="G1079" s="155" t="s">
        <v>11618</v>
      </c>
      <c r="H1079" s="113" t="s">
        <v>10541</v>
      </c>
      <c r="I1079" s="4" t="s">
        <v>11618</v>
      </c>
      <c r="J1079" s="155" t="s">
        <v>14506</v>
      </c>
      <c r="K1079" s="2" t="s">
        <v>15467</v>
      </c>
    </row>
    <row r="1080" spans="1:11" s="2" customFormat="1" x14ac:dyDescent="0.25">
      <c r="A1080" s="114" t="s">
        <v>14507</v>
      </c>
      <c r="B1080" s="4" t="s">
        <v>14508</v>
      </c>
      <c r="C1080" s="113" t="s">
        <v>15363</v>
      </c>
      <c r="D1080" s="155" t="s">
        <v>10808</v>
      </c>
      <c r="E1080" s="159">
        <v>104</v>
      </c>
      <c r="F1080" s="157" t="s">
        <v>14509</v>
      </c>
      <c r="G1080" s="155" t="s">
        <v>14508</v>
      </c>
      <c r="H1080" s="113" t="s">
        <v>10541</v>
      </c>
      <c r="I1080" s="4" t="s">
        <v>14508</v>
      </c>
      <c r="J1080" s="155" t="s">
        <v>14509</v>
      </c>
      <c r="K1080" s="2" t="s">
        <v>15468</v>
      </c>
    </row>
    <row r="1081" spans="1:11" s="2" customFormat="1" x14ac:dyDescent="0.25">
      <c r="A1081" s="114" t="s">
        <v>14510</v>
      </c>
      <c r="B1081" s="4" t="s">
        <v>13096</v>
      </c>
      <c r="C1081" s="113" t="s">
        <v>15363</v>
      </c>
      <c r="D1081" s="155" t="s">
        <v>9810</v>
      </c>
      <c r="E1081" s="159">
        <v>745</v>
      </c>
      <c r="F1081" s="157" t="s">
        <v>14511</v>
      </c>
      <c r="G1081" s="155" t="s">
        <v>13096</v>
      </c>
      <c r="H1081" s="113" t="s">
        <v>10541</v>
      </c>
      <c r="I1081" s="4" t="s">
        <v>13096</v>
      </c>
      <c r="J1081" s="155" t="s">
        <v>14511</v>
      </c>
      <c r="K1081" s="2" t="s">
        <v>15470</v>
      </c>
    </row>
    <row r="1082" spans="1:11" s="2" customFormat="1" x14ac:dyDescent="0.25">
      <c r="A1082" s="114" t="s">
        <v>14512</v>
      </c>
      <c r="B1082" s="4" t="s">
        <v>14513</v>
      </c>
      <c r="C1082" s="113" t="s">
        <v>15363</v>
      </c>
      <c r="D1082" s="155" t="s">
        <v>14514</v>
      </c>
      <c r="E1082" s="159">
        <v>996</v>
      </c>
      <c r="F1082" s="157" t="s">
        <v>14515</v>
      </c>
      <c r="G1082" s="155" t="s">
        <v>14513</v>
      </c>
      <c r="H1082" s="113" t="s">
        <v>10541</v>
      </c>
      <c r="I1082" s="4" t="s">
        <v>14513</v>
      </c>
      <c r="J1082" s="155" t="s">
        <v>14515</v>
      </c>
      <c r="K1082" s="2" t="s">
        <v>13672</v>
      </c>
    </row>
    <row r="1083" spans="1:11" s="2" customFormat="1" x14ac:dyDescent="0.25">
      <c r="A1083" s="114" t="s">
        <v>14516</v>
      </c>
      <c r="B1083" s="4" t="s">
        <v>14517</v>
      </c>
      <c r="C1083" s="113" t="s">
        <v>15363</v>
      </c>
      <c r="D1083" s="155" t="s">
        <v>9887</v>
      </c>
      <c r="E1083" s="159">
        <v>163</v>
      </c>
      <c r="F1083" s="157" t="s">
        <v>14519</v>
      </c>
      <c r="G1083" s="155" t="s">
        <v>14518</v>
      </c>
      <c r="H1083" s="113" t="s">
        <v>10541</v>
      </c>
      <c r="I1083" s="4" t="s">
        <v>14517</v>
      </c>
      <c r="J1083" s="155" t="s">
        <v>14519</v>
      </c>
      <c r="K1083" s="2" t="s">
        <v>15472</v>
      </c>
    </row>
    <row r="1084" spans="1:11" s="2" customFormat="1" x14ac:dyDescent="0.25">
      <c r="A1084" s="114" t="s">
        <v>14520</v>
      </c>
      <c r="B1084" s="4" t="s">
        <v>14521</v>
      </c>
      <c r="C1084" s="113" t="s">
        <v>15363</v>
      </c>
      <c r="D1084" s="155" t="s">
        <v>14002</v>
      </c>
      <c r="E1084" s="159">
        <v>550</v>
      </c>
      <c r="F1084" s="157" t="s">
        <v>14522</v>
      </c>
      <c r="G1084" s="155" t="s">
        <v>14521</v>
      </c>
      <c r="H1084" s="113" t="s">
        <v>10541</v>
      </c>
      <c r="I1084" s="4" t="s">
        <v>14521</v>
      </c>
      <c r="J1084" s="155" t="s">
        <v>14522</v>
      </c>
      <c r="K1084" s="2" t="s">
        <v>15472</v>
      </c>
    </row>
    <row r="1085" spans="1:11" s="2" customFormat="1" x14ac:dyDescent="0.25">
      <c r="A1085" s="114" t="s">
        <v>14523</v>
      </c>
      <c r="B1085" s="4" t="s">
        <v>14524</v>
      </c>
      <c r="C1085" s="113" t="s">
        <v>15363</v>
      </c>
      <c r="D1085" s="155" t="s">
        <v>14358</v>
      </c>
      <c r="E1085" s="159">
        <v>624</v>
      </c>
      <c r="F1085" s="157" t="s">
        <v>14525</v>
      </c>
      <c r="G1085" s="155" t="s">
        <v>14524</v>
      </c>
      <c r="H1085" s="113" t="s">
        <v>10541</v>
      </c>
      <c r="I1085" s="4" t="s">
        <v>14524</v>
      </c>
      <c r="J1085" s="155" t="s">
        <v>14525</v>
      </c>
      <c r="K1085" s="2" t="s">
        <v>15472</v>
      </c>
    </row>
    <row r="1086" spans="1:11" s="2" customFormat="1" x14ac:dyDescent="0.25">
      <c r="A1086" s="114" t="s">
        <v>14526</v>
      </c>
      <c r="B1086" s="4" t="s">
        <v>11356</v>
      </c>
      <c r="C1086" s="113" t="s">
        <v>15363</v>
      </c>
      <c r="D1086" s="155" t="s">
        <v>11855</v>
      </c>
      <c r="E1086" s="159">
        <v>915</v>
      </c>
      <c r="F1086" s="157" t="s">
        <v>14527</v>
      </c>
      <c r="G1086" s="155" t="s">
        <v>11356</v>
      </c>
      <c r="H1086" s="113" t="s">
        <v>10541</v>
      </c>
      <c r="I1086" s="4" t="s">
        <v>11356</v>
      </c>
      <c r="J1086" s="155" t="s">
        <v>14527</v>
      </c>
      <c r="K1086" s="2" t="s">
        <v>11356</v>
      </c>
    </row>
    <row r="1087" spans="1:11" s="2" customFormat="1" x14ac:dyDescent="0.25">
      <c r="A1087" s="114" t="s">
        <v>14528</v>
      </c>
      <c r="B1087" s="4" t="s">
        <v>14529</v>
      </c>
      <c r="C1087" s="113" t="s">
        <v>15363</v>
      </c>
      <c r="D1087" s="155" t="s">
        <v>14530</v>
      </c>
      <c r="E1087" s="159"/>
      <c r="F1087" s="157" t="s">
        <v>14531</v>
      </c>
      <c r="G1087" s="155" t="s">
        <v>14529</v>
      </c>
      <c r="H1087" s="113" t="s">
        <v>10541</v>
      </c>
      <c r="I1087" s="4" t="s">
        <v>14529</v>
      </c>
      <c r="J1087" s="155" t="s">
        <v>14531</v>
      </c>
      <c r="K1087" s="2" t="s">
        <v>11371</v>
      </c>
    </row>
    <row r="1088" spans="1:11" s="2" customFormat="1" x14ac:dyDescent="0.25">
      <c r="A1088" s="114" t="s">
        <v>14532</v>
      </c>
      <c r="B1088" s="4" t="s">
        <v>13672</v>
      </c>
      <c r="C1088" s="113" t="s">
        <v>15363</v>
      </c>
      <c r="D1088" s="155" t="s">
        <v>9764</v>
      </c>
      <c r="E1088" s="159">
        <v>1839</v>
      </c>
      <c r="F1088" s="157" t="s">
        <v>14533</v>
      </c>
      <c r="G1088" s="155" t="s">
        <v>13672</v>
      </c>
      <c r="H1088" s="113" t="s">
        <v>10541</v>
      </c>
      <c r="I1088" s="4" t="s">
        <v>13672</v>
      </c>
      <c r="J1088" s="155" t="s">
        <v>14533</v>
      </c>
      <c r="K1088" s="2" t="s">
        <v>13672</v>
      </c>
    </row>
    <row r="1089" spans="1:11" s="2" customFormat="1" x14ac:dyDescent="0.25">
      <c r="A1089" s="114" t="s">
        <v>14534</v>
      </c>
      <c r="B1089" s="4" t="s">
        <v>14535</v>
      </c>
      <c r="C1089" s="113" t="s">
        <v>15363</v>
      </c>
      <c r="D1089" s="155" t="s">
        <v>10043</v>
      </c>
      <c r="E1089" s="159">
        <v>577</v>
      </c>
      <c r="F1089" s="157" t="s">
        <v>14536</v>
      </c>
      <c r="G1089" s="155" t="s">
        <v>14535</v>
      </c>
      <c r="H1089" s="113" t="s">
        <v>10541</v>
      </c>
      <c r="I1089" s="4" t="s">
        <v>14535</v>
      </c>
      <c r="J1089" s="155" t="s">
        <v>14536</v>
      </c>
      <c r="K1089" s="2" t="s">
        <v>15472</v>
      </c>
    </row>
    <row r="1090" spans="1:11" s="2" customFormat="1" x14ac:dyDescent="0.25">
      <c r="A1090" s="114" t="s">
        <v>14537</v>
      </c>
      <c r="B1090" s="4" t="s">
        <v>14538</v>
      </c>
      <c r="C1090" s="113" t="s">
        <v>15363</v>
      </c>
      <c r="D1090" s="155" t="s">
        <v>11414</v>
      </c>
      <c r="E1090" s="159">
        <v>1298</v>
      </c>
      <c r="F1090" s="157" t="s">
        <v>14539</v>
      </c>
      <c r="G1090" s="155" t="s">
        <v>14538</v>
      </c>
      <c r="H1090" s="113" t="s">
        <v>10541</v>
      </c>
      <c r="I1090" s="4" t="s">
        <v>14538</v>
      </c>
      <c r="J1090" s="155" t="s">
        <v>14539</v>
      </c>
      <c r="K1090" s="2" t="s">
        <v>9764</v>
      </c>
    </row>
    <row r="1091" spans="1:11" s="2" customFormat="1" x14ac:dyDescent="0.25">
      <c r="A1091" s="114" t="s">
        <v>14540</v>
      </c>
      <c r="B1091" s="4" t="s">
        <v>14541</v>
      </c>
      <c r="C1091" s="113" t="s">
        <v>15363</v>
      </c>
      <c r="D1091" s="155" t="s">
        <v>14542</v>
      </c>
      <c r="E1091" s="159">
        <v>1401</v>
      </c>
      <c r="F1091" s="157" t="s">
        <v>14543</v>
      </c>
      <c r="G1091" s="155" t="s">
        <v>14541</v>
      </c>
      <c r="H1091" s="113" t="s">
        <v>10541</v>
      </c>
      <c r="I1091" s="4" t="s">
        <v>14541</v>
      </c>
      <c r="J1091" s="155" t="s">
        <v>14543</v>
      </c>
      <c r="K1091" s="2" t="s">
        <v>15467</v>
      </c>
    </row>
    <row r="1092" spans="1:11" s="2" customFormat="1" x14ac:dyDescent="0.25">
      <c r="A1092" s="114" t="s">
        <v>14544</v>
      </c>
      <c r="B1092" s="4" t="s">
        <v>9956</v>
      </c>
      <c r="C1092" s="113" t="s">
        <v>15363</v>
      </c>
      <c r="D1092" s="155" t="s">
        <v>14545</v>
      </c>
      <c r="E1092" s="159">
        <v>2340</v>
      </c>
      <c r="F1092" s="157" t="s">
        <v>14546</v>
      </c>
      <c r="G1092" s="155" t="s">
        <v>9956</v>
      </c>
      <c r="H1092" s="113" t="s">
        <v>10541</v>
      </c>
      <c r="I1092" s="4" t="s">
        <v>9956</v>
      </c>
      <c r="J1092" s="155" t="s">
        <v>14546</v>
      </c>
      <c r="K1092" s="2" t="s">
        <v>9956</v>
      </c>
    </row>
    <row r="1093" spans="1:11" s="2" customFormat="1" x14ac:dyDescent="0.25">
      <c r="A1093" s="114" t="s">
        <v>14547</v>
      </c>
      <c r="B1093" s="4" t="s">
        <v>14548</v>
      </c>
      <c r="C1093" s="113" t="s">
        <v>15363</v>
      </c>
      <c r="D1093" s="155" t="s">
        <v>14549</v>
      </c>
      <c r="E1093" s="159">
        <v>785</v>
      </c>
      <c r="F1093" s="157" t="s">
        <v>14550</v>
      </c>
      <c r="G1093" s="155" t="s">
        <v>14548</v>
      </c>
      <c r="H1093" s="113" t="s">
        <v>10541</v>
      </c>
      <c r="I1093" s="4" t="s">
        <v>14548</v>
      </c>
      <c r="J1093" s="155" t="s">
        <v>14550</v>
      </c>
      <c r="K1093" s="2" t="s">
        <v>9764</v>
      </c>
    </row>
    <row r="1094" spans="1:11" s="2" customFormat="1" x14ac:dyDescent="0.25">
      <c r="A1094" s="114" t="s">
        <v>14551</v>
      </c>
      <c r="B1094" s="4" t="s">
        <v>11161</v>
      </c>
      <c r="C1094" s="113" t="s">
        <v>15363</v>
      </c>
      <c r="D1094" s="155" t="s">
        <v>11635</v>
      </c>
      <c r="E1094" s="159">
        <v>144</v>
      </c>
      <c r="F1094" s="157" t="s">
        <v>14552</v>
      </c>
      <c r="G1094" s="155" t="s">
        <v>11161</v>
      </c>
      <c r="H1094" s="113" t="s">
        <v>10541</v>
      </c>
      <c r="I1094" s="4" t="s">
        <v>11161</v>
      </c>
      <c r="J1094" s="155" t="s">
        <v>14552</v>
      </c>
      <c r="K1094" s="2" t="s">
        <v>15468</v>
      </c>
    </row>
    <row r="1095" spans="1:11" s="2" customFormat="1" x14ac:dyDescent="0.25">
      <c r="A1095" s="114" t="s">
        <v>14553</v>
      </c>
      <c r="B1095" s="4" t="s">
        <v>14554</v>
      </c>
      <c r="C1095" s="113" t="s">
        <v>15363</v>
      </c>
      <c r="D1095" s="155" t="s">
        <v>14555</v>
      </c>
      <c r="E1095" s="159">
        <v>645</v>
      </c>
      <c r="F1095" s="157" t="s">
        <v>14557</v>
      </c>
      <c r="G1095" s="155" t="s">
        <v>14556</v>
      </c>
      <c r="H1095" s="113" t="s">
        <v>10541</v>
      </c>
      <c r="I1095" s="4" t="s">
        <v>14554</v>
      </c>
      <c r="J1095" s="155" t="s">
        <v>14557</v>
      </c>
      <c r="K1095" s="2" t="s">
        <v>15472</v>
      </c>
    </row>
    <row r="1096" spans="1:11" s="2" customFormat="1" x14ac:dyDescent="0.25">
      <c r="A1096" s="114" t="s">
        <v>14558</v>
      </c>
      <c r="B1096" s="4" t="s">
        <v>14559</v>
      </c>
      <c r="C1096" s="113" t="s">
        <v>15363</v>
      </c>
      <c r="D1096" s="155" t="s">
        <v>14560</v>
      </c>
      <c r="E1096" s="159">
        <v>88</v>
      </c>
      <c r="F1096" s="157" t="s">
        <v>14561</v>
      </c>
      <c r="G1096" s="155" t="s">
        <v>14559</v>
      </c>
      <c r="H1096" s="113" t="s">
        <v>10541</v>
      </c>
      <c r="I1096" s="4" t="s">
        <v>14559</v>
      </c>
      <c r="J1096" s="155" t="s">
        <v>14561</v>
      </c>
      <c r="K1096" s="2" t="s">
        <v>15468</v>
      </c>
    </row>
    <row r="1097" spans="1:11" s="2" customFormat="1" x14ac:dyDescent="0.25">
      <c r="A1097" s="114" t="s">
        <v>14562</v>
      </c>
      <c r="B1097" s="4" t="s">
        <v>11634</v>
      </c>
      <c r="C1097" s="113" t="s">
        <v>15363</v>
      </c>
      <c r="D1097" s="155" t="s">
        <v>14358</v>
      </c>
      <c r="E1097" s="159">
        <v>331</v>
      </c>
      <c r="F1097" s="157" t="s">
        <v>14564</v>
      </c>
      <c r="G1097" s="155" t="s">
        <v>14563</v>
      </c>
      <c r="H1097" s="113" t="s">
        <v>10541</v>
      </c>
      <c r="I1097" s="4" t="s">
        <v>11634</v>
      </c>
      <c r="J1097" s="155" t="s">
        <v>14564</v>
      </c>
      <c r="K1097" s="2" t="s">
        <v>15471</v>
      </c>
    </row>
    <row r="1098" spans="1:11" s="2" customFormat="1" x14ac:dyDescent="0.25">
      <c r="A1098" s="114" t="s">
        <v>14565</v>
      </c>
      <c r="B1098" s="4" t="s">
        <v>12751</v>
      </c>
      <c r="C1098" s="113" t="s">
        <v>15363</v>
      </c>
      <c r="D1098" s="155" t="s">
        <v>12732</v>
      </c>
      <c r="E1098" s="159">
        <v>2517</v>
      </c>
      <c r="F1098" s="157" t="s">
        <v>14566</v>
      </c>
      <c r="G1098" s="155" t="s">
        <v>12751</v>
      </c>
      <c r="H1098" s="113" t="s">
        <v>10541</v>
      </c>
      <c r="I1098" s="4" t="s">
        <v>12751</v>
      </c>
      <c r="J1098" s="155" t="s">
        <v>14566</v>
      </c>
      <c r="K1098" s="2" t="s">
        <v>15467</v>
      </c>
    </row>
    <row r="1099" spans="1:11" s="2" customFormat="1" x14ac:dyDescent="0.25">
      <c r="A1099" s="114" t="s">
        <v>14567</v>
      </c>
      <c r="B1099" s="4" t="s">
        <v>10043</v>
      </c>
      <c r="C1099" s="113" t="s">
        <v>15363</v>
      </c>
      <c r="D1099" s="155" t="s">
        <v>10808</v>
      </c>
      <c r="E1099" s="159">
        <v>1287</v>
      </c>
      <c r="F1099" s="157" t="s">
        <v>14568</v>
      </c>
      <c r="G1099" s="155" t="s">
        <v>10043</v>
      </c>
      <c r="H1099" s="113" t="s">
        <v>10541</v>
      </c>
      <c r="I1099" s="4" t="s">
        <v>10043</v>
      </c>
      <c r="J1099" s="155" t="s">
        <v>14568</v>
      </c>
      <c r="K1099" s="2" t="s">
        <v>15472</v>
      </c>
    </row>
    <row r="1100" spans="1:11" s="2" customFormat="1" x14ac:dyDescent="0.25">
      <c r="A1100" s="114" t="s">
        <v>14569</v>
      </c>
      <c r="B1100" s="4" t="s">
        <v>14570</v>
      </c>
      <c r="C1100" s="113" t="s">
        <v>15363</v>
      </c>
      <c r="D1100" s="155" t="s">
        <v>14571</v>
      </c>
      <c r="E1100" s="159">
        <v>1635</v>
      </c>
      <c r="F1100" s="157" t="s">
        <v>14572</v>
      </c>
      <c r="G1100" s="155" t="s">
        <v>14570</v>
      </c>
      <c r="H1100" s="113" t="s">
        <v>10541</v>
      </c>
      <c r="I1100" s="4" t="s">
        <v>14570</v>
      </c>
      <c r="J1100" s="155" t="s">
        <v>14572</v>
      </c>
      <c r="K1100" s="2" t="s">
        <v>9764</v>
      </c>
    </row>
    <row r="1101" spans="1:11" s="2" customFormat="1" x14ac:dyDescent="0.25">
      <c r="A1101" s="114" t="s">
        <v>14573</v>
      </c>
      <c r="B1101" s="4" t="s">
        <v>14574</v>
      </c>
      <c r="C1101" s="113" t="s">
        <v>15363</v>
      </c>
      <c r="D1101" s="155" t="s">
        <v>9887</v>
      </c>
      <c r="E1101" s="159">
        <v>598</v>
      </c>
      <c r="F1101" s="157" t="s">
        <v>14575</v>
      </c>
      <c r="G1101" s="155" t="s">
        <v>14574</v>
      </c>
      <c r="H1101" s="113" t="s">
        <v>10541</v>
      </c>
      <c r="I1101" s="4" t="s">
        <v>14574</v>
      </c>
      <c r="J1101" s="155" t="s">
        <v>14575</v>
      </c>
      <c r="K1101" s="2" t="s">
        <v>11356</v>
      </c>
    </row>
    <row r="1102" spans="1:11" s="2" customFormat="1" x14ac:dyDescent="0.25">
      <c r="A1102" s="114" t="s">
        <v>14576</v>
      </c>
      <c r="B1102" s="4" t="s">
        <v>14577</v>
      </c>
      <c r="C1102" s="113" t="s">
        <v>15363</v>
      </c>
      <c r="D1102" s="155" t="s">
        <v>13107</v>
      </c>
      <c r="E1102" s="159">
        <v>192</v>
      </c>
      <c r="F1102" s="157" t="s">
        <v>14578</v>
      </c>
      <c r="G1102" s="155" t="s">
        <v>14577</v>
      </c>
      <c r="H1102" s="113" t="s">
        <v>10541</v>
      </c>
      <c r="I1102" s="4" t="s">
        <v>14577</v>
      </c>
      <c r="J1102" s="155" t="s">
        <v>14578</v>
      </c>
      <c r="K1102" s="2" t="s">
        <v>15468</v>
      </c>
    </row>
    <row r="1103" spans="1:11" s="2" customFormat="1" x14ac:dyDescent="0.25">
      <c r="A1103" s="114" t="s">
        <v>14579</v>
      </c>
      <c r="B1103" s="4" t="s">
        <v>14580</v>
      </c>
      <c r="C1103" s="113" t="s">
        <v>15363</v>
      </c>
      <c r="D1103" s="155" t="s">
        <v>14581</v>
      </c>
      <c r="E1103" s="159">
        <v>1498</v>
      </c>
      <c r="F1103" s="157" t="s">
        <v>14582</v>
      </c>
      <c r="G1103" s="155" t="s">
        <v>14580</v>
      </c>
      <c r="H1103" s="113" t="s">
        <v>10541</v>
      </c>
      <c r="I1103" s="4" t="s">
        <v>14580</v>
      </c>
      <c r="J1103" s="155" t="s">
        <v>14582</v>
      </c>
      <c r="K1103" s="2" t="s">
        <v>15469</v>
      </c>
    </row>
    <row r="1104" spans="1:11" s="2" customFormat="1" x14ac:dyDescent="0.25">
      <c r="A1104" s="114" t="s">
        <v>14583</v>
      </c>
      <c r="B1104" s="4" t="s">
        <v>14584</v>
      </c>
      <c r="C1104" s="113" t="s">
        <v>15363</v>
      </c>
      <c r="D1104" s="155" t="s">
        <v>9764</v>
      </c>
      <c r="E1104" s="159">
        <v>777</v>
      </c>
      <c r="F1104" s="157" t="s">
        <v>14585</v>
      </c>
      <c r="G1104" s="155" t="s">
        <v>14584</v>
      </c>
      <c r="H1104" s="113" t="s">
        <v>10541</v>
      </c>
      <c r="I1104" s="4" t="s">
        <v>14584</v>
      </c>
      <c r="J1104" s="155" t="s">
        <v>14585</v>
      </c>
      <c r="K1104" s="2" t="s">
        <v>15469</v>
      </c>
    </row>
    <row r="1105" spans="1:11" s="2" customFormat="1" x14ac:dyDescent="0.25">
      <c r="A1105" s="114" t="s">
        <v>14586</v>
      </c>
      <c r="B1105" s="4" t="s">
        <v>14587</v>
      </c>
      <c r="C1105" s="113" t="s">
        <v>15363</v>
      </c>
      <c r="D1105" s="155" t="s">
        <v>10059</v>
      </c>
      <c r="E1105" s="159">
        <v>512</v>
      </c>
      <c r="F1105" s="157" t="s">
        <v>14588</v>
      </c>
      <c r="G1105" s="155" t="s">
        <v>14587</v>
      </c>
      <c r="H1105" s="113" t="s">
        <v>10541</v>
      </c>
      <c r="I1105" s="4" t="s">
        <v>14587</v>
      </c>
      <c r="J1105" s="155" t="s">
        <v>14588</v>
      </c>
      <c r="K1105" s="2" t="s">
        <v>15468</v>
      </c>
    </row>
    <row r="1106" spans="1:11" s="2" customFormat="1" x14ac:dyDescent="0.25">
      <c r="A1106" s="114" t="s">
        <v>14589</v>
      </c>
      <c r="B1106" s="4" t="s">
        <v>14590</v>
      </c>
      <c r="C1106" s="113" t="s">
        <v>15363</v>
      </c>
      <c r="D1106" s="155" t="s">
        <v>10609</v>
      </c>
      <c r="E1106" s="159">
        <v>1118</v>
      </c>
      <c r="F1106" s="157" t="s">
        <v>14591</v>
      </c>
      <c r="G1106" s="155" t="s">
        <v>14590</v>
      </c>
      <c r="H1106" s="113" t="s">
        <v>10541</v>
      </c>
      <c r="I1106" s="4" t="s">
        <v>14590</v>
      </c>
      <c r="J1106" s="155" t="s">
        <v>14591</v>
      </c>
      <c r="K1106" s="2" t="s">
        <v>9810</v>
      </c>
    </row>
    <row r="1107" spans="1:11" s="2" customFormat="1" x14ac:dyDescent="0.25">
      <c r="A1107" s="114" t="s">
        <v>14592</v>
      </c>
      <c r="B1107" s="4" t="s">
        <v>14593</v>
      </c>
      <c r="C1107" s="113" t="s">
        <v>15363</v>
      </c>
      <c r="D1107" s="155" t="s">
        <v>9887</v>
      </c>
      <c r="E1107" s="159">
        <v>1905</v>
      </c>
      <c r="F1107" s="157" t="s">
        <v>14594</v>
      </c>
      <c r="G1107" s="155" t="s">
        <v>14593</v>
      </c>
      <c r="H1107" s="113" t="s">
        <v>10541</v>
      </c>
      <c r="I1107" s="4" t="s">
        <v>14593</v>
      </c>
      <c r="J1107" s="155" t="s">
        <v>14594</v>
      </c>
      <c r="K1107" s="2" t="s">
        <v>14593</v>
      </c>
    </row>
    <row r="1108" spans="1:11" s="2" customFormat="1" x14ac:dyDescent="0.25">
      <c r="A1108" s="114" t="s">
        <v>14595</v>
      </c>
      <c r="B1108" s="4" t="s">
        <v>14596</v>
      </c>
      <c r="C1108" s="113" t="s">
        <v>15363</v>
      </c>
      <c r="D1108" s="155" t="s">
        <v>14597</v>
      </c>
      <c r="E1108" s="159"/>
      <c r="F1108" s="157" t="s">
        <v>14598</v>
      </c>
      <c r="G1108" s="155" t="s">
        <v>14596</v>
      </c>
      <c r="H1108" s="113" t="s">
        <v>10541</v>
      </c>
      <c r="I1108" s="4" t="s">
        <v>14596</v>
      </c>
      <c r="J1108" s="155" t="s">
        <v>14598</v>
      </c>
      <c r="K1108" s="2" t="s">
        <v>9956</v>
      </c>
    </row>
    <row r="1109" spans="1:11" s="2" customFormat="1" x14ac:dyDescent="0.25">
      <c r="A1109" s="114" t="s">
        <v>14599</v>
      </c>
      <c r="B1109" s="4" t="s">
        <v>14600</v>
      </c>
      <c r="C1109" s="113" t="s">
        <v>15363</v>
      </c>
      <c r="D1109" s="155" t="s">
        <v>12955</v>
      </c>
      <c r="E1109" s="159">
        <v>602</v>
      </c>
      <c r="F1109" s="157" t="s">
        <v>14601</v>
      </c>
      <c r="G1109" s="155" t="s">
        <v>14600</v>
      </c>
      <c r="H1109" s="113" t="s">
        <v>10541</v>
      </c>
      <c r="I1109" s="4" t="s">
        <v>14600</v>
      </c>
      <c r="J1109" s="155" t="s">
        <v>14601</v>
      </c>
      <c r="K1109" s="2" t="s">
        <v>9956</v>
      </c>
    </row>
    <row r="1110" spans="1:11" s="2" customFormat="1" x14ac:dyDescent="0.25">
      <c r="A1110" s="114" t="s">
        <v>14602</v>
      </c>
      <c r="B1110" s="4" t="s">
        <v>14603</v>
      </c>
      <c r="C1110" s="113" t="s">
        <v>15363</v>
      </c>
      <c r="D1110" s="155" t="s">
        <v>11851</v>
      </c>
      <c r="E1110" s="159">
        <v>100</v>
      </c>
      <c r="F1110" s="157" t="s">
        <v>14604</v>
      </c>
      <c r="G1110" s="155" t="s">
        <v>14603</v>
      </c>
      <c r="H1110" s="113" t="s">
        <v>10541</v>
      </c>
      <c r="I1110" s="4" t="s">
        <v>14603</v>
      </c>
      <c r="J1110" s="155" t="s">
        <v>14604</v>
      </c>
      <c r="K1110" s="2" t="s">
        <v>15468</v>
      </c>
    </row>
    <row r="1111" spans="1:11" s="2" customFormat="1" x14ac:dyDescent="0.25">
      <c r="A1111" s="114" t="s">
        <v>14605</v>
      </c>
      <c r="B1111" s="4" t="s">
        <v>14606</v>
      </c>
      <c r="C1111" s="113" t="s">
        <v>15363</v>
      </c>
      <c r="D1111" s="155" t="s">
        <v>10485</v>
      </c>
      <c r="E1111" s="159">
        <v>200</v>
      </c>
      <c r="F1111" s="157" t="s">
        <v>14607</v>
      </c>
      <c r="G1111" s="155" t="s">
        <v>14606</v>
      </c>
      <c r="H1111" s="113" t="s">
        <v>10541</v>
      </c>
      <c r="I1111" s="4" t="s">
        <v>14606</v>
      </c>
      <c r="J1111" s="155" t="s">
        <v>14607</v>
      </c>
      <c r="K1111" s="2" t="s">
        <v>15470</v>
      </c>
    </row>
    <row r="1112" spans="1:11" s="2" customFormat="1" x14ac:dyDescent="0.25">
      <c r="A1112" s="114" t="s">
        <v>14608</v>
      </c>
      <c r="B1112" s="4" t="s">
        <v>14609</v>
      </c>
      <c r="C1112" s="113" t="s">
        <v>15363</v>
      </c>
      <c r="D1112" s="155" t="s">
        <v>14610</v>
      </c>
      <c r="E1112" s="159">
        <v>0</v>
      </c>
      <c r="F1112" s="157" t="s">
        <v>14611</v>
      </c>
      <c r="G1112" s="155" t="s">
        <v>14609</v>
      </c>
      <c r="H1112" s="113" t="s">
        <v>10541</v>
      </c>
      <c r="I1112" s="4" t="s">
        <v>14609</v>
      </c>
      <c r="J1112" s="155" t="s">
        <v>14611</v>
      </c>
      <c r="K1112" s="2" t="s">
        <v>15470</v>
      </c>
    </row>
    <row r="1113" spans="1:11" s="2" customFormat="1" x14ac:dyDescent="0.25">
      <c r="A1113" s="114" t="s">
        <v>14612</v>
      </c>
      <c r="B1113" s="4" t="s">
        <v>14613</v>
      </c>
      <c r="C1113" s="113" t="s">
        <v>15363</v>
      </c>
      <c r="D1113" s="155" t="s">
        <v>9850</v>
      </c>
      <c r="E1113" s="159">
        <v>1290</v>
      </c>
      <c r="F1113" s="157" t="s">
        <v>14614</v>
      </c>
      <c r="G1113" s="155" t="s">
        <v>14613</v>
      </c>
      <c r="H1113" s="113" t="s">
        <v>10541</v>
      </c>
      <c r="I1113" s="4" t="s">
        <v>14613</v>
      </c>
      <c r="J1113" s="155" t="s">
        <v>14614</v>
      </c>
      <c r="K1113" s="2" t="s">
        <v>15470</v>
      </c>
    </row>
    <row r="1114" spans="1:11" s="2" customFormat="1" x14ac:dyDescent="0.25">
      <c r="A1114" s="114" t="s">
        <v>14615</v>
      </c>
      <c r="B1114" s="4" t="s">
        <v>14616</v>
      </c>
      <c r="C1114" s="113" t="s">
        <v>15363</v>
      </c>
      <c r="D1114" s="155" t="s">
        <v>14617</v>
      </c>
      <c r="E1114" s="159">
        <v>362</v>
      </c>
      <c r="F1114" s="157" t="s">
        <v>14618</v>
      </c>
      <c r="G1114" s="155" t="s">
        <v>14616</v>
      </c>
      <c r="H1114" s="113" t="s">
        <v>10541</v>
      </c>
      <c r="I1114" s="4" t="s">
        <v>14616</v>
      </c>
      <c r="J1114" s="155" t="s">
        <v>14618</v>
      </c>
      <c r="K1114" s="2" t="s">
        <v>11356</v>
      </c>
    </row>
    <row r="1115" spans="1:11" s="2" customFormat="1" x14ac:dyDescent="0.25">
      <c r="A1115" s="114" t="s">
        <v>14619</v>
      </c>
      <c r="B1115" s="4" t="s">
        <v>14620</v>
      </c>
      <c r="C1115" s="113" t="s">
        <v>15363</v>
      </c>
      <c r="D1115" s="155" t="s">
        <v>9810</v>
      </c>
      <c r="E1115" s="159">
        <v>735</v>
      </c>
      <c r="F1115" s="157" t="s">
        <v>14621</v>
      </c>
      <c r="G1115" s="155" t="s">
        <v>14620</v>
      </c>
      <c r="H1115" s="113" t="s">
        <v>10541</v>
      </c>
      <c r="I1115" s="4" t="s">
        <v>14620</v>
      </c>
      <c r="J1115" s="155" t="s">
        <v>14621</v>
      </c>
      <c r="K1115" s="2" t="s">
        <v>9810</v>
      </c>
    </row>
    <row r="1116" spans="1:11" s="2" customFormat="1" x14ac:dyDescent="0.25">
      <c r="A1116" s="114" t="s">
        <v>14622</v>
      </c>
      <c r="B1116" s="4" t="s">
        <v>14623</v>
      </c>
      <c r="C1116" s="113" t="s">
        <v>15363</v>
      </c>
      <c r="D1116" s="155" t="s">
        <v>10181</v>
      </c>
      <c r="E1116" s="159">
        <v>755</v>
      </c>
      <c r="F1116" s="157" t="s">
        <v>14624</v>
      </c>
      <c r="G1116" s="155" t="s">
        <v>14623</v>
      </c>
      <c r="H1116" s="113" t="s">
        <v>10541</v>
      </c>
      <c r="I1116" s="4" t="s">
        <v>14623</v>
      </c>
      <c r="J1116" s="155" t="s">
        <v>14624</v>
      </c>
      <c r="K1116" s="2" t="s">
        <v>15468</v>
      </c>
    </row>
    <row r="1117" spans="1:11" s="2" customFormat="1" x14ac:dyDescent="0.25">
      <c r="A1117" s="114" t="s">
        <v>14625</v>
      </c>
      <c r="B1117" s="4" t="s">
        <v>14626</v>
      </c>
      <c r="C1117" s="113" t="s">
        <v>15363</v>
      </c>
      <c r="D1117" s="155" t="s">
        <v>11398</v>
      </c>
      <c r="E1117" s="159">
        <v>2558</v>
      </c>
      <c r="F1117" s="157" t="s">
        <v>14627</v>
      </c>
      <c r="G1117" s="155" t="s">
        <v>10541</v>
      </c>
      <c r="H1117" s="113" t="s">
        <v>10541</v>
      </c>
      <c r="I1117" s="4" t="s">
        <v>14626</v>
      </c>
      <c r="J1117" s="155" t="s">
        <v>14627</v>
      </c>
      <c r="K1117" s="2" t="s">
        <v>15467</v>
      </c>
    </row>
    <row r="1118" spans="1:11" s="2" customFormat="1" x14ac:dyDescent="0.25">
      <c r="A1118" s="114" t="s">
        <v>14628</v>
      </c>
      <c r="B1118" s="4" t="s">
        <v>14629</v>
      </c>
      <c r="C1118" s="113" t="s">
        <v>15363</v>
      </c>
      <c r="D1118" s="155" t="s">
        <v>10297</v>
      </c>
      <c r="E1118" s="159">
        <v>721</v>
      </c>
      <c r="F1118" s="157" t="s">
        <v>14630</v>
      </c>
      <c r="G1118" s="155" t="s">
        <v>14348</v>
      </c>
      <c r="H1118" s="113" t="s">
        <v>10541</v>
      </c>
      <c r="I1118" s="4" t="s">
        <v>14629</v>
      </c>
      <c r="J1118" s="155" t="s">
        <v>14630</v>
      </c>
      <c r="K1118" s="2" t="s">
        <v>14348</v>
      </c>
    </row>
    <row r="1119" spans="1:11" s="2" customFormat="1" x14ac:dyDescent="0.25">
      <c r="A1119" s="114" t="s">
        <v>14631</v>
      </c>
      <c r="B1119" s="4" t="s">
        <v>14632</v>
      </c>
      <c r="C1119" s="113" t="s">
        <v>15363</v>
      </c>
      <c r="D1119" s="155" t="s">
        <v>12414</v>
      </c>
      <c r="E1119" s="159">
        <v>1755</v>
      </c>
      <c r="F1119" s="157" t="s">
        <v>14633</v>
      </c>
      <c r="G1119" s="155" t="s">
        <v>14348</v>
      </c>
      <c r="H1119" s="113" t="s">
        <v>10541</v>
      </c>
      <c r="I1119" s="4" t="s">
        <v>14632</v>
      </c>
      <c r="J1119" s="155" t="s">
        <v>14633</v>
      </c>
      <c r="K1119" s="2" t="s">
        <v>14348</v>
      </c>
    </row>
    <row r="1120" spans="1:11" s="2" customFormat="1" x14ac:dyDescent="0.25">
      <c r="A1120" s="114" t="s">
        <v>14634</v>
      </c>
      <c r="B1120" s="4" t="s">
        <v>14635</v>
      </c>
      <c r="C1120" s="113" t="s">
        <v>15363</v>
      </c>
      <c r="D1120" s="155" t="s">
        <v>10297</v>
      </c>
      <c r="E1120" s="159">
        <v>2401</v>
      </c>
      <c r="F1120" s="157" t="s">
        <v>14636</v>
      </c>
      <c r="G1120" s="155" t="s">
        <v>14348</v>
      </c>
      <c r="H1120" s="113" t="s">
        <v>10541</v>
      </c>
      <c r="I1120" s="4" t="s">
        <v>14635</v>
      </c>
      <c r="J1120" s="155" t="s">
        <v>14636</v>
      </c>
      <c r="K1120" s="2" t="s">
        <v>14348</v>
      </c>
    </row>
    <row r="1121" spans="1:11" s="2" customFormat="1" x14ac:dyDescent="0.25">
      <c r="A1121" s="114" t="s">
        <v>14637</v>
      </c>
      <c r="B1121" s="4" t="s">
        <v>14638</v>
      </c>
      <c r="C1121" s="113" t="s">
        <v>15363</v>
      </c>
      <c r="D1121" s="155" t="s">
        <v>11328</v>
      </c>
      <c r="E1121" s="159">
        <v>1676</v>
      </c>
      <c r="F1121" s="157" t="s">
        <v>14639</v>
      </c>
      <c r="G1121" s="155" t="s">
        <v>14348</v>
      </c>
      <c r="H1121" s="113" t="s">
        <v>10541</v>
      </c>
      <c r="I1121" s="4" t="s">
        <v>14638</v>
      </c>
      <c r="J1121" s="155" t="s">
        <v>14639</v>
      </c>
      <c r="K1121" s="2" t="s">
        <v>14348</v>
      </c>
    </row>
    <row r="1122" spans="1:11" s="2" customFormat="1" x14ac:dyDescent="0.25">
      <c r="A1122" s="114" t="s">
        <v>14640</v>
      </c>
      <c r="B1122" s="4" t="s">
        <v>14641</v>
      </c>
      <c r="C1122" s="113" t="s">
        <v>15363</v>
      </c>
      <c r="D1122" s="155" t="s">
        <v>14642</v>
      </c>
      <c r="E1122" s="159">
        <v>182</v>
      </c>
      <c r="F1122" s="157" t="s">
        <v>14643</v>
      </c>
      <c r="G1122" s="155" t="s">
        <v>14348</v>
      </c>
      <c r="H1122" s="113" t="s">
        <v>10541</v>
      </c>
      <c r="I1122" s="4" t="s">
        <v>14641</v>
      </c>
      <c r="J1122" s="155" t="s">
        <v>14643</v>
      </c>
      <c r="K1122" s="2" t="s">
        <v>14348</v>
      </c>
    </row>
    <row r="1123" spans="1:11" s="2" customFormat="1" x14ac:dyDescent="0.25">
      <c r="A1123" s="114" t="s">
        <v>14644</v>
      </c>
      <c r="B1123" s="4" t="s">
        <v>14645</v>
      </c>
      <c r="C1123" s="113" t="s">
        <v>15363</v>
      </c>
      <c r="D1123" s="155" t="s">
        <v>14642</v>
      </c>
      <c r="E1123" s="159">
        <v>1199</v>
      </c>
      <c r="F1123" s="157" t="s">
        <v>14646</v>
      </c>
      <c r="G1123" s="155" t="s">
        <v>14348</v>
      </c>
      <c r="H1123" s="113" t="s">
        <v>10541</v>
      </c>
      <c r="I1123" s="4" t="s">
        <v>14645</v>
      </c>
      <c r="J1123" s="155" t="s">
        <v>14646</v>
      </c>
      <c r="K1123" s="2" t="s">
        <v>14348</v>
      </c>
    </row>
    <row r="1124" spans="1:11" s="2" customFormat="1" x14ac:dyDescent="0.25">
      <c r="A1124" s="114" t="s">
        <v>14647</v>
      </c>
      <c r="B1124" s="4" t="s">
        <v>14648</v>
      </c>
      <c r="C1124" s="113" t="s">
        <v>15363</v>
      </c>
      <c r="D1124" s="155" t="s">
        <v>14649</v>
      </c>
      <c r="E1124" s="159">
        <v>967</v>
      </c>
      <c r="F1124" s="157" t="s">
        <v>14650</v>
      </c>
      <c r="G1124" s="155" t="s">
        <v>14348</v>
      </c>
      <c r="H1124" s="113" t="s">
        <v>10541</v>
      </c>
      <c r="I1124" s="4" t="s">
        <v>14648</v>
      </c>
      <c r="J1124" s="155" t="s">
        <v>14650</v>
      </c>
      <c r="K1124" s="2" t="s">
        <v>14348</v>
      </c>
    </row>
    <row r="1125" spans="1:11" s="2" customFormat="1" x14ac:dyDescent="0.25">
      <c r="A1125" s="114" t="s">
        <v>14651</v>
      </c>
      <c r="B1125" s="4" t="s">
        <v>14652</v>
      </c>
      <c r="C1125" s="113" t="s">
        <v>15363</v>
      </c>
      <c r="D1125" s="155" t="s">
        <v>14653</v>
      </c>
      <c r="E1125" s="159">
        <v>1144</v>
      </c>
      <c r="F1125" s="157" t="s">
        <v>14654</v>
      </c>
      <c r="G1125" s="155" t="s">
        <v>14348</v>
      </c>
      <c r="H1125" s="113" t="s">
        <v>10541</v>
      </c>
      <c r="I1125" s="4" t="s">
        <v>14652</v>
      </c>
      <c r="J1125" s="155" t="s">
        <v>14654</v>
      </c>
      <c r="K1125" s="2" t="s">
        <v>14348</v>
      </c>
    </row>
    <row r="1126" spans="1:11" s="2" customFormat="1" x14ac:dyDescent="0.25">
      <c r="A1126" s="114" t="s">
        <v>14655</v>
      </c>
      <c r="B1126" s="4" t="s">
        <v>14656</v>
      </c>
      <c r="C1126" s="113" t="s">
        <v>15363</v>
      </c>
      <c r="D1126" s="155" t="s">
        <v>14657</v>
      </c>
      <c r="E1126" s="159">
        <v>5516</v>
      </c>
      <c r="F1126" s="157" t="s">
        <v>14658</v>
      </c>
      <c r="G1126" s="155" t="s">
        <v>14348</v>
      </c>
      <c r="H1126" s="113" t="s">
        <v>10541</v>
      </c>
      <c r="I1126" s="4" t="s">
        <v>14656</v>
      </c>
      <c r="J1126" s="155" t="s">
        <v>14658</v>
      </c>
      <c r="K1126" s="2" t="s">
        <v>14348</v>
      </c>
    </row>
    <row r="1127" spans="1:11" s="2" customFormat="1" x14ac:dyDescent="0.25">
      <c r="A1127" s="114" t="s">
        <v>14659</v>
      </c>
      <c r="B1127" s="4" t="s">
        <v>14660</v>
      </c>
      <c r="C1127" s="113" t="s">
        <v>15363</v>
      </c>
      <c r="D1127" s="155" t="s">
        <v>14661</v>
      </c>
      <c r="E1127" s="159">
        <v>6365</v>
      </c>
      <c r="F1127" s="157" t="s">
        <v>14662</v>
      </c>
      <c r="G1127" s="155" t="s">
        <v>14348</v>
      </c>
      <c r="H1127" s="113" t="s">
        <v>10541</v>
      </c>
      <c r="I1127" s="4" t="s">
        <v>14660</v>
      </c>
      <c r="J1127" s="155" t="s">
        <v>14662</v>
      </c>
      <c r="K1127" s="2" t="s">
        <v>14348</v>
      </c>
    </row>
    <row r="1128" spans="1:11" s="2" customFormat="1" x14ac:dyDescent="0.25">
      <c r="A1128" s="114" t="s">
        <v>14663</v>
      </c>
      <c r="B1128" s="4" t="s">
        <v>14664</v>
      </c>
      <c r="C1128" s="113" t="s">
        <v>15363</v>
      </c>
      <c r="D1128" s="155" t="s">
        <v>14665</v>
      </c>
      <c r="E1128" s="159">
        <v>1702</v>
      </c>
      <c r="F1128" s="157" t="s">
        <v>14666</v>
      </c>
      <c r="G1128" s="155" t="s">
        <v>14348</v>
      </c>
      <c r="H1128" s="113" t="s">
        <v>10541</v>
      </c>
      <c r="I1128" s="4" t="s">
        <v>14664</v>
      </c>
      <c r="J1128" s="155" t="s">
        <v>14666</v>
      </c>
      <c r="K1128" s="2" t="s">
        <v>14348</v>
      </c>
    </row>
    <row r="1129" spans="1:11" s="2" customFormat="1" x14ac:dyDescent="0.25">
      <c r="A1129" s="114" t="s">
        <v>14667</v>
      </c>
      <c r="B1129" s="4" t="s">
        <v>14668</v>
      </c>
      <c r="C1129" s="113" t="s">
        <v>15363</v>
      </c>
      <c r="D1129" s="155" t="s">
        <v>6589</v>
      </c>
      <c r="E1129" s="159">
        <v>4588</v>
      </c>
      <c r="F1129" s="157" t="s">
        <v>14669</v>
      </c>
      <c r="G1129" s="155" t="s">
        <v>14348</v>
      </c>
      <c r="H1129" s="113" t="s">
        <v>10541</v>
      </c>
      <c r="I1129" s="4" t="s">
        <v>14668</v>
      </c>
      <c r="J1129" s="155" t="s">
        <v>14669</v>
      </c>
      <c r="K1129" s="2" t="s">
        <v>14348</v>
      </c>
    </row>
    <row r="1130" spans="1:11" s="2" customFormat="1" x14ac:dyDescent="0.25">
      <c r="A1130" s="114" t="s">
        <v>14670</v>
      </c>
      <c r="B1130" s="4" t="s">
        <v>14671</v>
      </c>
      <c r="C1130" s="113" t="s">
        <v>15363</v>
      </c>
      <c r="D1130" s="155" t="s">
        <v>11092</v>
      </c>
      <c r="E1130" s="159">
        <v>1651</v>
      </c>
      <c r="F1130" s="157" t="s">
        <v>14672</v>
      </c>
      <c r="G1130" s="155" t="s">
        <v>14348</v>
      </c>
      <c r="H1130" s="113" t="s">
        <v>10541</v>
      </c>
      <c r="I1130" s="4" t="s">
        <v>14671</v>
      </c>
      <c r="J1130" s="155" t="s">
        <v>14672</v>
      </c>
      <c r="K1130" s="2" t="s">
        <v>14348</v>
      </c>
    </row>
    <row r="1131" spans="1:11" s="2" customFormat="1" x14ac:dyDescent="0.25">
      <c r="A1131" s="114" t="s">
        <v>14673</v>
      </c>
      <c r="B1131" s="4" t="s">
        <v>14674</v>
      </c>
      <c r="C1131" s="113" t="s">
        <v>15363</v>
      </c>
      <c r="D1131" s="155" t="s">
        <v>11056</v>
      </c>
      <c r="E1131" s="159">
        <v>3502</v>
      </c>
      <c r="F1131" s="157" t="s">
        <v>14675</v>
      </c>
      <c r="G1131" s="155" t="s">
        <v>14348</v>
      </c>
      <c r="H1131" s="113" t="s">
        <v>10541</v>
      </c>
      <c r="I1131" s="4" t="s">
        <v>14674</v>
      </c>
      <c r="J1131" s="155" t="s">
        <v>14675</v>
      </c>
      <c r="K1131" s="2" t="s">
        <v>14348</v>
      </c>
    </row>
    <row r="1132" spans="1:11" s="2" customFormat="1" x14ac:dyDescent="0.25">
      <c r="A1132" s="114" t="s">
        <v>14676</v>
      </c>
      <c r="B1132" s="4" t="s">
        <v>14677</v>
      </c>
      <c r="C1132" s="113" t="s">
        <v>15363</v>
      </c>
      <c r="D1132" s="155" t="s">
        <v>10826</v>
      </c>
      <c r="E1132" s="159">
        <v>818</v>
      </c>
      <c r="F1132" s="157" t="s">
        <v>14678</v>
      </c>
      <c r="G1132" s="155" t="s">
        <v>14348</v>
      </c>
      <c r="H1132" s="113" t="s">
        <v>10541</v>
      </c>
      <c r="I1132" s="4" t="s">
        <v>14677</v>
      </c>
      <c r="J1132" s="155" t="s">
        <v>14678</v>
      </c>
      <c r="K1132" s="2" t="s">
        <v>14348</v>
      </c>
    </row>
    <row r="1133" spans="1:11" s="2" customFormat="1" x14ac:dyDescent="0.25">
      <c r="A1133" s="114" t="s">
        <v>14679</v>
      </c>
      <c r="B1133" s="4" t="s">
        <v>14680</v>
      </c>
      <c r="C1133" s="113" t="s">
        <v>15363</v>
      </c>
      <c r="D1133" s="155" t="s">
        <v>14681</v>
      </c>
      <c r="E1133" s="159">
        <v>2215</v>
      </c>
      <c r="F1133" s="157" t="s">
        <v>14682</v>
      </c>
      <c r="G1133" s="155" t="s">
        <v>14348</v>
      </c>
      <c r="H1133" s="113" t="s">
        <v>10541</v>
      </c>
      <c r="I1133" s="4" t="s">
        <v>14680</v>
      </c>
      <c r="J1133" s="155" t="s">
        <v>14682</v>
      </c>
      <c r="K1133" s="2" t="s">
        <v>14348</v>
      </c>
    </row>
    <row r="1134" spans="1:11" s="2" customFormat="1" x14ac:dyDescent="0.25">
      <c r="A1134" s="114" t="s">
        <v>14683</v>
      </c>
      <c r="B1134" s="4" t="s">
        <v>14684</v>
      </c>
      <c r="C1134" s="113" t="s">
        <v>15363</v>
      </c>
      <c r="D1134" s="155" t="s">
        <v>9793</v>
      </c>
      <c r="E1134" s="159">
        <v>7003</v>
      </c>
      <c r="F1134" s="157" t="s">
        <v>14685</v>
      </c>
      <c r="G1134" s="155" t="s">
        <v>14348</v>
      </c>
      <c r="H1134" s="113" t="s">
        <v>10541</v>
      </c>
      <c r="I1134" s="4" t="s">
        <v>14684</v>
      </c>
      <c r="J1134" s="155" t="s">
        <v>14685</v>
      </c>
      <c r="K1134" s="2" t="s">
        <v>14348</v>
      </c>
    </row>
    <row r="1135" spans="1:11" s="2" customFormat="1" x14ac:dyDescent="0.25">
      <c r="A1135" s="114" t="s">
        <v>14686</v>
      </c>
      <c r="B1135" s="4" t="s">
        <v>14687</v>
      </c>
      <c r="C1135" s="113" t="s">
        <v>15363</v>
      </c>
      <c r="D1135" s="155" t="s">
        <v>14642</v>
      </c>
      <c r="E1135" s="159">
        <v>5501</v>
      </c>
      <c r="F1135" s="157" t="s">
        <v>14688</v>
      </c>
      <c r="G1135" s="155" t="s">
        <v>14348</v>
      </c>
      <c r="H1135" s="113" t="s">
        <v>10541</v>
      </c>
      <c r="I1135" s="4" t="s">
        <v>14687</v>
      </c>
      <c r="J1135" s="155" t="s">
        <v>14688</v>
      </c>
      <c r="K1135" s="2" t="s">
        <v>14348</v>
      </c>
    </row>
    <row r="1136" spans="1:11" s="2" customFormat="1" x14ac:dyDescent="0.25">
      <c r="A1136" s="114" t="s">
        <v>14689</v>
      </c>
      <c r="B1136" s="4" t="s">
        <v>14690</v>
      </c>
      <c r="C1136" s="113" t="s">
        <v>15363</v>
      </c>
      <c r="D1136" s="155" t="s">
        <v>14691</v>
      </c>
      <c r="E1136" s="159">
        <v>447</v>
      </c>
      <c r="F1136" s="157" t="s">
        <v>14692</v>
      </c>
      <c r="G1136" s="155" t="s">
        <v>14690</v>
      </c>
      <c r="H1136" s="113" t="s">
        <v>10541</v>
      </c>
      <c r="I1136" s="4" t="s">
        <v>14690</v>
      </c>
      <c r="J1136" s="155" t="s">
        <v>14692</v>
      </c>
      <c r="K1136" s="2" t="s">
        <v>14348</v>
      </c>
    </row>
    <row r="1137" spans="1:11" s="2" customFormat="1" x14ac:dyDescent="0.25">
      <c r="A1137" s="114" t="s">
        <v>14693</v>
      </c>
      <c r="B1137" s="4" t="s">
        <v>14694</v>
      </c>
      <c r="C1137" s="113" t="s">
        <v>15363</v>
      </c>
      <c r="D1137" s="155" t="s">
        <v>9887</v>
      </c>
      <c r="E1137" s="159">
        <v>963</v>
      </c>
      <c r="F1137" s="157" t="s">
        <v>14695</v>
      </c>
      <c r="G1137" s="155" t="s">
        <v>14694</v>
      </c>
      <c r="H1137" s="113" t="s">
        <v>10541</v>
      </c>
      <c r="I1137" s="4" t="s">
        <v>14694</v>
      </c>
      <c r="J1137" s="155" t="s">
        <v>14695</v>
      </c>
      <c r="K1137" s="2" t="s">
        <v>9842</v>
      </c>
    </row>
    <row r="1138" spans="1:11" s="2" customFormat="1" x14ac:dyDescent="0.25">
      <c r="A1138" s="114" t="s">
        <v>14696</v>
      </c>
      <c r="B1138" s="4" t="s">
        <v>14697</v>
      </c>
      <c r="C1138" s="113" t="s">
        <v>15363</v>
      </c>
      <c r="D1138" s="155" t="s">
        <v>12066</v>
      </c>
      <c r="E1138" s="159">
        <v>421</v>
      </c>
      <c r="F1138" s="157" t="s">
        <v>14698</v>
      </c>
      <c r="G1138" s="155" t="s">
        <v>14697</v>
      </c>
      <c r="H1138" s="113" t="s">
        <v>10541</v>
      </c>
      <c r="I1138" s="4" t="s">
        <v>14697</v>
      </c>
      <c r="J1138" s="155" t="s">
        <v>14698</v>
      </c>
      <c r="K1138" s="2" t="s">
        <v>14348</v>
      </c>
    </row>
    <row r="1139" spans="1:11" s="2" customFormat="1" x14ac:dyDescent="0.25">
      <c r="A1139" s="114" t="s">
        <v>14699</v>
      </c>
      <c r="B1139" s="4" t="s">
        <v>14700</v>
      </c>
      <c r="C1139" s="113" t="s">
        <v>15363</v>
      </c>
      <c r="D1139" s="155" t="s">
        <v>14701</v>
      </c>
      <c r="E1139" s="159">
        <v>200</v>
      </c>
      <c r="F1139" s="157" t="s">
        <v>14702</v>
      </c>
      <c r="G1139" s="155" t="s">
        <v>14700</v>
      </c>
      <c r="H1139" s="113" t="s">
        <v>10541</v>
      </c>
      <c r="I1139" s="4" t="s">
        <v>14700</v>
      </c>
      <c r="J1139" s="155" t="s">
        <v>14702</v>
      </c>
      <c r="K1139" s="2" t="s">
        <v>15473</v>
      </c>
    </row>
    <row r="1140" spans="1:11" s="2" customFormat="1" x14ac:dyDescent="0.25">
      <c r="A1140" s="114" t="s">
        <v>14703</v>
      </c>
      <c r="B1140" s="4" t="s">
        <v>14704</v>
      </c>
      <c r="C1140" s="113" t="s">
        <v>15363</v>
      </c>
      <c r="D1140" s="155" t="s">
        <v>14705</v>
      </c>
      <c r="E1140" s="159"/>
      <c r="F1140" s="157" t="s">
        <v>14706</v>
      </c>
      <c r="G1140" s="155" t="s">
        <v>14704</v>
      </c>
      <c r="H1140" s="113" t="s">
        <v>10541</v>
      </c>
      <c r="I1140" s="4" t="s">
        <v>14704</v>
      </c>
      <c r="J1140" s="155" t="s">
        <v>14706</v>
      </c>
      <c r="K1140" s="2" t="s">
        <v>10084</v>
      </c>
    </row>
    <row r="1141" spans="1:11" s="2" customFormat="1" x14ac:dyDescent="0.25">
      <c r="A1141" s="114" t="s">
        <v>14707</v>
      </c>
      <c r="B1141" s="4" t="s">
        <v>14708</v>
      </c>
      <c r="C1141" s="113" t="s">
        <v>15363</v>
      </c>
      <c r="D1141" s="155" t="s">
        <v>14709</v>
      </c>
      <c r="E1141" s="159">
        <v>1531</v>
      </c>
      <c r="F1141" s="157" t="s">
        <v>14710</v>
      </c>
      <c r="G1141" s="155" t="s">
        <v>14708</v>
      </c>
      <c r="H1141" s="113" t="s">
        <v>10541</v>
      </c>
      <c r="I1141" s="4" t="s">
        <v>14708</v>
      </c>
      <c r="J1141" s="155" t="s">
        <v>14710</v>
      </c>
      <c r="K1141" s="2" t="s">
        <v>11371</v>
      </c>
    </row>
    <row r="1142" spans="1:11" s="2" customFormat="1" x14ac:dyDescent="0.25">
      <c r="A1142" s="114" t="s">
        <v>14711</v>
      </c>
      <c r="B1142" s="4" t="s">
        <v>14712</v>
      </c>
      <c r="C1142" s="113" t="s">
        <v>15363</v>
      </c>
      <c r="D1142" s="155" t="s">
        <v>14713</v>
      </c>
      <c r="E1142" s="159">
        <v>530</v>
      </c>
      <c r="F1142" s="157" t="s">
        <v>14714</v>
      </c>
      <c r="G1142" s="155" t="s">
        <v>14712</v>
      </c>
      <c r="H1142" s="113" t="s">
        <v>10541</v>
      </c>
      <c r="I1142" s="4" t="s">
        <v>14712</v>
      </c>
      <c r="J1142" s="155" t="s">
        <v>14714</v>
      </c>
      <c r="K1142" s="2" t="s">
        <v>14348</v>
      </c>
    </row>
    <row r="1143" spans="1:11" s="2" customFormat="1" x14ac:dyDescent="0.25">
      <c r="A1143" s="114" t="s">
        <v>14715</v>
      </c>
      <c r="B1143" s="4" t="s">
        <v>14716</v>
      </c>
      <c r="C1143" s="113" t="s">
        <v>15363</v>
      </c>
      <c r="D1143" s="155" t="s">
        <v>10244</v>
      </c>
      <c r="E1143" s="159">
        <v>47</v>
      </c>
      <c r="F1143" s="157" t="s">
        <v>14717</v>
      </c>
      <c r="G1143" s="155" t="s">
        <v>14716</v>
      </c>
      <c r="H1143" s="113" t="s">
        <v>10541</v>
      </c>
      <c r="I1143" s="4" t="s">
        <v>14716</v>
      </c>
      <c r="J1143" s="155" t="s">
        <v>14717</v>
      </c>
      <c r="K1143" s="2" t="s">
        <v>10084</v>
      </c>
    </row>
    <row r="1144" spans="1:11" s="2" customFormat="1" x14ac:dyDescent="0.25">
      <c r="A1144" s="114" t="s">
        <v>14718</v>
      </c>
      <c r="B1144" s="4" t="s">
        <v>14719</v>
      </c>
      <c r="C1144" s="113" t="s">
        <v>15363</v>
      </c>
      <c r="D1144" s="155" t="s">
        <v>14617</v>
      </c>
      <c r="E1144" s="159">
        <v>660</v>
      </c>
      <c r="F1144" s="157" t="s">
        <v>14720</v>
      </c>
      <c r="G1144" s="155" t="s">
        <v>14719</v>
      </c>
      <c r="H1144" s="113" t="s">
        <v>10541</v>
      </c>
      <c r="I1144" s="4" t="s">
        <v>14719</v>
      </c>
      <c r="J1144" s="155" t="s">
        <v>14720</v>
      </c>
      <c r="K1144" s="2" t="s">
        <v>10084</v>
      </c>
    </row>
    <row r="1145" spans="1:11" s="2" customFormat="1" x14ac:dyDescent="0.25">
      <c r="A1145" s="114" t="s">
        <v>14721</v>
      </c>
      <c r="B1145" s="4" t="s">
        <v>14722</v>
      </c>
      <c r="C1145" s="113" t="s">
        <v>15363</v>
      </c>
      <c r="D1145" s="155" t="s">
        <v>10104</v>
      </c>
      <c r="E1145" s="159">
        <v>201</v>
      </c>
      <c r="F1145" s="157" t="s">
        <v>14723</v>
      </c>
      <c r="G1145" s="155" t="s">
        <v>14722</v>
      </c>
      <c r="H1145" s="113" t="s">
        <v>10541</v>
      </c>
      <c r="I1145" s="4" t="s">
        <v>14722</v>
      </c>
      <c r="J1145" s="155" t="s">
        <v>14723</v>
      </c>
      <c r="K1145" s="2" t="s">
        <v>10084</v>
      </c>
    </row>
    <row r="1146" spans="1:11" s="2" customFormat="1" x14ac:dyDescent="0.25">
      <c r="A1146" s="114" t="s">
        <v>14724</v>
      </c>
      <c r="B1146" s="4" t="s">
        <v>14725</v>
      </c>
      <c r="C1146" s="113" t="s">
        <v>15363</v>
      </c>
      <c r="D1146" s="155" t="s">
        <v>14726</v>
      </c>
      <c r="E1146" s="159">
        <v>100</v>
      </c>
      <c r="F1146" s="157" t="s">
        <v>14727</v>
      </c>
      <c r="G1146" s="155" t="s">
        <v>14725</v>
      </c>
      <c r="H1146" s="113" t="s">
        <v>10541</v>
      </c>
      <c r="I1146" s="4" t="s">
        <v>14725</v>
      </c>
      <c r="J1146" s="155" t="s">
        <v>14727</v>
      </c>
      <c r="K1146" s="2" t="s">
        <v>9842</v>
      </c>
    </row>
    <row r="1147" spans="1:11" s="2" customFormat="1" x14ac:dyDescent="0.25">
      <c r="A1147" s="114" t="s">
        <v>14728</v>
      </c>
      <c r="B1147" s="4" t="s">
        <v>14729</v>
      </c>
      <c r="C1147" s="113" t="s">
        <v>15363</v>
      </c>
      <c r="D1147" s="155" t="s">
        <v>9810</v>
      </c>
      <c r="E1147" s="159">
        <v>90</v>
      </c>
      <c r="F1147" s="157" t="s">
        <v>14730</v>
      </c>
      <c r="G1147" s="155" t="s">
        <v>14729</v>
      </c>
      <c r="H1147" s="113" t="s">
        <v>10541</v>
      </c>
      <c r="I1147" s="4" t="s">
        <v>14729</v>
      </c>
      <c r="J1147" s="155" t="s">
        <v>14730</v>
      </c>
      <c r="K1147" s="2" t="s">
        <v>11371</v>
      </c>
    </row>
    <row r="1148" spans="1:11" s="2" customFormat="1" x14ac:dyDescent="0.25">
      <c r="A1148" s="114" t="s">
        <v>14731</v>
      </c>
      <c r="B1148" s="4" t="s">
        <v>15310</v>
      </c>
      <c r="C1148" s="113" t="s">
        <v>15363</v>
      </c>
      <c r="D1148" s="155" t="s">
        <v>10317</v>
      </c>
      <c r="E1148" s="159">
        <v>96</v>
      </c>
      <c r="F1148" s="157" t="s">
        <v>14732</v>
      </c>
      <c r="G1148" s="155" t="s">
        <v>15310</v>
      </c>
      <c r="H1148" s="113" t="s">
        <v>10541</v>
      </c>
      <c r="I1148" s="4" t="s">
        <v>15310</v>
      </c>
      <c r="J1148" s="155" t="s">
        <v>14732</v>
      </c>
      <c r="K1148" s="2" t="s">
        <v>15474</v>
      </c>
    </row>
    <row r="1149" spans="1:11" s="2" customFormat="1" x14ac:dyDescent="0.25">
      <c r="A1149" s="114" t="s">
        <v>14733</v>
      </c>
      <c r="B1149" s="4" t="s">
        <v>15311</v>
      </c>
      <c r="C1149" s="113" t="s">
        <v>15363</v>
      </c>
      <c r="D1149" s="155" t="s">
        <v>10244</v>
      </c>
      <c r="E1149" s="159">
        <v>558</v>
      </c>
      <c r="F1149" s="157" t="s">
        <v>14734</v>
      </c>
      <c r="G1149" s="155" t="s">
        <v>15311</v>
      </c>
      <c r="H1149" s="113" t="s">
        <v>10541</v>
      </c>
      <c r="I1149" s="4" t="s">
        <v>15311</v>
      </c>
      <c r="J1149" s="155" t="s">
        <v>14734</v>
      </c>
      <c r="K1149" s="2" t="s">
        <v>15473</v>
      </c>
    </row>
    <row r="1150" spans="1:11" s="2" customFormat="1" x14ac:dyDescent="0.25">
      <c r="A1150" s="114" t="s">
        <v>14735</v>
      </c>
      <c r="B1150" s="4" t="s">
        <v>14736</v>
      </c>
      <c r="C1150" s="113" t="s">
        <v>15363</v>
      </c>
      <c r="D1150" s="155" t="s">
        <v>9764</v>
      </c>
      <c r="E1150" s="159">
        <v>679</v>
      </c>
      <c r="F1150" s="157" t="s">
        <v>14737</v>
      </c>
      <c r="G1150" s="155" t="s">
        <v>14736</v>
      </c>
      <c r="H1150" s="113" t="s">
        <v>10541</v>
      </c>
      <c r="I1150" s="4" t="s">
        <v>14736</v>
      </c>
      <c r="J1150" s="155" t="s">
        <v>14737</v>
      </c>
      <c r="K1150" s="2" t="s">
        <v>15473</v>
      </c>
    </row>
    <row r="1151" spans="1:11" s="2" customFormat="1" x14ac:dyDescent="0.25">
      <c r="A1151" s="114" t="s">
        <v>14738</v>
      </c>
      <c r="B1151" s="4" t="s">
        <v>14739</v>
      </c>
      <c r="C1151" s="113" t="s">
        <v>15363</v>
      </c>
      <c r="D1151" s="155" t="s">
        <v>14740</v>
      </c>
      <c r="E1151" s="159">
        <v>855</v>
      </c>
      <c r="F1151" s="157" t="s">
        <v>14741</v>
      </c>
      <c r="G1151" s="155" t="s">
        <v>14739</v>
      </c>
      <c r="H1151" s="113" t="s">
        <v>10541</v>
      </c>
      <c r="I1151" s="4" t="s">
        <v>14739</v>
      </c>
      <c r="J1151" s="155" t="s">
        <v>14741</v>
      </c>
      <c r="K1151" s="2" t="s">
        <v>12712</v>
      </c>
    </row>
    <row r="1152" spans="1:11" s="2" customFormat="1" x14ac:dyDescent="0.25">
      <c r="A1152" s="114" t="s">
        <v>14742</v>
      </c>
      <c r="B1152" s="4" t="s">
        <v>15313</v>
      </c>
      <c r="C1152" s="113" t="s">
        <v>15363</v>
      </c>
      <c r="D1152" s="155" t="s">
        <v>11851</v>
      </c>
      <c r="E1152" s="159">
        <v>413</v>
      </c>
      <c r="F1152" s="157" t="s">
        <v>14743</v>
      </c>
      <c r="G1152" s="155" t="s">
        <v>15313</v>
      </c>
      <c r="H1152" s="113" t="s">
        <v>10541</v>
      </c>
      <c r="I1152" s="4" t="s">
        <v>15313</v>
      </c>
      <c r="J1152" s="155" t="s">
        <v>14743</v>
      </c>
      <c r="K1152" s="2" t="s">
        <v>12712</v>
      </c>
    </row>
    <row r="1153" spans="1:11" s="2" customFormat="1" x14ac:dyDescent="0.25">
      <c r="A1153" s="114" t="s">
        <v>14744</v>
      </c>
      <c r="B1153" s="4" t="s">
        <v>14745</v>
      </c>
      <c r="C1153" s="113" t="s">
        <v>15363</v>
      </c>
      <c r="D1153" s="155" t="s">
        <v>9937</v>
      </c>
      <c r="E1153" s="159">
        <v>473</v>
      </c>
      <c r="F1153" s="157" t="s">
        <v>14746</v>
      </c>
      <c r="G1153" s="155" t="s">
        <v>14745</v>
      </c>
      <c r="H1153" s="113" t="s">
        <v>10541</v>
      </c>
      <c r="I1153" s="4" t="s">
        <v>14745</v>
      </c>
      <c r="J1153" s="155" t="s">
        <v>14746</v>
      </c>
      <c r="K1153" s="2" t="s">
        <v>15473</v>
      </c>
    </row>
    <row r="1154" spans="1:11" s="2" customFormat="1" x14ac:dyDescent="0.25">
      <c r="A1154" s="114" t="s">
        <v>14747</v>
      </c>
      <c r="B1154" s="4" t="s">
        <v>14748</v>
      </c>
      <c r="C1154" s="113" t="s">
        <v>15363</v>
      </c>
      <c r="D1154" s="155" t="s">
        <v>14749</v>
      </c>
      <c r="E1154" s="159">
        <v>791</v>
      </c>
      <c r="F1154" s="157" t="s">
        <v>14750</v>
      </c>
      <c r="G1154" s="155" t="s">
        <v>14748</v>
      </c>
      <c r="H1154" s="113" t="s">
        <v>10541</v>
      </c>
      <c r="I1154" s="4" t="s">
        <v>14748</v>
      </c>
      <c r="J1154" s="155" t="s">
        <v>14750</v>
      </c>
      <c r="K1154" s="2" t="s">
        <v>15473</v>
      </c>
    </row>
    <row r="1155" spans="1:11" s="2" customFormat="1" x14ac:dyDescent="0.25">
      <c r="A1155" s="114" t="s">
        <v>14751</v>
      </c>
      <c r="B1155" s="4" t="s">
        <v>14752</v>
      </c>
      <c r="C1155" s="113" t="s">
        <v>15363</v>
      </c>
      <c r="D1155" s="155" t="s">
        <v>14329</v>
      </c>
      <c r="E1155" s="159">
        <v>2371</v>
      </c>
      <c r="F1155" s="157" t="s">
        <v>14753</v>
      </c>
      <c r="G1155" s="155" t="s">
        <v>14752</v>
      </c>
      <c r="H1155" s="113" t="s">
        <v>10541</v>
      </c>
      <c r="I1155" s="4" t="s">
        <v>14752</v>
      </c>
      <c r="J1155" s="155" t="s">
        <v>14753</v>
      </c>
      <c r="K1155" s="2" t="s">
        <v>10084</v>
      </c>
    </row>
    <row r="1156" spans="1:11" s="2" customFormat="1" x14ac:dyDescent="0.25">
      <c r="A1156" s="114" t="s">
        <v>14754</v>
      </c>
      <c r="B1156" s="4" t="s">
        <v>15314</v>
      </c>
      <c r="C1156" s="113" t="s">
        <v>15363</v>
      </c>
      <c r="D1156" s="155" t="s">
        <v>10500</v>
      </c>
      <c r="E1156" s="159">
        <v>735</v>
      </c>
      <c r="F1156" s="157" t="s">
        <v>14755</v>
      </c>
      <c r="G1156" s="155" t="s">
        <v>15314</v>
      </c>
      <c r="H1156" s="113" t="s">
        <v>10541</v>
      </c>
      <c r="I1156" s="4" t="s">
        <v>15314</v>
      </c>
      <c r="J1156" s="155" t="s">
        <v>14755</v>
      </c>
      <c r="K1156" s="2" t="s">
        <v>10084</v>
      </c>
    </row>
    <row r="1157" spans="1:11" s="2" customFormat="1" x14ac:dyDescent="0.25">
      <c r="A1157" s="114" t="s">
        <v>14756</v>
      </c>
      <c r="B1157" s="4" t="s">
        <v>14757</v>
      </c>
      <c r="C1157" s="113" t="s">
        <v>15363</v>
      </c>
      <c r="D1157" s="155" t="s">
        <v>14348</v>
      </c>
      <c r="E1157" s="159">
        <v>1743</v>
      </c>
      <c r="F1157" s="157" t="s">
        <v>14758</v>
      </c>
      <c r="G1157" s="155" t="s">
        <v>14757</v>
      </c>
      <c r="H1157" s="113" t="s">
        <v>10541</v>
      </c>
      <c r="I1157" s="4" t="s">
        <v>14757</v>
      </c>
      <c r="J1157" s="155" t="s">
        <v>14758</v>
      </c>
      <c r="K1157" s="2" t="s">
        <v>10084</v>
      </c>
    </row>
    <row r="1158" spans="1:11" s="2" customFormat="1" x14ac:dyDescent="0.25">
      <c r="A1158" s="114" t="s">
        <v>14759</v>
      </c>
      <c r="B1158" s="4" t="s">
        <v>14760</v>
      </c>
      <c r="C1158" s="113" t="s">
        <v>15363</v>
      </c>
      <c r="D1158" s="155" t="s">
        <v>9764</v>
      </c>
      <c r="E1158" s="159">
        <v>570</v>
      </c>
      <c r="F1158" s="157" t="s">
        <v>14761</v>
      </c>
      <c r="G1158" s="155" t="s">
        <v>14760</v>
      </c>
      <c r="H1158" s="113" t="s">
        <v>10541</v>
      </c>
      <c r="I1158" s="4" t="s">
        <v>14760</v>
      </c>
      <c r="J1158" s="155" t="s">
        <v>14761</v>
      </c>
      <c r="K1158" s="2" t="s">
        <v>15473</v>
      </c>
    </row>
    <row r="1159" spans="1:11" s="2" customFormat="1" x14ac:dyDescent="0.25">
      <c r="A1159" s="114" t="s">
        <v>14762</v>
      </c>
      <c r="B1159" s="4" t="s">
        <v>14763</v>
      </c>
      <c r="C1159" s="113" t="s">
        <v>15363</v>
      </c>
      <c r="D1159" s="155" t="s">
        <v>9810</v>
      </c>
      <c r="E1159" s="159">
        <v>253</v>
      </c>
      <c r="F1159" s="157" t="s">
        <v>14764</v>
      </c>
      <c r="G1159" s="155" t="s">
        <v>14763</v>
      </c>
      <c r="H1159" s="113" t="s">
        <v>10541</v>
      </c>
      <c r="I1159" s="4" t="s">
        <v>14763</v>
      </c>
      <c r="J1159" s="155" t="s">
        <v>14764</v>
      </c>
      <c r="K1159" s="2" t="s">
        <v>14348</v>
      </c>
    </row>
    <row r="1160" spans="1:11" s="2" customFormat="1" x14ac:dyDescent="0.25">
      <c r="A1160" s="114" t="s">
        <v>14765</v>
      </c>
      <c r="B1160" s="4" t="s">
        <v>14766</v>
      </c>
      <c r="C1160" s="113" t="s">
        <v>15363</v>
      </c>
      <c r="D1160" s="155" t="s">
        <v>9887</v>
      </c>
      <c r="E1160" s="159">
        <v>765</v>
      </c>
      <c r="F1160" s="157" t="s">
        <v>14767</v>
      </c>
      <c r="G1160" s="155" t="s">
        <v>14766</v>
      </c>
      <c r="H1160" s="113" t="s">
        <v>10541</v>
      </c>
      <c r="I1160" s="4" t="s">
        <v>14766</v>
      </c>
      <c r="J1160" s="155" t="s">
        <v>14767</v>
      </c>
      <c r="K1160" s="2" t="s">
        <v>15474</v>
      </c>
    </row>
    <row r="1161" spans="1:11" s="2" customFormat="1" x14ac:dyDescent="0.25">
      <c r="A1161" s="114" t="s">
        <v>14768</v>
      </c>
      <c r="B1161" s="4" t="s">
        <v>14769</v>
      </c>
      <c r="C1161" s="113" t="s">
        <v>15363</v>
      </c>
      <c r="D1161" s="155" t="s">
        <v>14770</v>
      </c>
      <c r="E1161" s="159">
        <v>100</v>
      </c>
      <c r="F1161" s="157" t="s">
        <v>14771</v>
      </c>
      <c r="G1161" s="155" t="s">
        <v>14769</v>
      </c>
      <c r="H1161" s="113" t="s">
        <v>10541</v>
      </c>
      <c r="I1161" s="4" t="s">
        <v>14769</v>
      </c>
      <c r="J1161" s="155" t="s">
        <v>14771</v>
      </c>
      <c r="K1161" s="2" t="s">
        <v>15473</v>
      </c>
    </row>
    <row r="1162" spans="1:11" s="2" customFormat="1" x14ac:dyDescent="0.25">
      <c r="A1162" s="114" t="s">
        <v>14772</v>
      </c>
      <c r="B1162" s="4" t="s">
        <v>14773</v>
      </c>
      <c r="C1162" s="113" t="s">
        <v>15363</v>
      </c>
      <c r="D1162" s="155" t="s">
        <v>11089</v>
      </c>
      <c r="E1162" s="159">
        <v>688</v>
      </c>
      <c r="F1162" s="157" t="s">
        <v>14774</v>
      </c>
      <c r="G1162" s="155" t="s">
        <v>14773</v>
      </c>
      <c r="H1162" s="113" t="s">
        <v>10541</v>
      </c>
      <c r="I1162" s="4" t="s">
        <v>14773</v>
      </c>
      <c r="J1162" s="155" t="s">
        <v>14774</v>
      </c>
      <c r="K1162" s="2" t="s">
        <v>15473</v>
      </c>
    </row>
    <row r="1163" spans="1:11" s="2" customFormat="1" x14ac:dyDescent="0.25">
      <c r="A1163" s="114" t="s">
        <v>14775</v>
      </c>
      <c r="B1163" s="4" t="s">
        <v>14776</v>
      </c>
      <c r="C1163" s="113" t="s">
        <v>15363</v>
      </c>
      <c r="D1163" s="155" t="s">
        <v>10199</v>
      </c>
      <c r="E1163" s="159">
        <v>195</v>
      </c>
      <c r="F1163" s="157" t="s">
        <v>14778</v>
      </c>
      <c r="G1163" s="155" t="s">
        <v>14777</v>
      </c>
      <c r="H1163" s="113" t="s">
        <v>10541</v>
      </c>
      <c r="I1163" s="4" t="s">
        <v>14776</v>
      </c>
      <c r="J1163" s="155" t="s">
        <v>14778</v>
      </c>
      <c r="K1163" s="2" t="s">
        <v>9842</v>
      </c>
    </row>
    <row r="1164" spans="1:11" s="2" customFormat="1" x14ac:dyDescent="0.25">
      <c r="A1164" s="114" t="s">
        <v>14779</v>
      </c>
      <c r="B1164" s="4" t="s">
        <v>14780</v>
      </c>
      <c r="C1164" s="113" t="s">
        <v>15363</v>
      </c>
      <c r="D1164" s="155" t="s">
        <v>9977</v>
      </c>
      <c r="E1164" s="159">
        <v>642</v>
      </c>
      <c r="F1164" s="157" t="s">
        <v>14781</v>
      </c>
      <c r="G1164" s="155" t="s">
        <v>14780</v>
      </c>
      <c r="H1164" s="113" t="s">
        <v>10541</v>
      </c>
      <c r="I1164" s="4" t="s">
        <v>14780</v>
      </c>
      <c r="J1164" s="155" t="s">
        <v>14781</v>
      </c>
      <c r="K1164" s="2" t="s">
        <v>14348</v>
      </c>
    </row>
    <row r="1165" spans="1:11" s="2" customFormat="1" x14ac:dyDescent="0.25">
      <c r="A1165" s="114" t="s">
        <v>14782</v>
      </c>
      <c r="B1165" s="4" t="s">
        <v>14783</v>
      </c>
      <c r="C1165" s="113" t="s">
        <v>15363</v>
      </c>
      <c r="D1165" s="155" t="s">
        <v>10609</v>
      </c>
      <c r="E1165" s="159">
        <v>1235</v>
      </c>
      <c r="F1165" s="157" t="s">
        <v>14784</v>
      </c>
      <c r="G1165" s="155" t="s">
        <v>14783</v>
      </c>
      <c r="H1165" s="113" t="s">
        <v>10541</v>
      </c>
      <c r="I1165" s="4" t="s">
        <v>14783</v>
      </c>
      <c r="J1165" s="155" t="s">
        <v>14784</v>
      </c>
      <c r="K1165" s="2" t="s">
        <v>15473</v>
      </c>
    </row>
    <row r="1166" spans="1:11" s="2" customFormat="1" x14ac:dyDescent="0.25">
      <c r="A1166" s="114" t="s">
        <v>14785</v>
      </c>
      <c r="B1166" s="4" t="s">
        <v>14786</v>
      </c>
      <c r="C1166" s="113" t="s">
        <v>15363</v>
      </c>
      <c r="D1166" s="155" t="s">
        <v>10541</v>
      </c>
      <c r="E1166" s="159">
        <v>145</v>
      </c>
      <c r="F1166" s="157" t="s">
        <v>14787</v>
      </c>
      <c r="G1166" s="155" t="s">
        <v>13427</v>
      </c>
      <c r="H1166" s="113" t="s">
        <v>10541</v>
      </c>
      <c r="I1166" s="4" t="s">
        <v>14786</v>
      </c>
      <c r="J1166" s="155" t="s">
        <v>14787</v>
      </c>
      <c r="K1166" s="2" t="s">
        <v>12712</v>
      </c>
    </row>
    <row r="1167" spans="1:11" s="2" customFormat="1" x14ac:dyDescent="0.25">
      <c r="A1167" s="114" t="s">
        <v>14788</v>
      </c>
      <c r="B1167" s="4" t="s">
        <v>14789</v>
      </c>
      <c r="C1167" s="113" t="s">
        <v>15363</v>
      </c>
      <c r="D1167" s="155" t="s">
        <v>13096</v>
      </c>
      <c r="E1167" s="159">
        <v>645</v>
      </c>
      <c r="F1167" s="157" t="s">
        <v>14790</v>
      </c>
      <c r="G1167" s="155" t="s">
        <v>14789</v>
      </c>
      <c r="H1167" s="113" t="s">
        <v>10541</v>
      </c>
      <c r="I1167" s="4" t="s">
        <v>14789</v>
      </c>
      <c r="J1167" s="155" t="s">
        <v>14790</v>
      </c>
      <c r="K1167" s="2" t="s">
        <v>12712</v>
      </c>
    </row>
    <row r="1168" spans="1:11" s="2" customFormat="1" x14ac:dyDescent="0.25">
      <c r="A1168" s="114" t="s">
        <v>14791</v>
      </c>
      <c r="B1168" s="4" t="s">
        <v>14792</v>
      </c>
      <c r="C1168" s="113" t="s">
        <v>15363</v>
      </c>
      <c r="D1168" s="155" t="s">
        <v>10114</v>
      </c>
      <c r="E1168" s="159">
        <v>1454</v>
      </c>
      <c r="F1168" s="157" t="s">
        <v>14793</v>
      </c>
      <c r="G1168" s="155" t="s">
        <v>14792</v>
      </c>
      <c r="H1168" s="113" t="s">
        <v>10541</v>
      </c>
      <c r="I1168" s="4" t="s">
        <v>14792</v>
      </c>
      <c r="J1168" s="155" t="s">
        <v>14793</v>
      </c>
      <c r="K1168" s="2" t="s">
        <v>14348</v>
      </c>
    </row>
    <row r="1169" spans="1:11" s="2" customFormat="1" x14ac:dyDescent="0.25">
      <c r="A1169" s="114" t="s">
        <v>14794</v>
      </c>
      <c r="B1169" s="4" t="s">
        <v>14795</v>
      </c>
      <c r="C1169" s="113" t="s">
        <v>15363</v>
      </c>
      <c r="D1169" s="155" t="s">
        <v>10893</v>
      </c>
      <c r="E1169" s="159">
        <v>705</v>
      </c>
      <c r="F1169" s="157" t="s">
        <v>14796</v>
      </c>
      <c r="G1169" s="155" t="s">
        <v>14795</v>
      </c>
      <c r="H1169" s="113" t="s">
        <v>10541</v>
      </c>
      <c r="I1169" s="4" t="s">
        <v>14795</v>
      </c>
      <c r="J1169" s="155" t="s">
        <v>14796</v>
      </c>
      <c r="K1169" s="2" t="s">
        <v>10084</v>
      </c>
    </row>
    <row r="1170" spans="1:11" s="2" customFormat="1" x14ac:dyDescent="0.25">
      <c r="A1170" s="114" t="s">
        <v>14797</v>
      </c>
      <c r="B1170" s="4" t="s">
        <v>14798</v>
      </c>
      <c r="C1170" s="113" t="s">
        <v>15363</v>
      </c>
      <c r="D1170" s="155" t="s">
        <v>11089</v>
      </c>
      <c r="E1170" s="159">
        <v>159</v>
      </c>
      <c r="F1170" s="157" t="s">
        <v>14799</v>
      </c>
      <c r="G1170" s="155" t="s">
        <v>14798</v>
      </c>
      <c r="H1170" s="113" t="s">
        <v>10541</v>
      </c>
      <c r="I1170" s="4" t="s">
        <v>14798</v>
      </c>
      <c r="J1170" s="155" t="s">
        <v>14799</v>
      </c>
      <c r="K1170" s="2" t="s">
        <v>9842</v>
      </c>
    </row>
    <row r="1171" spans="1:11" s="2" customFormat="1" x14ac:dyDescent="0.25">
      <c r="A1171" s="114" t="s">
        <v>14800</v>
      </c>
      <c r="B1171" s="4" t="s">
        <v>14801</v>
      </c>
      <c r="C1171" s="113" t="s">
        <v>15363</v>
      </c>
      <c r="D1171" s="155" t="s">
        <v>11221</v>
      </c>
      <c r="E1171" s="159">
        <v>1096</v>
      </c>
      <c r="F1171" s="157" t="s">
        <v>14802</v>
      </c>
      <c r="G1171" s="155" t="s">
        <v>14801</v>
      </c>
      <c r="H1171" s="113" t="s">
        <v>10541</v>
      </c>
      <c r="I1171" s="4" t="s">
        <v>14801</v>
      </c>
      <c r="J1171" s="155" t="s">
        <v>14802</v>
      </c>
      <c r="K1171" s="2" t="s">
        <v>14348</v>
      </c>
    </row>
    <row r="1172" spans="1:11" s="2" customFormat="1" x14ac:dyDescent="0.25">
      <c r="A1172" s="114" t="s">
        <v>14803</v>
      </c>
      <c r="B1172" s="4" t="s">
        <v>14804</v>
      </c>
      <c r="C1172" s="113" t="s">
        <v>15363</v>
      </c>
      <c r="D1172" s="155" t="s">
        <v>14805</v>
      </c>
      <c r="E1172" s="159">
        <v>234</v>
      </c>
      <c r="F1172" s="157" t="s">
        <v>14806</v>
      </c>
      <c r="G1172" s="155" t="s">
        <v>14804</v>
      </c>
      <c r="H1172" s="113" t="s">
        <v>10541</v>
      </c>
      <c r="I1172" s="4" t="s">
        <v>14804</v>
      </c>
      <c r="J1172" s="155" t="s">
        <v>14806</v>
      </c>
      <c r="K1172" s="2" t="s">
        <v>15473</v>
      </c>
    </row>
    <row r="1173" spans="1:11" s="2" customFormat="1" x14ac:dyDescent="0.25">
      <c r="A1173" s="114" t="s">
        <v>14807</v>
      </c>
      <c r="B1173" s="4" t="s">
        <v>14808</v>
      </c>
      <c r="C1173" s="113" t="s">
        <v>15363</v>
      </c>
      <c r="D1173" s="155" t="s">
        <v>9937</v>
      </c>
      <c r="E1173" s="159">
        <v>302</v>
      </c>
      <c r="F1173" s="157" t="s">
        <v>14810</v>
      </c>
      <c r="G1173" s="155" t="s">
        <v>14809</v>
      </c>
      <c r="H1173" s="113" t="s">
        <v>10541</v>
      </c>
      <c r="I1173" s="4" t="s">
        <v>14808</v>
      </c>
      <c r="J1173" s="155" t="s">
        <v>14810</v>
      </c>
      <c r="K1173" s="2" t="s">
        <v>9842</v>
      </c>
    </row>
    <row r="1174" spans="1:11" s="2" customFormat="1" x14ac:dyDescent="0.25">
      <c r="A1174" s="114" t="s">
        <v>14811</v>
      </c>
      <c r="B1174" s="4" t="s">
        <v>14812</v>
      </c>
      <c r="C1174" s="113" t="s">
        <v>15363</v>
      </c>
      <c r="D1174" s="155" t="s">
        <v>14813</v>
      </c>
      <c r="E1174" s="159">
        <v>254</v>
      </c>
      <c r="F1174" s="157" t="s">
        <v>14814</v>
      </c>
      <c r="G1174" s="155" t="s">
        <v>14812</v>
      </c>
      <c r="H1174" s="113" t="s">
        <v>10541</v>
      </c>
      <c r="I1174" s="4" t="s">
        <v>14812</v>
      </c>
      <c r="J1174" s="155" t="s">
        <v>14814</v>
      </c>
      <c r="K1174" s="2" t="s">
        <v>9842</v>
      </c>
    </row>
    <row r="1175" spans="1:11" s="2" customFormat="1" x14ac:dyDescent="0.25">
      <c r="A1175" s="114" t="s">
        <v>14815</v>
      </c>
      <c r="B1175" s="4" t="s">
        <v>14816</v>
      </c>
      <c r="C1175" s="113" t="s">
        <v>15363</v>
      </c>
      <c r="D1175" s="155" t="s">
        <v>12379</v>
      </c>
      <c r="E1175" s="159">
        <v>485</v>
      </c>
      <c r="F1175" s="157" t="s">
        <v>14817</v>
      </c>
      <c r="G1175" s="155" t="s">
        <v>14816</v>
      </c>
      <c r="H1175" s="113" t="s">
        <v>10541</v>
      </c>
      <c r="I1175" s="4" t="s">
        <v>14816</v>
      </c>
      <c r="J1175" s="155" t="s">
        <v>14817</v>
      </c>
      <c r="K1175" s="2" t="s">
        <v>15473</v>
      </c>
    </row>
    <row r="1176" spans="1:11" s="2" customFormat="1" x14ac:dyDescent="0.25">
      <c r="A1176" s="114" t="s">
        <v>14818</v>
      </c>
      <c r="B1176" s="4" t="s">
        <v>14819</v>
      </c>
      <c r="C1176" s="113" t="s">
        <v>15363</v>
      </c>
      <c r="D1176" s="155" t="s">
        <v>14820</v>
      </c>
      <c r="E1176" s="159">
        <v>856</v>
      </c>
      <c r="F1176" s="157" t="s">
        <v>14821</v>
      </c>
      <c r="G1176" s="155" t="s">
        <v>14819</v>
      </c>
      <c r="H1176" s="113" t="s">
        <v>10541</v>
      </c>
      <c r="I1176" s="4" t="s">
        <v>14819</v>
      </c>
      <c r="J1176" s="155" t="s">
        <v>14821</v>
      </c>
      <c r="K1176" s="2" t="s">
        <v>11371</v>
      </c>
    </row>
    <row r="1177" spans="1:11" s="2" customFormat="1" x14ac:dyDescent="0.25">
      <c r="A1177" s="114" t="s">
        <v>14822</v>
      </c>
      <c r="B1177" s="4" t="s">
        <v>14823</v>
      </c>
      <c r="C1177" s="113" t="s">
        <v>15363</v>
      </c>
      <c r="D1177" s="155" t="s">
        <v>9764</v>
      </c>
      <c r="E1177" s="159">
        <v>459</v>
      </c>
      <c r="F1177" s="157" t="s">
        <v>14824</v>
      </c>
      <c r="G1177" s="155" t="s">
        <v>14823</v>
      </c>
      <c r="H1177" s="113" t="s">
        <v>10541</v>
      </c>
      <c r="I1177" s="4" t="s">
        <v>14823</v>
      </c>
      <c r="J1177" s="155" t="s">
        <v>14824</v>
      </c>
      <c r="K1177" s="2" t="s">
        <v>11371</v>
      </c>
    </row>
    <row r="1178" spans="1:11" s="2" customFormat="1" x14ac:dyDescent="0.25">
      <c r="A1178" s="114" t="s">
        <v>14825</v>
      </c>
      <c r="B1178" s="4" t="s">
        <v>14826</v>
      </c>
      <c r="C1178" s="113" t="s">
        <v>15363</v>
      </c>
      <c r="D1178" s="155" t="s">
        <v>14827</v>
      </c>
      <c r="E1178" s="159">
        <v>626</v>
      </c>
      <c r="F1178" s="157" t="s">
        <v>14828</v>
      </c>
      <c r="G1178" s="155" t="s">
        <v>14826</v>
      </c>
      <c r="H1178" s="113" t="s">
        <v>10541</v>
      </c>
      <c r="I1178" s="4" t="s">
        <v>14826</v>
      </c>
      <c r="J1178" s="155" t="s">
        <v>14828</v>
      </c>
      <c r="K1178" s="2" t="s">
        <v>10084</v>
      </c>
    </row>
    <row r="1179" spans="1:11" s="2" customFormat="1" x14ac:dyDescent="0.25">
      <c r="A1179" s="114" t="s">
        <v>14829</v>
      </c>
      <c r="B1179" s="4" t="s">
        <v>14830</v>
      </c>
      <c r="C1179" s="113" t="s">
        <v>15363</v>
      </c>
      <c r="D1179" s="155" t="s">
        <v>9887</v>
      </c>
      <c r="E1179" s="159">
        <v>554</v>
      </c>
      <c r="F1179" s="157" t="s">
        <v>14831</v>
      </c>
      <c r="G1179" s="155" t="s">
        <v>14830</v>
      </c>
      <c r="H1179" s="113" t="s">
        <v>10541</v>
      </c>
      <c r="I1179" s="4" t="s">
        <v>14830</v>
      </c>
      <c r="J1179" s="155" t="s">
        <v>14831</v>
      </c>
      <c r="K1179" s="2" t="s">
        <v>10084</v>
      </c>
    </row>
    <row r="1180" spans="1:11" s="2" customFormat="1" x14ac:dyDescent="0.25">
      <c r="A1180" s="114" t="s">
        <v>14832</v>
      </c>
      <c r="B1180" s="4" t="s">
        <v>14833</v>
      </c>
      <c r="C1180" s="113" t="s">
        <v>15363</v>
      </c>
      <c r="D1180" s="155" t="s">
        <v>14834</v>
      </c>
      <c r="E1180" s="159">
        <v>498</v>
      </c>
      <c r="F1180" s="157" t="s">
        <v>14835</v>
      </c>
      <c r="G1180" s="155" t="s">
        <v>14833</v>
      </c>
      <c r="H1180" s="113" t="s">
        <v>10541</v>
      </c>
      <c r="I1180" s="4" t="s">
        <v>14833</v>
      </c>
      <c r="J1180" s="155" t="s">
        <v>14835</v>
      </c>
      <c r="K1180" s="2" t="s">
        <v>15473</v>
      </c>
    </row>
    <row r="1181" spans="1:11" s="2" customFormat="1" x14ac:dyDescent="0.25">
      <c r="A1181" s="114" t="s">
        <v>14836</v>
      </c>
      <c r="B1181" s="4" t="s">
        <v>14837</v>
      </c>
      <c r="C1181" s="113" t="s">
        <v>15363</v>
      </c>
      <c r="D1181" s="155" t="s">
        <v>9850</v>
      </c>
      <c r="E1181" s="159">
        <v>136</v>
      </c>
      <c r="F1181" s="157" t="s">
        <v>14838</v>
      </c>
      <c r="G1181" s="155" t="s">
        <v>14837</v>
      </c>
      <c r="H1181" s="113" t="s">
        <v>10541</v>
      </c>
      <c r="I1181" s="4" t="s">
        <v>14837</v>
      </c>
      <c r="J1181" s="155" t="s">
        <v>14838</v>
      </c>
      <c r="K1181" s="2" t="s">
        <v>15473</v>
      </c>
    </row>
    <row r="1182" spans="1:11" s="2" customFormat="1" x14ac:dyDescent="0.25">
      <c r="A1182" s="114" t="s">
        <v>14839</v>
      </c>
      <c r="B1182" s="4" t="s">
        <v>14840</v>
      </c>
      <c r="C1182" s="113" t="s">
        <v>15363</v>
      </c>
      <c r="D1182" s="155" t="s">
        <v>9887</v>
      </c>
      <c r="E1182" s="159">
        <v>385</v>
      </c>
      <c r="F1182" s="157" t="s">
        <v>14841</v>
      </c>
      <c r="G1182" s="155" t="s">
        <v>14840</v>
      </c>
      <c r="H1182" s="113" t="s">
        <v>10541</v>
      </c>
      <c r="I1182" s="4" t="s">
        <v>14840</v>
      </c>
      <c r="J1182" s="155" t="s">
        <v>14841</v>
      </c>
      <c r="K1182" s="2" t="s">
        <v>15473</v>
      </c>
    </row>
    <row r="1183" spans="1:11" s="2" customFormat="1" x14ac:dyDescent="0.25">
      <c r="A1183" s="114" t="s">
        <v>14842</v>
      </c>
      <c r="B1183" s="4" t="s">
        <v>14843</v>
      </c>
      <c r="C1183" s="113" t="s">
        <v>15363</v>
      </c>
      <c r="D1183" s="155" t="s">
        <v>10244</v>
      </c>
      <c r="E1183" s="159">
        <v>698</v>
      </c>
      <c r="F1183" s="157" t="s">
        <v>14844</v>
      </c>
      <c r="G1183" s="155" t="s">
        <v>14843</v>
      </c>
      <c r="H1183" s="113" t="s">
        <v>10541</v>
      </c>
      <c r="I1183" s="4" t="s">
        <v>14843</v>
      </c>
      <c r="J1183" s="155" t="s">
        <v>14844</v>
      </c>
      <c r="K1183" s="2" t="s">
        <v>11371</v>
      </c>
    </row>
    <row r="1184" spans="1:11" s="2" customFormat="1" x14ac:dyDescent="0.25">
      <c r="A1184" s="114" t="s">
        <v>14845</v>
      </c>
      <c r="B1184" s="4" t="s">
        <v>14846</v>
      </c>
      <c r="C1184" s="113" t="s">
        <v>15363</v>
      </c>
      <c r="D1184" s="155" t="s">
        <v>10370</v>
      </c>
      <c r="E1184" s="159">
        <v>397</v>
      </c>
      <c r="F1184" s="157" t="s">
        <v>14847</v>
      </c>
      <c r="G1184" s="155" t="s">
        <v>14846</v>
      </c>
      <c r="H1184" s="113" t="s">
        <v>10541</v>
      </c>
      <c r="I1184" s="4" t="s">
        <v>14846</v>
      </c>
      <c r="J1184" s="155" t="s">
        <v>14847</v>
      </c>
      <c r="K1184" s="2" t="s">
        <v>15473</v>
      </c>
    </row>
    <row r="1185" spans="1:11" s="2" customFormat="1" x14ac:dyDescent="0.25">
      <c r="A1185" s="114" t="s">
        <v>14848</v>
      </c>
      <c r="B1185" s="4" t="s">
        <v>14849</v>
      </c>
      <c r="C1185" s="113" t="s">
        <v>15363</v>
      </c>
      <c r="D1185" s="155" t="s">
        <v>14380</v>
      </c>
      <c r="E1185" s="159">
        <v>217</v>
      </c>
      <c r="F1185" s="157" t="s">
        <v>14850</v>
      </c>
      <c r="G1185" s="155" t="s">
        <v>14849</v>
      </c>
      <c r="H1185" s="113" t="s">
        <v>10541</v>
      </c>
      <c r="I1185" s="4" t="s">
        <v>14849</v>
      </c>
      <c r="J1185" s="155" t="s">
        <v>14850</v>
      </c>
      <c r="K1185" s="2" t="s">
        <v>15474</v>
      </c>
    </row>
    <row r="1186" spans="1:11" s="2" customFormat="1" x14ac:dyDescent="0.25">
      <c r="A1186" s="114" t="s">
        <v>14851</v>
      </c>
      <c r="B1186" s="4" t="s">
        <v>14852</v>
      </c>
      <c r="C1186" s="113" t="s">
        <v>15363</v>
      </c>
      <c r="D1186" s="155" t="s">
        <v>9767</v>
      </c>
      <c r="E1186" s="159">
        <v>1178</v>
      </c>
      <c r="F1186" s="157" t="s">
        <v>14853</v>
      </c>
      <c r="G1186" s="155" t="s">
        <v>14852</v>
      </c>
      <c r="H1186" s="113" t="s">
        <v>10541</v>
      </c>
      <c r="I1186" s="4" t="s">
        <v>14852</v>
      </c>
      <c r="J1186" s="155" t="s">
        <v>14853</v>
      </c>
      <c r="K1186" s="2" t="s">
        <v>9842</v>
      </c>
    </row>
    <row r="1187" spans="1:11" s="2" customFormat="1" x14ac:dyDescent="0.25">
      <c r="A1187" s="114" t="s">
        <v>14854</v>
      </c>
      <c r="B1187" s="4" t="s">
        <v>14855</v>
      </c>
      <c r="C1187" s="113" t="s">
        <v>15363</v>
      </c>
      <c r="D1187" s="155" t="s">
        <v>9887</v>
      </c>
      <c r="E1187" s="159">
        <v>963</v>
      </c>
      <c r="F1187" s="157" t="s">
        <v>14857</v>
      </c>
      <c r="G1187" s="155" t="s">
        <v>14856</v>
      </c>
      <c r="H1187" s="113" t="s">
        <v>10541</v>
      </c>
      <c r="I1187" s="4" t="s">
        <v>14855</v>
      </c>
      <c r="J1187" s="155" t="s">
        <v>14857</v>
      </c>
      <c r="K1187" s="2" t="s">
        <v>9842</v>
      </c>
    </row>
    <row r="1188" spans="1:11" s="2" customFormat="1" x14ac:dyDescent="0.25">
      <c r="A1188" s="114" t="s">
        <v>14858</v>
      </c>
      <c r="B1188" s="4" t="s">
        <v>14859</v>
      </c>
      <c r="C1188" s="113" t="s">
        <v>15363</v>
      </c>
      <c r="D1188" s="155" t="s">
        <v>14860</v>
      </c>
      <c r="E1188" s="159">
        <v>1199</v>
      </c>
      <c r="F1188" s="157" t="s">
        <v>14861</v>
      </c>
      <c r="G1188" s="155" t="s">
        <v>14859</v>
      </c>
      <c r="H1188" s="113" t="s">
        <v>10541</v>
      </c>
      <c r="I1188" s="4" t="s">
        <v>14859</v>
      </c>
      <c r="J1188" s="155" t="s">
        <v>14861</v>
      </c>
      <c r="K1188" s="2" t="s">
        <v>14348</v>
      </c>
    </row>
    <row r="1189" spans="1:11" s="2" customFormat="1" x14ac:dyDescent="0.25">
      <c r="A1189" s="114" t="s">
        <v>14862</v>
      </c>
      <c r="B1189" s="4" t="s">
        <v>14863</v>
      </c>
      <c r="C1189" s="113" t="s">
        <v>15363</v>
      </c>
      <c r="D1189" s="155" t="s">
        <v>10628</v>
      </c>
      <c r="E1189" s="159">
        <v>821</v>
      </c>
      <c r="F1189" s="157" t="s">
        <v>14864</v>
      </c>
      <c r="G1189" s="155" t="s">
        <v>14863</v>
      </c>
      <c r="H1189" s="113" t="s">
        <v>10541</v>
      </c>
      <c r="I1189" s="4" t="s">
        <v>14863</v>
      </c>
      <c r="J1189" s="155" t="s">
        <v>14864</v>
      </c>
      <c r="K1189" s="2" t="s">
        <v>9842</v>
      </c>
    </row>
    <row r="1190" spans="1:11" s="2" customFormat="1" x14ac:dyDescent="0.25">
      <c r="A1190" s="114" t="s">
        <v>14865</v>
      </c>
      <c r="B1190" s="4" t="s">
        <v>14866</v>
      </c>
      <c r="C1190" s="113" t="s">
        <v>15363</v>
      </c>
      <c r="D1190" s="155" t="s">
        <v>10297</v>
      </c>
      <c r="E1190" s="159">
        <v>884</v>
      </c>
      <c r="F1190" s="157" t="s">
        <v>14868</v>
      </c>
      <c r="G1190" s="155" t="s">
        <v>14867</v>
      </c>
      <c r="H1190" s="113" t="s">
        <v>10541</v>
      </c>
      <c r="I1190" s="4" t="s">
        <v>14866</v>
      </c>
      <c r="J1190" s="155" t="s">
        <v>14868</v>
      </c>
      <c r="K1190" s="2" t="s">
        <v>12712</v>
      </c>
    </row>
    <row r="1191" spans="1:11" s="2" customFormat="1" x14ac:dyDescent="0.25">
      <c r="A1191" s="114" t="s">
        <v>14869</v>
      </c>
      <c r="B1191" s="4" t="s">
        <v>14870</v>
      </c>
      <c r="C1191" s="113" t="s">
        <v>15363</v>
      </c>
      <c r="D1191" s="155" t="s">
        <v>14329</v>
      </c>
      <c r="E1191" s="159">
        <v>345</v>
      </c>
      <c r="F1191" s="157" t="s">
        <v>14871</v>
      </c>
      <c r="G1191" s="155" t="s">
        <v>14870</v>
      </c>
      <c r="H1191" s="113" t="s">
        <v>10541</v>
      </c>
      <c r="I1191" s="4" t="s">
        <v>14870</v>
      </c>
      <c r="J1191" s="155" t="s">
        <v>14871</v>
      </c>
      <c r="K1191" s="2" t="s">
        <v>12712</v>
      </c>
    </row>
    <row r="1192" spans="1:11" s="2" customFormat="1" x14ac:dyDescent="0.25">
      <c r="A1192" s="114" t="s">
        <v>14872</v>
      </c>
      <c r="B1192" s="4" t="s">
        <v>14873</v>
      </c>
      <c r="C1192" s="113" t="s">
        <v>15363</v>
      </c>
      <c r="D1192" s="155" t="s">
        <v>13460</v>
      </c>
      <c r="E1192" s="159">
        <v>161</v>
      </c>
      <c r="F1192" s="157" t="s">
        <v>14874</v>
      </c>
      <c r="G1192" s="155" t="s">
        <v>14873</v>
      </c>
      <c r="H1192" s="113" t="s">
        <v>10541</v>
      </c>
      <c r="I1192" s="4" t="s">
        <v>14873</v>
      </c>
      <c r="J1192" s="155" t="s">
        <v>14874</v>
      </c>
      <c r="K1192" s="2" t="s">
        <v>12712</v>
      </c>
    </row>
    <row r="1193" spans="1:11" s="2" customFormat="1" x14ac:dyDescent="0.25">
      <c r="A1193" s="114" t="s">
        <v>14875</v>
      </c>
      <c r="B1193" s="4" t="s">
        <v>14876</v>
      </c>
      <c r="C1193" s="113" t="s">
        <v>15363</v>
      </c>
      <c r="D1193" s="155" t="s">
        <v>14877</v>
      </c>
      <c r="E1193" s="159">
        <v>530</v>
      </c>
      <c r="F1193" s="157" t="s">
        <v>14878</v>
      </c>
      <c r="G1193" s="155" t="s">
        <v>14876</v>
      </c>
      <c r="H1193" s="113" t="s">
        <v>10541</v>
      </c>
      <c r="I1193" s="4" t="s">
        <v>14876</v>
      </c>
      <c r="J1193" s="155" t="s">
        <v>14878</v>
      </c>
      <c r="K1193" s="2" t="s">
        <v>9842</v>
      </c>
    </row>
    <row r="1194" spans="1:11" s="2" customFormat="1" x14ac:dyDescent="0.25">
      <c r="A1194" s="114" t="s">
        <v>14879</v>
      </c>
      <c r="B1194" s="4" t="s">
        <v>14880</v>
      </c>
      <c r="C1194" s="113" t="s">
        <v>15363</v>
      </c>
      <c r="D1194" s="155" t="s">
        <v>13704</v>
      </c>
      <c r="E1194" s="159">
        <v>298</v>
      </c>
      <c r="F1194" s="157" t="s">
        <v>14881</v>
      </c>
      <c r="G1194" s="155" t="s">
        <v>14880</v>
      </c>
      <c r="H1194" s="113" t="s">
        <v>10541</v>
      </c>
      <c r="I1194" s="4" t="s">
        <v>14880</v>
      </c>
      <c r="J1194" s="155" t="s">
        <v>14881</v>
      </c>
      <c r="K1194" s="2" t="s">
        <v>15473</v>
      </c>
    </row>
    <row r="1195" spans="1:11" s="2" customFormat="1" x14ac:dyDescent="0.25">
      <c r="A1195" s="114" t="s">
        <v>14882</v>
      </c>
      <c r="B1195" s="4" t="s">
        <v>14883</v>
      </c>
      <c r="C1195" s="113" t="s">
        <v>15363</v>
      </c>
      <c r="D1195" s="155" t="s">
        <v>14884</v>
      </c>
      <c r="E1195" s="159">
        <v>117</v>
      </c>
      <c r="F1195" s="157" t="s">
        <v>14885</v>
      </c>
      <c r="G1195" s="155" t="s">
        <v>14883</v>
      </c>
      <c r="H1195" s="113" t="s">
        <v>10541</v>
      </c>
      <c r="I1195" s="4" t="s">
        <v>14883</v>
      </c>
      <c r="J1195" s="155" t="s">
        <v>14885</v>
      </c>
      <c r="K1195" s="2" t="s">
        <v>15474</v>
      </c>
    </row>
    <row r="1196" spans="1:11" s="2" customFormat="1" x14ac:dyDescent="0.25">
      <c r="A1196" s="114" t="s">
        <v>14886</v>
      </c>
      <c r="B1196" s="4" t="s">
        <v>14887</v>
      </c>
      <c r="C1196" s="113" t="s">
        <v>15363</v>
      </c>
      <c r="D1196" s="155" t="s">
        <v>10043</v>
      </c>
      <c r="E1196" s="159">
        <v>344</v>
      </c>
      <c r="F1196" s="157" t="s">
        <v>14888</v>
      </c>
      <c r="G1196" s="155" t="s">
        <v>14887</v>
      </c>
      <c r="H1196" s="113" t="s">
        <v>10541</v>
      </c>
      <c r="I1196" s="4" t="s">
        <v>14887</v>
      </c>
      <c r="J1196" s="155" t="s">
        <v>14888</v>
      </c>
      <c r="K1196" s="2" t="s">
        <v>15473</v>
      </c>
    </row>
    <row r="1197" spans="1:11" s="2" customFormat="1" x14ac:dyDescent="0.25">
      <c r="A1197" s="114" t="s">
        <v>14889</v>
      </c>
      <c r="B1197" s="4" t="s">
        <v>14890</v>
      </c>
      <c r="C1197" s="113" t="s">
        <v>15363</v>
      </c>
      <c r="D1197" s="155" t="s">
        <v>12907</v>
      </c>
      <c r="E1197" s="159">
        <v>575</v>
      </c>
      <c r="F1197" s="157" t="s">
        <v>14891</v>
      </c>
      <c r="G1197" s="155" t="s">
        <v>14890</v>
      </c>
      <c r="H1197" s="113" t="s">
        <v>10541</v>
      </c>
      <c r="I1197" s="4" t="s">
        <v>14890</v>
      </c>
      <c r="J1197" s="155" t="s">
        <v>14891</v>
      </c>
      <c r="K1197" s="2" t="s">
        <v>10084</v>
      </c>
    </row>
    <row r="1198" spans="1:11" s="2" customFormat="1" x14ac:dyDescent="0.25">
      <c r="A1198" s="114" t="s">
        <v>14892</v>
      </c>
      <c r="B1198" s="4" t="s">
        <v>14893</v>
      </c>
      <c r="C1198" s="113" t="s">
        <v>15363</v>
      </c>
      <c r="D1198" s="155" t="s">
        <v>14894</v>
      </c>
      <c r="E1198" s="159">
        <v>99</v>
      </c>
      <c r="F1198" s="157" t="s">
        <v>14895</v>
      </c>
      <c r="G1198" s="155" t="s">
        <v>14893</v>
      </c>
      <c r="H1198" s="113" t="s">
        <v>10541</v>
      </c>
      <c r="I1198" s="4" t="s">
        <v>14893</v>
      </c>
      <c r="J1198" s="155" t="s">
        <v>14895</v>
      </c>
      <c r="K1198" s="2" t="s">
        <v>15473</v>
      </c>
    </row>
    <row r="1199" spans="1:11" s="2" customFormat="1" x14ac:dyDescent="0.25">
      <c r="A1199" s="114" t="s">
        <v>14896</v>
      </c>
      <c r="B1199" s="4" t="s">
        <v>14897</v>
      </c>
      <c r="C1199" s="113" t="s">
        <v>15363</v>
      </c>
      <c r="D1199" s="155" t="s">
        <v>9764</v>
      </c>
      <c r="E1199" s="159">
        <v>416</v>
      </c>
      <c r="F1199" s="157" t="s">
        <v>14898</v>
      </c>
      <c r="G1199" s="155" t="s">
        <v>14897</v>
      </c>
      <c r="H1199" s="113" t="s">
        <v>10541</v>
      </c>
      <c r="I1199" s="4" t="s">
        <v>14897</v>
      </c>
      <c r="J1199" s="155" t="s">
        <v>14898</v>
      </c>
      <c r="K1199" s="2" t="s">
        <v>12712</v>
      </c>
    </row>
    <row r="1200" spans="1:11" s="2" customFormat="1" x14ac:dyDescent="0.25">
      <c r="A1200" s="114" t="s">
        <v>14899</v>
      </c>
      <c r="B1200" s="4" t="s">
        <v>14900</v>
      </c>
      <c r="C1200" s="113" t="s">
        <v>15363</v>
      </c>
      <c r="D1200" s="155" t="s">
        <v>14901</v>
      </c>
      <c r="E1200" s="159">
        <v>1081</v>
      </c>
      <c r="F1200" s="157" t="s">
        <v>14902</v>
      </c>
      <c r="G1200" s="155" t="s">
        <v>14900</v>
      </c>
      <c r="H1200" s="113" t="s">
        <v>10541</v>
      </c>
      <c r="I1200" s="4" t="s">
        <v>14900</v>
      </c>
      <c r="J1200" s="155" t="s">
        <v>14902</v>
      </c>
      <c r="K1200" s="2" t="s">
        <v>10084</v>
      </c>
    </row>
    <row r="1201" spans="1:11" s="2" customFormat="1" x14ac:dyDescent="0.25">
      <c r="A1201" s="114" t="s">
        <v>14903</v>
      </c>
      <c r="B1201" s="4" t="s">
        <v>12712</v>
      </c>
      <c r="C1201" s="113" t="s">
        <v>15363</v>
      </c>
      <c r="D1201" s="155" t="s">
        <v>9819</v>
      </c>
      <c r="E1201" s="159">
        <v>1202</v>
      </c>
      <c r="F1201" s="157" t="s">
        <v>14904</v>
      </c>
      <c r="G1201" s="155" t="s">
        <v>12712</v>
      </c>
      <c r="H1201" s="113" t="s">
        <v>10541</v>
      </c>
      <c r="I1201" s="4" t="s">
        <v>12712</v>
      </c>
      <c r="J1201" s="155" t="s">
        <v>14904</v>
      </c>
      <c r="K1201" s="2" t="s">
        <v>12712</v>
      </c>
    </row>
    <row r="1202" spans="1:11" s="2" customFormat="1" x14ac:dyDescent="0.25">
      <c r="A1202" s="114" t="s">
        <v>14905</v>
      </c>
      <c r="B1202" s="4" t="s">
        <v>14906</v>
      </c>
      <c r="C1202" s="113" t="s">
        <v>15363</v>
      </c>
      <c r="D1202" s="155" t="s">
        <v>14329</v>
      </c>
      <c r="E1202" s="159">
        <v>394</v>
      </c>
      <c r="F1202" s="157" t="s">
        <v>14907</v>
      </c>
      <c r="G1202" s="155" t="s">
        <v>14906</v>
      </c>
      <c r="H1202" s="113" t="s">
        <v>10541</v>
      </c>
      <c r="I1202" s="4" t="s">
        <v>14906</v>
      </c>
      <c r="J1202" s="155" t="s">
        <v>14907</v>
      </c>
      <c r="K1202" s="2" t="s">
        <v>15473</v>
      </c>
    </row>
    <row r="1203" spans="1:11" s="2" customFormat="1" x14ac:dyDescent="0.25">
      <c r="A1203" s="114" t="s">
        <v>14908</v>
      </c>
      <c r="B1203" s="4" t="s">
        <v>14909</v>
      </c>
      <c r="C1203" s="113" t="s">
        <v>15363</v>
      </c>
      <c r="D1203" s="155" t="s">
        <v>10199</v>
      </c>
      <c r="E1203" s="159">
        <v>1071</v>
      </c>
      <c r="F1203" s="157" t="s">
        <v>14910</v>
      </c>
      <c r="G1203" s="155" t="s">
        <v>14909</v>
      </c>
      <c r="H1203" s="113" t="s">
        <v>10541</v>
      </c>
      <c r="I1203" s="4" t="s">
        <v>14909</v>
      </c>
      <c r="J1203" s="155" t="s">
        <v>14910</v>
      </c>
      <c r="K1203" s="2" t="s">
        <v>15473</v>
      </c>
    </row>
    <row r="1204" spans="1:11" s="2" customFormat="1" x14ac:dyDescent="0.25">
      <c r="A1204" s="114" t="s">
        <v>14911</v>
      </c>
      <c r="B1204" s="4" t="s">
        <v>14912</v>
      </c>
      <c r="C1204" s="113" t="s">
        <v>15363</v>
      </c>
      <c r="D1204" s="155" t="s">
        <v>14913</v>
      </c>
      <c r="E1204" s="159">
        <v>468</v>
      </c>
      <c r="F1204" s="157" t="s">
        <v>14914</v>
      </c>
      <c r="G1204" s="155" t="s">
        <v>14912</v>
      </c>
      <c r="H1204" s="113" t="s">
        <v>10541</v>
      </c>
      <c r="I1204" s="4" t="s">
        <v>14912</v>
      </c>
      <c r="J1204" s="155" t="s">
        <v>14914</v>
      </c>
      <c r="K1204" s="2" t="s">
        <v>9842</v>
      </c>
    </row>
    <row r="1205" spans="1:11" s="2" customFormat="1" x14ac:dyDescent="0.25">
      <c r="A1205" s="114" t="s">
        <v>14915</v>
      </c>
      <c r="B1205" s="4" t="s">
        <v>14916</v>
      </c>
      <c r="C1205" s="113" t="s">
        <v>15363</v>
      </c>
      <c r="D1205" s="155" t="s">
        <v>9764</v>
      </c>
      <c r="E1205" s="159">
        <v>560</v>
      </c>
      <c r="F1205" s="157" t="s">
        <v>14917</v>
      </c>
      <c r="G1205" s="155" t="s">
        <v>14916</v>
      </c>
      <c r="H1205" s="113" t="s">
        <v>10541</v>
      </c>
      <c r="I1205" s="4" t="s">
        <v>14916</v>
      </c>
      <c r="J1205" s="155" t="s">
        <v>14917</v>
      </c>
      <c r="K1205" s="2" t="s">
        <v>15474</v>
      </c>
    </row>
    <row r="1206" spans="1:11" s="2" customFormat="1" x14ac:dyDescent="0.25">
      <c r="A1206" s="114" t="s">
        <v>14918</v>
      </c>
      <c r="B1206" s="4" t="s">
        <v>14919</v>
      </c>
      <c r="C1206" s="113" t="s">
        <v>15363</v>
      </c>
      <c r="D1206" s="155" t="s">
        <v>9810</v>
      </c>
      <c r="E1206" s="159">
        <v>344</v>
      </c>
      <c r="F1206" s="157" t="s">
        <v>14920</v>
      </c>
      <c r="G1206" s="155" t="s">
        <v>14919</v>
      </c>
      <c r="H1206" s="113" t="s">
        <v>10541</v>
      </c>
      <c r="I1206" s="4" t="s">
        <v>14919</v>
      </c>
      <c r="J1206" s="155" t="s">
        <v>14920</v>
      </c>
      <c r="K1206" s="2" t="s">
        <v>15473</v>
      </c>
    </row>
    <row r="1207" spans="1:11" s="2" customFormat="1" x14ac:dyDescent="0.25">
      <c r="A1207" s="114" t="s">
        <v>14921</v>
      </c>
      <c r="B1207" s="4" t="s">
        <v>14922</v>
      </c>
      <c r="C1207" s="113" t="s">
        <v>15363</v>
      </c>
      <c r="D1207" s="155" t="s">
        <v>14923</v>
      </c>
      <c r="E1207" s="159">
        <v>573</v>
      </c>
      <c r="F1207" s="157" t="s">
        <v>14924</v>
      </c>
      <c r="G1207" s="155" t="s">
        <v>14922</v>
      </c>
      <c r="H1207" s="113" t="s">
        <v>10541</v>
      </c>
      <c r="I1207" s="4" t="s">
        <v>14922</v>
      </c>
      <c r="J1207" s="155" t="s">
        <v>14924</v>
      </c>
      <c r="K1207" s="2" t="s">
        <v>12712</v>
      </c>
    </row>
    <row r="1208" spans="1:11" s="2" customFormat="1" x14ac:dyDescent="0.25">
      <c r="A1208" s="114" t="s">
        <v>14925</v>
      </c>
      <c r="B1208" s="4" t="s">
        <v>14926</v>
      </c>
      <c r="C1208" s="113" t="s">
        <v>15363</v>
      </c>
      <c r="D1208" s="155" t="s">
        <v>9764</v>
      </c>
      <c r="E1208" s="159">
        <v>180</v>
      </c>
      <c r="F1208" s="157" t="s">
        <v>14927</v>
      </c>
      <c r="G1208" s="155" t="s">
        <v>14926</v>
      </c>
      <c r="H1208" s="113" t="s">
        <v>10541</v>
      </c>
      <c r="I1208" s="4" t="s">
        <v>14926</v>
      </c>
      <c r="J1208" s="155" t="s">
        <v>14927</v>
      </c>
      <c r="K1208" s="2" t="s">
        <v>11371</v>
      </c>
    </row>
    <row r="1209" spans="1:11" s="2" customFormat="1" x14ac:dyDescent="0.25">
      <c r="A1209" s="114" t="s">
        <v>14928</v>
      </c>
      <c r="B1209" s="4" t="s">
        <v>14929</v>
      </c>
      <c r="C1209" s="113" t="s">
        <v>15363</v>
      </c>
      <c r="D1209" s="155" t="s">
        <v>9937</v>
      </c>
      <c r="E1209" s="159">
        <v>1096</v>
      </c>
      <c r="F1209" s="157" t="s">
        <v>14930</v>
      </c>
      <c r="G1209" s="155" t="s">
        <v>14929</v>
      </c>
      <c r="H1209" s="113" t="s">
        <v>10541</v>
      </c>
      <c r="I1209" s="4" t="s">
        <v>14929</v>
      </c>
      <c r="J1209" s="155" t="s">
        <v>14930</v>
      </c>
      <c r="K1209" s="2" t="s">
        <v>15474</v>
      </c>
    </row>
    <row r="1210" spans="1:11" s="2" customFormat="1" x14ac:dyDescent="0.25">
      <c r="A1210" s="114" t="s">
        <v>14931</v>
      </c>
      <c r="B1210" s="4" t="s">
        <v>14932</v>
      </c>
      <c r="C1210" s="113" t="s">
        <v>15363</v>
      </c>
      <c r="D1210" s="155" t="s">
        <v>10970</v>
      </c>
      <c r="E1210" s="159">
        <v>497</v>
      </c>
      <c r="F1210" s="157" t="s">
        <v>14933</v>
      </c>
      <c r="G1210" s="155" t="s">
        <v>14932</v>
      </c>
      <c r="H1210" s="113" t="s">
        <v>10541</v>
      </c>
      <c r="I1210" s="4" t="s">
        <v>14932</v>
      </c>
      <c r="J1210" s="155" t="s">
        <v>14933</v>
      </c>
      <c r="K1210" s="2" t="s">
        <v>15473</v>
      </c>
    </row>
    <row r="1211" spans="1:11" s="2" customFormat="1" x14ac:dyDescent="0.25">
      <c r="A1211" s="114" t="s">
        <v>14934</v>
      </c>
      <c r="B1211" s="4" t="s">
        <v>15316</v>
      </c>
      <c r="C1211" s="113" t="s">
        <v>15363</v>
      </c>
      <c r="D1211" s="155" t="s">
        <v>14935</v>
      </c>
      <c r="E1211" s="159">
        <v>446</v>
      </c>
      <c r="F1211" s="157" t="s">
        <v>14936</v>
      </c>
      <c r="G1211" s="155" t="s">
        <v>15316</v>
      </c>
      <c r="H1211" s="113" t="s">
        <v>10541</v>
      </c>
      <c r="I1211" s="4" t="s">
        <v>15316</v>
      </c>
      <c r="J1211" s="155" t="s">
        <v>14936</v>
      </c>
      <c r="K1211" s="2" t="s">
        <v>15473</v>
      </c>
    </row>
    <row r="1212" spans="1:11" s="2" customFormat="1" x14ac:dyDescent="0.25">
      <c r="A1212" s="114" t="s">
        <v>14937</v>
      </c>
      <c r="B1212" s="4" t="s">
        <v>14938</v>
      </c>
      <c r="C1212" s="113" t="s">
        <v>15363</v>
      </c>
      <c r="D1212" s="155" t="s">
        <v>10244</v>
      </c>
      <c r="E1212" s="159">
        <v>802</v>
      </c>
      <c r="F1212" s="157" t="s">
        <v>14939</v>
      </c>
      <c r="G1212" s="155" t="s">
        <v>14938</v>
      </c>
      <c r="H1212" s="113" t="s">
        <v>10541</v>
      </c>
      <c r="I1212" s="4" t="s">
        <v>14938</v>
      </c>
      <c r="J1212" s="155" t="s">
        <v>14939</v>
      </c>
      <c r="K1212" s="2" t="s">
        <v>9842</v>
      </c>
    </row>
    <row r="1213" spans="1:11" s="2" customFormat="1" x14ac:dyDescent="0.25">
      <c r="A1213" s="114" t="s">
        <v>14940</v>
      </c>
      <c r="B1213" s="4" t="s">
        <v>14941</v>
      </c>
      <c r="C1213" s="113" t="s">
        <v>15363</v>
      </c>
      <c r="D1213" s="155" t="s">
        <v>12401</v>
      </c>
      <c r="E1213" s="159">
        <v>401</v>
      </c>
      <c r="F1213" s="157" t="s">
        <v>14942</v>
      </c>
      <c r="G1213" s="155" t="s">
        <v>14941</v>
      </c>
      <c r="H1213" s="113" t="s">
        <v>10541</v>
      </c>
      <c r="I1213" s="4" t="s">
        <v>14941</v>
      </c>
      <c r="J1213" s="155" t="s">
        <v>14942</v>
      </c>
      <c r="K1213" s="2" t="s">
        <v>15474</v>
      </c>
    </row>
    <row r="1214" spans="1:11" s="2" customFormat="1" x14ac:dyDescent="0.25">
      <c r="A1214" s="114" t="s">
        <v>14943</v>
      </c>
      <c r="B1214" s="4" t="s">
        <v>14944</v>
      </c>
      <c r="C1214" s="113" t="s">
        <v>15363</v>
      </c>
      <c r="D1214" s="155" t="s">
        <v>14945</v>
      </c>
      <c r="E1214" s="159">
        <v>1972</v>
      </c>
      <c r="F1214" s="157" t="s">
        <v>14947</v>
      </c>
      <c r="G1214" s="155" t="s">
        <v>14946</v>
      </c>
      <c r="H1214" s="113" t="s">
        <v>10541</v>
      </c>
      <c r="I1214" s="4" t="s">
        <v>14944</v>
      </c>
      <c r="J1214" s="155" t="s">
        <v>14947</v>
      </c>
      <c r="K1214" s="2" t="s">
        <v>14348</v>
      </c>
    </row>
    <row r="1215" spans="1:11" s="2" customFormat="1" x14ac:dyDescent="0.25">
      <c r="A1215" s="114" t="s">
        <v>14948</v>
      </c>
      <c r="B1215" s="4" t="s">
        <v>14949</v>
      </c>
      <c r="C1215" s="113" t="s">
        <v>15363</v>
      </c>
      <c r="D1215" s="155" t="s">
        <v>10467</v>
      </c>
      <c r="E1215" s="159">
        <v>799</v>
      </c>
      <c r="F1215" s="157" t="s">
        <v>14950</v>
      </c>
      <c r="G1215" s="155" t="s">
        <v>14949</v>
      </c>
      <c r="H1215" s="113" t="s">
        <v>10541</v>
      </c>
      <c r="I1215" s="4" t="s">
        <v>14949</v>
      </c>
      <c r="J1215" s="155" t="s">
        <v>14950</v>
      </c>
      <c r="K1215" s="2" t="s">
        <v>12712</v>
      </c>
    </row>
    <row r="1216" spans="1:11" s="2" customFormat="1" x14ac:dyDescent="0.25">
      <c r="A1216" s="114" t="s">
        <v>14951</v>
      </c>
      <c r="B1216" s="4" t="s">
        <v>14952</v>
      </c>
      <c r="C1216" s="113" t="s">
        <v>15363</v>
      </c>
      <c r="D1216" s="155" t="s">
        <v>10808</v>
      </c>
      <c r="E1216" s="159">
        <v>680</v>
      </c>
      <c r="F1216" s="157" t="s">
        <v>14953</v>
      </c>
      <c r="G1216" s="155" t="s">
        <v>14952</v>
      </c>
      <c r="H1216" s="113" t="s">
        <v>10541</v>
      </c>
      <c r="I1216" s="4" t="s">
        <v>14952</v>
      </c>
      <c r="J1216" s="155" t="s">
        <v>14953</v>
      </c>
      <c r="K1216" s="2" t="s">
        <v>15473</v>
      </c>
    </row>
    <row r="1217" spans="1:11" s="2" customFormat="1" x14ac:dyDescent="0.25">
      <c r="A1217" s="114" t="s">
        <v>14954</v>
      </c>
      <c r="B1217" s="4" t="s">
        <v>14955</v>
      </c>
      <c r="C1217" s="113" t="s">
        <v>15363</v>
      </c>
      <c r="D1217" s="155" t="s">
        <v>9887</v>
      </c>
      <c r="E1217" s="159">
        <v>2124</v>
      </c>
      <c r="F1217" s="157" t="s">
        <v>14956</v>
      </c>
      <c r="G1217" s="155" t="s">
        <v>14955</v>
      </c>
      <c r="H1217" s="113" t="s">
        <v>10541</v>
      </c>
      <c r="I1217" s="4" t="s">
        <v>14955</v>
      </c>
      <c r="J1217" s="155" t="s">
        <v>14956</v>
      </c>
      <c r="K1217" s="2" t="s">
        <v>14348</v>
      </c>
    </row>
    <row r="1218" spans="1:11" s="2" customFormat="1" x14ac:dyDescent="0.25">
      <c r="A1218" s="114" t="s">
        <v>14957</v>
      </c>
      <c r="B1218" s="4" t="s">
        <v>14958</v>
      </c>
      <c r="C1218" s="113" t="s">
        <v>15364</v>
      </c>
      <c r="D1218" s="155" t="s">
        <v>14959</v>
      </c>
      <c r="E1218" s="159"/>
      <c r="F1218" s="157" t="s">
        <v>14960</v>
      </c>
      <c r="G1218" s="155" t="s">
        <v>14958</v>
      </c>
      <c r="H1218" s="113" t="s">
        <v>10541</v>
      </c>
      <c r="I1218" s="4" t="s">
        <v>14958</v>
      </c>
      <c r="J1218" s="155" t="s">
        <v>14960</v>
      </c>
      <c r="K1218" s="2" t="s">
        <v>9956</v>
      </c>
    </row>
    <row r="1219" spans="1:11" s="2" customFormat="1" x14ac:dyDescent="0.25">
      <c r="A1219" s="114" t="s">
        <v>14961</v>
      </c>
      <c r="B1219" s="4" t="s">
        <v>14962</v>
      </c>
      <c r="C1219" s="113" t="s">
        <v>15364</v>
      </c>
      <c r="D1219" s="155" t="s">
        <v>14959</v>
      </c>
      <c r="E1219" s="159"/>
      <c r="F1219" s="157" t="s">
        <v>14963</v>
      </c>
      <c r="G1219" s="155" t="s">
        <v>14962</v>
      </c>
      <c r="H1219" s="113" t="s">
        <v>10541</v>
      </c>
      <c r="I1219" s="4" t="s">
        <v>14962</v>
      </c>
      <c r="J1219" s="155" t="s">
        <v>14963</v>
      </c>
      <c r="K1219" s="2" t="s">
        <v>9956</v>
      </c>
    </row>
    <row r="1220" spans="1:11" s="2" customFormat="1" x14ac:dyDescent="0.25">
      <c r="A1220" s="114" t="s">
        <v>14964</v>
      </c>
      <c r="B1220" s="4" t="s">
        <v>14965</v>
      </c>
      <c r="C1220" s="113" t="s">
        <v>15364</v>
      </c>
      <c r="D1220" s="155" t="s">
        <v>14959</v>
      </c>
      <c r="E1220" s="159"/>
      <c r="F1220" s="157" t="s">
        <v>14966</v>
      </c>
      <c r="G1220" s="155" t="s">
        <v>14965</v>
      </c>
      <c r="H1220" s="113" t="s">
        <v>10541</v>
      </c>
      <c r="I1220" s="4" t="s">
        <v>14965</v>
      </c>
      <c r="J1220" s="155" t="s">
        <v>14966</v>
      </c>
      <c r="K1220" s="2" t="s">
        <v>15472</v>
      </c>
    </row>
    <row r="1221" spans="1:11" s="2" customFormat="1" x14ac:dyDescent="0.25">
      <c r="A1221" s="114" t="s">
        <v>14967</v>
      </c>
      <c r="B1221" s="4" t="s">
        <v>14968</v>
      </c>
      <c r="C1221" s="113" t="s">
        <v>15364</v>
      </c>
      <c r="D1221" s="155" t="s">
        <v>14969</v>
      </c>
      <c r="E1221" s="159">
        <v>0</v>
      </c>
      <c r="F1221" s="157" t="s">
        <v>14970</v>
      </c>
      <c r="G1221" s="155" t="s">
        <v>14968</v>
      </c>
      <c r="H1221" s="113" t="s">
        <v>10541</v>
      </c>
      <c r="I1221" s="4" t="s">
        <v>14968</v>
      </c>
      <c r="J1221" s="155" t="s">
        <v>14970</v>
      </c>
      <c r="K1221" s="2" t="s">
        <v>15470</v>
      </c>
    </row>
    <row r="1222" spans="1:11" s="2" customFormat="1" x14ac:dyDescent="0.25">
      <c r="A1222" s="114" t="s">
        <v>14971</v>
      </c>
      <c r="B1222" s="4" t="s">
        <v>14972</v>
      </c>
      <c r="C1222" s="113" t="s">
        <v>15364</v>
      </c>
      <c r="D1222" s="155" t="s">
        <v>9810</v>
      </c>
      <c r="E1222" s="159">
        <v>0</v>
      </c>
      <c r="F1222" s="157" t="s">
        <v>14973</v>
      </c>
      <c r="G1222" s="155" t="s">
        <v>14972</v>
      </c>
      <c r="H1222" s="113" t="s">
        <v>10541</v>
      </c>
      <c r="I1222" s="4" t="s">
        <v>14972</v>
      </c>
      <c r="J1222" s="155" t="s">
        <v>14973</v>
      </c>
      <c r="K1222" s="2" t="s">
        <v>15468</v>
      </c>
    </row>
    <row r="1223" spans="1:11" s="2" customFormat="1" x14ac:dyDescent="0.25">
      <c r="A1223" s="114" t="s">
        <v>14974</v>
      </c>
      <c r="B1223" s="4" t="s">
        <v>14975</v>
      </c>
      <c r="C1223" s="113" t="s">
        <v>15363</v>
      </c>
      <c r="D1223" s="155" t="s">
        <v>10199</v>
      </c>
      <c r="E1223" s="159">
        <v>1158</v>
      </c>
      <c r="F1223" s="157" t="s">
        <v>14976</v>
      </c>
      <c r="G1223" s="155" t="s">
        <v>14975</v>
      </c>
      <c r="H1223" s="113" t="s">
        <v>10541</v>
      </c>
      <c r="I1223" s="4" t="s">
        <v>14975</v>
      </c>
      <c r="J1223" s="155" t="s">
        <v>14976</v>
      </c>
      <c r="K1223" s="2" t="s">
        <v>15467</v>
      </c>
    </row>
    <row r="1224" spans="1:11" s="2" customFormat="1" x14ac:dyDescent="0.25">
      <c r="A1224" s="114" t="s">
        <v>14977</v>
      </c>
      <c r="B1224" s="4" t="s">
        <v>14978</v>
      </c>
      <c r="C1224" s="113" t="s">
        <v>15364</v>
      </c>
      <c r="D1224" s="155" t="s">
        <v>12414</v>
      </c>
      <c r="E1224" s="159">
        <v>829</v>
      </c>
      <c r="F1224" s="157" t="s">
        <v>14979</v>
      </c>
      <c r="G1224" s="155" t="s">
        <v>14978</v>
      </c>
      <c r="H1224" s="113" t="s">
        <v>10541</v>
      </c>
      <c r="I1224" s="4" t="s">
        <v>14978</v>
      </c>
      <c r="J1224" s="155" t="s">
        <v>14979</v>
      </c>
      <c r="K1224" s="2" t="s">
        <v>15474</v>
      </c>
    </row>
    <row r="1225" spans="1:11" s="2" customFormat="1" x14ac:dyDescent="0.25">
      <c r="A1225" s="114" t="s">
        <v>14980</v>
      </c>
      <c r="B1225" s="4" t="s">
        <v>12980</v>
      </c>
      <c r="C1225" s="113" t="s">
        <v>15363</v>
      </c>
      <c r="D1225" s="155" t="s">
        <v>12042</v>
      </c>
      <c r="E1225" s="159">
        <v>2622</v>
      </c>
      <c r="F1225" s="157" t="s">
        <v>14981</v>
      </c>
      <c r="G1225" s="155" t="s">
        <v>10541</v>
      </c>
      <c r="H1225" s="113" t="s">
        <v>10541</v>
      </c>
      <c r="I1225" s="4" t="s">
        <v>12980</v>
      </c>
      <c r="J1225" s="155" t="s">
        <v>14981</v>
      </c>
      <c r="K1225" s="2" t="s">
        <v>15467</v>
      </c>
    </row>
    <row r="1226" spans="1:11" s="2" customFormat="1" x14ac:dyDescent="0.25">
      <c r="A1226" s="114" t="s">
        <v>14982</v>
      </c>
      <c r="B1226" s="4" t="s">
        <v>15315</v>
      </c>
      <c r="C1226" s="113" t="s">
        <v>15363</v>
      </c>
      <c r="D1226" s="155" t="s">
        <v>6589</v>
      </c>
      <c r="E1226" s="159">
        <v>3320</v>
      </c>
      <c r="F1226" s="157" t="s">
        <v>14983</v>
      </c>
      <c r="G1226" s="155" t="s">
        <v>10541</v>
      </c>
      <c r="H1226" s="113" t="s">
        <v>10541</v>
      </c>
      <c r="I1226" s="4" t="s">
        <v>15315</v>
      </c>
      <c r="J1226" s="155" t="s">
        <v>14983</v>
      </c>
      <c r="K1226" s="2" t="s">
        <v>15467</v>
      </c>
    </row>
    <row r="1227" spans="1:11" s="2" customFormat="1" x14ac:dyDescent="0.25">
      <c r="A1227" s="114" t="s">
        <v>14984</v>
      </c>
      <c r="B1227" s="4" t="s">
        <v>11255</v>
      </c>
      <c r="C1227" s="113" t="s">
        <v>15363</v>
      </c>
      <c r="D1227" s="155" t="s">
        <v>14985</v>
      </c>
      <c r="E1227" s="159">
        <v>2761</v>
      </c>
      <c r="F1227" s="157" t="s">
        <v>14986</v>
      </c>
      <c r="G1227" s="155" t="s">
        <v>10541</v>
      </c>
      <c r="H1227" s="113" t="s">
        <v>10541</v>
      </c>
      <c r="I1227" s="4" t="s">
        <v>11255</v>
      </c>
      <c r="J1227" s="155" t="s">
        <v>14986</v>
      </c>
      <c r="K1227" s="2" t="s">
        <v>15467</v>
      </c>
    </row>
    <row r="1228" spans="1:11" s="2" customFormat="1" x14ac:dyDescent="0.25">
      <c r="A1228" s="114" t="s">
        <v>15146</v>
      </c>
      <c r="B1228" s="4" t="s">
        <v>12066</v>
      </c>
      <c r="C1228" s="113" t="s">
        <v>15363</v>
      </c>
      <c r="D1228" s="155" t="s">
        <v>15147</v>
      </c>
      <c r="E1228" s="159">
        <v>540</v>
      </c>
      <c r="F1228" s="157" t="s">
        <v>15149</v>
      </c>
      <c r="G1228" s="155" t="s">
        <v>15148</v>
      </c>
      <c r="H1228" s="113" t="s">
        <v>12066</v>
      </c>
      <c r="I1228" s="4" t="s">
        <v>12066</v>
      </c>
      <c r="J1228" s="155" t="s">
        <v>15149</v>
      </c>
      <c r="K1228" s="2" t="s">
        <v>15376</v>
      </c>
    </row>
    <row r="1229" spans="1:11" s="2" customFormat="1" x14ac:dyDescent="0.25">
      <c r="A1229" s="114" t="s">
        <v>15150</v>
      </c>
      <c r="B1229" s="4" t="s">
        <v>15151</v>
      </c>
      <c r="C1229" s="113" t="s">
        <v>15363</v>
      </c>
      <c r="D1229" s="155" t="s">
        <v>10115</v>
      </c>
      <c r="E1229" s="159">
        <v>815</v>
      </c>
      <c r="F1229" s="157" t="s">
        <v>15152</v>
      </c>
      <c r="G1229" s="155" t="s">
        <v>15148</v>
      </c>
      <c r="H1229" s="113" t="s">
        <v>12066</v>
      </c>
      <c r="I1229" s="4" t="s">
        <v>15151</v>
      </c>
      <c r="J1229" s="155" t="s">
        <v>15152</v>
      </c>
      <c r="K1229" s="2" t="s">
        <v>15376</v>
      </c>
    </row>
    <row r="1230" spans="1:11" s="2" customFormat="1" x14ac:dyDescent="0.25">
      <c r="A1230" s="114" t="s">
        <v>15153</v>
      </c>
      <c r="B1230" s="4" t="s">
        <v>15154</v>
      </c>
      <c r="C1230" s="113" t="s">
        <v>15363</v>
      </c>
      <c r="D1230" s="155" t="s">
        <v>11449</v>
      </c>
      <c r="E1230" s="159">
        <v>340</v>
      </c>
      <c r="F1230" s="157" t="s">
        <v>15155</v>
      </c>
      <c r="G1230" s="155" t="s">
        <v>15148</v>
      </c>
      <c r="H1230" s="113" t="s">
        <v>12066</v>
      </c>
      <c r="I1230" s="4" t="s">
        <v>15154</v>
      </c>
      <c r="J1230" s="155" t="s">
        <v>15155</v>
      </c>
      <c r="K1230" s="2" t="s">
        <v>15376</v>
      </c>
    </row>
    <row r="1231" spans="1:11" s="2" customFormat="1" x14ac:dyDescent="0.25">
      <c r="A1231" s="114" t="s">
        <v>15156</v>
      </c>
      <c r="B1231" s="4" t="s">
        <v>15157</v>
      </c>
      <c r="C1231" s="113" t="s">
        <v>15363</v>
      </c>
      <c r="D1231" s="155" t="s">
        <v>10599</v>
      </c>
      <c r="E1231" s="159">
        <v>477</v>
      </c>
      <c r="F1231" s="157" t="s">
        <v>15158</v>
      </c>
      <c r="G1231" s="155" t="s">
        <v>15148</v>
      </c>
      <c r="H1231" s="113" t="s">
        <v>12066</v>
      </c>
      <c r="I1231" s="4" t="s">
        <v>15157</v>
      </c>
      <c r="J1231" s="155" t="s">
        <v>15158</v>
      </c>
      <c r="K1231" s="2" t="s">
        <v>15376</v>
      </c>
    </row>
    <row r="1232" spans="1:11" s="2" customFormat="1" x14ac:dyDescent="0.25">
      <c r="A1232" s="114" t="s">
        <v>15159</v>
      </c>
      <c r="B1232" s="4" t="s">
        <v>15160</v>
      </c>
      <c r="C1232" s="113" t="s">
        <v>15363</v>
      </c>
      <c r="D1232" s="155" t="s">
        <v>9936</v>
      </c>
      <c r="E1232" s="159">
        <v>1</v>
      </c>
      <c r="F1232" s="157" t="s">
        <v>15161</v>
      </c>
      <c r="G1232" s="155" t="s">
        <v>15160</v>
      </c>
      <c r="H1232" s="113" t="s">
        <v>12066</v>
      </c>
      <c r="I1232" s="4" t="s">
        <v>15160</v>
      </c>
      <c r="J1232" s="155" t="s">
        <v>15161</v>
      </c>
      <c r="K1232" s="2" t="s">
        <v>15475</v>
      </c>
    </row>
    <row r="1233" spans="1:11" s="2" customFormat="1" x14ac:dyDescent="0.25">
      <c r="A1233" s="114" t="s">
        <v>15162</v>
      </c>
      <c r="B1233" s="4" t="s">
        <v>15163</v>
      </c>
      <c r="C1233" s="113" t="s">
        <v>15363</v>
      </c>
      <c r="D1233" s="155" t="s">
        <v>10093</v>
      </c>
      <c r="E1233" s="159">
        <v>930</v>
      </c>
      <c r="F1233" s="157" t="s">
        <v>15164</v>
      </c>
      <c r="G1233" s="155" t="s">
        <v>15163</v>
      </c>
      <c r="H1233" s="113" t="s">
        <v>12066</v>
      </c>
      <c r="I1233" s="4" t="s">
        <v>15163</v>
      </c>
      <c r="J1233" s="155" t="s">
        <v>15164</v>
      </c>
      <c r="K1233" s="2" t="s">
        <v>12343</v>
      </c>
    </row>
    <row r="1234" spans="1:11" s="2" customFormat="1" x14ac:dyDescent="0.25">
      <c r="A1234" s="114" t="s">
        <v>15165</v>
      </c>
      <c r="B1234" s="4" t="s">
        <v>15166</v>
      </c>
      <c r="C1234" s="113" t="s">
        <v>4</v>
      </c>
      <c r="D1234" s="155" t="s">
        <v>15167</v>
      </c>
      <c r="E1234" s="159">
        <v>100</v>
      </c>
      <c r="F1234" s="157" t="s">
        <v>15168</v>
      </c>
      <c r="G1234" s="155" t="s">
        <v>15166</v>
      </c>
      <c r="H1234" s="113" t="s">
        <v>12066</v>
      </c>
      <c r="I1234" s="4" t="s">
        <v>15166</v>
      </c>
      <c r="J1234" s="155" t="s">
        <v>15168</v>
      </c>
      <c r="K1234" s="2" t="s">
        <v>15254</v>
      </c>
    </row>
    <row r="1235" spans="1:11" s="2" customFormat="1" x14ac:dyDescent="0.25">
      <c r="A1235" s="114" t="s">
        <v>15169</v>
      </c>
      <c r="B1235" s="4" t="s">
        <v>15170</v>
      </c>
      <c r="C1235" s="113" t="s">
        <v>15363</v>
      </c>
      <c r="D1235" s="155" t="s">
        <v>10244</v>
      </c>
      <c r="E1235" s="159">
        <v>200</v>
      </c>
      <c r="F1235" s="157" t="s">
        <v>15172</v>
      </c>
      <c r="G1235" s="155" t="s">
        <v>15171</v>
      </c>
      <c r="H1235" s="113" t="s">
        <v>12066</v>
      </c>
      <c r="I1235" s="4" t="s">
        <v>15170</v>
      </c>
      <c r="J1235" s="155" t="s">
        <v>15172</v>
      </c>
      <c r="K1235" s="2" t="s">
        <v>12343</v>
      </c>
    </row>
    <row r="1236" spans="1:11" s="2" customFormat="1" x14ac:dyDescent="0.25">
      <c r="A1236" s="114" t="s">
        <v>15173</v>
      </c>
      <c r="B1236" s="4" t="s">
        <v>9853</v>
      </c>
      <c r="C1236" s="113" t="s">
        <v>15363</v>
      </c>
      <c r="D1236" s="155" t="s">
        <v>15174</v>
      </c>
      <c r="E1236" s="159">
        <v>398</v>
      </c>
      <c r="F1236" s="157" t="s">
        <v>15175</v>
      </c>
      <c r="G1236" s="155" t="s">
        <v>9853</v>
      </c>
      <c r="H1236" s="113" t="s">
        <v>12066</v>
      </c>
      <c r="I1236" s="4" t="s">
        <v>9853</v>
      </c>
      <c r="J1236" s="155" t="s">
        <v>15175</v>
      </c>
      <c r="K1236" s="2" t="s">
        <v>15213</v>
      </c>
    </row>
    <row r="1237" spans="1:11" s="2" customFormat="1" x14ac:dyDescent="0.25">
      <c r="A1237" s="114" t="s">
        <v>15176</v>
      </c>
      <c r="B1237" s="4" t="s">
        <v>15177</v>
      </c>
      <c r="C1237" s="113" t="s">
        <v>4</v>
      </c>
      <c r="D1237" s="155" t="s">
        <v>15178</v>
      </c>
      <c r="E1237" s="159"/>
      <c r="F1237" s="157" t="s">
        <v>15179</v>
      </c>
      <c r="G1237" s="155" t="s">
        <v>15177</v>
      </c>
      <c r="H1237" s="113" t="s">
        <v>12066</v>
      </c>
      <c r="I1237" s="4" t="s">
        <v>15177</v>
      </c>
      <c r="J1237" s="155" t="s">
        <v>15179</v>
      </c>
      <c r="K1237" s="2" t="s">
        <v>15177</v>
      </c>
    </row>
    <row r="1238" spans="1:11" s="2" customFormat="1" x14ac:dyDescent="0.25">
      <c r="A1238" s="114" t="s">
        <v>15180</v>
      </c>
      <c r="B1238" s="4" t="s">
        <v>15181</v>
      </c>
      <c r="C1238" s="113" t="s">
        <v>4</v>
      </c>
      <c r="D1238" s="155" t="s">
        <v>12998</v>
      </c>
      <c r="E1238" s="159">
        <v>1</v>
      </c>
      <c r="F1238" s="157" t="s">
        <v>15183</v>
      </c>
      <c r="G1238" s="155" t="s">
        <v>15182</v>
      </c>
      <c r="H1238" s="113" t="s">
        <v>12066</v>
      </c>
      <c r="I1238" s="4" t="s">
        <v>15181</v>
      </c>
      <c r="J1238" s="155" t="s">
        <v>15183</v>
      </c>
      <c r="K1238" s="2" t="s">
        <v>15254</v>
      </c>
    </row>
    <row r="1239" spans="1:11" s="2" customFormat="1" x14ac:dyDescent="0.25">
      <c r="A1239" s="114" t="s">
        <v>15184</v>
      </c>
      <c r="B1239" s="4" t="s">
        <v>12661</v>
      </c>
      <c r="C1239" s="113" t="s">
        <v>15363</v>
      </c>
      <c r="D1239" s="155" t="s">
        <v>9912</v>
      </c>
      <c r="E1239" s="159">
        <v>305</v>
      </c>
      <c r="F1239" s="157" t="s">
        <v>15185</v>
      </c>
      <c r="G1239" s="155" t="s">
        <v>12661</v>
      </c>
      <c r="H1239" s="113" t="s">
        <v>12066</v>
      </c>
      <c r="I1239" s="4" t="s">
        <v>12661</v>
      </c>
      <c r="J1239" s="155" t="s">
        <v>15185</v>
      </c>
      <c r="K1239" s="2" t="s">
        <v>15476</v>
      </c>
    </row>
    <row r="1240" spans="1:11" s="2" customFormat="1" x14ac:dyDescent="0.25">
      <c r="A1240" s="114" t="s">
        <v>15186</v>
      </c>
      <c r="B1240" s="4" t="s">
        <v>15187</v>
      </c>
      <c r="C1240" s="113" t="s">
        <v>15363</v>
      </c>
      <c r="D1240" s="155" t="s">
        <v>9850</v>
      </c>
      <c r="E1240" s="159">
        <v>380</v>
      </c>
      <c r="F1240" s="157" t="s">
        <v>15188</v>
      </c>
      <c r="G1240" s="155" t="s">
        <v>15187</v>
      </c>
      <c r="H1240" s="113" t="s">
        <v>12066</v>
      </c>
      <c r="I1240" s="4" t="s">
        <v>15187</v>
      </c>
      <c r="J1240" s="155" t="s">
        <v>15188</v>
      </c>
      <c r="K1240" s="2" t="s">
        <v>15187</v>
      </c>
    </row>
    <row r="1241" spans="1:11" s="2" customFormat="1" x14ac:dyDescent="0.25">
      <c r="A1241" s="114" t="s">
        <v>15189</v>
      </c>
      <c r="B1241" s="4" t="s">
        <v>15190</v>
      </c>
      <c r="C1241" s="113" t="s">
        <v>4</v>
      </c>
      <c r="D1241" s="155" t="s">
        <v>10244</v>
      </c>
      <c r="E1241" s="159">
        <v>12</v>
      </c>
      <c r="F1241" s="157" t="s">
        <v>15191</v>
      </c>
      <c r="G1241" s="155" t="s">
        <v>15190</v>
      </c>
      <c r="H1241" s="113" t="s">
        <v>12066</v>
      </c>
      <c r="I1241" s="4" t="s">
        <v>15190</v>
      </c>
      <c r="J1241" s="155" t="s">
        <v>15191</v>
      </c>
      <c r="K1241" s="2" t="s">
        <v>15190</v>
      </c>
    </row>
    <row r="1242" spans="1:11" s="2" customFormat="1" x14ac:dyDescent="0.25">
      <c r="A1242" s="114" t="s">
        <v>15192</v>
      </c>
      <c r="B1242" s="4" t="s">
        <v>15193</v>
      </c>
      <c r="C1242" s="113" t="s">
        <v>4</v>
      </c>
      <c r="D1242" s="155" t="s">
        <v>12372</v>
      </c>
      <c r="E1242" s="159">
        <v>0</v>
      </c>
      <c r="F1242" s="157" t="s">
        <v>15194</v>
      </c>
      <c r="G1242" s="155" t="s">
        <v>13690</v>
      </c>
      <c r="H1242" s="113" t="s">
        <v>12066</v>
      </c>
      <c r="I1242" s="4" t="s">
        <v>15193</v>
      </c>
      <c r="J1242" s="155" t="s">
        <v>15194</v>
      </c>
      <c r="K1242" s="2" t="s">
        <v>15475</v>
      </c>
    </row>
    <row r="1243" spans="1:11" s="2" customFormat="1" x14ac:dyDescent="0.25">
      <c r="A1243" s="114" t="s">
        <v>15195</v>
      </c>
      <c r="B1243" s="4" t="s">
        <v>15196</v>
      </c>
      <c r="C1243" s="113" t="s">
        <v>4</v>
      </c>
      <c r="D1243" s="155" t="s">
        <v>12035</v>
      </c>
      <c r="E1243" s="159">
        <v>170</v>
      </c>
      <c r="F1243" s="157" t="s">
        <v>15197</v>
      </c>
      <c r="G1243" s="155" t="s">
        <v>10732</v>
      </c>
      <c r="H1243" s="113" t="s">
        <v>12066</v>
      </c>
      <c r="I1243" s="4" t="s">
        <v>15196</v>
      </c>
      <c r="J1243" s="155" t="s">
        <v>15197</v>
      </c>
      <c r="K1243" s="2" t="s">
        <v>15235</v>
      </c>
    </row>
    <row r="1244" spans="1:11" s="2" customFormat="1" x14ac:dyDescent="0.25">
      <c r="A1244" s="114" t="s">
        <v>15198</v>
      </c>
      <c r="B1244" s="4" t="s">
        <v>10468</v>
      </c>
      <c r="C1244" s="113" t="s">
        <v>15363</v>
      </c>
      <c r="D1244" s="155" t="s">
        <v>9865</v>
      </c>
      <c r="E1244" s="159">
        <v>402</v>
      </c>
      <c r="F1244" s="157" t="s">
        <v>15199</v>
      </c>
      <c r="G1244" s="155" t="s">
        <v>10468</v>
      </c>
      <c r="H1244" s="113" t="s">
        <v>12066</v>
      </c>
      <c r="I1244" s="4" t="s">
        <v>10468</v>
      </c>
      <c r="J1244" s="155" t="s">
        <v>15199</v>
      </c>
      <c r="K1244" s="2" t="s">
        <v>10353</v>
      </c>
    </row>
    <row r="1245" spans="1:11" s="2" customFormat="1" x14ac:dyDescent="0.25">
      <c r="A1245" s="114" t="s">
        <v>15200</v>
      </c>
      <c r="B1245" s="4" t="s">
        <v>15201</v>
      </c>
      <c r="C1245" s="113" t="s">
        <v>15363</v>
      </c>
      <c r="D1245" s="155" t="s">
        <v>10199</v>
      </c>
      <c r="E1245" s="159">
        <v>142</v>
      </c>
      <c r="F1245" s="157" t="s">
        <v>15202</v>
      </c>
      <c r="G1245" s="155" t="s">
        <v>15201</v>
      </c>
      <c r="H1245" s="113" t="s">
        <v>12066</v>
      </c>
      <c r="I1245" s="4" t="s">
        <v>15201</v>
      </c>
      <c r="J1245" s="155" t="s">
        <v>15202</v>
      </c>
      <c r="K1245" s="2" t="s">
        <v>15201</v>
      </c>
    </row>
    <row r="1246" spans="1:11" s="2" customFormat="1" x14ac:dyDescent="0.25">
      <c r="A1246" s="114" t="s">
        <v>15203</v>
      </c>
      <c r="B1246" s="4" t="s">
        <v>15204</v>
      </c>
      <c r="C1246" s="113" t="s">
        <v>15363</v>
      </c>
      <c r="D1246" s="155" t="s">
        <v>9887</v>
      </c>
      <c r="E1246" s="159">
        <v>0</v>
      </c>
      <c r="F1246" s="157" t="s">
        <v>15205</v>
      </c>
      <c r="G1246" s="155" t="s">
        <v>15204</v>
      </c>
      <c r="H1246" s="113" t="s">
        <v>12066</v>
      </c>
      <c r="I1246" s="4" t="s">
        <v>15204</v>
      </c>
      <c r="J1246" s="155" t="s">
        <v>15205</v>
      </c>
      <c r="K1246" s="2" t="s">
        <v>15190</v>
      </c>
    </row>
    <row r="1247" spans="1:11" s="2" customFormat="1" x14ac:dyDescent="0.25">
      <c r="A1247" s="114" t="s">
        <v>15206</v>
      </c>
      <c r="B1247" s="4" t="s">
        <v>15207</v>
      </c>
      <c r="C1247" s="113" t="s">
        <v>4</v>
      </c>
      <c r="D1247" s="155" t="s">
        <v>13962</v>
      </c>
      <c r="E1247" s="159">
        <v>1</v>
      </c>
      <c r="F1247" s="157" t="s">
        <v>15208</v>
      </c>
      <c r="G1247" s="155" t="s">
        <v>15207</v>
      </c>
      <c r="H1247" s="113" t="s">
        <v>12066</v>
      </c>
      <c r="I1247" s="4" t="s">
        <v>15207</v>
      </c>
      <c r="J1247" s="155" t="s">
        <v>15208</v>
      </c>
      <c r="K1247" s="2" t="s">
        <v>15177</v>
      </c>
    </row>
    <row r="1248" spans="1:11" s="2" customFormat="1" x14ac:dyDescent="0.25">
      <c r="A1248" s="114" t="s">
        <v>15209</v>
      </c>
      <c r="B1248" s="4" t="s">
        <v>15210</v>
      </c>
      <c r="C1248" s="113" t="s">
        <v>4</v>
      </c>
      <c r="D1248" s="155" t="s">
        <v>9810</v>
      </c>
      <c r="E1248" s="159">
        <v>1</v>
      </c>
      <c r="F1248" s="157" t="s">
        <v>15211</v>
      </c>
      <c r="G1248" s="155" t="s">
        <v>15210</v>
      </c>
      <c r="H1248" s="113" t="s">
        <v>12066</v>
      </c>
      <c r="I1248" s="4" t="s">
        <v>15210</v>
      </c>
      <c r="J1248" s="155" t="s">
        <v>15211</v>
      </c>
      <c r="K1248" s="2" t="s">
        <v>12343</v>
      </c>
    </row>
    <row r="1249" spans="1:11" s="2" customFormat="1" x14ac:dyDescent="0.25">
      <c r="A1249" s="114" t="s">
        <v>15212</v>
      </c>
      <c r="B1249" s="4" t="s">
        <v>15213</v>
      </c>
      <c r="C1249" s="113" t="s">
        <v>4</v>
      </c>
      <c r="D1249" s="155">
        <v>1</v>
      </c>
      <c r="E1249" s="159"/>
      <c r="F1249" s="157" t="s">
        <v>15214</v>
      </c>
      <c r="G1249" s="155" t="s">
        <v>15213</v>
      </c>
      <c r="H1249" s="113" t="s">
        <v>12066</v>
      </c>
      <c r="I1249" s="4" t="s">
        <v>15213</v>
      </c>
      <c r="J1249" s="155" t="s">
        <v>15214</v>
      </c>
      <c r="K1249" s="2" t="s">
        <v>15213</v>
      </c>
    </row>
    <row r="1250" spans="1:11" s="2" customFormat="1" x14ac:dyDescent="0.25">
      <c r="A1250" s="114" t="s">
        <v>15215</v>
      </c>
      <c r="B1250" s="4" t="s">
        <v>15216</v>
      </c>
      <c r="C1250" s="113" t="s">
        <v>4</v>
      </c>
      <c r="D1250" s="155" t="s">
        <v>15217</v>
      </c>
      <c r="E1250" s="159">
        <v>0</v>
      </c>
      <c r="F1250" s="157" t="s">
        <v>15218</v>
      </c>
      <c r="G1250" s="155" t="s">
        <v>15216</v>
      </c>
      <c r="H1250" s="113" t="s">
        <v>12066</v>
      </c>
      <c r="I1250" s="4" t="s">
        <v>15216</v>
      </c>
      <c r="J1250" s="155" t="s">
        <v>15218</v>
      </c>
      <c r="K1250" s="2" t="s">
        <v>12343</v>
      </c>
    </row>
    <row r="1251" spans="1:11" s="2" customFormat="1" x14ac:dyDescent="0.25">
      <c r="A1251" s="114" t="s">
        <v>15219</v>
      </c>
      <c r="B1251" s="4" t="s">
        <v>15220</v>
      </c>
      <c r="C1251" s="113" t="s">
        <v>15363</v>
      </c>
      <c r="D1251" s="155" t="s">
        <v>10244</v>
      </c>
      <c r="E1251" s="159">
        <v>125</v>
      </c>
      <c r="F1251" s="157" t="s">
        <v>15221</v>
      </c>
      <c r="G1251" s="155" t="s">
        <v>15220</v>
      </c>
      <c r="H1251" s="113" t="s">
        <v>12066</v>
      </c>
      <c r="I1251" s="4" t="s">
        <v>15220</v>
      </c>
      <c r="J1251" s="155" t="s">
        <v>15221</v>
      </c>
      <c r="K1251" s="2" t="s">
        <v>15220</v>
      </c>
    </row>
    <row r="1252" spans="1:11" s="2" customFormat="1" x14ac:dyDescent="0.25">
      <c r="A1252" s="114" t="s">
        <v>15222</v>
      </c>
      <c r="B1252" s="4" t="s">
        <v>15223</v>
      </c>
      <c r="C1252" s="113" t="s">
        <v>15363</v>
      </c>
      <c r="D1252" s="155" t="s">
        <v>15224</v>
      </c>
      <c r="E1252" s="159">
        <v>15</v>
      </c>
      <c r="F1252" s="157" t="s">
        <v>15225</v>
      </c>
      <c r="G1252" s="155" t="s">
        <v>15223</v>
      </c>
      <c r="H1252" s="113" t="s">
        <v>12066</v>
      </c>
      <c r="I1252" s="4" t="s">
        <v>15223</v>
      </c>
      <c r="J1252" s="155" t="s">
        <v>15225</v>
      </c>
      <c r="K1252" s="2" t="s">
        <v>15257</v>
      </c>
    </row>
    <row r="1253" spans="1:11" s="2" customFormat="1" x14ac:dyDescent="0.25">
      <c r="A1253" s="114" t="s">
        <v>15226</v>
      </c>
      <c r="B1253" s="4" t="s">
        <v>15227</v>
      </c>
      <c r="C1253" s="113" t="s">
        <v>4</v>
      </c>
      <c r="D1253" s="155" t="s">
        <v>15228</v>
      </c>
      <c r="E1253" s="159">
        <v>199</v>
      </c>
      <c r="F1253" s="157" t="s">
        <v>15230</v>
      </c>
      <c r="G1253" s="155" t="s">
        <v>15229</v>
      </c>
      <c r="H1253" s="113" t="s">
        <v>12066</v>
      </c>
      <c r="I1253" s="4" t="s">
        <v>15227</v>
      </c>
      <c r="J1253" s="155" t="s">
        <v>15230</v>
      </c>
      <c r="K1253" s="2" t="s">
        <v>15220</v>
      </c>
    </row>
    <row r="1254" spans="1:11" s="2" customFormat="1" x14ac:dyDescent="0.25">
      <c r="A1254" s="114" t="s">
        <v>15231</v>
      </c>
      <c r="B1254" s="4" t="s">
        <v>15232</v>
      </c>
      <c r="C1254" s="113" t="s">
        <v>4</v>
      </c>
      <c r="D1254" s="155" t="s">
        <v>9810</v>
      </c>
      <c r="E1254" s="159">
        <v>1</v>
      </c>
      <c r="F1254" s="157" t="s">
        <v>15233</v>
      </c>
      <c r="G1254" s="155" t="s">
        <v>15232</v>
      </c>
      <c r="H1254" s="113" t="s">
        <v>12066</v>
      </c>
      <c r="I1254" s="4" t="s">
        <v>15232</v>
      </c>
      <c r="J1254" s="155" t="s">
        <v>15233</v>
      </c>
      <c r="K1254" s="2" t="s">
        <v>15248</v>
      </c>
    </row>
    <row r="1255" spans="1:11" s="2" customFormat="1" x14ac:dyDescent="0.25">
      <c r="A1255" s="114" t="s">
        <v>15234</v>
      </c>
      <c r="B1255" s="4" t="s">
        <v>15235</v>
      </c>
      <c r="C1255" s="113" t="s">
        <v>15363</v>
      </c>
      <c r="D1255" s="155" t="s">
        <v>9977</v>
      </c>
      <c r="E1255" s="159">
        <v>247</v>
      </c>
      <c r="F1255" s="157" t="s">
        <v>15236</v>
      </c>
      <c r="G1255" s="155" t="s">
        <v>15235</v>
      </c>
      <c r="H1255" s="113" t="s">
        <v>12066</v>
      </c>
      <c r="I1255" s="4" t="s">
        <v>15235</v>
      </c>
      <c r="J1255" s="155" t="s">
        <v>15236</v>
      </c>
      <c r="K1255" s="2" t="s">
        <v>15235</v>
      </c>
    </row>
    <row r="1256" spans="1:11" s="2" customFormat="1" x14ac:dyDescent="0.25">
      <c r="A1256" s="114" t="s">
        <v>15237</v>
      </c>
      <c r="B1256" s="4" t="s">
        <v>15238</v>
      </c>
      <c r="C1256" s="113" t="s">
        <v>4</v>
      </c>
      <c r="D1256" s="155" t="s">
        <v>13923</v>
      </c>
      <c r="E1256" s="159">
        <v>101</v>
      </c>
      <c r="F1256" s="157" t="s">
        <v>15239</v>
      </c>
      <c r="G1256" s="155" t="s">
        <v>15238</v>
      </c>
      <c r="H1256" s="113" t="s">
        <v>12066</v>
      </c>
      <c r="I1256" s="4" t="s">
        <v>15238</v>
      </c>
      <c r="J1256" s="155" t="s">
        <v>15239</v>
      </c>
      <c r="K1256" s="2" t="s">
        <v>12343</v>
      </c>
    </row>
    <row r="1257" spans="1:11" s="2" customFormat="1" x14ac:dyDescent="0.25">
      <c r="A1257" s="114" t="s">
        <v>15240</v>
      </c>
      <c r="B1257" s="4" t="s">
        <v>15241</v>
      </c>
      <c r="C1257" s="113" t="s">
        <v>4</v>
      </c>
      <c r="D1257" s="155" t="s">
        <v>10500</v>
      </c>
      <c r="E1257" s="159">
        <v>240</v>
      </c>
      <c r="F1257" s="157" t="s">
        <v>15242</v>
      </c>
      <c r="G1257" s="155" t="s">
        <v>15241</v>
      </c>
      <c r="H1257" s="113" t="s">
        <v>12066</v>
      </c>
      <c r="I1257" s="4" t="s">
        <v>15241</v>
      </c>
      <c r="J1257" s="155" t="s">
        <v>15242</v>
      </c>
      <c r="K1257" s="2" t="s">
        <v>15220</v>
      </c>
    </row>
    <row r="1258" spans="1:11" s="2" customFormat="1" x14ac:dyDescent="0.25">
      <c r="A1258" s="114" t="s">
        <v>15243</v>
      </c>
      <c r="B1258" s="4" t="s">
        <v>15244</v>
      </c>
      <c r="C1258" s="113" t="s">
        <v>4</v>
      </c>
      <c r="D1258" s="155" t="s">
        <v>11292</v>
      </c>
      <c r="E1258" s="159">
        <v>1</v>
      </c>
      <c r="F1258" s="157" t="s">
        <v>15246</v>
      </c>
      <c r="G1258" s="155" t="s">
        <v>15245</v>
      </c>
      <c r="H1258" s="113" t="s">
        <v>12066</v>
      </c>
      <c r="I1258" s="4" t="s">
        <v>15244</v>
      </c>
      <c r="J1258" s="155" t="s">
        <v>15246</v>
      </c>
      <c r="K1258" s="2" t="s">
        <v>15260</v>
      </c>
    </row>
    <row r="1259" spans="1:11" s="2" customFormat="1" x14ac:dyDescent="0.25">
      <c r="A1259" s="114" t="s">
        <v>15247</v>
      </c>
      <c r="B1259" s="4" t="s">
        <v>15248</v>
      </c>
      <c r="C1259" s="113" t="s">
        <v>15363</v>
      </c>
      <c r="D1259" s="155" t="s">
        <v>10353</v>
      </c>
      <c r="E1259" s="159">
        <v>455</v>
      </c>
      <c r="F1259" s="157" t="s">
        <v>15249</v>
      </c>
      <c r="G1259" s="155" t="s">
        <v>15248</v>
      </c>
      <c r="H1259" s="113" t="s">
        <v>12066</v>
      </c>
      <c r="I1259" s="4" t="s">
        <v>15248</v>
      </c>
      <c r="J1259" s="155" t="s">
        <v>15249</v>
      </c>
      <c r="K1259" s="2" t="s">
        <v>15248</v>
      </c>
    </row>
    <row r="1260" spans="1:11" s="2" customFormat="1" x14ac:dyDescent="0.25">
      <c r="A1260" s="114" t="s">
        <v>15250</v>
      </c>
      <c r="B1260" s="4" t="s">
        <v>15251</v>
      </c>
      <c r="C1260" s="113" t="s">
        <v>4</v>
      </c>
      <c r="D1260" s="155" t="s">
        <v>9767</v>
      </c>
      <c r="E1260" s="159">
        <v>99</v>
      </c>
      <c r="F1260" s="157" t="s">
        <v>15252</v>
      </c>
      <c r="G1260" s="155" t="s">
        <v>15251</v>
      </c>
      <c r="H1260" s="113" t="s">
        <v>12066</v>
      </c>
      <c r="I1260" s="4" t="s">
        <v>15251</v>
      </c>
      <c r="J1260" s="155" t="s">
        <v>15252</v>
      </c>
      <c r="K1260" s="2" t="s">
        <v>15190</v>
      </c>
    </row>
    <row r="1261" spans="1:11" s="2" customFormat="1" x14ac:dyDescent="0.25">
      <c r="A1261" s="114" t="s">
        <v>15253</v>
      </c>
      <c r="B1261" s="4" t="s">
        <v>15254</v>
      </c>
      <c r="C1261" s="113" t="s">
        <v>15363</v>
      </c>
      <c r="D1261" s="155" t="s">
        <v>10500</v>
      </c>
      <c r="E1261" s="159">
        <v>1</v>
      </c>
      <c r="F1261" s="157" t="s">
        <v>15255</v>
      </c>
      <c r="G1261" s="155" t="s">
        <v>15254</v>
      </c>
      <c r="H1261" s="113" t="s">
        <v>12066</v>
      </c>
      <c r="I1261" s="4" t="s">
        <v>15254</v>
      </c>
      <c r="J1261" s="155" t="s">
        <v>15255</v>
      </c>
      <c r="K1261" s="2" t="s">
        <v>15254</v>
      </c>
    </row>
    <row r="1262" spans="1:11" s="2" customFormat="1" x14ac:dyDescent="0.25">
      <c r="A1262" s="114" t="s">
        <v>15256</v>
      </c>
      <c r="B1262" s="4" t="s">
        <v>15257</v>
      </c>
      <c r="C1262" s="113" t="s">
        <v>15363</v>
      </c>
      <c r="D1262" s="155" t="s">
        <v>15232</v>
      </c>
      <c r="E1262" s="159">
        <v>15</v>
      </c>
      <c r="F1262" s="157" t="s">
        <v>15258</v>
      </c>
      <c r="G1262" s="155" t="s">
        <v>15257</v>
      </c>
      <c r="H1262" s="113" t="s">
        <v>12066</v>
      </c>
      <c r="I1262" s="4" t="s">
        <v>15257</v>
      </c>
      <c r="J1262" s="155" t="s">
        <v>15258</v>
      </c>
      <c r="K1262" s="2" t="s">
        <v>15257</v>
      </c>
    </row>
    <row r="1263" spans="1:11" s="2" customFormat="1" x14ac:dyDescent="0.25">
      <c r="A1263" s="114" t="s">
        <v>15259</v>
      </c>
      <c r="B1263" s="4" t="s">
        <v>15260</v>
      </c>
      <c r="C1263" s="113" t="s">
        <v>4</v>
      </c>
      <c r="D1263" s="155" t="s">
        <v>15261</v>
      </c>
      <c r="E1263" s="159"/>
      <c r="F1263" s="157" t="s">
        <v>15262</v>
      </c>
      <c r="G1263" s="155" t="s">
        <v>15260</v>
      </c>
      <c r="H1263" s="113" t="s">
        <v>12066</v>
      </c>
      <c r="I1263" s="4" t="s">
        <v>15260</v>
      </c>
      <c r="J1263" s="155" t="s">
        <v>15262</v>
      </c>
      <c r="K1263" s="2" t="s">
        <v>15260</v>
      </c>
    </row>
    <row r="1264" spans="1:11" s="2" customFormat="1" x14ac:dyDescent="0.25">
      <c r="A1264" s="114" t="s">
        <v>15263</v>
      </c>
      <c r="B1264" s="4" t="s">
        <v>15264</v>
      </c>
      <c r="C1264" s="113" t="s">
        <v>4</v>
      </c>
      <c r="D1264" s="155" t="s">
        <v>15265</v>
      </c>
      <c r="E1264" s="159">
        <v>1</v>
      </c>
      <c r="F1264" s="157" t="s">
        <v>15267</v>
      </c>
      <c r="G1264" s="155" t="s">
        <v>15266</v>
      </c>
      <c r="H1264" s="113" t="s">
        <v>12066</v>
      </c>
      <c r="I1264" s="4" t="s">
        <v>15264</v>
      </c>
      <c r="J1264" s="155" t="s">
        <v>15267</v>
      </c>
      <c r="K1264" s="2" t="s">
        <v>15476</v>
      </c>
    </row>
    <row r="1265" spans="1:11" s="2" customFormat="1" x14ac:dyDescent="0.25">
      <c r="A1265" s="114" t="s">
        <v>15268</v>
      </c>
      <c r="B1265" s="4" t="s">
        <v>15269</v>
      </c>
      <c r="C1265" s="113" t="s">
        <v>4</v>
      </c>
      <c r="D1265" s="155" t="s">
        <v>9818</v>
      </c>
      <c r="E1265" s="159">
        <v>101</v>
      </c>
      <c r="F1265" s="157" t="s">
        <v>15271</v>
      </c>
      <c r="G1265" s="155" t="s">
        <v>15270</v>
      </c>
      <c r="H1265" s="113" t="s">
        <v>12066</v>
      </c>
      <c r="I1265" s="4" t="s">
        <v>15269</v>
      </c>
      <c r="J1265" s="155" t="s">
        <v>15271</v>
      </c>
      <c r="K1265" s="2" t="s">
        <v>15235</v>
      </c>
    </row>
    <row r="1266" spans="1:11" s="2" customFormat="1" x14ac:dyDescent="0.25">
      <c r="A1266" s="114" t="s">
        <v>15272</v>
      </c>
      <c r="B1266" s="4" t="s">
        <v>15273</v>
      </c>
      <c r="C1266" s="113" t="s">
        <v>15363</v>
      </c>
      <c r="D1266" s="155" t="s">
        <v>15274</v>
      </c>
      <c r="E1266" s="159">
        <v>2021</v>
      </c>
      <c r="F1266" s="157" t="s">
        <v>15275</v>
      </c>
      <c r="G1266" s="155" t="s">
        <v>15273</v>
      </c>
      <c r="H1266" s="113" t="s">
        <v>12066</v>
      </c>
      <c r="I1266" s="4" t="s">
        <v>15273</v>
      </c>
      <c r="J1266" s="155" t="s">
        <v>15275</v>
      </c>
      <c r="K1266" s="2" t="s">
        <v>15273</v>
      </c>
    </row>
    <row r="1267" spans="1:11" s="2" customFormat="1" x14ac:dyDescent="0.25">
      <c r="A1267" s="114" t="s">
        <v>15276</v>
      </c>
      <c r="B1267" s="4" t="s">
        <v>15277</v>
      </c>
      <c r="C1267" s="113" t="s">
        <v>4</v>
      </c>
      <c r="D1267" s="155" t="s">
        <v>10500</v>
      </c>
      <c r="E1267" s="159">
        <v>64</v>
      </c>
      <c r="F1267" s="157" t="s">
        <v>15278</v>
      </c>
      <c r="G1267" s="155" t="s">
        <v>15277</v>
      </c>
      <c r="H1267" s="113" t="s">
        <v>12066</v>
      </c>
      <c r="I1267" s="4" t="s">
        <v>15277</v>
      </c>
      <c r="J1267" s="155" t="s">
        <v>15278</v>
      </c>
      <c r="K1267" s="2" t="s">
        <v>12343</v>
      </c>
    </row>
    <row r="1268" spans="1:11" s="2" customFormat="1" x14ac:dyDescent="0.25">
      <c r="A1268" s="114" t="s">
        <v>15279</v>
      </c>
      <c r="B1268" s="4" t="s">
        <v>15280</v>
      </c>
      <c r="C1268" s="113" t="s">
        <v>15364</v>
      </c>
      <c r="D1268" s="155" t="s">
        <v>11529</v>
      </c>
      <c r="E1268" s="159"/>
      <c r="F1268" s="157" t="s">
        <v>15281</v>
      </c>
      <c r="G1268" s="155" t="s">
        <v>15280</v>
      </c>
      <c r="H1268" s="113" t="s">
        <v>12066</v>
      </c>
      <c r="I1268" s="4" t="s">
        <v>15280</v>
      </c>
      <c r="J1268" s="155" t="s">
        <v>15281</v>
      </c>
      <c r="K1268" s="2" t="s">
        <v>12343</v>
      </c>
    </row>
    <row r="1269" spans="1:11" s="2" customFormat="1" x14ac:dyDescent="0.25">
      <c r="A1269" s="114" t="s">
        <v>15282</v>
      </c>
      <c r="B1269" s="4" t="s">
        <v>15283</v>
      </c>
      <c r="C1269" s="113" t="s">
        <v>15364</v>
      </c>
      <c r="D1269" s="155" t="s">
        <v>15284</v>
      </c>
      <c r="E1269" s="159"/>
      <c r="F1269" s="157" t="s">
        <v>15285</v>
      </c>
      <c r="G1269" s="155" t="s">
        <v>15283</v>
      </c>
      <c r="H1269" s="113" t="s">
        <v>12066</v>
      </c>
      <c r="I1269" s="4" t="s">
        <v>15283</v>
      </c>
      <c r="J1269" s="155" t="s">
        <v>15285</v>
      </c>
      <c r="K1269" s="2" t="s">
        <v>15257</v>
      </c>
    </row>
    <row r="1270" spans="1:11" s="2" customFormat="1" x14ac:dyDescent="0.25">
      <c r="A1270" s="114" t="s">
        <v>15286</v>
      </c>
      <c r="B1270" s="4" t="s">
        <v>15287</v>
      </c>
      <c r="C1270" s="113" t="s">
        <v>15364</v>
      </c>
      <c r="D1270" s="155" t="s">
        <v>11529</v>
      </c>
      <c r="E1270" s="159"/>
      <c r="F1270" s="157" t="s">
        <v>15288</v>
      </c>
      <c r="G1270" s="155" t="s">
        <v>15287</v>
      </c>
      <c r="H1270" s="113" t="s">
        <v>12066</v>
      </c>
      <c r="I1270" s="4" t="s">
        <v>15287</v>
      </c>
      <c r="J1270" s="155" t="s">
        <v>15288</v>
      </c>
      <c r="K1270" s="2" t="s">
        <v>15248</v>
      </c>
    </row>
    <row r="1271" spans="1:11" s="2" customFormat="1" x14ac:dyDescent="0.25">
      <c r="A1271" s="114" t="s">
        <v>15289</v>
      </c>
      <c r="B1271" s="4" t="s">
        <v>15290</v>
      </c>
      <c r="C1271" s="113" t="s">
        <v>4</v>
      </c>
      <c r="D1271" s="155" t="s">
        <v>12327</v>
      </c>
      <c r="E1271" s="159">
        <v>450</v>
      </c>
      <c r="F1271" s="157" t="s">
        <v>15291</v>
      </c>
      <c r="G1271" s="155" t="s">
        <v>15148</v>
      </c>
      <c r="H1271" s="113" t="s">
        <v>12066</v>
      </c>
      <c r="I1271" s="4" t="s">
        <v>15290</v>
      </c>
      <c r="J1271" s="155" t="s">
        <v>15291</v>
      </c>
      <c r="K1271" s="2" t="s">
        <v>15376</v>
      </c>
    </row>
    <row r="1272" spans="1:11" s="2" customFormat="1" x14ac:dyDescent="0.25">
      <c r="A1272" s="114" t="s">
        <v>11891</v>
      </c>
      <c r="B1272" s="4" t="s">
        <v>11892</v>
      </c>
      <c r="C1272" s="113" t="s">
        <v>15363</v>
      </c>
      <c r="D1272" s="155" t="s">
        <v>9764</v>
      </c>
      <c r="E1272" s="159">
        <v>180</v>
      </c>
      <c r="F1272" s="157" t="s">
        <v>11894</v>
      </c>
      <c r="G1272" s="155" t="s">
        <v>11892</v>
      </c>
      <c r="H1272" s="113" t="s">
        <v>11893</v>
      </c>
      <c r="I1272" s="4" t="s">
        <v>11892</v>
      </c>
      <c r="J1272" s="155" t="s">
        <v>11894</v>
      </c>
      <c r="K1272" s="2" t="s">
        <v>15477</v>
      </c>
    </row>
    <row r="1273" spans="1:11" s="2" customFormat="1" x14ac:dyDescent="0.25">
      <c r="A1273" s="114" t="s">
        <v>11895</v>
      </c>
      <c r="B1273" s="4" t="s">
        <v>11896</v>
      </c>
      <c r="C1273" s="113" t="s">
        <v>15363</v>
      </c>
      <c r="D1273" s="155" t="s">
        <v>10752</v>
      </c>
      <c r="E1273" s="159">
        <v>490</v>
      </c>
      <c r="F1273" s="157" t="s">
        <v>11897</v>
      </c>
      <c r="G1273" s="155" t="s">
        <v>11892</v>
      </c>
      <c r="H1273" s="113" t="s">
        <v>11893</v>
      </c>
      <c r="I1273" s="4" t="s">
        <v>11896</v>
      </c>
      <c r="J1273" s="155" t="s">
        <v>11897</v>
      </c>
      <c r="K1273" s="2" t="s">
        <v>15477</v>
      </c>
    </row>
    <row r="1274" spans="1:11" s="2" customFormat="1" x14ac:dyDescent="0.25">
      <c r="A1274" s="114" t="s">
        <v>11898</v>
      </c>
      <c r="B1274" s="4" t="s">
        <v>11899</v>
      </c>
      <c r="C1274" s="113" t="s">
        <v>15363</v>
      </c>
      <c r="D1274" s="155" t="s">
        <v>11900</v>
      </c>
      <c r="E1274" s="159">
        <v>801</v>
      </c>
      <c r="F1274" s="157" t="s">
        <v>11901</v>
      </c>
      <c r="G1274" s="155" t="s">
        <v>11892</v>
      </c>
      <c r="H1274" s="113" t="s">
        <v>11893</v>
      </c>
      <c r="I1274" s="4" t="s">
        <v>11899</v>
      </c>
      <c r="J1274" s="155" t="s">
        <v>11901</v>
      </c>
      <c r="K1274" s="2" t="s">
        <v>15477</v>
      </c>
    </row>
    <row r="1275" spans="1:11" s="2" customFormat="1" x14ac:dyDescent="0.25">
      <c r="A1275" s="114" t="s">
        <v>11902</v>
      </c>
      <c r="B1275" s="4" t="s">
        <v>11903</v>
      </c>
      <c r="C1275" s="113" t="s">
        <v>15363</v>
      </c>
      <c r="D1275" s="155" t="s">
        <v>15372</v>
      </c>
      <c r="E1275" s="159"/>
      <c r="F1275" s="157" t="s">
        <v>11904</v>
      </c>
      <c r="G1275" s="155" t="s">
        <v>11903</v>
      </c>
      <c r="H1275" s="113" t="s">
        <v>11893</v>
      </c>
      <c r="I1275" s="4" t="s">
        <v>11903</v>
      </c>
      <c r="J1275" s="155" t="s">
        <v>11904</v>
      </c>
      <c r="K1275" s="2" t="s">
        <v>15478</v>
      </c>
    </row>
    <row r="1276" spans="1:11" s="2" customFormat="1" x14ac:dyDescent="0.25">
      <c r="A1276" s="114" t="s">
        <v>11905</v>
      </c>
      <c r="B1276" s="4" t="s">
        <v>11906</v>
      </c>
      <c r="C1276" s="113" t="s">
        <v>15363</v>
      </c>
      <c r="D1276" s="155" t="s">
        <v>10808</v>
      </c>
      <c r="E1276" s="159">
        <v>0</v>
      </c>
      <c r="F1276" s="157" t="s">
        <v>11907</v>
      </c>
      <c r="G1276" s="155" t="s">
        <v>11906</v>
      </c>
      <c r="H1276" s="113" t="s">
        <v>11893</v>
      </c>
      <c r="I1276" s="4" t="s">
        <v>11906</v>
      </c>
      <c r="J1276" s="155" t="s">
        <v>11907</v>
      </c>
      <c r="K1276" s="2" t="s">
        <v>15478</v>
      </c>
    </row>
    <row r="1277" spans="1:11" s="2" customFormat="1" x14ac:dyDescent="0.25">
      <c r="A1277" s="114" t="s">
        <v>11908</v>
      </c>
      <c r="B1277" s="4" t="s">
        <v>11909</v>
      </c>
      <c r="C1277" s="113" t="s">
        <v>15363</v>
      </c>
      <c r="D1277" s="155" t="s">
        <v>9861</v>
      </c>
      <c r="E1277" s="159">
        <v>300</v>
      </c>
      <c r="F1277" s="157" t="s">
        <v>11910</v>
      </c>
      <c r="G1277" s="155" t="s">
        <v>11909</v>
      </c>
      <c r="H1277" s="113" t="s">
        <v>11893</v>
      </c>
      <c r="I1277" s="4" t="s">
        <v>11909</v>
      </c>
      <c r="J1277" s="155" t="s">
        <v>11910</v>
      </c>
      <c r="K1277" s="2" t="s">
        <v>10305</v>
      </c>
    </row>
    <row r="1278" spans="1:11" s="2" customFormat="1" x14ac:dyDescent="0.25">
      <c r="A1278" s="114" t="s">
        <v>11911</v>
      </c>
      <c r="B1278" s="4" t="s">
        <v>11912</v>
      </c>
      <c r="C1278" s="113" t="s">
        <v>15363</v>
      </c>
      <c r="D1278" s="155" t="s">
        <v>11663</v>
      </c>
      <c r="E1278" s="159">
        <v>0</v>
      </c>
      <c r="F1278" s="157" t="s">
        <v>11913</v>
      </c>
      <c r="G1278" s="155" t="s">
        <v>11912</v>
      </c>
      <c r="H1278" s="113" t="s">
        <v>11893</v>
      </c>
      <c r="I1278" s="4" t="s">
        <v>11912</v>
      </c>
      <c r="J1278" s="155" t="s">
        <v>11913</v>
      </c>
      <c r="K1278" s="2" t="s">
        <v>15479</v>
      </c>
    </row>
    <row r="1279" spans="1:11" s="2" customFormat="1" x14ac:dyDescent="0.25">
      <c r="A1279" s="114" t="s">
        <v>11914</v>
      </c>
      <c r="B1279" s="4" t="s">
        <v>11915</v>
      </c>
      <c r="C1279" s="113" t="s">
        <v>15363</v>
      </c>
      <c r="D1279" s="155" t="s">
        <v>10244</v>
      </c>
      <c r="E1279" s="159">
        <v>347</v>
      </c>
      <c r="F1279" s="157" t="s">
        <v>11916</v>
      </c>
      <c r="G1279" s="155" t="s">
        <v>11915</v>
      </c>
      <c r="H1279" s="113" t="s">
        <v>11893</v>
      </c>
      <c r="I1279" s="4" t="s">
        <v>11915</v>
      </c>
      <c r="J1279" s="155" t="s">
        <v>11916</v>
      </c>
      <c r="K1279" s="2" t="s">
        <v>15480</v>
      </c>
    </row>
    <row r="1280" spans="1:11" s="2" customFormat="1" x14ac:dyDescent="0.25">
      <c r="A1280" s="114" t="s">
        <v>11917</v>
      </c>
      <c r="B1280" s="4" t="s">
        <v>11918</v>
      </c>
      <c r="C1280" s="113" t="s">
        <v>15363</v>
      </c>
      <c r="D1280" s="155" t="s">
        <v>10059</v>
      </c>
      <c r="E1280" s="159">
        <v>1</v>
      </c>
      <c r="F1280" s="157" t="s">
        <v>11919</v>
      </c>
      <c r="G1280" s="155" t="s">
        <v>11918</v>
      </c>
      <c r="H1280" s="113" t="s">
        <v>11893</v>
      </c>
      <c r="I1280" s="4" t="s">
        <v>11918</v>
      </c>
      <c r="J1280" s="155" t="s">
        <v>11919</v>
      </c>
      <c r="K1280" s="2" t="s">
        <v>15480</v>
      </c>
    </row>
    <row r="1281" spans="1:11" s="2" customFormat="1" x14ac:dyDescent="0.25">
      <c r="A1281" s="114" t="s">
        <v>11920</v>
      </c>
      <c r="B1281" s="4" t="s">
        <v>11921</v>
      </c>
      <c r="C1281" s="113" t="s">
        <v>15363</v>
      </c>
      <c r="D1281" s="155" t="s">
        <v>11922</v>
      </c>
      <c r="E1281" s="159">
        <v>1315</v>
      </c>
      <c r="F1281" s="157" t="s">
        <v>11923</v>
      </c>
      <c r="G1281" s="155" t="s">
        <v>11921</v>
      </c>
      <c r="H1281" s="113" t="s">
        <v>11893</v>
      </c>
      <c r="I1281" s="4" t="s">
        <v>11921</v>
      </c>
      <c r="J1281" s="155" t="s">
        <v>11923</v>
      </c>
      <c r="K1281" s="2" t="s">
        <v>15477</v>
      </c>
    </row>
    <row r="1282" spans="1:11" s="2" customFormat="1" x14ac:dyDescent="0.25">
      <c r="A1282" s="114" t="s">
        <v>11924</v>
      </c>
      <c r="B1282" s="4" t="s">
        <v>11925</v>
      </c>
      <c r="C1282" s="113" t="s">
        <v>15363</v>
      </c>
      <c r="D1282" s="155" t="s">
        <v>9887</v>
      </c>
      <c r="E1282" s="159">
        <v>790</v>
      </c>
      <c r="F1282" s="157" t="s">
        <v>11926</v>
      </c>
      <c r="G1282" s="155" t="s">
        <v>11925</v>
      </c>
      <c r="H1282" s="113" t="s">
        <v>11893</v>
      </c>
      <c r="I1282" s="4" t="s">
        <v>11925</v>
      </c>
      <c r="J1282" s="155" t="s">
        <v>11926</v>
      </c>
      <c r="K1282" s="2" t="s">
        <v>15478</v>
      </c>
    </row>
    <row r="1283" spans="1:11" s="2" customFormat="1" x14ac:dyDescent="0.25">
      <c r="A1283" s="114" t="s">
        <v>11927</v>
      </c>
      <c r="B1283" s="4" t="s">
        <v>11928</v>
      </c>
      <c r="C1283" s="113" t="s">
        <v>15363</v>
      </c>
      <c r="D1283" s="155" t="s">
        <v>11929</v>
      </c>
      <c r="E1283" s="159">
        <v>240</v>
      </c>
      <c r="F1283" s="157" t="s">
        <v>11930</v>
      </c>
      <c r="G1283" s="155" t="s">
        <v>11928</v>
      </c>
      <c r="H1283" s="113" t="s">
        <v>11893</v>
      </c>
      <c r="I1283" s="4" t="s">
        <v>11928</v>
      </c>
      <c r="J1283" s="155" t="s">
        <v>11930</v>
      </c>
      <c r="K1283" s="2" t="s">
        <v>15480</v>
      </c>
    </row>
    <row r="1284" spans="1:11" s="2" customFormat="1" x14ac:dyDescent="0.25">
      <c r="A1284" s="114" t="s">
        <v>11931</v>
      </c>
      <c r="B1284" s="4" t="s">
        <v>10043</v>
      </c>
      <c r="C1284" s="113" t="s">
        <v>15363</v>
      </c>
      <c r="D1284" s="155" t="s">
        <v>11932</v>
      </c>
      <c r="E1284" s="159">
        <v>307</v>
      </c>
      <c r="F1284" s="157" t="s">
        <v>11933</v>
      </c>
      <c r="G1284" s="155" t="s">
        <v>10043</v>
      </c>
      <c r="H1284" s="113" t="s">
        <v>11893</v>
      </c>
      <c r="I1284" s="4" t="s">
        <v>10043</v>
      </c>
      <c r="J1284" s="155" t="s">
        <v>11933</v>
      </c>
      <c r="K1284" s="2" t="s">
        <v>10043</v>
      </c>
    </row>
    <row r="1285" spans="1:11" s="2" customFormat="1" x14ac:dyDescent="0.25">
      <c r="A1285" s="114" t="s">
        <v>11934</v>
      </c>
      <c r="B1285" s="4" t="s">
        <v>11935</v>
      </c>
      <c r="C1285" s="113" t="s">
        <v>15363</v>
      </c>
      <c r="D1285" s="155" t="s">
        <v>10500</v>
      </c>
      <c r="E1285" s="159">
        <v>99</v>
      </c>
      <c r="F1285" s="157" t="s">
        <v>11936</v>
      </c>
      <c r="G1285" s="155" t="s">
        <v>11935</v>
      </c>
      <c r="H1285" s="113" t="s">
        <v>11893</v>
      </c>
      <c r="I1285" s="4" t="s">
        <v>11935</v>
      </c>
      <c r="J1285" s="155" t="s">
        <v>11936</v>
      </c>
      <c r="K1285" s="2" t="s">
        <v>15479</v>
      </c>
    </row>
    <row r="1286" spans="1:11" s="2" customFormat="1" x14ac:dyDescent="0.25">
      <c r="A1286" s="114" t="s">
        <v>11937</v>
      </c>
      <c r="B1286" s="4" t="s">
        <v>11938</v>
      </c>
      <c r="C1286" s="113" t="s">
        <v>15363</v>
      </c>
      <c r="D1286" s="155" t="s">
        <v>10492</v>
      </c>
      <c r="E1286" s="159">
        <v>315</v>
      </c>
      <c r="F1286" s="157" t="s">
        <v>11939</v>
      </c>
      <c r="G1286" s="155" t="s">
        <v>11938</v>
      </c>
      <c r="H1286" s="113" t="s">
        <v>11893</v>
      </c>
      <c r="I1286" s="4" t="s">
        <v>11938</v>
      </c>
      <c r="J1286" s="155" t="s">
        <v>11939</v>
      </c>
      <c r="K1286" s="2" t="s">
        <v>10560</v>
      </c>
    </row>
    <row r="1287" spans="1:11" s="2" customFormat="1" x14ac:dyDescent="0.25">
      <c r="A1287" s="114" t="s">
        <v>11940</v>
      </c>
      <c r="B1287" s="4" t="s">
        <v>11941</v>
      </c>
      <c r="C1287" s="113" t="s">
        <v>15363</v>
      </c>
      <c r="D1287" s="155" t="s">
        <v>11942</v>
      </c>
      <c r="E1287" s="159">
        <v>0</v>
      </c>
      <c r="F1287" s="157" t="s">
        <v>11943</v>
      </c>
      <c r="G1287" s="155" t="s">
        <v>11941</v>
      </c>
      <c r="H1287" s="113" t="s">
        <v>11893</v>
      </c>
      <c r="I1287" s="4" t="s">
        <v>11941</v>
      </c>
      <c r="J1287" s="155" t="s">
        <v>11943</v>
      </c>
      <c r="K1287" s="2" t="s">
        <v>15481</v>
      </c>
    </row>
    <row r="1288" spans="1:11" s="2" customFormat="1" x14ac:dyDescent="0.25">
      <c r="A1288" s="114" t="s">
        <v>11944</v>
      </c>
      <c r="B1288" s="4" t="s">
        <v>11945</v>
      </c>
      <c r="C1288" s="113" t="s">
        <v>15363</v>
      </c>
      <c r="D1288" s="155" t="s">
        <v>11946</v>
      </c>
      <c r="E1288" s="159">
        <v>102</v>
      </c>
      <c r="F1288" s="157" t="s">
        <v>11947</v>
      </c>
      <c r="G1288" s="155" t="s">
        <v>11945</v>
      </c>
      <c r="H1288" s="113" t="s">
        <v>11893</v>
      </c>
      <c r="I1288" s="4" t="s">
        <v>11945</v>
      </c>
      <c r="J1288" s="155" t="s">
        <v>11947</v>
      </c>
      <c r="K1288" s="2" t="s">
        <v>11960</v>
      </c>
    </row>
    <row r="1289" spans="1:11" s="2" customFormat="1" x14ac:dyDescent="0.25">
      <c r="A1289" s="114" t="s">
        <v>11948</v>
      </c>
      <c r="B1289" s="4" t="s">
        <v>11949</v>
      </c>
      <c r="C1289" s="113" t="s">
        <v>15363</v>
      </c>
      <c r="D1289" s="155" t="s">
        <v>9819</v>
      </c>
      <c r="E1289" s="159">
        <v>801</v>
      </c>
      <c r="F1289" s="157" t="s">
        <v>11950</v>
      </c>
      <c r="G1289" s="155" t="s">
        <v>11949</v>
      </c>
      <c r="H1289" s="113" t="s">
        <v>11893</v>
      </c>
      <c r="I1289" s="4" t="s">
        <v>11949</v>
      </c>
      <c r="J1289" s="155" t="s">
        <v>11950</v>
      </c>
      <c r="K1289" s="2" t="s">
        <v>15481</v>
      </c>
    </row>
    <row r="1290" spans="1:11" s="2" customFormat="1" x14ac:dyDescent="0.25">
      <c r="A1290" s="114" t="s">
        <v>11951</v>
      </c>
      <c r="B1290" s="4" t="s">
        <v>11952</v>
      </c>
      <c r="C1290" s="113" t="s">
        <v>15363</v>
      </c>
      <c r="D1290" s="155" t="s">
        <v>11953</v>
      </c>
      <c r="E1290" s="159"/>
      <c r="F1290" s="157" t="s">
        <v>11954</v>
      </c>
      <c r="G1290" s="155" t="s">
        <v>11952</v>
      </c>
      <c r="H1290" s="113" t="s">
        <v>11893</v>
      </c>
      <c r="I1290" s="4" t="s">
        <v>11952</v>
      </c>
      <c r="J1290" s="155" t="s">
        <v>11954</v>
      </c>
      <c r="K1290" s="2" t="s">
        <v>15481</v>
      </c>
    </row>
    <row r="1291" spans="1:11" s="2" customFormat="1" x14ac:dyDescent="0.25">
      <c r="A1291" s="114" t="s">
        <v>11955</v>
      </c>
      <c r="B1291" s="4" t="s">
        <v>11956</v>
      </c>
      <c r="C1291" s="113" t="s">
        <v>15363</v>
      </c>
      <c r="D1291" s="155" t="s">
        <v>11957</v>
      </c>
      <c r="E1291" s="159">
        <v>1192</v>
      </c>
      <c r="F1291" s="157" t="s">
        <v>11958</v>
      </c>
      <c r="G1291" s="155" t="s">
        <v>11956</v>
      </c>
      <c r="H1291" s="113" t="s">
        <v>11893</v>
      </c>
      <c r="I1291" s="4" t="s">
        <v>11956</v>
      </c>
      <c r="J1291" s="155" t="s">
        <v>11958</v>
      </c>
      <c r="K1291" s="2" t="s">
        <v>15479</v>
      </c>
    </row>
    <row r="1292" spans="1:11" s="2" customFormat="1" x14ac:dyDescent="0.25">
      <c r="A1292" s="114" t="s">
        <v>11959</v>
      </c>
      <c r="B1292" s="4" t="s">
        <v>11960</v>
      </c>
      <c r="C1292" s="113" t="s">
        <v>15363</v>
      </c>
      <c r="D1292" s="155" t="s">
        <v>11961</v>
      </c>
      <c r="E1292" s="159">
        <v>114</v>
      </c>
      <c r="F1292" s="157" t="s">
        <v>11962</v>
      </c>
      <c r="G1292" s="155" t="s">
        <v>11960</v>
      </c>
      <c r="H1292" s="113" t="s">
        <v>11893</v>
      </c>
      <c r="I1292" s="4" t="s">
        <v>11960</v>
      </c>
      <c r="J1292" s="155" t="s">
        <v>11962</v>
      </c>
      <c r="K1292" s="2" t="s">
        <v>11960</v>
      </c>
    </row>
    <row r="1293" spans="1:11" s="2" customFormat="1" x14ac:dyDescent="0.25">
      <c r="A1293" s="114" t="s">
        <v>11963</v>
      </c>
      <c r="B1293" s="4" t="s">
        <v>11964</v>
      </c>
      <c r="C1293" s="113" t="s">
        <v>15363</v>
      </c>
      <c r="D1293" s="155" t="s">
        <v>11965</v>
      </c>
      <c r="E1293" s="159">
        <v>0</v>
      </c>
      <c r="F1293" s="157" t="s">
        <v>11966</v>
      </c>
      <c r="G1293" s="155" t="s">
        <v>11964</v>
      </c>
      <c r="H1293" s="113" t="s">
        <v>11893</v>
      </c>
      <c r="I1293" s="4" t="s">
        <v>11964</v>
      </c>
      <c r="J1293" s="155" t="s">
        <v>11966</v>
      </c>
      <c r="K1293" s="2" t="s">
        <v>11964</v>
      </c>
    </row>
    <row r="1294" spans="1:11" s="2" customFormat="1" x14ac:dyDescent="0.25">
      <c r="A1294" s="114" t="s">
        <v>11967</v>
      </c>
      <c r="B1294" s="4" t="s">
        <v>11968</v>
      </c>
      <c r="C1294" s="113" t="s">
        <v>15363</v>
      </c>
      <c r="D1294" s="155" t="s">
        <v>11969</v>
      </c>
      <c r="E1294" s="159">
        <v>293</v>
      </c>
      <c r="F1294" s="157" t="s">
        <v>11970</v>
      </c>
      <c r="G1294" s="155" t="s">
        <v>11968</v>
      </c>
      <c r="H1294" s="113" t="s">
        <v>11893</v>
      </c>
      <c r="I1294" s="4" t="s">
        <v>11968</v>
      </c>
      <c r="J1294" s="155" t="s">
        <v>11970</v>
      </c>
      <c r="K1294" s="2" t="s">
        <v>15482</v>
      </c>
    </row>
    <row r="1295" spans="1:11" s="2" customFormat="1" x14ac:dyDescent="0.25">
      <c r="A1295" s="114" t="s">
        <v>11971</v>
      </c>
      <c r="B1295" s="4" t="s">
        <v>11972</v>
      </c>
      <c r="C1295" s="113" t="s">
        <v>15363</v>
      </c>
      <c r="D1295" s="155" t="s">
        <v>11973</v>
      </c>
      <c r="E1295" s="159">
        <v>0</v>
      </c>
      <c r="F1295" s="157" t="s">
        <v>11974</v>
      </c>
      <c r="G1295" s="155" t="s">
        <v>11972</v>
      </c>
      <c r="H1295" s="113" t="s">
        <v>11893</v>
      </c>
      <c r="I1295" s="4" t="s">
        <v>11972</v>
      </c>
      <c r="J1295" s="155" t="s">
        <v>11974</v>
      </c>
      <c r="K1295" s="2" t="s">
        <v>15481</v>
      </c>
    </row>
    <row r="1296" spans="1:11" s="2" customFormat="1" x14ac:dyDescent="0.25">
      <c r="A1296" s="114" t="s">
        <v>11975</v>
      </c>
      <c r="B1296" s="4" t="s">
        <v>10560</v>
      </c>
      <c r="C1296" s="113" t="s">
        <v>15363</v>
      </c>
      <c r="D1296" s="155" t="s">
        <v>11976</v>
      </c>
      <c r="E1296" s="159">
        <v>22</v>
      </c>
      <c r="F1296" s="157" t="s">
        <v>11977</v>
      </c>
      <c r="G1296" s="155" t="s">
        <v>10560</v>
      </c>
      <c r="H1296" s="113" t="s">
        <v>11893</v>
      </c>
      <c r="I1296" s="4" t="s">
        <v>10560</v>
      </c>
      <c r="J1296" s="155" t="s">
        <v>11977</v>
      </c>
      <c r="K1296" s="2" t="s">
        <v>10560</v>
      </c>
    </row>
    <row r="1297" spans="1:11" s="2" customFormat="1" x14ac:dyDescent="0.25">
      <c r="A1297" s="114" t="s">
        <v>11978</v>
      </c>
      <c r="B1297" s="4" t="s">
        <v>11979</v>
      </c>
      <c r="C1297" s="113" t="s">
        <v>15363</v>
      </c>
      <c r="D1297" s="155" t="s">
        <v>9819</v>
      </c>
      <c r="E1297" s="159">
        <v>891</v>
      </c>
      <c r="F1297" s="157" t="s">
        <v>11980</v>
      </c>
      <c r="G1297" s="155" t="s">
        <v>11979</v>
      </c>
      <c r="H1297" s="113" t="s">
        <v>11893</v>
      </c>
      <c r="I1297" s="4" t="s">
        <v>11979</v>
      </c>
      <c r="J1297" s="155" t="s">
        <v>11980</v>
      </c>
      <c r="K1297" s="2" t="s">
        <v>15483</v>
      </c>
    </row>
    <row r="1298" spans="1:11" s="2" customFormat="1" x14ac:dyDescent="0.25">
      <c r="A1298" s="114" t="s">
        <v>11981</v>
      </c>
      <c r="B1298" s="4" t="s">
        <v>11982</v>
      </c>
      <c r="C1298" s="113" t="s">
        <v>15363</v>
      </c>
      <c r="D1298" s="155" t="s">
        <v>10043</v>
      </c>
      <c r="E1298" s="159">
        <v>0</v>
      </c>
      <c r="F1298" s="157" t="s">
        <v>11983</v>
      </c>
      <c r="G1298" s="155" t="s">
        <v>11982</v>
      </c>
      <c r="H1298" s="113" t="s">
        <v>11893</v>
      </c>
      <c r="I1298" s="4" t="s">
        <v>11982</v>
      </c>
      <c r="J1298" s="155" t="s">
        <v>11983</v>
      </c>
      <c r="K1298" s="2" t="s">
        <v>11982</v>
      </c>
    </row>
    <row r="1299" spans="1:11" s="2" customFormat="1" x14ac:dyDescent="0.25">
      <c r="A1299" s="114" t="s">
        <v>11984</v>
      </c>
      <c r="B1299" s="4" t="s">
        <v>11985</v>
      </c>
      <c r="C1299" s="113" t="s">
        <v>15364</v>
      </c>
      <c r="D1299" s="155" t="s">
        <v>11986</v>
      </c>
      <c r="E1299" s="159">
        <v>0</v>
      </c>
      <c r="F1299" s="157" t="s">
        <v>11987</v>
      </c>
      <c r="G1299" s="155" t="s">
        <v>11985</v>
      </c>
      <c r="H1299" s="113" t="s">
        <v>11893</v>
      </c>
      <c r="I1299" s="4" t="s">
        <v>11985</v>
      </c>
      <c r="J1299" s="155" t="s">
        <v>11987</v>
      </c>
      <c r="K1299" s="2" t="s">
        <v>15481</v>
      </c>
    </row>
    <row r="1300" spans="1:11" s="2" customFormat="1" x14ac:dyDescent="0.25">
      <c r="A1300" s="114" t="s">
        <v>15135</v>
      </c>
      <c r="B1300" s="4" t="s">
        <v>15136</v>
      </c>
      <c r="C1300" s="113" t="s">
        <v>15363</v>
      </c>
      <c r="D1300" s="155" t="s">
        <v>10467</v>
      </c>
      <c r="E1300" s="159">
        <v>968</v>
      </c>
      <c r="F1300" s="157" t="s">
        <v>15138</v>
      </c>
      <c r="G1300" s="155" t="s">
        <v>15136</v>
      </c>
      <c r="H1300" s="113" t="s">
        <v>15137</v>
      </c>
      <c r="I1300" s="4" t="s">
        <v>15136</v>
      </c>
      <c r="J1300" s="155" t="s">
        <v>15138</v>
      </c>
      <c r="K1300" s="2" t="s">
        <v>15136</v>
      </c>
    </row>
    <row r="1301" spans="1:11" s="2" customFormat="1" x14ac:dyDescent="0.25">
      <c r="A1301" s="114" t="s">
        <v>15139</v>
      </c>
      <c r="B1301" s="4" t="s">
        <v>15140</v>
      </c>
      <c r="C1301" s="113" t="s">
        <v>15363</v>
      </c>
      <c r="D1301" s="155" t="s">
        <v>9819</v>
      </c>
      <c r="E1301" s="159">
        <v>309</v>
      </c>
      <c r="F1301" s="157" t="s">
        <v>15141</v>
      </c>
      <c r="G1301" s="155" t="s">
        <v>15140</v>
      </c>
      <c r="H1301" s="113" t="s">
        <v>15137</v>
      </c>
      <c r="I1301" s="4" t="s">
        <v>15140</v>
      </c>
      <c r="J1301" s="155" t="s">
        <v>15141</v>
      </c>
      <c r="K1301" s="2" t="s">
        <v>15140</v>
      </c>
    </row>
    <row r="1302" spans="1:11" s="2" customFormat="1" x14ac:dyDescent="0.25">
      <c r="A1302" s="114" t="s">
        <v>15142</v>
      </c>
      <c r="B1302" s="4" t="s">
        <v>15143</v>
      </c>
      <c r="C1302" s="113" t="s">
        <v>15363</v>
      </c>
      <c r="D1302" s="155" t="s">
        <v>15144</v>
      </c>
      <c r="E1302" s="159">
        <v>360</v>
      </c>
      <c r="F1302" s="157" t="s">
        <v>15145</v>
      </c>
      <c r="G1302" s="155" t="s">
        <v>15143</v>
      </c>
      <c r="H1302" s="113" t="s">
        <v>15137</v>
      </c>
      <c r="I1302" s="4" t="s">
        <v>15143</v>
      </c>
      <c r="J1302" s="155" t="s">
        <v>15145</v>
      </c>
      <c r="K1302" s="2" t="s">
        <v>15136</v>
      </c>
    </row>
    <row r="1303" spans="1:11" s="2" customFormat="1" x14ac:dyDescent="0.25">
      <c r="A1303" s="114" t="s">
        <v>12645</v>
      </c>
      <c r="B1303" s="4" t="s">
        <v>11221</v>
      </c>
      <c r="C1303" s="113" t="s">
        <v>15363</v>
      </c>
      <c r="D1303" s="155" t="s">
        <v>12646</v>
      </c>
      <c r="E1303" s="159">
        <v>1098</v>
      </c>
      <c r="F1303" s="157" t="s">
        <v>12647</v>
      </c>
      <c r="G1303" s="155" t="s">
        <v>11221</v>
      </c>
      <c r="H1303" s="113" t="s">
        <v>11221</v>
      </c>
      <c r="I1303" s="4" t="s">
        <v>11221</v>
      </c>
      <c r="J1303" s="155" t="s">
        <v>12647</v>
      </c>
      <c r="K1303" s="2" t="s">
        <v>15376</v>
      </c>
    </row>
    <row r="1304" spans="1:11" s="2" customFormat="1" x14ac:dyDescent="0.25">
      <c r="A1304" s="114" t="s">
        <v>12648</v>
      </c>
      <c r="B1304" s="4" t="s">
        <v>12649</v>
      </c>
      <c r="C1304" s="113" t="s">
        <v>15363</v>
      </c>
      <c r="D1304" s="155" t="s">
        <v>10443</v>
      </c>
      <c r="E1304" s="159">
        <v>2295</v>
      </c>
      <c r="F1304" s="157" t="s">
        <v>12650</v>
      </c>
      <c r="G1304" s="155" t="s">
        <v>11221</v>
      </c>
      <c r="H1304" s="113" t="s">
        <v>11221</v>
      </c>
      <c r="I1304" s="4" t="s">
        <v>12649</v>
      </c>
      <c r="J1304" s="155" t="s">
        <v>12650</v>
      </c>
      <c r="K1304" s="2" t="s">
        <v>15376</v>
      </c>
    </row>
    <row r="1305" spans="1:11" s="2" customFormat="1" x14ac:dyDescent="0.25">
      <c r="A1305" s="114" t="s">
        <v>12651</v>
      </c>
      <c r="B1305" s="4" t="s">
        <v>12652</v>
      </c>
      <c r="C1305" s="113" t="s">
        <v>15363</v>
      </c>
      <c r="D1305" s="155" t="s">
        <v>12065</v>
      </c>
      <c r="E1305" s="159">
        <v>1890</v>
      </c>
      <c r="F1305" s="157" t="s">
        <v>12653</v>
      </c>
      <c r="G1305" s="155" t="s">
        <v>11221</v>
      </c>
      <c r="H1305" s="113" t="s">
        <v>11221</v>
      </c>
      <c r="I1305" s="4" t="s">
        <v>12652</v>
      </c>
      <c r="J1305" s="155" t="s">
        <v>12653</v>
      </c>
      <c r="K1305" s="2" t="s">
        <v>15376</v>
      </c>
    </row>
    <row r="1306" spans="1:11" s="2" customFormat="1" x14ac:dyDescent="0.25">
      <c r="A1306" s="114" t="s">
        <v>12654</v>
      </c>
      <c r="B1306" s="4" t="s">
        <v>9853</v>
      </c>
      <c r="C1306" s="113" t="s">
        <v>15363</v>
      </c>
      <c r="D1306" s="155" t="s">
        <v>11221</v>
      </c>
      <c r="E1306" s="159">
        <v>689</v>
      </c>
      <c r="F1306" s="157" t="s">
        <v>12655</v>
      </c>
      <c r="G1306" s="155" t="s">
        <v>9853</v>
      </c>
      <c r="H1306" s="113" t="s">
        <v>11221</v>
      </c>
      <c r="I1306" s="4" t="s">
        <v>9853</v>
      </c>
      <c r="J1306" s="155" t="s">
        <v>12655</v>
      </c>
      <c r="K1306" s="2" t="s">
        <v>9853</v>
      </c>
    </row>
    <row r="1307" spans="1:11" s="2" customFormat="1" x14ac:dyDescent="0.25">
      <c r="A1307" s="114" t="s">
        <v>12656</v>
      </c>
      <c r="B1307" s="4" t="s">
        <v>12657</v>
      </c>
      <c r="C1307" s="113" t="s">
        <v>15363</v>
      </c>
      <c r="D1307" s="155" t="s">
        <v>12658</v>
      </c>
      <c r="E1307" s="159">
        <v>0</v>
      </c>
      <c r="F1307" s="157" t="s">
        <v>12659</v>
      </c>
      <c r="G1307" s="155" t="s">
        <v>12657</v>
      </c>
      <c r="H1307" s="113" t="s">
        <v>11221</v>
      </c>
      <c r="I1307" s="4" t="s">
        <v>12657</v>
      </c>
      <c r="J1307" s="155" t="s">
        <v>12659</v>
      </c>
      <c r="K1307" s="2" t="s">
        <v>12720</v>
      </c>
    </row>
    <row r="1308" spans="1:11" s="2" customFormat="1" x14ac:dyDescent="0.25">
      <c r="A1308" s="114" t="s">
        <v>12660</v>
      </c>
      <c r="B1308" s="4" t="s">
        <v>12661</v>
      </c>
      <c r="C1308" s="113" t="s">
        <v>15363</v>
      </c>
      <c r="D1308" s="155" t="s">
        <v>9764</v>
      </c>
      <c r="E1308" s="159">
        <v>555</v>
      </c>
      <c r="F1308" s="157" t="s">
        <v>12662</v>
      </c>
      <c r="G1308" s="155" t="s">
        <v>12661</v>
      </c>
      <c r="H1308" s="113" t="s">
        <v>11221</v>
      </c>
      <c r="I1308" s="4" t="s">
        <v>12661</v>
      </c>
      <c r="J1308" s="155" t="s">
        <v>12662</v>
      </c>
      <c r="K1308" s="2" t="s">
        <v>12661</v>
      </c>
    </row>
    <row r="1309" spans="1:11" s="2" customFormat="1" x14ac:dyDescent="0.25">
      <c r="A1309" s="114" t="s">
        <v>12663</v>
      </c>
      <c r="B1309" s="4" t="s">
        <v>12664</v>
      </c>
      <c r="C1309" s="113" t="s">
        <v>15363</v>
      </c>
      <c r="D1309" s="155" t="s">
        <v>10115</v>
      </c>
      <c r="E1309" s="159">
        <v>1184</v>
      </c>
      <c r="F1309" s="157" t="s">
        <v>12665</v>
      </c>
      <c r="G1309" s="155" t="s">
        <v>12664</v>
      </c>
      <c r="H1309" s="113" t="s">
        <v>11221</v>
      </c>
      <c r="I1309" s="4" t="s">
        <v>12664</v>
      </c>
      <c r="J1309" s="155" t="s">
        <v>12665</v>
      </c>
      <c r="K1309" s="2" t="s">
        <v>12664</v>
      </c>
    </row>
    <row r="1310" spans="1:11" s="2" customFormat="1" x14ac:dyDescent="0.25">
      <c r="A1310" s="114" t="s">
        <v>12666</v>
      </c>
      <c r="B1310" s="4" t="s">
        <v>12667</v>
      </c>
      <c r="C1310" s="113" t="s">
        <v>15363</v>
      </c>
      <c r="D1310" s="155" t="s">
        <v>10492</v>
      </c>
      <c r="E1310" s="159">
        <v>810</v>
      </c>
      <c r="F1310" s="157" t="s">
        <v>12668</v>
      </c>
      <c r="G1310" s="155" t="s">
        <v>12667</v>
      </c>
      <c r="H1310" s="113" t="s">
        <v>11221</v>
      </c>
      <c r="I1310" s="4" t="s">
        <v>12667</v>
      </c>
      <c r="J1310" s="155" t="s">
        <v>12668</v>
      </c>
      <c r="K1310" s="2" t="s">
        <v>12667</v>
      </c>
    </row>
    <row r="1311" spans="1:11" s="2" customFormat="1" x14ac:dyDescent="0.25">
      <c r="A1311" s="114" t="s">
        <v>12669</v>
      </c>
      <c r="B1311" s="4" t="s">
        <v>15302</v>
      </c>
      <c r="C1311" s="113" t="s">
        <v>15363</v>
      </c>
      <c r="D1311" s="155" t="s">
        <v>12670</v>
      </c>
      <c r="E1311" s="159">
        <v>115</v>
      </c>
      <c r="F1311" s="157" t="s">
        <v>12672</v>
      </c>
      <c r="G1311" s="155" t="s">
        <v>12671</v>
      </c>
      <c r="H1311" s="113" t="s">
        <v>11221</v>
      </c>
      <c r="I1311" s="4" t="s">
        <v>15302</v>
      </c>
      <c r="J1311" s="155" t="s">
        <v>12672</v>
      </c>
      <c r="K1311" s="2" t="s">
        <v>15398</v>
      </c>
    </row>
    <row r="1312" spans="1:11" s="2" customFormat="1" x14ac:dyDescent="0.25">
      <c r="A1312" s="114" t="s">
        <v>12673</v>
      </c>
      <c r="B1312" s="4" t="s">
        <v>12674</v>
      </c>
      <c r="C1312" s="113" t="s">
        <v>15363</v>
      </c>
      <c r="D1312" s="155" t="s">
        <v>10443</v>
      </c>
      <c r="E1312" s="159">
        <v>942</v>
      </c>
      <c r="F1312" s="157" t="s">
        <v>12675</v>
      </c>
      <c r="G1312" s="155" t="s">
        <v>12674</v>
      </c>
      <c r="H1312" s="113" t="s">
        <v>11221</v>
      </c>
      <c r="I1312" s="4" t="s">
        <v>12674</v>
      </c>
      <c r="J1312" s="155" t="s">
        <v>12675</v>
      </c>
      <c r="K1312" s="2" t="s">
        <v>12674</v>
      </c>
    </row>
    <row r="1313" spans="1:11" s="2" customFormat="1" x14ac:dyDescent="0.25">
      <c r="A1313" s="114" t="s">
        <v>12676</v>
      </c>
      <c r="B1313" s="4" t="s">
        <v>12677</v>
      </c>
      <c r="C1313" s="113" t="s">
        <v>15363</v>
      </c>
      <c r="D1313" s="155" t="s">
        <v>9810</v>
      </c>
      <c r="E1313" s="159">
        <v>100</v>
      </c>
      <c r="F1313" s="157" t="s">
        <v>12678</v>
      </c>
      <c r="G1313" s="155" t="s">
        <v>12677</v>
      </c>
      <c r="H1313" s="113" t="s">
        <v>11221</v>
      </c>
      <c r="I1313" s="4" t="s">
        <v>12677</v>
      </c>
      <c r="J1313" s="155" t="s">
        <v>12678</v>
      </c>
      <c r="K1313" s="2" t="s">
        <v>15398</v>
      </c>
    </row>
    <row r="1314" spans="1:11" s="2" customFormat="1" x14ac:dyDescent="0.25">
      <c r="A1314" s="114" t="s">
        <v>12679</v>
      </c>
      <c r="B1314" s="4" t="s">
        <v>12680</v>
      </c>
      <c r="C1314" s="113" t="s">
        <v>15363</v>
      </c>
      <c r="D1314" s="155" t="s">
        <v>12681</v>
      </c>
      <c r="E1314" s="159">
        <v>0</v>
      </c>
      <c r="F1314" s="157" t="s">
        <v>12682</v>
      </c>
      <c r="G1314" s="155" t="s">
        <v>12680</v>
      </c>
      <c r="H1314" s="113" t="s">
        <v>11221</v>
      </c>
      <c r="I1314" s="4" t="s">
        <v>12680</v>
      </c>
      <c r="J1314" s="155" t="s">
        <v>12682</v>
      </c>
      <c r="K1314" s="2" t="s">
        <v>12680</v>
      </c>
    </row>
    <row r="1315" spans="1:11" s="2" customFormat="1" x14ac:dyDescent="0.25">
      <c r="A1315" s="114" t="s">
        <v>12683</v>
      </c>
      <c r="B1315" s="4" t="s">
        <v>9895</v>
      </c>
      <c r="C1315" s="113" t="s">
        <v>15363</v>
      </c>
      <c r="D1315" s="155" t="s">
        <v>12684</v>
      </c>
      <c r="E1315" s="159">
        <v>1801</v>
      </c>
      <c r="F1315" s="157" t="s">
        <v>12685</v>
      </c>
      <c r="G1315" s="155" t="s">
        <v>9895</v>
      </c>
      <c r="H1315" s="113" t="s">
        <v>11221</v>
      </c>
      <c r="I1315" s="4" t="s">
        <v>9895</v>
      </c>
      <c r="J1315" s="155" t="s">
        <v>12685</v>
      </c>
      <c r="K1315" s="2" t="s">
        <v>9895</v>
      </c>
    </row>
    <row r="1316" spans="1:11" s="2" customFormat="1" x14ac:dyDescent="0.25">
      <c r="A1316" s="114" t="s">
        <v>12686</v>
      </c>
      <c r="B1316" s="4" t="s">
        <v>12687</v>
      </c>
      <c r="C1316" s="113" t="s">
        <v>15363</v>
      </c>
      <c r="D1316" s="155" t="s">
        <v>9887</v>
      </c>
      <c r="E1316" s="159">
        <v>0</v>
      </c>
      <c r="F1316" s="157" t="s">
        <v>12688</v>
      </c>
      <c r="G1316" s="155" t="s">
        <v>12687</v>
      </c>
      <c r="H1316" s="113" t="s">
        <v>11221</v>
      </c>
      <c r="I1316" s="4" t="s">
        <v>12687</v>
      </c>
      <c r="J1316" s="155" t="s">
        <v>12688</v>
      </c>
      <c r="K1316" s="2" t="s">
        <v>9849</v>
      </c>
    </row>
    <row r="1317" spans="1:11" s="2" customFormat="1" x14ac:dyDescent="0.25">
      <c r="A1317" s="114" t="s">
        <v>12689</v>
      </c>
      <c r="B1317" s="4" t="s">
        <v>12690</v>
      </c>
      <c r="C1317" s="113" t="s">
        <v>15363</v>
      </c>
      <c r="D1317" s="155" t="s">
        <v>11750</v>
      </c>
      <c r="E1317" s="159">
        <v>0</v>
      </c>
      <c r="F1317" s="157" t="s">
        <v>12692</v>
      </c>
      <c r="G1317" s="155" t="s">
        <v>12691</v>
      </c>
      <c r="H1317" s="113" t="s">
        <v>11221</v>
      </c>
      <c r="I1317" s="4" t="s">
        <v>12690</v>
      </c>
      <c r="J1317" s="155" t="s">
        <v>12692</v>
      </c>
      <c r="K1317" s="2" t="s">
        <v>12720</v>
      </c>
    </row>
    <row r="1318" spans="1:11" s="2" customFormat="1" x14ac:dyDescent="0.25">
      <c r="A1318" s="114" t="s">
        <v>12693</v>
      </c>
      <c r="B1318" s="4" t="s">
        <v>12694</v>
      </c>
      <c r="C1318" s="113" t="s">
        <v>15363</v>
      </c>
      <c r="D1318" s="155" t="s">
        <v>9850</v>
      </c>
      <c r="E1318" s="159">
        <v>984</v>
      </c>
      <c r="F1318" s="157" t="s">
        <v>12695</v>
      </c>
      <c r="G1318" s="155" t="s">
        <v>12694</v>
      </c>
      <c r="H1318" s="113" t="s">
        <v>11221</v>
      </c>
      <c r="I1318" s="4" t="s">
        <v>12694</v>
      </c>
      <c r="J1318" s="155" t="s">
        <v>12695</v>
      </c>
      <c r="K1318" s="2" t="s">
        <v>12694</v>
      </c>
    </row>
    <row r="1319" spans="1:11" s="2" customFormat="1" x14ac:dyDescent="0.25">
      <c r="A1319" s="114" t="s">
        <v>12696</v>
      </c>
      <c r="B1319" s="4" t="s">
        <v>10292</v>
      </c>
      <c r="C1319" s="113" t="s">
        <v>15363</v>
      </c>
      <c r="D1319" s="155" t="s">
        <v>10199</v>
      </c>
      <c r="E1319" s="159">
        <v>599</v>
      </c>
      <c r="F1319" s="157" t="s">
        <v>12697</v>
      </c>
      <c r="G1319" s="155" t="s">
        <v>10292</v>
      </c>
      <c r="H1319" s="113" t="s">
        <v>11221</v>
      </c>
      <c r="I1319" s="4" t="s">
        <v>10292</v>
      </c>
      <c r="J1319" s="155" t="s">
        <v>12697</v>
      </c>
      <c r="K1319" s="2" t="s">
        <v>10292</v>
      </c>
    </row>
    <row r="1320" spans="1:11" s="2" customFormat="1" x14ac:dyDescent="0.25">
      <c r="A1320" s="114" t="s">
        <v>12698</v>
      </c>
      <c r="B1320" s="4" t="s">
        <v>12699</v>
      </c>
      <c r="C1320" s="113" t="s">
        <v>15363</v>
      </c>
      <c r="D1320" s="155" t="s">
        <v>9887</v>
      </c>
      <c r="E1320" s="159">
        <v>642</v>
      </c>
      <c r="F1320" s="157" t="s">
        <v>12700</v>
      </c>
      <c r="G1320" s="155" t="s">
        <v>12699</v>
      </c>
      <c r="H1320" s="113" t="s">
        <v>11221</v>
      </c>
      <c r="I1320" s="4" t="s">
        <v>12699</v>
      </c>
      <c r="J1320" s="155" t="s">
        <v>12700</v>
      </c>
      <c r="K1320" s="2" t="s">
        <v>12708</v>
      </c>
    </row>
    <row r="1321" spans="1:11" s="2" customFormat="1" x14ac:dyDescent="0.25">
      <c r="A1321" s="114" t="s">
        <v>12701</v>
      </c>
      <c r="B1321" s="4" t="s">
        <v>12702</v>
      </c>
      <c r="C1321" s="113" t="s">
        <v>15363</v>
      </c>
      <c r="D1321" s="155" t="s">
        <v>9977</v>
      </c>
      <c r="E1321" s="159">
        <v>0</v>
      </c>
      <c r="F1321" s="157" t="s">
        <v>12703</v>
      </c>
      <c r="G1321" s="155" t="s">
        <v>12702</v>
      </c>
      <c r="H1321" s="113" t="s">
        <v>11221</v>
      </c>
      <c r="I1321" s="4" t="s">
        <v>12702</v>
      </c>
      <c r="J1321" s="155" t="s">
        <v>12703</v>
      </c>
      <c r="K1321" s="2" t="s">
        <v>12761</v>
      </c>
    </row>
    <row r="1322" spans="1:11" s="2" customFormat="1" x14ac:dyDescent="0.25">
      <c r="A1322" s="114" t="s">
        <v>12704</v>
      </c>
      <c r="B1322" s="4" t="s">
        <v>12705</v>
      </c>
      <c r="C1322" s="113" t="s">
        <v>15363</v>
      </c>
      <c r="D1322" s="155" t="s">
        <v>10492</v>
      </c>
      <c r="E1322" s="159">
        <v>605</v>
      </c>
      <c r="F1322" s="157" t="s">
        <v>12706</v>
      </c>
      <c r="G1322" s="155" t="s">
        <v>12705</v>
      </c>
      <c r="H1322" s="113" t="s">
        <v>11221</v>
      </c>
      <c r="I1322" s="4" t="s">
        <v>12705</v>
      </c>
      <c r="J1322" s="155" t="s">
        <v>12706</v>
      </c>
      <c r="K1322" s="2" t="s">
        <v>12705</v>
      </c>
    </row>
    <row r="1323" spans="1:11" s="2" customFormat="1" x14ac:dyDescent="0.25">
      <c r="A1323" s="114" t="s">
        <v>12707</v>
      </c>
      <c r="B1323" s="4" t="s">
        <v>12708</v>
      </c>
      <c r="C1323" s="113" t="s">
        <v>15363</v>
      </c>
      <c r="D1323" s="155" t="s">
        <v>12709</v>
      </c>
      <c r="E1323" s="159">
        <v>0</v>
      </c>
      <c r="F1323" s="157" t="s">
        <v>12710</v>
      </c>
      <c r="G1323" s="155" t="s">
        <v>12708</v>
      </c>
      <c r="H1323" s="113" t="s">
        <v>11221</v>
      </c>
      <c r="I1323" s="4" t="s">
        <v>12708</v>
      </c>
      <c r="J1323" s="155" t="s">
        <v>12710</v>
      </c>
      <c r="K1323" s="2" t="s">
        <v>12708</v>
      </c>
    </row>
    <row r="1324" spans="1:11" s="2" customFormat="1" x14ac:dyDescent="0.25">
      <c r="A1324" s="114" t="s">
        <v>12711</v>
      </c>
      <c r="B1324" s="4" t="s">
        <v>12712</v>
      </c>
      <c r="C1324" s="113" t="s">
        <v>15363</v>
      </c>
      <c r="D1324" s="155" t="s">
        <v>10043</v>
      </c>
      <c r="E1324" s="159">
        <v>0</v>
      </c>
      <c r="F1324" s="157" t="s">
        <v>12713</v>
      </c>
      <c r="G1324" s="155" t="s">
        <v>12712</v>
      </c>
      <c r="H1324" s="113" t="s">
        <v>11221</v>
      </c>
      <c r="I1324" s="4" t="s">
        <v>12712</v>
      </c>
      <c r="J1324" s="155" t="s">
        <v>12713</v>
      </c>
      <c r="K1324" s="2" t="s">
        <v>12705</v>
      </c>
    </row>
    <row r="1325" spans="1:11" s="2" customFormat="1" x14ac:dyDescent="0.25">
      <c r="A1325" s="114" t="s">
        <v>12714</v>
      </c>
      <c r="B1325" s="4" t="s">
        <v>12715</v>
      </c>
      <c r="C1325" s="113" t="s">
        <v>15363</v>
      </c>
      <c r="D1325" s="155" t="s">
        <v>12066</v>
      </c>
      <c r="E1325" s="159">
        <v>687</v>
      </c>
      <c r="F1325" s="157" t="s">
        <v>12716</v>
      </c>
      <c r="G1325" s="155" t="s">
        <v>12715</v>
      </c>
      <c r="H1325" s="113" t="s">
        <v>11221</v>
      </c>
      <c r="I1325" s="4" t="s">
        <v>12715</v>
      </c>
      <c r="J1325" s="155" t="s">
        <v>12716</v>
      </c>
      <c r="K1325" s="2" t="s">
        <v>12715</v>
      </c>
    </row>
    <row r="1326" spans="1:11" s="2" customFormat="1" x14ac:dyDescent="0.25">
      <c r="A1326" s="114" t="s">
        <v>12717</v>
      </c>
      <c r="B1326" s="4" t="s">
        <v>9849</v>
      </c>
      <c r="C1326" s="113" t="s">
        <v>15363</v>
      </c>
      <c r="D1326" s="155" t="s">
        <v>10043</v>
      </c>
      <c r="E1326" s="159">
        <v>895</v>
      </c>
      <c r="F1326" s="157" t="s">
        <v>12718</v>
      </c>
      <c r="G1326" s="155" t="s">
        <v>9849</v>
      </c>
      <c r="H1326" s="113" t="s">
        <v>11221</v>
      </c>
      <c r="I1326" s="4" t="s">
        <v>9849</v>
      </c>
      <c r="J1326" s="155" t="s">
        <v>12718</v>
      </c>
      <c r="K1326" s="2" t="s">
        <v>9849</v>
      </c>
    </row>
    <row r="1327" spans="1:11" s="2" customFormat="1" x14ac:dyDescent="0.25">
      <c r="A1327" s="114" t="s">
        <v>12719</v>
      </c>
      <c r="B1327" s="4" t="s">
        <v>12720</v>
      </c>
      <c r="C1327" s="113" t="s">
        <v>15363</v>
      </c>
      <c r="D1327" s="155" t="s">
        <v>12721</v>
      </c>
      <c r="E1327" s="159">
        <v>850</v>
      </c>
      <c r="F1327" s="157" t="s">
        <v>12722</v>
      </c>
      <c r="G1327" s="155" t="s">
        <v>12720</v>
      </c>
      <c r="H1327" s="113" t="s">
        <v>11221</v>
      </c>
      <c r="I1327" s="4" t="s">
        <v>12720</v>
      </c>
      <c r="J1327" s="155" t="s">
        <v>12722</v>
      </c>
      <c r="K1327" s="2" t="s">
        <v>12720</v>
      </c>
    </row>
    <row r="1328" spans="1:11" s="2" customFormat="1" x14ac:dyDescent="0.25">
      <c r="A1328" s="114" t="s">
        <v>12723</v>
      </c>
      <c r="B1328" s="4" t="s">
        <v>10732</v>
      </c>
      <c r="C1328" s="113" t="s">
        <v>15363</v>
      </c>
      <c r="D1328" s="155" t="s">
        <v>12724</v>
      </c>
      <c r="E1328" s="159">
        <v>204</v>
      </c>
      <c r="F1328" s="157" t="s">
        <v>12725</v>
      </c>
      <c r="G1328" s="155" t="s">
        <v>10732</v>
      </c>
      <c r="H1328" s="113" t="s">
        <v>11221</v>
      </c>
      <c r="I1328" s="4" t="s">
        <v>10732</v>
      </c>
      <c r="J1328" s="155" t="s">
        <v>12725</v>
      </c>
      <c r="K1328" s="2" t="s">
        <v>11583</v>
      </c>
    </row>
    <row r="1329" spans="1:11" s="2" customFormat="1" x14ac:dyDescent="0.25">
      <c r="A1329" s="114" t="s">
        <v>12726</v>
      </c>
      <c r="B1329" s="4" t="s">
        <v>12727</v>
      </c>
      <c r="C1329" s="113" t="s">
        <v>15363</v>
      </c>
      <c r="D1329" s="155" t="s">
        <v>12728</v>
      </c>
      <c r="E1329" s="159"/>
      <c r="F1329" s="157" t="s">
        <v>12730</v>
      </c>
      <c r="G1329" s="155" t="s">
        <v>12729</v>
      </c>
      <c r="H1329" s="113" t="s">
        <v>11221</v>
      </c>
      <c r="I1329" s="4" t="s">
        <v>12727</v>
      </c>
      <c r="J1329" s="155" t="s">
        <v>12730</v>
      </c>
      <c r="K1329" s="2" t="s">
        <v>10292</v>
      </c>
    </row>
    <row r="1330" spans="1:11" s="2" customFormat="1" x14ac:dyDescent="0.25">
      <c r="A1330" s="114" t="s">
        <v>12731</v>
      </c>
      <c r="B1330" s="4" t="s">
        <v>12732</v>
      </c>
      <c r="C1330" s="113" t="s">
        <v>15363</v>
      </c>
      <c r="D1330" s="155" t="s">
        <v>12733</v>
      </c>
      <c r="E1330" s="159">
        <v>595</v>
      </c>
      <c r="F1330" s="157" t="s">
        <v>12734</v>
      </c>
      <c r="G1330" s="155" t="s">
        <v>12732</v>
      </c>
      <c r="H1330" s="113" t="s">
        <v>11221</v>
      </c>
      <c r="I1330" s="4" t="s">
        <v>12732</v>
      </c>
      <c r="J1330" s="155" t="s">
        <v>12734</v>
      </c>
      <c r="K1330" s="2" t="s">
        <v>10226</v>
      </c>
    </row>
    <row r="1331" spans="1:11" s="2" customFormat="1" x14ac:dyDescent="0.25">
      <c r="A1331" s="114" t="s">
        <v>12735</v>
      </c>
      <c r="B1331" s="4" t="s">
        <v>12736</v>
      </c>
      <c r="C1331" s="113" t="s">
        <v>15363</v>
      </c>
      <c r="D1331" s="155" t="s">
        <v>10492</v>
      </c>
      <c r="E1331" s="159">
        <v>1</v>
      </c>
      <c r="F1331" s="157" t="s">
        <v>12737</v>
      </c>
      <c r="G1331" s="155" t="s">
        <v>12736</v>
      </c>
      <c r="H1331" s="113" t="s">
        <v>11221</v>
      </c>
      <c r="I1331" s="4" t="s">
        <v>12736</v>
      </c>
      <c r="J1331" s="155" t="s">
        <v>12737</v>
      </c>
      <c r="K1331" s="2" t="s">
        <v>9895</v>
      </c>
    </row>
    <row r="1332" spans="1:11" s="2" customFormat="1" x14ac:dyDescent="0.25">
      <c r="A1332" s="114" t="s">
        <v>12738</v>
      </c>
      <c r="B1332" s="4" t="s">
        <v>12739</v>
      </c>
      <c r="C1332" s="113" t="s">
        <v>15363</v>
      </c>
      <c r="D1332" s="155" t="s">
        <v>9764</v>
      </c>
      <c r="E1332" s="159">
        <v>0</v>
      </c>
      <c r="F1332" s="157" t="s">
        <v>12740</v>
      </c>
      <c r="G1332" s="155" t="s">
        <v>12739</v>
      </c>
      <c r="H1332" s="113" t="s">
        <v>11221</v>
      </c>
      <c r="I1332" s="4" t="s">
        <v>12739</v>
      </c>
      <c r="J1332" s="155" t="s">
        <v>12740</v>
      </c>
      <c r="K1332" s="2" t="s">
        <v>12751</v>
      </c>
    </row>
    <row r="1333" spans="1:11" s="2" customFormat="1" x14ac:dyDescent="0.25">
      <c r="A1333" s="114" t="s">
        <v>12741</v>
      </c>
      <c r="B1333" s="4" t="s">
        <v>12742</v>
      </c>
      <c r="C1333" s="113" t="s">
        <v>15363</v>
      </c>
      <c r="D1333" s="155" t="s">
        <v>12743</v>
      </c>
      <c r="E1333" s="159">
        <v>2113</v>
      </c>
      <c r="F1333" s="157" t="s">
        <v>12745</v>
      </c>
      <c r="G1333" s="155" t="s">
        <v>12744</v>
      </c>
      <c r="H1333" s="113" t="s">
        <v>11221</v>
      </c>
      <c r="I1333" s="4" t="s">
        <v>12742</v>
      </c>
      <c r="J1333" s="155" t="s">
        <v>12745</v>
      </c>
      <c r="K1333" s="2" t="s">
        <v>12751</v>
      </c>
    </row>
    <row r="1334" spans="1:11" s="2" customFormat="1" x14ac:dyDescent="0.25">
      <c r="A1334" s="114" t="s">
        <v>12746</v>
      </c>
      <c r="B1334" s="4" t="s">
        <v>12423</v>
      </c>
      <c r="C1334" s="113" t="s">
        <v>15363</v>
      </c>
      <c r="D1334" s="155" t="s">
        <v>9977</v>
      </c>
      <c r="E1334" s="159">
        <v>798</v>
      </c>
      <c r="F1334" s="157" t="s">
        <v>12747</v>
      </c>
      <c r="G1334" s="155" t="s">
        <v>12423</v>
      </c>
      <c r="H1334" s="113" t="s">
        <v>11221</v>
      </c>
      <c r="I1334" s="4" t="s">
        <v>12423</v>
      </c>
      <c r="J1334" s="155" t="s">
        <v>12747</v>
      </c>
      <c r="K1334" s="2" t="s">
        <v>9764</v>
      </c>
    </row>
    <row r="1335" spans="1:11" s="2" customFormat="1" x14ac:dyDescent="0.25">
      <c r="A1335" s="114" t="s">
        <v>12748</v>
      </c>
      <c r="B1335" s="4" t="s">
        <v>12200</v>
      </c>
      <c r="C1335" s="113" t="s">
        <v>15363</v>
      </c>
      <c r="D1335" s="155" t="s">
        <v>9819</v>
      </c>
      <c r="E1335" s="159">
        <v>0</v>
      </c>
      <c r="F1335" s="157" t="s">
        <v>12749</v>
      </c>
      <c r="G1335" s="155" t="s">
        <v>12200</v>
      </c>
      <c r="H1335" s="113" t="s">
        <v>11221</v>
      </c>
      <c r="I1335" s="4" t="s">
        <v>12200</v>
      </c>
      <c r="J1335" s="155" t="s">
        <v>12749</v>
      </c>
      <c r="K1335" s="2" t="s">
        <v>9895</v>
      </c>
    </row>
    <row r="1336" spans="1:11" s="2" customFormat="1" x14ac:dyDescent="0.25">
      <c r="A1336" s="114" t="s">
        <v>12750</v>
      </c>
      <c r="B1336" s="4" t="s">
        <v>12751</v>
      </c>
      <c r="C1336" s="113" t="s">
        <v>15363</v>
      </c>
      <c r="D1336" s="155" t="s">
        <v>12752</v>
      </c>
      <c r="E1336" s="159">
        <v>805</v>
      </c>
      <c r="F1336" s="157" t="s">
        <v>12753</v>
      </c>
      <c r="G1336" s="155" t="s">
        <v>12751</v>
      </c>
      <c r="H1336" s="113" t="s">
        <v>11221</v>
      </c>
      <c r="I1336" s="4" t="s">
        <v>12751</v>
      </c>
      <c r="J1336" s="155" t="s">
        <v>12753</v>
      </c>
      <c r="K1336" s="2" t="s">
        <v>12751</v>
      </c>
    </row>
    <row r="1337" spans="1:11" s="2" customFormat="1" x14ac:dyDescent="0.25">
      <c r="A1337" s="114" t="s">
        <v>12754</v>
      </c>
      <c r="B1337" s="4" t="s">
        <v>10620</v>
      </c>
      <c r="C1337" s="113" t="s">
        <v>15363</v>
      </c>
      <c r="D1337" s="155" t="s">
        <v>12755</v>
      </c>
      <c r="E1337" s="159">
        <v>302</v>
      </c>
      <c r="F1337" s="157" t="s">
        <v>12756</v>
      </c>
      <c r="G1337" s="155" t="s">
        <v>10620</v>
      </c>
      <c r="H1337" s="113" t="s">
        <v>11221</v>
      </c>
      <c r="I1337" s="4" t="s">
        <v>10620</v>
      </c>
      <c r="J1337" s="155" t="s">
        <v>12756</v>
      </c>
      <c r="K1337" s="2" t="s">
        <v>9764</v>
      </c>
    </row>
    <row r="1338" spans="1:11" s="2" customFormat="1" x14ac:dyDescent="0.25">
      <c r="A1338" s="114" t="s">
        <v>12757</v>
      </c>
      <c r="B1338" s="4" t="s">
        <v>12758</v>
      </c>
      <c r="C1338" s="113" t="s">
        <v>15363</v>
      </c>
      <c r="D1338" s="155" t="s">
        <v>10500</v>
      </c>
      <c r="E1338" s="159">
        <v>0</v>
      </c>
      <c r="F1338" s="157" t="s">
        <v>12759</v>
      </c>
      <c r="G1338" s="155" t="s">
        <v>12758</v>
      </c>
      <c r="H1338" s="113" t="s">
        <v>11221</v>
      </c>
      <c r="I1338" s="4" t="s">
        <v>12758</v>
      </c>
      <c r="J1338" s="155" t="s">
        <v>12759</v>
      </c>
      <c r="K1338" s="2" t="s">
        <v>12771</v>
      </c>
    </row>
    <row r="1339" spans="1:11" s="2" customFormat="1" x14ac:dyDescent="0.25">
      <c r="A1339" s="114" t="s">
        <v>12760</v>
      </c>
      <c r="B1339" s="4" t="s">
        <v>12761</v>
      </c>
      <c r="C1339" s="113" t="s">
        <v>15363</v>
      </c>
      <c r="D1339" s="155" t="s">
        <v>12762</v>
      </c>
      <c r="E1339" s="159">
        <v>999</v>
      </c>
      <c r="F1339" s="157" t="s">
        <v>12763</v>
      </c>
      <c r="G1339" s="155" t="s">
        <v>12761</v>
      </c>
      <c r="H1339" s="113" t="s">
        <v>11221</v>
      </c>
      <c r="I1339" s="4" t="s">
        <v>12761</v>
      </c>
      <c r="J1339" s="155" t="s">
        <v>12763</v>
      </c>
      <c r="K1339" s="2" t="s">
        <v>12761</v>
      </c>
    </row>
    <row r="1340" spans="1:11" s="2" customFormat="1" x14ac:dyDescent="0.25">
      <c r="A1340" s="114" t="s">
        <v>12764</v>
      </c>
      <c r="B1340" s="4" t="s">
        <v>12765</v>
      </c>
      <c r="C1340" s="113" t="s">
        <v>15363</v>
      </c>
      <c r="D1340" s="155" t="s">
        <v>10244</v>
      </c>
      <c r="E1340" s="159">
        <v>501</v>
      </c>
      <c r="F1340" s="157" t="s">
        <v>12766</v>
      </c>
      <c r="G1340" s="155" t="s">
        <v>12765</v>
      </c>
      <c r="H1340" s="113" t="s">
        <v>11221</v>
      </c>
      <c r="I1340" s="4" t="s">
        <v>12765</v>
      </c>
      <c r="J1340" s="155" t="s">
        <v>12766</v>
      </c>
      <c r="K1340" s="2" t="s">
        <v>12768</v>
      </c>
    </row>
    <row r="1341" spans="1:11" s="2" customFormat="1" x14ac:dyDescent="0.25">
      <c r="A1341" s="114" t="s">
        <v>12767</v>
      </c>
      <c r="B1341" s="4" t="s">
        <v>12768</v>
      </c>
      <c r="C1341" s="113" t="s">
        <v>15363</v>
      </c>
      <c r="D1341" s="155" t="s">
        <v>11957</v>
      </c>
      <c r="E1341" s="159">
        <v>1199</v>
      </c>
      <c r="F1341" s="157" t="s">
        <v>12769</v>
      </c>
      <c r="G1341" s="155" t="s">
        <v>12768</v>
      </c>
      <c r="H1341" s="113" t="s">
        <v>11221</v>
      </c>
      <c r="I1341" s="4" t="s">
        <v>12768</v>
      </c>
      <c r="J1341" s="155" t="s">
        <v>12769</v>
      </c>
      <c r="K1341" s="2" t="s">
        <v>12768</v>
      </c>
    </row>
    <row r="1342" spans="1:11" s="2" customFormat="1" x14ac:dyDescent="0.25">
      <c r="A1342" s="114" t="s">
        <v>12770</v>
      </c>
      <c r="B1342" s="4" t="s">
        <v>12771</v>
      </c>
      <c r="C1342" s="113" t="s">
        <v>15363</v>
      </c>
      <c r="D1342" s="155" t="s">
        <v>12772</v>
      </c>
      <c r="E1342" s="159">
        <v>998</v>
      </c>
      <c r="F1342" s="157" t="s">
        <v>12773</v>
      </c>
      <c r="G1342" s="155" t="s">
        <v>12771</v>
      </c>
      <c r="H1342" s="113" t="s">
        <v>11221</v>
      </c>
      <c r="I1342" s="4" t="s">
        <v>12771</v>
      </c>
      <c r="J1342" s="155" t="s">
        <v>12773</v>
      </c>
      <c r="K1342" s="2" t="s">
        <v>12771</v>
      </c>
    </row>
    <row r="1343" spans="1:11" s="2" customFormat="1" x14ac:dyDescent="0.25">
      <c r="A1343" s="114" t="s">
        <v>12774</v>
      </c>
      <c r="B1343" s="4" t="s">
        <v>12775</v>
      </c>
      <c r="C1343" s="113" t="s">
        <v>15363</v>
      </c>
      <c r="D1343" s="155" t="s">
        <v>9850</v>
      </c>
      <c r="E1343" s="159">
        <v>1251</v>
      </c>
      <c r="F1343" s="157" t="s">
        <v>12776</v>
      </c>
      <c r="G1343" s="155" t="s">
        <v>12775</v>
      </c>
      <c r="H1343" s="113" t="s">
        <v>11221</v>
      </c>
      <c r="I1343" s="4" t="s">
        <v>12775</v>
      </c>
      <c r="J1343" s="155" t="s">
        <v>12776</v>
      </c>
      <c r="K1343" s="2" t="s">
        <v>12775</v>
      </c>
    </row>
    <row r="1344" spans="1:11" s="2" customFormat="1" x14ac:dyDescent="0.25">
      <c r="A1344" s="114" t="s">
        <v>12777</v>
      </c>
      <c r="B1344" s="4" t="s">
        <v>12778</v>
      </c>
      <c r="C1344" s="113" t="s">
        <v>15363</v>
      </c>
      <c r="D1344" s="155" t="s">
        <v>12646</v>
      </c>
      <c r="E1344" s="159">
        <v>798</v>
      </c>
      <c r="F1344" s="157" t="s">
        <v>12779</v>
      </c>
      <c r="G1344" s="155" t="s">
        <v>11221</v>
      </c>
      <c r="H1344" s="113" t="s">
        <v>11221</v>
      </c>
      <c r="I1344" s="4" t="s">
        <v>12778</v>
      </c>
      <c r="J1344" s="155" t="s">
        <v>12779</v>
      </c>
      <c r="K1344" s="2" t="s">
        <v>15376</v>
      </c>
    </row>
    <row r="1345" spans="1:11" s="2" customFormat="1" x14ac:dyDescent="0.25">
      <c r="A1345" s="114" t="s">
        <v>11988</v>
      </c>
      <c r="B1345" s="4" t="s">
        <v>10297</v>
      </c>
      <c r="C1345" s="113" t="s">
        <v>15363</v>
      </c>
      <c r="D1345" s="155" t="s">
        <v>11989</v>
      </c>
      <c r="E1345" s="159">
        <v>210</v>
      </c>
      <c r="F1345" s="157" t="s">
        <v>11990</v>
      </c>
      <c r="G1345" s="155" t="s">
        <v>10297</v>
      </c>
      <c r="H1345" s="113" t="s">
        <v>10297</v>
      </c>
      <c r="I1345" s="4" t="s">
        <v>10297</v>
      </c>
      <c r="J1345" s="155" t="s">
        <v>11990</v>
      </c>
      <c r="K1345" s="2" t="s">
        <v>15376</v>
      </c>
    </row>
    <row r="1346" spans="1:11" s="2" customFormat="1" x14ac:dyDescent="0.25">
      <c r="A1346" s="114" t="s">
        <v>11991</v>
      </c>
      <c r="B1346" s="4" t="s">
        <v>11992</v>
      </c>
      <c r="C1346" s="113" t="s">
        <v>15363</v>
      </c>
      <c r="D1346" s="155" t="s">
        <v>11993</v>
      </c>
      <c r="E1346" s="159">
        <v>3479</v>
      </c>
      <c r="F1346" s="157" t="s">
        <v>11994</v>
      </c>
      <c r="G1346" s="155" t="s">
        <v>10297</v>
      </c>
      <c r="H1346" s="113" t="s">
        <v>10297</v>
      </c>
      <c r="I1346" s="4" t="s">
        <v>11992</v>
      </c>
      <c r="J1346" s="155" t="s">
        <v>11994</v>
      </c>
      <c r="K1346" s="2" t="s">
        <v>15376</v>
      </c>
    </row>
    <row r="1347" spans="1:11" s="2" customFormat="1" x14ac:dyDescent="0.25">
      <c r="A1347" s="114" t="s">
        <v>11995</v>
      </c>
      <c r="B1347" s="4" t="s">
        <v>11996</v>
      </c>
      <c r="C1347" s="113" t="s">
        <v>15363</v>
      </c>
      <c r="D1347" s="155" t="s">
        <v>11989</v>
      </c>
      <c r="E1347" s="159">
        <v>2547</v>
      </c>
      <c r="F1347" s="157" t="s">
        <v>11997</v>
      </c>
      <c r="G1347" s="155" t="s">
        <v>10297</v>
      </c>
      <c r="H1347" s="113" t="s">
        <v>10297</v>
      </c>
      <c r="I1347" s="4" t="s">
        <v>11996</v>
      </c>
      <c r="J1347" s="155" t="s">
        <v>11997</v>
      </c>
      <c r="K1347" s="2" t="s">
        <v>15376</v>
      </c>
    </row>
    <row r="1348" spans="1:11" s="2" customFormat="1" x14ac:dyDescent="0.25">
      <c r="A1348" s="114" t="s">
        <v>11998</v>
      </c>
      <c r="B1348" s="4" t="s">
        <v>11999</v>
      </c>
      <c r="C1348" s="113" t="s">
        <v>15363</v>
      </c>
      <c r="D1348" s="155" t="s">
        <v>12000</v>
      </c>
      <c r="E1348" s="159">
        <v>1351</v>
      </c>
      <c r="F1348" s="157" t="s">
        <v>12001</v>
      </c>
      <c r="G1348" s="155" t="s">
        <v>10297</v>
      </c>
      <c r="H1348" s="113" t="s">
        <v>10297</v>
      </c>
      <c r="I1348" s="4" t="s">
        <v>11999</v>
      </c>
      <c r="J1348" s="155" t="s">
        <v>12001</v>
      </c>
      <c r="K1348" s="2" t="s">
        <v>15376</v>
      </c>
    </row>
    <row r="1349" spans="1:11" s="2" customFormat="1" x14ac:dyDescent="0.25">
      <c r="A1349" s="114" t="s">
        <v>12002</v>
      </c>
      <c r="B1349" s="4" t="s">
        <v>12003</v>
      </c>
      <c r="C1349" s="113" t="s">
        <v>4</v>
      </c>
      <c r="D1349" s="155" t="s">
        <v>15373</v>
      </c>
      <c r="E1349" s="159">
        <v>6237</v>
      </c>
      <c r="F1349" s="157" t="s">
        <v>12004</v>
      </c>
      <c r="G1349" s="155" t="s">
        <v>10297</v>
      </c>
      <c r="H1349" s="113" t="s">
        <v>10297</v>
      </c>
      <c r="I1349" s="4" t="s">
        <v>12003</v>
      </c>
      <c r="J1349" s="155" t="s">
        <v>12004</v>
      </c>
      <c r="K1349" s="2" t="s">
        <v>15376</v>
      </c>
    </row>
    <row r="1350" spans="1:11" s="2" customFormat="1" x14ac:dyDescent="0.25">
      <c r="A1350" s="114" t="s">
        <v>12005</v>
      </c>
      <c r="B1350" s="4" t="s">
        <v>12006</v>
      </c>
      <c r="C1350" s="113" t="s">
        <v>15363</v>
      </c>
      <c r="D1350" s="155" t="s">
        <v>12007</v>
      </c>
      <c r="E1350" s="159">
        <v>3160</v>
      </c>
      <c r="F1350" s="157" t="s">
        <v>12008</v>
      </c>
      <c r="G1350" s="155" t="s">
        <v>10297</v>
      </c>
      <c r="H1350" s="113" t="s">
        <v>10297</v>
      </c>
      <c r="I1350" s="4" t="s">
        <v>12006</v>
      </c>
      <c r="J1350" s="155" t="s">
        <v>12008</v>
      </c>
      <c r="K1350" s="2" t="s">
        <v>15376</v>
      </c>
    </row>
    <row r="1351" spans="1:11" s="2" customFormat="1" x14ac:dyDescent="0.25">
      <c r="A1351" s="114" t="s">
        <v>12009</v>
      </c>
      <c r="B1351" s="4" t="s">
        <v>12010</v>
      </c>
      <c r="C1351" s="113" t="s">
        <v>15363</v>
      </c>
      <c r="D1351" s="155" t="s">
        <v>15373</v>
      </c>
      <c r="E1351" s="159">
        <v>3782</v>
      </c>
      <c r="F1351" s="157" t="s">
        <v>12011</v>
      </c>
      <c r="G1351" s="155" t="s">
        <v>10297</v>
      </c>
      <c r="H1351" s="113" t="s">
        <v>10297</v>
      </c>
      <c r="I1351" s="4" t="s">
        <v>12010</v>
      </c>
      <c r="J1351" s="155" t="s">
        <v>12011</v>
      </c>
      <c r="K1351" s="2" t="s">
        <v>15376</v>
      </c>
    </row>
    <row r="1352" spans="1:11" s="2" customFormat="1" x14ac:dyDescent="0.25">
      <c r="A1352" s="114" t="s">
        <v>12012</v>
      </c>
      <c r="B1352" s="4" t="s">
        <v>12013</v>
      </c>
      <c r="C1352" s="113" t="s">
        <v>15363</v>
      </c>
      <c r="D1352" s="155" t="s">
        <v>12014</v>
      </c>
      <c r="E1352" s="159">
        <v>2921</v>
      </c>
      <c r="F1352" s="157" t="s">
        <v>12015</v>
      </c>
      <c r="G1352" s="155" t="s">
        <v>10297</v>
      </c>
      <c r="H1352" s="113" t="s">
        <v>10297</v>
      </c>
      <c r="I1352" s="4" t="s">
        <v>12013</v>
      </c>
      <c r="J1352" s="155" t="s">
        <v>12015</v>
      </c>
      <c r="K1352" s="2" t="s">
        <v>15376</v>
      </c>
    </row>
    <row r="1353" spans="1:11" s="2" customFormat="1" x14ac:dyDescent="0.25">
      <c r="A1353" s="114" t="s">
        <v>12016</v>
      </c>
      <c r="B1353" s="4" t="s">
        <v>12017</v>
      </c>
      <c r="C1353" s="113" t="s">
        <v>15363</v>
      </c>
      <c r="D1353" s="155" t="s">
        <v>12018</v>
      </c>
      <c r="E1353" s="159">
        <v>251</v>
      </c>
      <c r="F1353" s="157" t="s">
        <v>12019</v>
      </c>
      <c r="G1353" s="155" t="s">
        <v>10297</v>
      </c>
      <c r="H1353" s="113" t="s">
        <v>10297</v>
      </c>
      <c r="I1353" s="4" t="s">
        <v>12017</v>
      </c>
      <c r="J1353" s="155" t="s">
        <v>12019</v>
      </c>
      <c r="K1353" s="2" t="s">
        <v>15376</v>
      </c>
    </row>
    <row r="1354" spans="1:11" s="2" customFormat="1" x14ac:dyDescent="0.25">
      <c r="A1354" s="114" t="s">
        <v>12020</v>
      </c>
      <c r="B1354" s="4" t="s">
        <v>12021</v>
      </c>
      <c r="C1354" s="113" t="s">
        <v>15363</v>
      </c>
      <c r="D1354" s="155" t="s">
        <v>11449</v>
      </c>
      <c r="E1354" s="159">
        <v>753</v>
      </c>
      <c r="F1354" s="157" t="s">
        <v>12022</v>
      </c>
      <c r="G1354" s="155" t="s">
        <v>10297</v>
      </c>
      <c r="H1354" s="113" t="s">
        <v>10297</v>
      </c>
      <c r="I1354" s="4" t="s">
        <v>12021</v>
      </c>
      <c r="J1354" s="155" t="s">
        <v>12022</v>
      </c>
      <c r="K1354" s="2" t="s">
        <v>15376</v>
      </c>
    </row>
    <row r="1355" spans="1:11" s="2" customFormat="1" x14ac:dyDescent="0.25">
      <c r="A1355" s="114" t="s">
        <v>12023</v>
      </c>
      <c r="B1355" s="4" t="s">
        <v>12024</v>
      </c>
      <c r="C1355" s="113" t="s">
        <v>15363</v>
      </c>
      <c r="D1355" s="155" t="s">
        <v>11020</v>
      </c>
      <c r="E1355" s="159">
        <v>3458</v>
      </c>
      <c r="F1355" s="157" t="s">
        <v>12025</v>
      </c>
      <c r="G1355" s="155" t="s">
        <v>10297</v>
      </c>
      <c r="H1355" s="113" t="s">
        <v>10297</v>
      </c>
      <c r="I1355" s="4" t="s">
        <v>12024</v>
      </c>
      <c r="J1355" s="155" t="s">
        <v>12025</v>
      </c>
      <c r="K1355" s="2" t="s">
        <v>15376</v>
      </c>
    </row>
    <row r="1356" spans="1:11" s="2" customFormat="1" x14ac:dyDescent="0.25">
      <c r="A1356" s="114" t="s">
        <v>12026</v>
      </c>
      <c r="B1356" s="4" t="s">
        <v>12027</v>
      </c>
      <c r="C1356" s="113" t="s">
        <v>4</v>
      </c>
      <c r="D1356" s="155" t="s">
        <v>10244</v>
      </c>
      <c r="E1356" s="159">
        <v>604</v>
      </c>
      <c r="F1356" s="157" t="s">
        <v>12028</v>
      </c>
      <c r="G1356" s="155" t="s">
        <v>12027</v>
      </c>
      <c r="H1356" s="113" t="s">
        <v>10297</v>
      </c>
      <c r="I1356" s="4" t="s">
        <v>12027</v>
      </c>
      <c r="J1356" s="155" t="s">
        <v>12028</v>
      </c>
      <c r="K1356" s="2" t="s">
        <v>9956</v>
      </c>
    </row>
    <row r="1357" spans="1:11" s="2" customFormat="1" x14ac:dyDescent="0.25">
      <c r="A1357" s="114" t="s">
        <v>12029</v>
      </c>
      <c r="B1357" s="4" t="s">
        <v>12030</v>
      </c>
      <c r="C1357" s="113" t="s">
        <v>4</v>
      </c>
      <c r="D1357" s="155" t="s">
        <v>12031</v>
      </c>
      <c r="E1357" s="159">
        <v>1</v>
      </c>
      <c r="F1357" s="157" t="s">
        <v>12032</v>
      </c>
      <c r="G1357" s="155" t="s">
        <v>12030</v>
      </c>
      <c r="H1357" s="113" t="s">
        <v>10297</v>
      </c>
      <c r="I1357" s="4" t="s">
        <v>12030</v>
      </c>
      <c r="J1357" s="155" t="s">
        <v>12032</v>
      </c>
      <c r="K1357" s="2" t="s">
        <v>9977</v>
      </c>
    </row>
    <row r="1358" spans="1:11" s="2" customFormat="1" x14ac:dyDescent="0.25">
      <c r="A1358" s="114" t="s">
        <v>12033</v>
      </c>
      <c r="B1358" s="4" t="s">
        <v>12034</v>
      </c>
      <c r="C1358" s="113" t="s">
        <v>15363</v>
      </c>
      <c r="D1358" s="155" t="s">
        <v>12035</v>
      </c>
      <c r="E1358" s="159">
        <v>577</v>
      </c>
      <c r="F1358" s="157" t="s">
        <v>12036</v>
      </c>
      <c r="G1358" s="155" t="s">
        <v>12034</v>
      </c>
      <c r="H1358" s="113" t="s">
        <v>10297</v>
      </c>
      <c r="I1358" s="4" t="s">
        <v>12034</v>
      </c>
      <c r="J1358" s="155" t="s">
        <v>12036</v>
      </c>
      <c r="K1358" s="2" t="s">
        <v>11630</v>
      </c>
    </row>
    <row r="1359" spans="1:11" s="2" customFormat="1" x14ac:dyDescent="0.25">
      <c r="A1359" s="114" t="s">
        <v>12037</v>
      </c>
      <c r="B1359" s="4" t="s">
        <v>12038</v>
      </c>
      <c r="C1359" s="113" t="s">
        <v>4</v>
      </c>
      <c r="D1359" s="155" t="s">
        <v>11449</v>
      </c>
      <c r="E1359" s="159">
        <v>544</v>
      </c>
      <c r="F1359" s="157" t="s">
        <v>12039</v>
      </c>
      <c r="G1359" s="155" t="s">
        <v>12038</v>
      </c>
      <c r="H1359" s="113" t="s">
        <v>10297</v>
      </c>
      <c r="I1359" s="4" t="s">
        <v>12038</v>
      </c>
      <c r="J1359" s="155" t="s">
        <v>12039</v>
      </c>
      <c r="K1359" s="2" t="s">
        <v>9956</v>
      </c>
    </row>
    <row r="1360" spans="1:11" s="2" customFormat="1" x14ac:dyDescent="0.25">
      <c r="A1360" s="114" t="s">
        <v>12040</v>
      </c>
      <c r="B1360" s="4" t="s">
        <v>12041</v>
      </c>
      <c r="C1360" s="113" t="s">
        <v>15363</v>
      </c>
      <c r="D1360" s="155" t="s">
        <v>12042</v>
      </c>
      <c r="E1360" s="159">
        <v>505</v>
      </c>
      <c r="F1360" s="157" t="s">
        <v>12043</v>
      </c>
      <c r="G1360" s="155" t="s">
        <v>12041</v>
      </c>
      <c r="H1360" s="113" t="s">
        <v>10297</v>
      </c>
      <c r="I1360" s="4" t="s">
        <v>12041</v>
      </c>
      <c r="J1360" s="155" t="s">
        <v>12043</v>
      </c>
      <c r="K1360" s="2" t="s">
        <v>9956</v>
      </c>
    </row>
    <row r="1361" spans="1:11" s="2" customFormat="1" x14ac:dyDescent="0.25">
      <c r="A1361" s="114" t="s">
        <v>12044</v>
      </c>
      <c r="B1361" s="4" t="s">
        <v>12045</v>
      </c>
      <c r="C1361" s="113" t="s">
        <v>15363</v>
      </c>
      <c r="D1361" s="155" t="s">
        <v>12046</v>
      </c>
      <c r="E1361" s="159">
        <v>168</v>
      </c>
      <c r="F1361" s="157" t="s">
        <v>12047</v>
      </c>
      <c r="G1361" s="155" t="s">
        <v>12045</v>
      </c>
      <c r="H1361" s="113" t="s">
        <v>10297</v>
      </c>
      <c r="I1361" s="4" t="s">
        <v>12045</v>
      </c>
      <c r="J1361" s="155" t="s">
        <v>12047</v>
      </c>
      <c r="K1361" s="2" t="s">
        <v>9956</v>
      </c>
    </row>
    <row r="1362" spans="1:11" s="2" customFormat="1" x14ac:dyDescent="0.25">
      <c r="A1362" s="114" t="s">
        <v>12048</v>
      </c>
      <c r="B1362" s="4" t="s">
        <v>12049</v>
      </c>
      <c r="C1362" s="113" t="s">
        <v>15363</v>
      </c>
      <c r="D1362" s="155" t="s">
        <v>12050</v>
      </c>
      <c r="E1362" s="159">
        <v>101</v>
      </c>
      <c r="F1362" s="157" t="s">
        <v>12051</v>
      </c>
      <c r="G1362" s="155" t="s">
        <v>12049</v>
      </c>
      <c r="H1362" s="113" t="s">
        <v>10297</v>
      </c>
      <c r="I1362" s="4" t="s">
        <v>12049</v>
      </c>
      <c r="J1362" s="155" t="s">
        <v>12051</v>
      </c>
      <c r="K1362" s="2" t="s">
        <v>9956</v>
      </c>
    </row>
    <row r="1363" spans="1:11" s="2" customFormat="1" x14ac:dyDescent="0.25">
      <c r="A1363" s="114" t="s">
        <v>12052</v>
      </c>
      <c r="B1363" s="4" t="s">
        <v>12053</v>
      </c>
      <c r="C1363" s="113" t="s">
        <v>15363</v>
      </c>
      <c r="D1363" s="155" t="s">
        <v>11221</v>
      </c>
      <c r="E1363" s="159">
        <v>165</v>
      </c>
      <c r="F1363" s="157" t="s">
        <v>12054</v>
      </c>
      <c r="G1363" s="155" t="s">
        <v>12053</v>
      </c>
      <c r="H1363" s="113" t="s">
        <v>10297</v>
      </c>
      <c r="I1363" s="4" t="s">
        <v>12053</v>
      </c>
      <c r="J1363" s="155" t="s">
        <v>12054</v>
      </c>
      <c r="K1363" s="2" t="s">
        <v>15484</v>
      </c>
    </row>
    <row r="1364" spans="1:11" s="2" customFormat="1" x14ac:dyDescent="0.25">
      <c r="A1364" s="114" t="s">
        <v>12055</v>
      </c>
      <c r="B1364" s="4" t="s">
        <v>12013</v>
      </c>
      <c r="C1364" s="113" t="s">
        <v>4</v>
      </c>
      <c r="D1364" s="155" t="s">
        <v>12056</v>
      </c>
      <c r="E1364" s="159">
        <v>7200</v>
      </c>
      <c r="F1364" s="157" t="s">
        <v>12057</v>
      </c>
      <c r="G1364" s="155" t="s">
        <v>10297</v>
      </c>
      <c r="H1364" s="113" t="s">
        <v>10297</v>
      </c>
      <c r="I1364" s="4" t="s">
        <v>12013</v>
      </c>
      <c r="J1364" s="155" t="s">
        <v>12057</v>
      </c>
      <c r="K1364" s="2" t="s">
        <v>15376</v>
      </c>
    </row>
    <row r="1365" spans="1:11" s="2" customFormat="1" x14ac:dyDescent="0.25">
      <c r="A1365" s="114" t="s">
        <v>12058</v>
      </c>
      <c r="B1365" s="4" t="s">
        <v>12059</v>
      </c>
      <c r="C1365" s="113" t="s">
        <v>4</v>
      </c>
      <c r="D1365" s="155" t="s">
        <v>11089</v>
      </c>
      <c r="E1365" s="159">
        <v>50</v>
      </c>
      <c r="F1365" s="157" t="s">
        <v>12060</v>
      </c>
      <c r="G1365" s="155" t="s">
        <v>12059</v>
      </c>
      <c r="H1365" s="113" t="s">
        <v>10297</v>
      </c>
      <c r="I1365" s="4" t="s">
        <v>12059</v>
      </c>
      <c r="J1365" s="155" t="s">
        <v>12060</v>
      </c>
      <c r="K1365" s="2" t="s">
        <v>9977</v>
      </c>
    </row>
    <row r="1366" spans="1:11" s="2" customFormat="1" x14ac:dyDescent="0.25">
      <c r="A1366" s="114" t="s">
        <v>12061</v>
      </c>
      <c r="B1366" s="4" t="s">
        <v>12062</v>
      </c>
      <c r="C1366" s="113" t="s">
        <v>4</v>
      </c>
      <c r="D1366" s="155" t="s">
        <v>11289</v>
      </c>
      <c r="E1366" s="159">
        <v>472</v>
      </c>
      <c r="F1366" s="157" t="s">
        <v>12063</v>
      </c>
      <c r="G1366" s="155" t="s">
        <v>12062</v>
      </c>
      <c r="H1366" s="113" t="s">
        <v>10297</v>
      </c>
      <c r="I1366" s="4" t="s">
        <v>12062</v>
      </c>
      <c r="J1366" s="155" t="s">
        <v>12063</v>
      </c>
      <c r="K1366" s="2" t="s">
        <v>9956</v>
      </c>
    </row>
    <row r="1367" spans="1:11" s="2" customFormat="1" x14ac:dyDescent="0.25">
      <c r="A1367" s="114" t="s">
        <v>12064</v>
      </c>
      <c r="B1367" s="4" t="s">
        <v>12065</v>
      </c>
      <c r="C1367" s="113" t="s">
        <v>15363</v>
      </c>
      <c r="D1367" s="155" t="s">
        <v>12066</v>
      </c>
      <c r="E1367" s="159">
        <v>1069</v>
      </c>
      <c r="F1367" s="157" t="s">
        <v>12067</v>
      </c>
      <c r="G1367" s="155" t="s">
        <v>12065</v>
      </c>
      <c r="H1367" s="113" t="s">
        <v>10297</v>
      </c>
      <c r="I1367" s="4" t="s">
        <v>12065</v>
      </c>
      <c r="J1367" s="155" t="s">
        <v>12067</v>
      </c>
      <c r="K1367" s="2" t="s">
        <v>15484</v>
      </c>
    </row>
    <row r="1368" spans="1:11" s="2" customFormat="1" x14ac:dyDescent="0.25">
      <c r="A1368" s="114" t="s">
        <v>12068</v>
      </c>
      <c r="B1368" s="4" t="s">
        <v>12069</v>
      </c>
      <c r="C1368" s="113" t="s">
        <v>15363</v>
      </c>
      <c r="D1368" s="155" t="s">
        <v>12070</v>
      </c>
      <c r="E1368" s="159">
        <v>403</v>
      </c>
      <c r="F1368" s="157" t="s">
        <v>12071</v>
      </c>
      <c r="G1368" s="155" t="s">
        <v>12069</v>
      </c>
      <c r="H1368" s="113" t="s">
        <v>10297</v>
      </c>
      <c r="I1368" s="4" t="s">
        <v>12069</v>
      </c>
      <c r="J1368" s="155" t="s">
        <v>12071</v>
      </c>
      <c r="K1368" s="2" t="s">
        <v>12069</v>
      </c>
    </row>
    <row r="1369" spans="1:11" s="2" customFormat="1" x14ac:dyDescent="0.25">
      <c r="A1369" s="114" t="s">
        <v>12072</v>
      </c>
      <c r="B1369" s="4" t="s">
        <v>12073</v>
      </c>
      <c r="C1369" s="113" t="s">
        <v>15363</v>
      </c>
      <c r="D1369" s="155" t="s">
        <v>10199</v>
      </c>
      <c r="E1369" s="159">
        <v>200</v>
      </c>
      <c r="F1369" s="157" t="s">
        <v>12074</v>
      </c>
      <c r="G1369" s="155" t="s">
        <v>12073</v>
      </c>
      <c r="H1369" s="113" t="s">
        <v>10297</v>
      </c>
      <c r="I1369" s="4" t="s">
        <v>12073</v>
      </c>
      <c r="J1369" s="155" t="s">
        <v>12074</v>
      </c>
      <c r="K1369" s="2" t="s">
        <v>15485</v>
      </c>
    </row>
    <row r="1370" spans="1:11" s="2" customFormat="1" x14ac:dyDescent="0.25">
      <c r="A1370" s="114" t="s">
        <v>12075</v>
      </c>
      <c r="B1370" s="4" t="s">
        <v>15295</v>
      </c>
      <c r="C1370" s="113" t="s">
        <v>4</v>
      </c>
      <c r="D1370" s="155" t="s">
        <v>9818</v>
      </c>
      <c r="E1370" s="159">
        <v>231</v>
      </c>
      <c r="F1370" s="157" t="s">
        <v>12076</v>
      </c>
      <c r="G1370" s="155" t="s">
        <v>15294</v>
      </c>
      <c r="H1370" s="113" t="s">
        <v>10297</v>
      </c>
      <c r="I1370" s="4" t="s">
        <v>15295</v>
      </c>
      <c r="J1370" s="155" t="s">
        <v>12076</v>
      </c>
      <c r="K1370" s="2" t="s">
        <v>11630</v>
      </c>
    </row>
    <row r="1371" spans="1:11" s="2" customFormat="1" x14ac:dyDescent="0.25">
      <c r="A1371" s="114" t="s">
        <v>12077</v>
      </c>
      <c r="B1371" s="4" t="s">
        <v>12078</v>
      </c>
      <c r="C1371" s="113" t="s">
        <v>4</v>
      </c>
      <c r="D1371" s="155" t="s">
        <v>10043</v>
      </c>
      <c r="E1371" s="159">
        <v>449</v>
      </c>
      <c r="F1371" s="157" t="s">
        <v>12079</v>
      </c>
      <c r="G1371" s="155" t="s">
        <v>12078</v>
      </c>
      <c r="H1371" s="113" t="s">
        <v>10297</v>
      </c>
      <c r="I1371" s="4" t="s">
        <v>12078</v>
      </c>
      <c r="J1371" s="155" t="s">
        <v>12079</v>
      </c>
      <c r="K1371" s="2" t="s">
        <v>9956</v>
      </c>
    </row>
    <row r="1372" spans="1:11" s="2" customFormat="1" x14ac:dyDescent="0.25">
      <c r="A1372" s="114" t="s">
        <v>12080</v>
      </c>
      <c r="B1372" s="4" t="s">
        <v>15296</v>
      </c>
      <c r="C1372" s="113" t="s">
        <v>4</v>
      </c>
      <c r="D1372" s="155" t="s">
        <v>9810</v>
      </c>
      <c r="E1372" s="159">
        <v>353</v>
      </c>
      <c r="F1372" s="157" t="s">
        <v>12081</v>
      </c>
      <c r="G1372" s="155" t="s">
        <v>15296</v>
      </c>
      <c r="H1372" s="113" t="s">
        <v>10297</v>
      </c>
      <c r="I1372" s="4" t="s">
        <v>15296</v>
      </c>
      <c r="J1372" s="155" t="s">
        <v>12081</v>
      </c>
      <c r="K1372" s="2" t="s">
        <v>9956</v>
      </c>
    </row>
    <row r="1373" spans="1:11" s="2" customFormat="1" x14ac:dyDescent="0.25">
      <c r="A1373" s="114" t="s">
        <v>12082</v>
      </c>
      <c r="B1373" s="4" t="s">
        <v>12083</v>
      </c>
      <c r="C1373" s="113" t="s">
        <v>4</v>
      </c>
      <c r="D1373" s="155" t="s">
        <v>10485</v>
      </c>
      <c r="E1373" s="159">
        <v>631</v>
      </c>
      <c r="F1373" s="157" t="s">
        <v>12084</v>
      </c>
      <c r="G1373" s="155" t="s">
        <v>12083</v>
      </c>
      <c r="H1373" s="113" t="s">
        <v>10297</v>
      </c>
      <c r="I1373" s="4" t="s">
        <v>12083</v>
      </c>
      <c r="J1373" s="155" t="s">
        <v>12084</v>
      </c>
      <c r="K1373" s="2" t="s">
        <v>9956</v>
      </c>
    </row>
    <row r="1374" spans="1:11" s="2" customFormat="1" x14ac:dyDescent="0.25">
      <c r="A1374" s="114" t="s">
        <v>12085</v>
      </c>
      <c r="B1374" s="4" t="s">
        <v>12086</v>
      </c>
      <c r="C1374" s="113" t="s">
        <v>4</v>
      </c>
      <c r="D1374" s="155" t="s">
        <v>12087</v>
      </c>
      <c r="E1374" s="159"/>
      <c r="F1374" s="157" t="s">
        <v>12088</v>
      </c>
      <c r="G1374" s="155" t="s">
        <v>12086</v>
      </c>
      <c r="H1374" s="113" t="s">
        <v>10297</v>
      </c>
      <c r="I1374" s="4" t="s">
        <v>12086</v>
      </c>
      <c r="J1374" s="155" t="s">
        <v>12088</v>
      </c>
      <c r="K1374" s="2" t="s">
        <v>12187</v>
      </c>
    </row>
    <row r="1375" spans="1:11" s="2" customFormat="1" x14ac:dyDescent="0.25">
      <c r="A1375" s="114" t="s">
        <v>12089</v>
      </c>
      <c r="B1375" s="4" t="s">
        <v>12090</v>
      </c>
      <c r="C1375" s="113" t="s">
        <v>15363</v>
      </c>
      <c r="D1375" s="155" t="s">
        <v>10244</v>
      </c>
      <c r="E1375" s="159">
        <v>790</v>
      </c>
      <c r="F1375" s="157" t="s">
        <v>12091</v>
      </c>
      <c r="G1375" s="155" t="s">
        <v>12090</v>
      </c>
      <c r="H1375" s="113" t="s">
        <v>10297</v>
      </c>
      <c r="I1375" s="4" t="s">
        <v>12090</v>
      </c>
      <c r="J1375" s="155" t="s">
        <v>12091</v>
      </c>
      <c r="K1375" s="2" t="s">
        <v>9956</v>
      </c>
    </row>
    <row r="1376" spans="1:11" s="2" customFormat="1" x14ac:dyDescent="0.25">
      <c r="A1376" s="114" t="s">
        <v>12092</v>
      </c>
      <c r="B1376" s="4" t="s">
        <v>12093</v>
      </c>
      <c r="C1376" s="113" t="s">
        <v>15363</v>
      </c>
      <c r="D1376" s="155" t="s">
        <v>10043</v>
      </c>
      <c r="E1376" s="159">
        <v>15</v>
      </c>
      <c r="F1376" s="157" t="s">
        <v>12094</v>
      </c>
      <c r="G1376" s="155" t="s">
        <v>12093</v>
      </c>
      <c r="H1376" s="113" t="s">
        <v>10297</v>
      </c>
      <c r="I1376" s="4" t="s">
        <v>12093</v>
      </c>
      <c r="J1376" s="155" t="s">
        <v>12094</v>
      </c>
      <c r="K1376" s="2" t="s">
        <v>9977</v>
      </c>
    </row>
    <row r="1377" spans="1:11" s="2" customFormat="1" x14ac:dyDescent="0.25">
      <c r="A1377" s="114" t="s">
        <v>12095</v>
      </c>
      <c r="B1377" s="4" t="s">
        <v>12096</v>
      </c>
      <c r="C1377" s="113" t="s">
        <v>4</v>
      </c>
      <c r="D1377" s="155" t="s">
        <v>12042</v>
      </c>
      <c r="E1377" s="159">
        <v>1</v>
      </c>
      <c r="F1377" s="157" t="s">
        <v>12097</v>
      </c>
      <c r="G1377" s="155" t="s">
        <v>12096</v>
      </c>
      <c r="H1377" s="113" t="s">
        <v>10297</v>
      </c>
      <c r="I1377" s="4" t="s">
        <v>12096</v>
      </c>
      <c r="J1377" s="155" t="s">
        <v>12097</v>
      </c>
      <c r="K1377" s="2" t="s">
        <v>13672</v>
      </c>
    </row>
    <row r="1378" spans="1:11" s="2" customFormat="1" x14ac:dyDescent="0.25">
      <c r="A1378" s="114" t="s">
        <v>12098</v>
      </c>
      <c r="B1378" s="4" t="s">
        <v>12099</v>
      </c>
      <c r="C1378" s="113" t="s">
        <v>15363</v>
      </c>
      <c r="D1378" s="155" t="s">
        <v>9764</v>
      </c>
      <c r="E1378" s="159">
        <v>531</v>
      </c>
      <c r="F1378" s="157" t="s">
        <v>12100</v>
      </c>
      <c r="G1378" s="155" t="s">
        <v>12099</v>
      </c>
      <c r="H1378" s="113" t="s">
        <v>10297</v>
      </c>
      <c r="I1378" s="4" t="s">
        <v>12099</v>
      </c>
      <c r="J1378" s="155" t="s">
        <v>12100</v>
      </c>
      <c r="K1378" s="2" t="s">
        <v>9977</v>
      </c>
    </row>
    <row r="1379" spans="1:11" s="2" customFormat="1" x14ac:dyDescent="0.25">
      <c r="A1379" s="114" t="s">
        <v>12101</v>
      </c>
      <c r="B1379" s="4" t="s">
        <v>12102</v>
      </c>
      <c r="C1379" s="113" t="s">
        <v>15363</v>
      </c>
      <c r="D1379" s="155" t="s">
        <v>9977</v>
      </c>
      <c r="E1379" s="159">
        <v>60</v>
      </c>
      <c r="F1379" s="157" t="s">
        <v>12103</v>
      </c>
      <c r="G1379" s="155" t="s">
        <v>12102</v>
      </c>
      <c r="H1379" s="113" t="s">
        <v>10297</v>
      </c>
      <c r="I1379" s="4" t="s">
        <v>12102</v>
      </c>
      <c r="J1379" s="155" t="s">
        <v>12103</v>
      </c>
      <c r="K1379" s="2" t="s">
        <v>15484</v>
      </c>
    </row>
    <row r="1380" spans="1:11" s="2" customFormat="1" x14ac:dyDescent="0.25">
      <c r="A1380" s="114" t="s">
        <v>12104</v>
      </c>
      <c r="B1380" s="4" t="s">
        <v>12105</v>
      </c>
      <c r="C1380" s="113" t="s">
        <v>15363</v>
      </c>
      <c r="D1380" s="155" t="s">
        <v>12106</v>
      </c>
      <c r="E1380" s="159">
        <v>184</v>
      </c>
      <c r="F1380" s="157" t="s">
        <v>12107</v>
      </c>
      <c r="G1380" s="155" t="s">
        <v>12105</v>
      </c>
      <c r="H1380" s="113" t="s">
        <v>10297</v>
      </c>
      <c r="I1380" s="4" t="s">
        <v>12105</v>
      </c>
      <c r="J1380" s="155" t="s">
        <v>12107</v>
      </c>
      <c r="K1380" s="2" t="s">
        <v>15484</v>
      </c>
    </row>
    <row r="1381" spans="1:11" s="2" customFormat="1" x14ac:dyDescent="0.25">
      <c r="A1381" s="114" t="s">
        <v>12108</v>
      </c>
      <c r="B1381" s="4" t="s">
        <v>12109</v>
      </c>
      <c r="C1381" s="113" t="s">
        <v>15363</v>
      </c>
      <c r="D1381" s="155" t="s">
        <v>12110</v>
      </c>
      <c r="E1381" s="159">
        <v>255</v>
      </c>
      <c r="F1381" s="157" t="s">
        <v>12111</v>
      </c>
      <c r="G1381" s="155" t="s">
        <v>12109</v>
      </c>
      <c r="H1381" s="113" t="s">
        <v>10297</v>
      </c>
      <c r="I1381" s="4" t="s">
        <v>12109</v>
      </c>
      <c r="J1381" s="155" t="s">
        <v>12111</v>
      </c>
      <c r="K1381" s="2" t="s">
        <v>9956</v>
      </c>
    </row>
    <row r="1382" spans="1:11" s="2" customFormat="1" x14ac:dyDescent="0.25">
      <c r="A1382" s="114" t="s">
        <v>12112</v>
      </c>
      <c r="B1382" s="4" t="s">
        <v>12113</v>
      </c>
      <c r="C1382" s="113" t="s">
        <v>4</v>
      </c>
      <c r="D1382" s="155" t="s">
        <v>12114</v>
      </c>
      <c r="E1382" s="159"/>
      <c r="F1382" s="157" t="s">
        <v>12115</v>
      </c>
      <c r="G1382" s="155" t="s">
        <v>12113</v>
      </c>
      <c r="H1382" s="113" t="s">
        <v>10297</v>
      </c>
      <c r="I1382" s="4" t="s">
        <v>12113</v>
      </c>
      <c r="J1382" s="155" t="s">
        <v>12115</v>
      </c>
      <c r="K1382" s="2" t="s">
        <v>9977</v>
      </c>
    </row>
    <row r="1383" spans="1:11" s="4" customFormat="1" x14ac:dyDescent="0.25">
      <c r="A1383" s="114" t="s">
        <v>12116</v>
      </c>
      <c r="B1383" s="4" t="s">
        <v>12117</v>
      </c>
      <c r="C1383" s="4" t="s">
        <v>4</v>
      </c>
      <c r="D1383" s="155" t="s">
        <v>9819</v>
      </c>
      <c r="E1383" s="159">
        <v>897</v>
      </c>
      <c r="F1383" s="157" t="s">
        <v>12118</v>
      </c>
      <c r="G1383" s="155" t="s">
        <v>12117</v>
      </c>
      <c r="H1383" s="113" t="s">
        <v>10297</v>
      </c>
      <c r="I1383" s="4" t="s">
        <v>12117</v>
      </c>
      <c r="J1383" s="155" t="s">
        <v>12118</v>
      </c>
      <c r="K1383" s="4" t="s">
        <v>12183</v>
      </c>
    </row>
    <row r="1384" spans="1:11" s="4" customFormat="1" x14ac:dyDescent="0.25">
      <c r="A1384" s="114" t="s">
        <v>12119</v>
      </c>
      <c r="B1384" s="4" t="s">
        <v>11580</v>
      </c>
      <c r="C1384" s="4" t="s">
        <v>4</v>
      </c>
      <c r="D1384" s="155" t="s">
        <v>12120</v>
      </c>
      <c r="E1384" s="159">
        <v>0</v>
      </c>
      <c r="F1384" s="157" t="s">
        <v>12121</v>
      </c>
      <c r="G1384" s="155" t="s">
        <v>11580</v>
      </c>
      <c r="H1384" s="113" t="s">
        <v>10297</v>
      </c>
      <c r="I1384" s="4" t="s">
        <v>11580</v>
      </c>
      <c r="J1384" s="155" t="s">
        <v>12121</v>
      </c>
      <c r="K1384" s="4" t="s">
        <v>9977</v>
      </c>
    </row>
    <row r="1385" spans="1:11" s="4" customFormat="1" x14ac:dyDescent="0.25">
      <c r="A1385" s="114" t="s">
        <v>12122</v>
      </c>
      <c r="B1385" s="4" t="s">
        <v>12123</v>
      </c>
      <c r="C1385" s="4" t="s">
        <v>15363</v>
      </c>
      <c r="D1385" s="155" t="s">
        <v>10104</v>
      </c>
      <c r="E1385" s="159">
        <v>44</v>
      </c>
      <c r="F1385" s="157" t="s">
        <v>12124</v>
      </c>
      <c r="G1385" s="155" t="s">
        <v>12123</v>
      </c>
      <c r="H1385" s="113" t="s">
        <v>10297</v>
      </c>
      <c r="I1385" s="4" t="s">
        <v>12123</v>
      </c>
      <c r="J1385" s="155" t="s">
        <v>12124</v>
      </c>
      <c r="K1385" s="4" t="s">
        <v>12187</v>
      </c>
    </row>
    <row r="1386" spans="1:11" s="4" customFormat="1" x14ac:dyDescent="0.25">
      <c r="A1386" s="114" t="s">
        <v>12125</v>
      </c>
      <c r="B1386" s="4" t="s">
        <v>12126</v>
      </c>
      <c r="C1386" s="4" t="s">
        <v>4</v>
      </c>
      <c r="D1386" s="155" t="s">
        <v>10775</v>
      </c>
      <c r="E1386" s="159">
        <v>205</v>
      </c>
      <c r="F1386" s="157" t="s">
        <v>12127</v>
      </c>
      <c r="G1386" s="155" t="s">
        <v>12126</v>
      </c>
      <c r="H1386" s="113" t="s">
        <v>10297</v>
      </c>
      <c r="I1386" s="4" t="s">
        <v>12126</v>
      </c>
      <c r="J1386" s="155" t="s">
        <v>12127</v>
      </c>
      <c r="K1386" s="4" t="s">
        <v>12187</v>
      </c>
    </row>
    <row r="1387" spans="1:11" s="4" customFormat="1" x14ac:dyDescent="0.25">
      <c r="A1387" s="114" t="s">
        <v>12128</v>
      </c>
      <c r="B1387" s="4" t="s">
        <v>15297</v>
      </c>
      <c r="C1387" s="4" t="s">
        <v>4</v>
      </c>
      <c r="D1387" s="155" t="s">
        <v>12129</v>
      </c>
      <c r="E1387" s="159">
        <v>246</v>
      </c>
      <c r="F1387" s="157" t="s">
        <v>12130</v>
      </c>
      <c r="G1387" s="155" t="s">
        <v>15297</v>
      </c>
      <c r="H1387" s="113" t="s">
        <v>10297</v>
      </c>
      <c r="I1387" s="4" t="s">
        <v>15297</v>
      </c>
      <c r="J1387" s="155" t="s">
        <v>12130</v>
      </c>
      <c r="K1387" s="4" t="s">
        <v>15486</v>
      </c>
    </row>
    <row r="1388" spans="1:11" s="4" customFormat="1" x14ac:dyDescent="0.25">
      <c r="A1388" s="114" t="s">
        <v>12131</v>
      </c>
      <c r="B1388" s="4" t="s">
        <v>12132</v>
      </c>
      <c r="C1388" s="4" t="s">
        <v>4</v>
      </c>
      <c r="D1388" s="155" t="s">
        <v>12133</v>
      </c>
      <c r="E1388" s="159">
        <v>332</v>
      </c>
      <c r="F1388" s="157" t="s">
        <v>12134</v>
      </c>
      <c r="G1388" s="155" t="s">
        <v>12132</v>
      </c>
      <c r="H1388" s="113" t="s">
        <v>10297</v>
      </c>
      <c r="I1388" s="4" t="s">
        <v>12132</v>
      </c>
      <c r="J1388" s="155" t="s">
        <v>12134</v>
      </c>
      <c r="K1388" s="4" t="s">
        <v>9956</v>
      </c>
    </row>
    <row r="1389" spans="1:11" s="4" customFormat="1" x14ac:dyDescent="0.25">
      <c r="A1389" s="114" t="s">
        <v>12135</v>
      </c>
      <c r="B1389" s="4" t="s">
        <v>12136</v>
      </c>
      <c r="C1389" s="4" t="s">
        <v>15363</v>
      </c>
      <c r="D1389" s="155" t="s">
        <v>12137</v>
      </c>
      <c r="E1389" s="159">
        <v>51</v>
      </c>
      <c r="F1389" s="157" t="s">
        <v>12138</v>
      </c>
      <c r="G1389" s="155" t="s">
        <v>12136</v>
      </c>
      <c r="H1389" s="113" t="s">
        <v>10297</v>
      </c>
      <c r="I1389" s="4" t="s">
        <v>12136</v>
      </c>
      <c r="J1389" s="155" t="s">
        <v>12138</v>
      </c>
      <c r="K1389" s="4" t="s">
        <v>9956</v>
      </c>
    </row>
    <row r="1390" spans="1:11" s="4" customFormat="1" x14ac:dyDescent="0.25">
      <c r="A1390" s="114" t="s">
        <v>12139</v>
      </c>
      <c r="B1390" s="4" t="s">
        <v>12140</v>
      </c>
      <c r="C1390" s="4" t="s">
        <v>4</v>
      </c>
      <c r="D1390" s="155" t="s">
        <v>12141</v>
      </c>
      <c r="E1390" s="159"/>
      <c r="F1390" s="157" t="s">
        <v>12142</v>
      </c>
      <c r="G1390" s="155" t="s">
        <v>12140</v>
      </c>
      <c r="H1390" s="113" t="s">
        <v>10297</v>
      </c>
      <c r="I1390" s="4" t="s">
        <v>12140</v>
      </c>
      <c r="J1390" s="155" t="s">
        <v>12142</v>
      </c>
      <c r="K1390" s="4" t="s">
        <v>15487</v>
      </c>
    </row>
    <row r="1391" spans="1:11" s="4" customFormat="1" x14ac:dyDescent="0.25">
      <c r="A1391" s="114" t="s">
        <v>12143</v>
      </c>
      <c r="B1391" s="4" t="s">
        <v>12144</v>
      </c>
      <c r="C1391" s="4" t="s">
        <v>15363</v>
      </c>
      <c r="D1391" s="155" t="s">
        <v>12145</v>
      </c>
      <c r="E1391" s="159">
        <v>758</v>
      </c>
      <c r="F1391" s="157" t="s">
        <v>12146</v>
      </c>
      <c r="G1391" s="155" t="s">
        <v>12144</v>
      </c>
      <c r="H1391" s="113" t="s">
        <v>10297</v>
      </c>
      <c r="I1391" s="4" t="s">
        <v>12144</v>
      </c>
      <c r="J1391" s="155" t="s">
        <v>12146</v>
      </c>
      <c r="K1391" s="4" t="s">
        <v>12187</v>
      </c>
    </row>
    <row r="1392" spans="1:11" s="4" customFormat="1" x14ac:dyDescent="0.25">
      <c r="A1392" s="114" t="s">
        <v>12147</v>
      </c>
      <c r="B1392" s="4" t="s">
        <v>12148</v>
      </c>
      <c r="C1392" s="4" t="s">
        <v>15363</v>
      </c>
      <c r="D1392" s="155" t="s">
        <v>10500</v>
      </c>
      <c r="E1392" s="159">
        <v>707</v>
      </c>
      <c r="F1392" s="157" t="s">
        <v>12149</v>
      </c>
      <c r="G1392" s="155" t="s">
        <v>12148</v>
      </c>
      <c r="H1392" s="113" t="s">
        <v>10297</v>
      </c>
      <c r="I1392" s="4" t="s">
        <v>12148</v>
      </c>
      <c r="J1392" s="155" t="s">
        <v>12149</v>
      </c>
      <c r="K1392" s="4" t="s">
        <v>15488</v>
      </c>
    </row>
    <row r="1393" spans="1:11" s="4" customFormat="1" x14ac:dyDescent="0.25">
      <c r="A1393" s="114" t="s">
        <v>12150</v>
      </c>
      <c r="B1393" s="4" t="s">
        <v>12151</v>
      </c>
      <c r="C1393" s="4" t="s">
        <v>4</v>
      </c>
      <c r="D1393" s="155" t="s">
        <v>10370</v>
      </c>
      <c r="E1393" s="159">
        <v>283</v>
      </c>
      <c r="F1393" s="157" t="s">
        <v>12152</v>
      </c>
      <c r="G1393" s="155" t="s">
        <v>12151</v>
      </c>
      <c r="H1393" s="113" t="s">
        <v>10297</v>
      </c>
      <c r="I1393" s="4" t="s">
        <v>12151</v>
      </c>
      <c r="J1393" s="155" t="s">
        <v>12152</v>
      </c>
      <c r="K1393" s="4" t="s">
        <v>9956</v>
      </c>
    </row>
    <row r="1394" spans="1:11" s="4" customFormat="1" x14ac:dyDescent="0.25">
      <c r="A1394" s="114" t="s">
        <v>12153</v>
      </c>
      <c r="B1394" s="4" t="s">
        <v>11096</v>
      </c>
      <c r="C1394" s="4" t="s">
        <v>4</v>
      </c>
      <c r="D1394" s="155" t="s">
        <v>11750</v>
      </c>
      <c r="E1394" s="159">
        <v>150</v>
      </c>
      <c r="F1394" s="157" t="s">
        <v>12154</v>
      </c>
      <c r="G1394" s="155" t="s">
        <v>11096</v>
      </c>
      <c r="H1394" s="113" t="s">
        <v>10297</v>
      </c>
      <c r="I1394" s="4" t="s">
        <v>11096</v>
      </c>
      <c r="J1394" s="155" t="s">
        <v>12154</v>
      </c>
      <c r="K1394" s="4" t="s">
        <v>9956</v>
      </c>
    </row>
    <row r="1395" spans="1:11" s="4" customFormat="1" x14ac:dyDescent="0.25">
      <c r="A1395" s="114" t="s">
        <v>12155</v>
      </c>
      <c r="B1395" s="4" t="s">
        <v>12156</v>
      </c>
      <c r="C1395" s="4" t="s">
        <v>4</v>
      </c>
      <c r="D1395" s="155" t="s">
        <v>12157</v>
      </c>
      <c r="E1395" s="159">
        <v>223</v>
      </c>
      <c r="F1395" s="157" t="s">
        <v>12158</v>
      </c>
      <c r="G1395" s="155" t="s">
        <v>12156</v>
      </c>
      <c r="H1395" s="113" t="s">
        <v>10297</v>
      </c>
      <c r="I1395" s="4" t="s">
        <v>12156</v>
      </c>
      <c r="J1395" s="155" t="s">
        <v>12158</v>
      </c>
      <c r="K1395" s="4" t="s">
        <v>12183</v>
      </c>
    </row>
    <row r="1396" spans="1:11" s="4" customFormat="1" x14ac:dyDescent="0.25">
      <c r="A1396" s="114" t="s">
        <v>12159</v>
      </c>
      <c r="B1396" s="4" t="s">
        <v>12160</v>
      </c>
      <c r="C1396" s="4" t="s">
        <v>15363</v>
      </c>
      <c r="D1396" s="155" t="s">
        <v>9925</v>
      </c>
      <c r="E1396" s="159">
        <v>964</v>
      </c>
      <c r="F1396" s="157" t="s">
        <v>12161</v>
      </c>
      <c r="G1396" s="155" t="s">
        <v>12160</v>
      </c>
      <c r="H1396" s="113" t="s">
        <v>10297</v>
      </c>
      <c r="I1396" s="4" t="s">
        <v>12160</v>
      </c>
      <c r="J1396" s="155" t="s">
        <v>12161</v>
      </c>
      <c r="K1396" s="4" t="s">
        <v>9956</v>
      </c>
    </row>
    <row r="1397" spans="1:11" s="4" customFormat="1" x14ac:dyDescent="0.25">
      <c r="A1397" s="114" t="s">
        <v>12162</v>
      </c>
      <c r="B1397" s="4" t="s">
        <v>12163</v>
      </c>
      <c r="C1397" s="4" t="s">
        <v>4</v>
      </c>
      <c r="D1397" s="155" t="s">
        <v>10443</v>
      </c>
      <c r="E1397" s="159">
        <v>802</v>
      </c>
      <c r="F1397" s="157" t="s">
        <v>12164</v>
      </c>
      <c r="G1397" s="155" t="s">
        <v>12163</v>
      </c>
      <c r="H1397" s="113" t="s">
        <v>10297</v>
      </c>
      <c r="I1397" s="4" t="s">
        <v>12163</v>
      </c>
      <c r="J1397" s="155" t="s">
        <v>12164</v>
      </c>
      <c r="K1397" s="4" t="s">
        <v>12183</v>
      </c>
    </row>
    <row r="1398" spans="1:11" s="4" customFormat="1" x14ac:dyDescent="0.25">
      <c r="A1398" s="114" t="s">
        <v>12165</v>
      </c>
      <c r="B1398" s="4" t="s">
        <v>12166</v>
      </c>
      <c r="C1398" s="4" t="s">
        <v>15363</v>
      </c>
      <c r="D1398" s="155" t="s">
        <v>9887</v>
      </c>
      <c r="E1398" s="159">
        <v>709</v>
      </c>
      <c r="F1398" s="157" t="s">
        <v>12167</v>
      </c>
      <c r="G1398" s="155" t="s">
        <v>12166</v>
      </c>
      <c r="H1398" s="113" t="s">
        <v>10297</v>
      </c>
      <c r="I1398" s="4" t="s">
        <v>12166</v>
      </c>
      <c r="J1398" s="155" t="s">
        <v>12167</v>
      </c>
      <c r="K1398" s="4" t="s">
        <v>12187</v>
      </c>
    </row>
    <row r="1399" spans="1:11" s="4" customFormat="1" x14ac:dyDescent="0.25">
      <c r="A1399" s="114" t="s">
        <v>12168</v>
      </c>
      <c r="B1399" s="4" t="s">
        <v>12169</v>
      </c>
      <c r="C1399" s="4" t="s">
        <v>4</v>
      </c>
      <c r="D1399" s="155" t="s">
        <v>9810</v>
      </c>
      <c r="E1399" s="159">
        <v>112</v>
      </c>
      <c r="F1399" s="157" t="s">
        <v>12170</v>
      </c>
      <c r="G1399" s="155" t="s">
        <v>10704</v>
      </c>
      <c r="H1399" s="113" t="s">
        <v>10297</v>
      </c>
      <c r="I1399" s="4" t="s">
        <v>12169</v>
      </c>
      <c r="J1399" s="155" t="s">
        <v>12170</v>
      </c>
      <c r="K1399" s="4" t="s">
        <v>12187</v>
      </c>
    </row>
    <row r="1400" spans="1:11" s="4" customFormat="1" x14ac:dyDescent="0.25">
      <c r="A1400" s="114" t="s">
        <v>12171</v>
      </c>
      <c r="B1400" s="4" t="s">
        <v>15300</v>
      </c>
      <c r="C1400" s="4" t="s">
        <v>4</v>
      </c>
      <c r="D1400" s="155" t="s">
        <v>9887</v>
      </c>
      <c r="E1400" s="159">
        <v>557</v>
      </c>
      <c r="F1400" s="157" t="s">
        <v>12172</v>
      </c>
      <c r="G1400" s="155" t="s">
        <v>15300</v>
      </c>
      <c r="H1400" s="113" t="s">
        <v>10297</v>
      </c>
      <c r="I1400" s="4" t="s">
        <v>15300</v>
      </c>
      <c r="J1400" s="155" t="s">
        <v>12172</v>
      </c>
      <c r="K1400" s="4" t="s">
        <v>9956</v>
      </c>
    </row>
    <row r="1401" spans="1:11" s="4" customFormat="1" x14ac:dyDescent="0.25">
      <c r="A1401" s="114" t="s">
        <v>12173</v>
      </c>
      <c r="B1401" s="4" t="s">
        <v>12174</v>
      </c>
      <c r="C1401" s="4" t="s">
        <v>15363</v>
      </c>
      <c r="D1401" s="155" t="s">
        <v>10059</v>
      </c>
      <c r="E1401" s="159">
        <v>1</v>
      </c>
      <c r="F1401" s="157" t="s">
        <v>12175</v>
      </c>
      <c r="G1401" s="155" t="s">
        <v>12174</v>
      </c>
      <c r="H1401" s="113" t="s">
        <v>10297</v>
      </c>
      <c r="I1401" s="4" t="s">
        <v>12174</v>
      </c>
      <c r="J1401" s="155" t="s">
        <v>12175</v>
      </c>
      <c r="K1401" s="4" t="s">
        <v>12187</v>
      </c>
    </row>
    <row r="1402" spans="1:11" s="4" customFormat="1" x14ac:dyDescent="0.25">
      <c r="A1402" s="114" t="s">
        <v>12176</v>
      </c>
      <c r="B1402" s="4" t="s">
        <v>12177</v>
      </c>
      <c r="C1402" s="4" t="s">
        <v>4</v>
      </c>
      <c r="D1402" s="155" t="s">
        <v>10317</v>
      </c>
      <c r="E1402" s="159">
        <v>63</v>
      </c>
      <c r="F1402" s="157" t="s">
        <v>12178</v>
      </c>
      <c r="G1402" s="155" t="s">
        <v>12177</v>
      </c>
      <c r="H1402" s="113" t="s">
        <v>10297</v>
      </c>
      <c r="I1402" s="4" t="s">
        <v>12177</v>
      </c>
      <c r="J1402" s="155" t="s">
        <v>12178</v>
      </c>
      <c r="K1402" s="4" t="s">
        <v>15485</v>
      </c>
    </row>
    <row r="1403" spans="1:11" s="4" customFormat="1" x14ac:dyDescent="0.25">
      <c r="A1403" s="114" t="s">
        <v>12179</v>
      </c>
      <c r="B1403" s="4" t="s">
        <v>12180</v>
      </c>
      <c r="C1403" s="4" t="s">
        <v>15363</v>
      </c>
      <c r="D1403" s="155" t="s">
        <v>10500</v>
      </c>
      <c r="E1403" s="159">
        <v>4444</v>
      </c>
      <c r="F1403" s="157" t="s">
        <v>12181</v>
      </c>
      <c r="G1403" s="155" t="s">
        <v>12180</v>
      </c>
      <c r="H1403" s="113" t="s">
        <v>10297</v>
      </c>
      <c r="I1403" s="4" t="s">
        <v>12180</v>
      </c>
      <c r="J1403" s="155" t="s">
        <v>12181</v>
      </c>
      <c r="K1403" s="4" t="s">
        <v>9977</v>
      </c>
    </row>
    <row r="1404" spans="1:11" s="4" customFormat="1" x14ac:dyDescent="0.25">
      <c r="A1404" s="114" t="s">
        <v>12182</v>
      </c>
      <c r="B1404" s="4" t="s">
        <v>12183</v>
      </c>
      <c r="C1404" s="4" t="s">
        <v>15363</v>
      </c>
      <c r="D1404" s="155" t="s">
        <v>12184</v>
      </c>
      <c r="E1404" s="159">
        <v>43</v>
      </c>
      <c r="F1404" s="157" t="s">
        <v>12185</v>
      </c>
      <c r="G1404" s="155" t="s">
        <v>12183</v>
      </c>
      <c r="H1404" s="113" t="s">
        <v>10297</v>
      </c>
      <c r="I1404" s="4" t="s">
        <v>12183</v>
      </c>
      <c r="J1404" s="155" t="s">
        <v>12185</v>
      </c>
      <c r="K1404" s="4" t="s">
        <v>12183</v>
      </c>
    </row>
    <row r="1405" spans="1:11" s="4" customFormat="1" x14ac:dyDescent="0.25">
      <c r="A1405" s="114" t="s">
        <v>12186</v>
      </c>
      <c r="B1405" s="4" t="s">
        <v>12187</v>
      </c>
      <c r="C1405" s="4" t="s">
        <v>15363</v>
      </c>
      <c r="D1405" s="155" t="s">
        <v>10317</v>
      </c>
      <c r="E1405" s="159">
        <v>1193</v>
      </c>
      <c r="F1405" s="157" t="s">
        <v>12188</v>
      </c>
      <c r="G1405" s="155" t="s">
        <v>12187</v>
      </c>
      <c r="H1405" s="113" t="s">
        <v>10297</v>
      </c>
      <c r="I1405" s="4" t="s">
        <v>12187</v>
      </c>
      <c r="J1405" s="155" t="s">
        <v>12188</v>
      </c>
      <c r="K1405" s="4" t="s">
        <v>12187</v>
      </c>
    </row>
    <row r="1406" spans="1:11" s="4" customFormat="1" x14ac:dyDescent="0.25">
      <c r="A1406" s="114" t="s">
        <v>12189</v>
      </c>
      <c r="B1406" s="4" t="s">
        <v>12190</v>
      </c>
      <c r="C1406" s="4" t="s">
        <v>4</v>
      </c>
      <c r="D1406" s="155" t="s">
        <v>12056</v>
      </c>
      <c r="E1406" s="159">
        <v>305</v>
      </c>
      <c r="F1406" s="157" t="s">
        <v>12191</v>
      </c>
      <c r="G1406" s="155" t="s">
        <v>12190</v>
      </c>
      <c r="H1406" s="113" t="s">
        <v>10297</v>
      </c>
      <c r="I1406" s="4" t="s">
        <v>12190</v>
      </c>
      <c r="J1406" s="155" t="s">
        <v>12191</v>
      </c>
      <c r="K1406" s="4" t="s">
        <v>15489</v>
      </c>
    </row>
    <row r="1407" spans="1:11" s="4" customFormat="1" x14ac:dyDescent="0.25">
      <c r="A1407" s="114" t="s">
        <v>12192</v>
      </c>
      <c r="B1407" s="4" t="s">
        <v>12193</v>
      </c>
      <c r="C1407" s="4" t="s">
        <v>4</v>
      </c>
      <c r="D1407" s="155" t="s">
        <v>10059</v>
      </c>
      <c r="E1407" s="159">
        <v>499</v>
      </c>
      <c r="F1407" s="157" t="s">
        <v>12194</v>
      </c>
      <c r="G1407" s="155" t="s">
        <v>12193</v>
      </c>
      <c r="H1407" s="113" t="s">
        <v>10297</v>
      </c>
      <c r="I1407" s="4" t="s">
        <v>12193</v>
      </c>
      <c r="J1407" s="155" t="s">
        <v>12194</v>
      </c>
      <c r="K1407" s="4" t="s">
        <v>9956</v>
      </c>
    </row>
    <row r="1408" spans="1:11" s="4" customFormat="1" x14ac:dyDescent="0.25">
      <c r="A1408" s="114" t="s">
        <v>12195</v>
      </c>
      <c r="B1408" s="4" t="s">
        <v>12196</v>
      </c>
      <c r="C1408" s="4" t="s">
        <v>4</v>
      </c>
      <c r="D1408" s="155" t="s">
        <v>11634</v>
      </c>
      <c r="E1408" s="159">
        <v>235</v>
      </c>
      <c r="F1408" s="157" t="s">
        <v>12197</v>
      </c>
      <c r="G1408" s="155" t="s">
        <v>12196</v>
      </c>
      <c r="H1408" s="113" t="s">
        <v>10297</v>
      </c>
      <c r="I1408" s="4" t="s">
        <v>12196</v>
      </c>
      <c r="J1408" s="155" t="s">
        <v>12197</v>
      </c>
      <c r="K1408" s="4" t="s">
        <v>9977</v>
      </c>
    </row>
    <row r="1409" spans="1:11" s="4" customFormat="1" x14ac:dyDescent="0.25">
      <c r="A1409" s="114" t="s">
        <v>12198</v>
      </c>
      <c r="B1409" s="4" t="s">
        <v>12199</v>
      </c>
      <c r="C1409" s="4" t="s">
        <v>4</v>
      </c>
      <c r="D1409" s="155" t="s">
        <v>9819</v>
      </c>
      <c r="E1409" s="159">
        <v>230</v>
      </c>
      <c r="F1409" s="157" t="s">
        <v>12201</v>
      </c>
      <c r="G1409" s="155" t="s">
        <v>12200</v>
      </c>
      <c r="H1409" s="113" t="s">
        <v>10297</v>
      </c>
      <c r="I1409" s="4" t="s">
        <v>12199</v>
      </c>
      <c r="J1409" s="155" t="s">
        <v>12201</v>
      </c>
      <c r="K1409" s="4" t="s">
        <v>15455</v>
      </c>
    </row>
    <row r="1410" spans="1:11" s="4" customFormat="1" x14ac:dyDescent="0.25">
      <c r="A1410" s="114" t="s">
        <v>12202</v>
      </c>
      <c r="B1410" s="4" t="s">
        <v>12203</v>
      </c>
      <c r="C1410" s="4" t="s">
        <v>15363</v>
      </c>
      <c r="D1410" s="155" t="s">
        <v>10353</v>
      </c>
      <c r="E1410" s="159">
        <v>198</v>
      </c>
      <c r="F1410" s="157" t="s">
        <v>12204</v>
      </c>
      <c r="G1410" s="155" t="s">
        <v>12203</v>
      </c>
      <c r="H1410" s="113" t="s">
        <v>10297</v>
      </c>
      <c r="I1410" s="4" t="s">
        <v>12203</v>
      </c>
      <c r="J1410" s="155" t="s">
        <v>12204</v>
      </c>
      <c r="K1410" s="4" t="s">
        <v>9956</v>
      </c>
    </row>
    <row r="1411" spans="1:11" s="4" customFormat="1" x14ac:dyDescent="0.25">
      <c r="A1411" s="114" t="s">
        <v>12205</v>
      </c>
      <c r="B1411" s="4" t="s">
        <v>12206</v>
      </c>
      <c r="C1411" s="4" t="s">
        <v>4</v>
      </c>
      <c r="D1411" s="155" t="s">
        <v>10500</v>
      </c>
      <c r="E1411" s="159">
        <v>533</v>
      </c>
      <c r="F1411" s="157" t="s">
        <v>12208</v>
      </c>
      <c r="G1411" s="155" t="s">
        <v>12207</v>
      </c>
      <c r="H1411" s="113" t="s">
        <v>10297</v>
      </c>
      <c r="I1411" s="4" t="s">
        <v>12206</v>
      </c>
      <c r="J1411" s="155" t="s">
        <v>12208</v>
      </c>
      <c r="K1411" s="4" t="s">
        <v>15490</v>
      </c>
    </row>
    <row r="1412" spans="1:11" s="4" customFormat="1" x14ac:dyDescent="0.25">
      <c r="A1412" s="114" t="s">
        <v>12209</v>
      </c>
      <c r="B1412" s="4" t="s">
        <v>12210</v>
      </c>
      <c r="C1412" s="4" t="s">
        <v>4</v>
      </c>
      <c r="D1412" s="155" t="s">
        <v>10324</v>
      </c>
      <c r="E1412" s="159">
        <v>841</v>
      </c>
      <c r="F1412" s="157" t="s">
        <v>12212</v>
      </c>
      <c r="G1412" s="155" t="s">
        <v>12211</v>
      </c>
      <c r="H1412" s="113" t="s">
        <v>10297</v>
      </c>
      <c r="I1412" s="4" t="s">
        <v>12210</v>
      </c>
      <c r="J1412" s="155" t="s">
        <v>12212</v>
      </c>
      <c r="K1412" s="4" t="s">
        <v>12069</v>
      </c>
    </row>
    <row r="1413" spans="1:11" s="4" customFormat="1" x14ac:dyDescent="0.25">
      <c r="A1413" s="114" t="s">
        <v>12213</v>
      </c>
      <c r="B1413" s="4" t="s">
        <v>12214</v>
      </c>
      <c r="C1413" s="4" t="s">
        <v>4</v>
      </c>
      <c r="D1413" s="155" t="s">
        <v>9810</v>
      </c>
      <c r="E1413" s="159">
        <v>650</v>
      </c>
      <c r="F1413" s="157" t="s">
        <v>12216</v>
      </c>
      <c r="G1413" s="155" t="s">
        <v>12215</v>
      </c>
      <c r="H1413" s="113" t="s">
        <v>10297</v>
      </c>
      <c r="I1413" s="4" t="s">
        <v>12214</v>
      </c>
      <c r="J1413" s="155" t="s">
        <v>12216</v>
      </c>
      <c r="K1413" s="4" t="s">
        <v>12183</v>
      </c>
    </row>
    <row r="1414" spans="1:11" s="4" customFormat="1" x14ac:dyDescent="0.25">
      <c r="A1414" s="114" t="s">
        <v>12217</v>
      </c>
      <c r="B1414" s="4" t="s">
        <v>12218</v>
      </c>
      <c r="C1414" s="4" t="s">
        <v>4</v>
      </c>
      <c r="D1414" s="155" t="s">
        <v>10587</v>
      </c>
      <c r="E1414" s="159">
        <v>1105</v>
      </c>
      <c r="F1414" s="157" t="s">
        <v>12219</v>
      </c>
      <c r="G1414" s="155" t="s">
        <v>12218</v>
      </c>
      <c r="H1414" s="113" t="s">
        <v>10297</v>
      </c>
      <c r="I1414" s="4" t="s">
        <v>12218</v>
      </c>
      <c r="J1414" s="155" t="s">
        <v>12219</v>
      </c>
      <c r="K1414" s="4" t="s">
        <v>12187</v>
      </c>
    </row>
    <row r="1415" spans="1:11" s="4" customFormat="1" x14ac:dyDescent="0.25">
      <c r="A1415" s="114" t="s">
        <v>12220</v>
      </c>
      <c r="B1415" s="4" t="s">
        <v>12221</v>
      </c>
      <c r="C1415" s="4" t="s">
        <v>4</v>
      </c>
      <c r="D1415" s="155" t="s">
        <v>12222</v>
      </c>
      <c r="E1415" s="159">
        <v>98</v>
      </c>
      <c r="F1415" s="157" t="s">
        <v>12224</v>
      </c>
      <c r="G1415" s="155" t="s">
        <v>12223</v>
      </c>
      <c r="H1415" s="113" t="s">
        <v>10297</v>
      </c>
      <c r="I1415" s="4" t="s">
        <v>12221</v>
      </c>
      <c r="J1415" s="155" t="s">
        <v>12224</v>
      </c>
      <c r="K1415" s="4" t="s">
        <v>9956</v>
      </c>
    </row>
    <row r="1416" spans="1:11" s="4" customFormat="1" x14ac:dyDescent="0.25">
      <c r="A1416" s="114" t="s">
        <v>12225</v>
      </c>
      <c r="B1416" s="4" t="s">
        <v>12226</v>
      </c>
      <c r="C1416" s="4" t="s">
        <v>4</v>
      </c>
      <c r="D1416" s="155" t="s">
        <v>10775</v>
      </c>
      <c r="E1416" s="159">
        <v>152</v>
      </c>
      <c r="F1416" s="157" t="s">
        <v>12227</v>
      </c>
      <c r="G1416" s="155" t="s">
        <v>12226</v>
      </c>
      <c r="H1416" s="113" t="s">
        <v>10297</v>
      </c>
      <c r="I1416" s="4" t="s">
        <v>12226</v>
      </c>
      <c r="J1416" s="155" t="s">
        <v>12227</v>
      </c>
      <c r="K1416" s="4" t="s">
        <v>12069</v>
      </c>
    </row>
    <row r="1417" spans="1:11" s="4" customFormat="1" x14ac:dyDescent="0.25">
      <c r="A1417" s="114" t="s">
        <v>12228</v>
      </c>
      <c r="B1417" s="4" t="s">
        <v>12229</v>
      </c>
      <c r="C1417" s="4" t="s">
        <v>4</v>
      </c>
      <c r="D1417" s="155" t="s">
        <v>9764</v>
      </c>
      <c r="E1417" s="159">
        <v>314</v>
      </c>
      <c r="F1417" s="157" t="s">
        <v>12230</v>
      </c>
      <c r="G1417" s="155" t="s">
        <v>12229</v>
      </c>
      <c r="H1417" s="113" t="s">
        <v>10297</v>
      </c>
      <c r="I1417" s="4" t="s">
        <v>12229</v>
      </c>
      <c r="J1417" s="155" t="s">
        <v>12230</v>
      </c>
      <c r="K1417" s="4" t="s">
        <v>15484</v>
      </c>
    </row>
    <row r="1418" spans="1:11" s="4" customFormat="1" x14ac:dyDescent="0.25">
      <c r="A1418" s="114" t="s">
        <v>12231</v>
      </c>
      <c r="B1418" s="4" t="s">
        <v>15361</v>
      </c>
      <c r="C1418" s="4" t="s">
        <v>4</v>
      </c>
      <c r="D1418" s="155" t="s">
        <v>12232</v>
      </c>
      <c r="E1418" s="159">
        <v>111</v>
      </c>
      <c r="F1418" s="157" t="s">
        <v>12234</v>
      </c>
      <c r="G1418" s="155" t="s">
        <v>12233</v>
      </c>
      <c r="H1418" s="113" t="s">
        <v>10297</v>
      </c>
      <c r="I1418" s="4" t="s">
        <v>15361</v>
      </c>
      <c r="J1418" s="155" t="s">
        <v>12234</v>
      </c>
      <c r="K1418" s="4" t="s">
        <v>9956</v>
      </c>
    </row>
    <row r="1419" spans="1:11" s="4" customFormat="1" x14ac:dyDescent="0.25">
      <c r="A1419" s="114" t="s">
        <v>12235</v>
      </c>
      <c r="B1419" s="4" t="s">
        <v>12236</v>
      </c>
      <c r="C1419" s="4" t="s">
        <v>4</v>
      </c>
      <c r="D1419" s="155" t="s">
        <v>10500</v>
      </c>
      <c r="E1419" s="159">
        <v>2035</v>
      </c>
      <c r="F1419" s="157" t="s">
        <v>12237</v>
      </c>
      <c r="G1419" s="155" t="s">
        <v>12236</v>
      </c>
      <c r="H1419" s="113" t="s">
        <v>10297</v>
      </c>
      <c r="I1419" s="4" t="s">
        <v>12236</v>
      </c>
      <c r="J1419" s="155" t="s">
        <v>12237</v>
      </c>
      <c r="K1419" s="4" t="s">
        <v>9977</v>
      </c>
    </row>
    <row r="1420" spans="1:11" s="4" customFormat="1" x14ac:dyDescent="0.25">
      <c r="A1420" s="114" t="s">
        <v>12238</v>
      </c>
      <c r="B1420" s="4" t="s">
        <v>12239</v>
      </c>
      <c r="C1420" s="4" t="s">
        <v>15363</v>
      </c>
      <c r="D1420" s="155" t="s">
        <v>12240</v>
      </c>
      <c r="E1420" s="159">
        <v>61</v>
      </c>
      <c r="F1420" s="157" t="s">
        <v>12241</v>
      </c>
      <c r="G1420" s="155" t="s">
        <v>12239</v>
      </c>
      <c r="H1420" s="113" t="s">
        <v>10297</v>
      </c>
      <c r="I1420" s="4" t="s">
        <v>12239</v>
      </c>
      <c r="J1420" s="155" t="s">
        <v>12241</v>
      </c>
      <c r="K1420" s="4" t="s">
        <v>9977</v>
      </c>
    </row>
    <row r="1421" spans="1:11" s="4" customFormat="1" x14ac:dyDescent="0.25">
      <c r="A1421" s="114" t="s">
        <v>12242</v>
      </c>
      <c r="B1421" s="4" t="s">
        <v>12243</v>
      </c>
      <c r="C1421" s="4" t="s">
        <v>15363</v>
      </c>
      <c r="D1421" s="155" t="s">
        <v>9764</v>
      </c>
      <c r="E1421" s="159">
        <v>199</v>
      </c>
      <c r="F1421" s="157" t="s">
        <v>12244</v>
      </c>
      <c r="G1421" s="155" t="s">
        <v>12243</v>
      </c>
      <c r="H1421" s="113" t="s">
        <v>10297</v>
      </c>
      <c r="I1421" s="4" t="s">
        <v>12243</v>
      </c>
      <c r="J1421" s="155" t="s">
        <v>12244</v>
      </c>
      <c r="K1421" s="4" t="s">
        <v>15484</v>
      </c>
    </row>
    <row r="1422" spans="1:11" s="4" customFormat="1" x14ac:dyDescent="0.25">
      <c r="A1422" s="114" t="s">
        <v>12245</v>
      </c>
      <c r="B1422" s="4" t="s">
        <v>12246</v>
      </c>
      <c r="C1422" s="4" t="s">
        <v>4</v>
      </c>
      <c r="D1422" s="155" t="s">
        <v>10775</v>
      </c>
      <c r="E1422" s="159">
        <v>495</v>
      </c>
      <c r="F1422" s="157" t="s">
        <v>12247</v>
      </c>
      <c r="G1422" s="155" t="s">
        <v>12246</v>
      </c>
      <c r="H1422" s="113" t="s">
        <v>10297</v>
      </c>
      <c r="I1422" s="4" t="s">
        <v>12246</v>
      </c>
      <c r="J1422" s="155" t="s">
        <v>12247</v>
      </c>
      <c r="K1422" s="4" t="s">
        <v>9956</v>
      </c>
    </row>
    <row r="1423" spans="1:11" s="4" customFormat="1" x14ac:dyDescent="0.25">
      <c r="A1423" s="114" t="s">
        <v>12248</v>
      </c>
      <c r="B1423" s="4" t="s">
        <v>12249</v>
      </c>
      <c r="C1423" s="4" t="s">
        <v>4</v>
      </c>
      <c r="D1423" s="155" t="s">
        <v>9810</v>
      </c>
      <c r="E1423" s="159">
        <v>46</v>
      </c>
      <c r="F1423" s="157" t="s">
        <v>12251</v>
      </c>
      <c r="G1423" s="155" t="s">
        <v>12250</v>
      </c>
      <c r="H1423" s="113" t="s">
        <v>10297</v>
      </c>
      <c r="I1423" s="4" t="s">
        <v>12249</v>
      </c>
      <c r="J1423" s="155" t="s">
        <v>12251</v>
      </c>
      <c r="K1423" s="4" t="s">
        <v>15491</v>
      </c>
    </row>
    <row r="1424" spans="1:11" s="4" customFormat="1" x14ac:dyDescent="0.25">
      <c r="A1424" s="114" t="s">
        <v>12252</v>
      </c>
      <c r="B1424" s="4" t="s">
        <v>12253</v>
      </c>
      <c r="C1424" s="4" t="s">
        <v>4</v>
      </c>
      <c r="D1424" s="155" t="s">
        <v>10244</v>
      </c>
      <c r="E1424" s="159">
        <v>505</v>
      </c>
      <c r="F1424" s="157" t="s">
        <v>12254</v>
      </c>
      <c r="G1424" s="155" t="s">
        <v>12253</v>
      </c>
      <c r="H1424" s="113" t="s">
        <v>10297</v>
      </c>
      <c r="I1424" s="4" t="s">
        <v>12253</v>
      </c>
      <c r="J1424" s="155" t="s">
        <v>12254</v>
      </c>
      <c r="K1424" s="4" t="s">
        <v>12069</v>
      </c>
    </row>
    <row r="1425" spans="1:11" s="4" customFormat="1" x14ac:dyDescent="0.25">
      <c r="A1425" s="114" t="s">
        <v>12255</v>
      </c>
      <c r="B1425" s="4" t="s">
        <v>12256</v>
      </c>
      <c r="C1425" s="4" t="s">
        <v>15363</v>
      </c>
      <c r="D1425" s="155" t="s">
        <v>12257</v>
      </c>
      <c r="E1425" s="159">
        <v>905</v>
      </c>
      <c r="F1425" s="157" t="s">
        <v>12258</v>
      </c>
      <c r="G1425" s="155" t="s">
        <v>12256</v>
      </c>
      <c r="H1425" s="113" t="s">
        <v>10297</v>
      </c>
      <c r="I1425" s="4" t="s">
        <v>12256</v>
      </c>
      <c r="J1425" s="155" t="s">
        <v>12258</v>
      </c>
      <c r="K1425" s="4" t="s">
        <v>12187</v>
      </c>
    </row>
    <row r="1426" spans="1:11" s="4" customFormat="1" x14ac:dyDescent="0.25">
      <c r="A1426" s="114" t="s">
        <v>12259</v>
      </c>
      <c r="B1426" s="4" t="s">
        <v>12260</v>
      </c>
      <c r="C1426" s="4" t="s">
        <v>4</v>
      </c>
      <c r="D1426" s="155" t="s">
        <v>12261</v>
      </c>
      <c r="E1426" s="159">
        <v>745</v>
      </c>
      <c r="F1426" s="157" t="s">
        <v>12262</v>
      </c>
      <c r="G1426" s="155" t="s">
        <v>12260</v>
      </c>
      <c r="H1426" s="113" t="s">
        <v>10297</v>
      </c>
      <c r="I1426" s="4" t="s">
        <v>12260</v>
      </c>
      <c r="J1426" s="155" t="s">
        <v>12262</v>
      </c>
      <c r="K1426" s="4" t="s">
        <v>15486</v>
      </c>
    </row>
    <row r="1427" spans="1:11" s="4" customFormat="1" x14ac:dyDescent="0.25">
      <c r="A1427" s="114" t="s">
        <v>12263</v>
      </c>
      <c r="B1427" s="4" t="s">
        <v>12264</v>
      </c>
      <c r="C1427" s="4" t="s">
        <v>15363</v>
      </c>
      <c r="D1427" s="155" t="s">
        <v>11089</v>
      </c>
      <c r="E1427" s="159">
        <v>299</v>
      </c>
      <c r="F1427" s="157" t="s">
        <v>12265</v>
      </c>
      <c r="G1427" s="155" t="s">
        <v>12264</v>
      </c>
      <c r="H1427" s="113" t="s">
        <v>10297</v>
      </c>
      <c r="I1427" s="4" t="s">
        <v>12264</v>
      </c>
      <c r="J1427" s="155" t="s">
        <v>12265</v>
      </c>
      <c r="K1427" s="4" t="s">
        <v>13672</v>
      </c>
    </row>
    <row r="1428" spans="1:11" s="4" customFormat="1" x14ac:dyDescent="0.25">
      <c r="A1428" s="114" t="s">
        <v>12266</v>
      </c>
      <c r="B1428" s="4" t="s">
        <v>12267</v>
      </c>
      <c r="C1428" s="4" t="s">
        <v>4</v>
      </c>
      <c r="D1428" s="155" t="s">
        <v>12268</v>
      </c>
      <c r="E1428" s="159">
        <v>0</v>
      </c>
      <c r="F1428" s="157" t="s">
        <v>12270</v>
      </c>
      <c r="G1428" s="155" t="s">
        <v>12269</v>
      </c>
      <c r="H1428" s="113" t="s">
        <v>10297</v>
      </c>
      <c r="I1428" s="4" t="s">
        <v>12267</v>
      </c>
      <c r="J1428" s="155" t="s">
        <v>12270</v>
      </c>
      <c r="K1428" s="4" t="s">
        <v>15492</v>
      </c>
    </row>
    <row r="1429" spans="1:11" s="4" customFormat="1" x14ac:dyDescent="0.25">
      <c r="A1429" s="114" t="s">
        <v>12271</v>
      </c>
      <c r="B1429" s="4" t="s">
        <v>15298</v>
      </c>
      <c r="C1429" s="4" t="s">
        <v>4</v>
      </c>
      <c r="D1429" s="155" t="s">
        <v>12272</v>
      </c>
      <c r="E1429" s="159">
        <v>518</v>
      </c>
      <c r="F1429" s="157" t="s">
        <v>12273</v>
      </c>
      <c r="G1429" s="155" t="s">
        <v>15298</v>
      </c>
      <c r="H1429" s="113" t="s">
        <v>10297</v>
      </c>
      <c r="I1429" s="4" t="s">
        <v>15298</v>
      </c>
      <c r="J1429" s="155" t="s">
        <v>12273</v>
      </c>
      <c r="K1429" s="4" t="s">
        <v>11630</v>
      </c>
    </row>
    <row r="1430" spans="1:11" s="4" customFormat="1" x14ac:dyDescent="0.25">
      <c r="A1430" s="114" t="s">
        <v>12274</v>
      </c>
      <c r="B1430" s="4" t="s">
        <v>12275</v>
      </c>
      <c r="C1430" s="4" t="s">
        <v>15363</v>
      </c>
      <c r="D1430" s="155" t="s">
        <v>10775</v>
      </c>
      <c r="E1430" s="159">
        <v>624</v>
      </c>
      <c r="F1430" s="157" t="s">
        <v>12276</v>
      </c>
      <c r="G1430" s="155" t="s">
        <v>12275</v>
      </c>
      <c r="H1430" s="113" t="s">
        <v>10297</v>
      </c>
      <c r="I1430" s="4" t="s">
        <v>12275</v>
      </c>
      <c r="J1430" s="155" t="s">
        <v>12276</v>
      </c>
      <c r="K1430" s="4" t="s">
        <v>12275</v>
      </c>
    </row>
    <row r="1431" spans="1:11" s="4" customFormat="1" x14ac:dyDescent="0.25">
      <c r="A1431" s="114" t="s">
        <v>12277</v>
      </c>
      <c r="B1431" s="4" t="s">
        <v>12278</v>
      </c>
      <c r="C1431" s="4" t="s">
        <v>4</v>
      </c>
      <c r="D1431" s="155" t="s">
        <v>11056</v>
      </c>
      <c r="E1431" s="159">
        <v>484</v>
      </c>
      <c r="F1431" s="157" t="s">
        <v>12279</v>
      </c>
      <c r="G1431" s="155" t="s">
        <v>12275</v>
      </c>
      <c r="H1431" s="113" t="s">
        <v>10297</v>
      </c>
      <c r="I1431" s="4" t="s">
        <v>12278</v>
      </c>
      <c r="J1431" s="155" t="s">
        <v>12279</v>
      </c>
      <c r="K1431" s="4" t="s">
        <v>12275</v>
      </c>
    </row>
    <row r="1432" spans="1:11" s="4" customFormat="1" x14ac:dyDescent="0.25">
      <c r="A1432" s="114" t="s">
        <v>12280</v>
      </c>
      <c r="B1432" s="4" t="s">
        <v>12281</v>
      </c>
      <c r="C1432" s="4" t="s">
        <v>4</v>
      </c>
      <c r="D1432" s="155" t="s">
        <v>12282</v>
      </c>
      <c r="E1432" s="159">
        <v>1982</v>
      </c>
      <c r="F1432" s="157" t="s">
        <v>12283</v>
      </c>
      <c r="G1432" s="155" t="s">
        <v>12275</v>
      </c>
      <c r="H1432" s="113" t="s">
        <v>10297</v>
      </c>
      <c r="I1432" s="4" t="s">
        <v>12281</v>
      </c>
      <c r="J1432" s="155" t="s">
        <v>12283</v>
      </c>
      <c r="K1432" s="4" t="s">
        <v>12275</v>
      </c>
    </row>
    <row r="1433" spans="1:11" s="4" customFormat="1" x14ac:dyDescent="0.25">
      <c r="A1433" s="114" t="s">
        <v>12284</v>
      </c>
      <c r="B1433" s="4" t="s">
        <v>12285</v>
      </c>
      <c r="C1433" s="4" t="s">
        <v>4</v>
      </c>
      <c r="D1433" s="155" t="s">
        <v>12286</v>
      </c>
      <c r="E1433" s="159">
        <v>1044</v>
      </c>
      <c r="F1433" s="157" t="s">
        <v>12287</v>
      </c>
      <c r="G1433" s="155" t="s">
        <v>12275</v>
      </c>
      <c r="H1433" s="113" t="s">
        <v>10297</v>
      </c>
      <c r="I1433" s="4" t="s">
        <v>12285</v>
      </c>
      <c r="J1433" s="155" t="s">
        <v>12287</v>
      </c>
      <c r="K1433" s="4" t="s">
        <v>12275</v>
      </c>
    </row>
    <row r="1434" spans="1:11" s="4" customFormat="1" x14ac:dyDescent="0.25">
      <c r="A1434" s="114" t="s">
        <v>12288</v>
      </c>
      <c r="B1434" s="4" t="s">
        <v>12289</v>
      </c>
      <c r="C1434" s="4" t="s">
        <v>4</v>
      </c>
      <c r="D1434" s="155" t="s">
        <v>10317</v>
      </c>
      <c r="E1434" s="159">
        <v>151</v>
      </c>
      <c r="F1434" s="157" t="s">
        <v>12290</v>
      </c>
      <c r="G1434" s="155" t="s">
        <v>12289</v>
      </c>
      <c r="H1434" s="113" t="s">
        <v>10297</v>
      </c>
      <c r="I1434" s="4" t="s">
        <v>12289</v>
      </c>
      <c r="J1434" s="155" t="s">
        <v>12290</v>
      </c>
      <c r="K1434" s="4" t="s">
        <v>12275</v>
      </c>
    </row>
    <row r="1435" spans="1:11" s="4" customFormat="1" x14ac:dyDescent="0.25">
      <c r="A1435" s="114" t="s">
        <v>12291</v>
      </c>
      <c r="B1435" s="4" t="s">
        <v>12292</v>
      </c>
      <c r="C1435" s="4" t="s">
        <v>15363</v>
      </c>
      <c r="D1435" s="155" t="s">
        <v>9819</v>
      </c>
      <c r="E1435" s="159">
        <v>178</v>
      </c>
      <c r="F1435" s="157" t="s">
        <v>12293</v>
      </c>
      <c r="G1435" s="155" t="s">
        <v>12292</v>
      </c>
      <c r="H1435" s="113" t="s">
        <v>10297</v>
      </c>
      <c r="I1435" s="4" t="s">
        <v>12292</v>
      </c>
      <c r="J1435" s="155" t="s">
        <v>12293</v>
      </c>
      <c r="K1435" s="4" t="s">
        <v>12275</v>
      </c>
    </row>
    <row r="1436" spans="1:11" s="4" customFormat="1" x14ac:dyDescent="0.25">
      <c r="A1436" s="114" t="s">
        <v>12294</v>
      </c>
      <c r="B1436" s="4" t="s">
        <v>12295</v>
      </c>
      <c r="C1436" s="4" t="s">
        <v>4</v>
      </c>
      <c r="D1436" s="155" t="s">
        <v>12296</v>
      </c>
      <c r="E1436" s="159">
        <v>110</v>
      </c>
      <c r="F1436" s="157" t="s">
        <v>12298</v>
      </c>
      <c r="G1436" s="155" t="s">
        <v>12297</v>
      </c>
      <c r="H1436" s="113" t="s">
        <v>10297</v>
      </c>
      <c r="I1436" s="4" t="s">
        <v>12295</v>
      </c>
      <c r="J1436" s="155" t="s">
        <v>12298</v>
      </c>
      <c r="K1436" s="4" t="s">
        <v>15493</v>
      </c>
    </row>
    <row r="1437" spans="1:11" s="4" customFormat="1" x14ac:dyDescent="0.25">
      <c r="A1437" s="114" t="s">
        <v>12299</v>
      </c>
      <c r="B1437" s="4" t="s">
        <v>12300</v>
      </c>
      <c r="C1437" s="4" t="s">
        <v>4</v>
      </c>
      <c r="D1437" s="155" t="s">
        <v>11711</v>
      </c>
      <c r="E1437" s="159">
        <v>698</v>
      </c>
      <c r="F1437" s="157" t="s">
        <v>12301</v>
      </c>
      <c r="G1437" s="155" t="s">
        <v>12300</v>
      </c>
      <c r="H1437" s="113" t="s">
        <v>10297</v>
      </c>
      <c r="I1437" s="4" t="s">
        <v>12300</v>
      </c>
      <c r="J1437" s="155" t="s">
        <v>12301</v>
      </c>
      <c r="K1437" s="4" t="s">
        <v>12460</v>
      </c>
    </row>
    <row r="1438" spans="1:11" s="4" customFormat="1" x14ac:dyDescent="0.25">
      <c r="A1438" s="114" t="s">
        <v>12302</v>
      </c>
      <c r="B1438" s="4" t="s">
        <v>12303</v>
      </c>
      <c r="C1438" s="4" t="s">
        <v>15363</v>
      </c>
      <c r="D1438" s="155" t="s">
        <v>9819</v>
      </c>
      <c r="E1438" s="159">
        <v>1053</v>
      </c>
      <c r="F1438" s="157" t="s">
        <v>12304</v>
      </c>
      <c r="G1438" s="155" t="s">
        <v>12303</v>
      </c>
      <c r="H1438" s="113" t="s">
        <v>10297</v>
      </c>
      <c r="I1438" s="4" t="s">
        <v>12303</v>
      </c>
      <c r="J1438" s="155" t="s">
        <v>12304</v>
      </c>
      <c r="K1438" s="4" t="s">
        <v>12460</v>
      </c>
    </row>
    <row r="1439" spans="1:11" s="4" customFormat="1" x14ac:dyDescent="0.25">
      <c r="A1439" s="114" t="s">
        <v>12305</v>
      </c>
      <c r="B1439" s="4" t="s">
        <v>12306</v>
      </c>
      <c r="C1439" s="4" t="s">
        <v>4</v>
      </c>
      <c r="D1439" s="155" t="s">
        <v>9887</v>
      </c>
      <c r="E1439" s="159">
        <v>684</v>
      </c>
      <c r="F1439" s="157" t="s">
        <v>12307</v>
      </c>
      <c r="G1439" s="155" t="s">
        <v>12306</v>
      </c>
      <c r="H1439" s="113" t="s">
        <v>10297</v>
      </c>
      <c r="I1439" s="4" t="s">
        <v>12306</v>
      </c>
      <c r="J1439" s="155" t="s">
        <v>12307</v>
      </c>
      <c r="K1439" s="4" t="s">
        <v>9766</v>
      </c>
    </row>
    <row r="1440" spans="1:11" s="4" customFormat="1" x14ac:dyDescent="0.25">
      <c r="A1440" s="114" t="s">
        <v>12308</v>
      </c>
      <c r="B1440" s="4" t="s">
        <v>9957</v>
      </c>
      <c r="C1440" s="4" t="s">
        <v>15363</v>
      </c>
      <c r="D1440" s="155" t="s">
        <v>12309</v>
      </c>
      <c r="E1440" s="159">
        <v>1104</v>
      </c>
      <c r="F1440" s="157" t="s">
        <v>12310</v>
      </c>
      <c r="G1440" s="155" t="s">
        <v>9957</v>
      </c>
      <c r="H1440" s="113" t="s">
        <v>10297</v>
      </c>
      <c r="I1440" s="4" t="s">
        <v>9957</v>
      </c>
      <c r="J1440" s="155" t="s">
        <v>12310</v>
      </c>
      <c r="K1440" s="4" t="s">
        <v>15494</v>
      </c>
    </row>
    <row r="1441" spans="1:11" s="4" customFormat="1" x14ac:dyDescent="0.25">
      <c r="A1441" s="114" t="s">
        <v>12311</v>
      </c>
      <c r="B1441" s="4" t="s">
        <v>12312</v>
      </c>
      <c r="C1441" s="4" t="s">
        <v>4</v>
      </c>
      <c r="D1441" s="155" t="s">
        <v>12313</v>
      </c>
      <c r="E1441" s="159">
        <v>107</v>
      </c>
      <c r="F1441" s="157" t="s">
        <v>12314</v>
      </c>
      <c r="G1441" s="155" t="s">
        <v>12312</v>
      </c>
      <c r="H1441" s="113" t="s">
        <v>10297</v>
      </c>
      <c r="I1441" s="4" t="s">
        <v>12312</v>
      </c>
      <c r="J1441" s="155" t="s">
        <v>12314</v>
      </c>
      <c r="K1441" s="4" t="s">
        <v>14202</v>
      </c>
    </row>
    <row r="1442" spans="1:11" s="4" customFormat="1" x14ac:dyDescent="0.25">
      <c r="A1442" s="114" t="s">
        <v>12315</v>
      </c>
      <c r="B1442" s="4" t="s">
        <v>12316</v>
      </c>
      <c r="C1442" s="4" t="s">
        <v>15363</v>
      </c>
      <c r="D1442" s="155" t="s">
        <v>10297</v>
      </c>
      <c r="E1442" s="159">
        <v>599</v>
      </c>
      <c r="F1442" s="157" t="s">
        <v>12317</v>
      </c>
      <c r="G1442" s="155" t="s">
        <v>12316</v>
      </c>
      <c r="H1442" s="113" t="s">
        <v>10297</v>
      </c>
      <c r="I1442" s="4" t="s">
        <v>12316</v>
      </c>
      <c r="J1442" s="155" t="s">
        <v>12317</v>
      </c>
      <c r="K1442" s="4" t="s">
        <v>14202</v>
      </c>
    </row>
    <row r="1443" spans="1:11" s="4" customFormat="1" x14ac:dyDescent="0.25">
      <c r="A1443" s="114" t="s">
        <v>12318</v>
      </c>
      <c r="B1443" s="4" t="s">
        <v>12319</v>
      </c>
      <c r="C1443" s="4" t="s">
        <v>4</v>
      </c>
      <c r="D1443" s="155" t="s">
        <v>12320</v>
      </c>
      <c r="E1443" s="159">
        <v>110</v>
      </c>
      <c r="F1443" s="157" t="s">
        <v>12321</v>
      </c>
      <c r="G1443" s="155" t="s">
        <v>12319</v>
      </c>
      <c r="H1443" s="113" t="s">
        <v>10297</v>
      </c>
      <c r="I1443" s="4" t="s">
        <v>12319</v>
      </c>
      <c r="J1443" s="155" t="s">
        <v>12321</v>
      </c>
      <c r="K1443" s="4" t="s">
        <v>12275</v>
      </c>
    </row>
    <row r="1444" spans="1:11" s="4" customFormat="1" x14ac:dyDescent="0.25">
      <c r="A1444" s="114" t="s">
        <v>12322</v>
      </c>
      <c r="B1444" s="4" t="s">
        <v>12323</v>
      </c>
      <c r="C1444" s="4" t="s">
        <v>4</v>
      </c>
      <c r="D1444" s="155" t="s">
        <v>10443</v>
      </c>
      <c r="E1444" s="159">
        <v>945</v>
      </c>
      <c r="F1444" s="157" t="s">
        <v>12324</v>
      </c>
      <c r="G1444" s="155" t="s">
        <v>12323</v>
      </c>
      <c r="H1444" s="113" t="s">
        <v>10297</v>
      </c>
      <c r="I1444" s="4" t="s">
        <v>12323</v>
      </c>
      <c r="J1444" s="155" t="s">
        <v>12324</v>
      </c>
      <c r="K1444" s="4" t="s">
        <v>12460</v>
      </c>
    </row>
    <row r="1445" spans="1:11" s="4" customFormat="1" x14ac:dyDescent="0.25">
      <c r="A1445" s="114" t="s">
        <v>12325</v>
      </c>
      <c r="B1445" s="4" t="s">
        <v>12326</v>
      </c>
      <c r="C1445" s="4" t="s">
        <v>15363</v>
      </c>
      <c r="D1445" s="155" t="s">
        <v>12327</v>
      </c>
      <c r="E1445" s="159">
        <v>99</v>
      </c>
      <c r="F1445" s="157" t="s">
        <v>12328</v>
      </c>
      <c r="G1445" s="155" t="s">
        <v>12326</v>
      </c>
      <c r="H1445" s="113" t="s">
        <v>10297</v>
      </c>
      <c r="I1445" s="4" t="s">
        <v>12326</v>
      </c>
      <c r="J1445" s="155" t="s">
        <v>12328</v>
      </c>
      <c r="K1445" s="4" t="s">
        <v>14202</v>
      </c>
    </row>
    <row r="1446" spans="1:11" s="4" customFormat="1" x14ac:dyDescent="0.25">
      <c r="A1446" s="114" t="s">
        <v>12329</v>
      </c>
      <c r="B1446" s="4" t="s">
        <v>12330</v>
      </c>
      <c r="C1446" s="4" t="s">
        <v>4</v>
      </c>
      <c r="D1446" s="155" t="s">
        <v>10893</v>
      </c>
      <c r="E1446" s="159">
        <v>235</v>
      </c>
      <c r="F1446" s="157" t="s">
        <v>12331</v>
      </c>
      <c r="G1446" s="155" t="s">
        <v>12330</v>
      </c>
      <c r="H1446" s="113" t="s">
        <v>10297</v>
      </c>
      <c r="I1446" s="4" t="s">
        <v>12330</v>
      </c>
      <c r="J1446" s="155" t="s">
        <v>12331</v>
      </c>
      <c r="K1446" s="4" t="s">
        <v>9766</v>
      </c>
    </row>
    <row r="1447" spans="1:11" s="4" customFormat="1" x14ac:dyDescent="0.25">
      <c r="A1447" s="114" t="s">
        <v>12332</v>
      </c>
      <c r="B1447" s="4" t="s">
        <v>12333</v>
      </c>
      <c r="C1447" s="4" t="s">
        <v>4</v>
      </c>
      <c r="D1447" s="155" t="s">
        <v>12334</v>
      </c>
      <c r="E1447" s="159">
        <v>460</v>
      </c>
      <c r="F1447" s="157" t="s">
        <v>12335</v>
      </c>
      <c r="G1447" s="155" t="s">
        <v>12333</v>
      </c>
      <c r="H1447" s="113" t="s">
        <v>10297</v>
      </c>
      <c r="I1447" s="4" t="s">
        <v>12333</v>
      </c>
      <c r="J1447" s="155" t="s">
        <v>12335</v>
      </c>
      <c r="K1447" s="4" t="s">
        <v>14202</v>
      </c>
    </row>
    <row r="1448" spans="1:11" s="4" customFormat="1" x14ac:dyDescent="0.25">
      <c r="A1448" s="114" t="s">
        <v>12336</v>
      </c>
      <c r="B1448" s="4" t="s">
        <v>12337</v>
      </c>
      <c r="C1448" s="4" t="s">
        <v>4</v>
      </c>
      <c r="D1448" s="155" t="s">
        <v>10189</v>
      </c>
      <c r="E1448" s="159">
        <v>198</v>
      </c>
      <c r="F1448" s="157" t="s">
        <v>12338</v>
      </c>
      <c r="G1448" s="155" t="s">
        <v>12337</v>
      </c>
      <c r="H1448" s="113" t="s">
        <v>10297</v>
      </c>
      <c r="I1448" s="4" t="s">
        <v>12337</v>
      </c>
      <c r="J1448" s="155" t="s">
        <v>12338</v>
      </c>
      <c r="K1448" s="4" t="s">
        <v>12275</v>
      </c>
    </row>
    <row r="1449" spans="1:11" s="4" customFormat="1" x14ac:dyDescent="0.25">
      <c r="A1449" s="114" t="s">
        <v>12339</v>
      </c>
      <c r="B1449" s="4" t="s">
        <v>12340</v>
      </c>
      <c r="C1449" s="4" t="s">
        <v>15363</v>
      </c>
      <c r="D1449" s="155" t="s">
        <v>10297</v>
      </c>
      <c r="E1449" s="159">
        <v>470</v>
      </c>
      <c r="F1449" s="157" t="s">
        <v>12341</v>
      </c>
      <c r="G1449" s="155" t="s">
        <v>12340</v>
      </c>
      <c r="H1449" s="113" t="s">
        <v>10297</v>
      </c>
      <c r="I1449" s="4" t="s">
        <v>12340</v>
      </c>
      <c r="J1449" s="155" t="s">
        <v>12341</v>
      </c>
      <c r="K1449" s="4" t="s">
        <v>12460</v>
      </c>
    </row>
    <row r="1450" spans="1:11" s="4" customFormat="1" x14ac:dyDescent="0.25">
      <c r="A1450" s="114" t="s">
        <v>12342</v>
      </c>
      <c r="B1450" s="4" t="s">
        <v>12343</v>
      </c>
      <c r="C1450" s="4" t="s">
        <v>15363</v>
      </c>
      <c r="D1450" s="155" t="s">
        <v>12344</v>
      </c>
      <c r="E1450" s="159">
        <v>840</v>
      </c>
      <c r="F1450" s="157" t="s">
        <v>12345</v>
      </c>
      <c r="G1450" s="155" t="s">
        <v>12343</v>
      </c>
      <c r="H1450" s="113" t="s">
        <v>10297</v>
      </c>
      <c r="I1450" s="4" t="s">
        <v>12343</v>
      </c>
      <c r="J1450" s="155" t="s">
        <v>12345</v>
      </c>
      <c r="K1450" s="4" t="s">
        <v>12460</v>
      </c>
    </row>
    <row r="1451" spans="1:11" s="4" customFormat="1" x14ac:dyDescent="0.25">
      <c r="A1451" s="114" t="s">
        <v>12346</v>
      </c>
      <c r="B1451" s="4" t="s">
        <v>12347</v>
      </c>
      <c r="C1451" s="4" t="s">
        <v>4</v>
      </c>
      <c r="D1451" s="155" t="s">
        <v>12348</v>
      </c>
      <c r="E1451" s="159">
        <v>137</v>
      </c>
      <c r="F1451" s="157" t="s">
        <v>12349</v>
      </c>
      <c r="G1451" s="155" t="s">
        <v>12347</v>
      </c>
      <c r="H1451" s="113" t="s">
        <v>10297</v>
      </c>
      <c r="I1451" s="4" t="s">
        <v>12347</v>
      </c>
      <c r="J1451" s="155" t="s">
        <v>12349</v>
      </c>
      <c r="K1451" s="4" t="s">
        <v>12375</v>
      </c>
    </row>
    <row r="1452" spans="1:11" s="4" customFormat="1" x14ac:dyDescent="0.25">
      <c r="A1452" s="114" t="s">
        <v>12350</v>
      </c>
      <c r="B1452" s="4" t="s">
        <v>12351</v>
      </c>
      <c r="C1452" s="4" t="s">
        <v>15363</v>
      </c>
      <c r="D1452" s="155" t="s">
        <v>12352</v>
      </c>
      <c r="E1452" s="159">
        <v>163</v>
      </c>
      <c r="F1452" s="157" t="s">
        <v>12353</v>
      </c>
      <c r="G1452" s="155" t="s">
        <v>12351</v>
      </c>
      <c r="H1452" s="113" t="s">
        <v>10297</v>
      </c>
      <c r="I1452" s="4" t="s">
        <v>12351</v>
      </c>
      <c r="J1452" s="155" t="s">
        <v>12353</v>
      </c>
      <c r="K1452" s="4" t="s">
        <v>15487</v>
      </c>
    </row>
    <row r="1453" spans="1:11" s="4" customFormat="1" x14ac:dyDescent="0.25">
      <c r="A1453" s="114" t="s">
        <v>12354</v>
      </c>
      <c r="B1453" s="4" t="s">
        <v>12355</v>
      </c>
      <c r="C1453" s="4" t="s">
        <v>4</v>
      </c>
      <c r="D1453" s="155" t="s">
        <v>10297</v>
      </c>
      <c r="E1453" s="159">
        <v>391</v>
      </c>
      <c r="F1453" s="157" t="s">
        <v>12356</v>
      </c>
      <c r="G1453" s="155" t="s">
        <v>12355</v>
      </c>
      <c r="H1453" s="113" t="s">
        <v>10297</v>
      </c>
      <c r="I1453" s="4" t="s">
        <v>12355</v>
      </c>
      <c r="J1453" s="155" t="s">
        <v>12356</v>
      </c>
      <c r="K1453" s="4" t="s">
        <v>12275</v>
      </c>
    </row>
    <row r="1454" spans="1:11" s="4" customFormat="1" x14ac:dyDescent="0.25">
      <c r="A1454" s="114" t="s">
        <v>12357</v>
      </c>
      <c r="B1454" s="4" t="s">
        <v>12358</v>
      </c>
      <c r="C1454" s="4" t="s">
        <v>4</v>
      </c>
      <c r="D1454" s="155" t="s">
        <v>12359</v>
      </c>
      <c r="E1454" s="159">
        <v>470</v>
      </c>
      <c r="F1454" s="157" t="s">
        <v>12360</v>
      </c>
      <c r="G1454" s="155" t="s">
        <v>12358</v>
      </c>
      <c r="H1454" s="113" t="s">
        <v>10297</v>
      </c>
      <c r="I1454" s="4" t="s">
        <v>12358</v>
      </c>
      <c r="J1454" s="155" t="s">
        <v>12360</v>
      </c>
      <c r="K1454" s="4" t="s">
        <v>9766</v>
      </c>
    </row>
    <row r="1455" spans="1:11" s="4" customFormat="1" x14ac:dyDescent="0.25">
      <c r="A1455" s="114" t="s">
        <v>12361</v>
      </c>
      <c r="B1455" s="4" t="s">
        <v>12362</v>
      </c>
      <c r="C1455" s="4" t="s">
        <v>4</v>
      </c>
      <c r="D1455" s="155" t="s">
        <v>10244</v>
      </c>
      <c r="E1455" s="159">
        <v>370</v>
      </c>
      <c r="F1455" s="157" t="s">
        <v>12363</v>
      </c>
      <c r="G1455" s="155" t="s">
        <v>12362</v>
      </c>
      <c r="H1455" s="113" t="s">
        <v>10297</v>
      </c>
      <c r="I1455" s="4" t="s">
        <v>12362</v>
      </c>
      <c r="J1455" s="155" t="s">
        <v>12363</v>
      </c>
      <c r="K1455" s="4" t="s">
        <v>12460</v>
      </c>
    </row>
    <row r="1456" spans="1:11" s="4" customFormat="1" x14ac:dyDescent="0.25">
      <c r="A1456" s="114" t="s">
        <v>12364</v>
      </c>
      <c r="B1456" s="4" t="s">
        <v>12365</v>
      </c>
      <c r="C1456" s="4" t="s">
        <v>15363</v>
      </c>
      <c r="D1456" s="155" t="s">
        <v>9887</v>
      </c>
      <c r="E1456" s="159">
        <v>754</v>
      </c>
      <c r="F1456" s="157" t="s">
        <v>12366</v>
      </c>
      <c r="G1456" s="155" t="s">
        <v>12365</v>
      </c>
      <c r="H1456" s="113" t="s">
        <v>10297</v>
      </c>
      <c r="I1456" s="4" t="s">
        <v>12365</v>
      </c>
      <c r="J1456" s="155" t="s">
        <v>12366</v>
      </c>
      <c r="K1456" s="4" t="s">
        <v>15493</v>
      </c>
    </row>
    <row r="1457" spans="1:11" s="4" customFormat="1" x14ac:dyDescent="0.25">
      <c r="A1457" s="114" t="s">
        <v>12367</v>
      </c>
      <c r="B1457" s="4" t="s">
        <v>12368</v>
      </c>
      <c r="C1457" s="4" t="s">
        <v>15363</v>
      </c>
      <c r="D1457" s="155" t="s">
        <v>10340</v>
      </c>
      <c r="E1457" s="159">
        <v>205</v>
      </c>
      <c r="F1457" s="157" t="s">
        <v>12369</v>
      </c>
      <c r="G1457" s="155" t="s">
        <v>12368</v>
      </c>
      <c r="H1457" s="113" t="s">
        <v>10297</v>
      </c>
      <c r="I1457" s="4" t="s">
        <v>12368</v>
      </c>
      <c r="J1457" s="155" t="s">
        <v>12369</v>
      </c>
      <c r="K1457" s="4" t="s">
        <v>15493</v>
      </c>
    </row>
    <row r="1458" spans="1:11" s="4" customFormat="1" x14ac:dyDescent="0.25">
      <c r="A1458" s="114" t="s">
        <v>12370</v>
      </c>
      <c r="B1458" s="4" t="s">
        <v>12371</v>
      </c>
      <c r="C1458" s="4" t="s">
        <v>4</v>
      </c>
      <c r="D1458" s="155" t="s">
        <v>12372</v>
      </c>
      <c r="E1458" s="159">
        <v>200</v>
      </c>
      <c r="F1458" s="157" t="s">
        <v>12373</v>
      </c>
      <c r="G1458" s="155" t="s">
        <v>12371</v>
      </c>
      <c r="H1458" s="113" t="s">
        <v>10297</v>
      </c>
      <c r="I1458" s="4" t="s">
        <v>12371</v>
      </c>
      <c r="J1458" s="155" t="s">
        <v>12373</v>
      </c>
      <c r="K1458" s="4" t="s">
        <v>15495</v>
      </c>
    </row>
    <row r="1459" spans="1:11" s="4" customFormat="1" x14ac:dyDescent="0.25">
      <c r="A1459" s="114" t="s">
        <v>12374</v>
      </c>
      <c r="B1459" s="4" t="s">
        <v>12375</v>
      </c>
      <c r="C1459" s="4" t="s">
        <v>4</v>
      </c>
      <c r="D1459" s="155" t="s">
        <v>10767</v>
      </c>
      <c r="E1459" s="159">
        <v>403</v>
      </c>
      <c r="F1459" s="157" t="s">
        <v>12376</v>
      </c>
      <c r="G1459" s="155" t="s">
        <v>12375</v>
      </c>
      <c r="H1459" s="113" t="s">
        <v>10297</v>
      </c>
      <c r="I1459" s="4" t="s">
        <v>12375</v>
      </c>
      <c r="J1459" s="155" t="s">
        <v>12376</v>
      </c>
      <c r="K1459" s="4" t="s">
        <v>12460</v>
      </c>
    </row>
    <row r="1460" spans="1:11" s="4" customFormat="1" x14ac:dyDescent="0.25">
      <c r="A1460" s="114" t="s">
        <v>12377</v>
      </c>
      <c r="B1460" s="4" t="s">
        <v>12378</v>
      </c>
      <c r="C1460" s="4" t="s">
        <v>4</v>
      </c>
      <c r="D1460" s="155" t="s">
        <v>12379</v>
      </c>
      <c r="E1460" s="159">
        <v>130</v>
      </c>
      <c r="F1460" s="157" t="s">
        <v>12381</v>
      </c>
      <c r="G1460" s="155" t="s">
        <v>12380</v>
      </c>
      <c r="H1460" s="113" t="s">
        <v>10297</v>
      </c>
      <c r="I1460" s="4" t="s">
        <v>12378</v>
      </c>
      <c r="J1460" s="155" t="s">
        <v>12381</v>
      </c>
      <c r="K1460" s="4" t="s">
        <v>12275</v>
      </c>
    </row>
    <row r="1461" spans="1:11" s="4" customFormat="1" x14ac:dyDescent="0.25">
      <c r="A1461" s="114" t="s">
        <v>12382</v>
      </c>
      <c r="B1461" s="4" t="s">
        <v>12383</v>
      </c>
      <c r="C1461" s="4" t="s">
        <v>4</v>
      </c>
      <c r="D1461" s="155" t="s">
        <v>11221</v>
      </c>
      <c r="E1461" s="159">
        <v>297</v>
      </c>
      <c r="F1461" s="157" t="s">
        <v>12385</v>
      </c>
      <c r="G1461" s="155" t="s">
        <v>12384</v>
      </c>
      <c r="H1461" s="113" t="s">
        <v>10297</v>
      </c>
      <c r="I1461" s="4" t="s">
        <v>12383</v>
      </c>
      <c r="J1461" s="155" t="s">
        <v>12385</v>
      </c>
      <c r="K1461" s="4" t="s">
        <v>12460</v>
      </c>
    </row>
    <row r="1462" spans="1:11" s="4" customFormat="1" x14ac:dyDescent="0.25">
      <c r="A1462" s="114" t="s">
        <v>12386</v>
      </c>
      <c r="B1462" s="4" t="s">
        <v>12387</v>
      </c>
      <c r="C1462" s="4" t="s">
        <v>15363</v>
      </c>
      <c r="D1462" s="155" t="s">
        <v>10059</v>
      </c>
      <c r="E1462" s="159">
        <v>316</v>
      </c>
      <c r="F1462" s="157" t="s">
        <v>12388</v>
      </c>
      <c r="G1462" s="155" t="s">
        <v>12387</v>
      </c>
      <c r="H1462" s="113" t="s">
        <v>10297</v>
      </c>
      <c r="I1462" s="4" t="s">
        <v>12387</v>
      </c>
      <c r="J1462" s="155" t="s">
        <v>12388</v>
      </c>
      <c r="K1462" s="4" t="s">
        <v>15494</v>
      </c>
    </row>
    <row r="1463" spans="1:11" s="4" customFormat="1" x14ac:dyDescent="0.25">
      <c r="A1463" s="114" t="s">
        <v>12389</v>
      </c>
      <c r="B1463" s="4" t="s">
        <v>12390</v>
      </c>
      <c r="C1463" s="4" t="s">
        <v>4</v>
      </c>
      <c r="D1463" s="155" t="s">
        <v>10500</v>
      </c>
      <c r="E1463" s="159">
        <v>0</v>
      </c>
      <c r="F1463" s="157" t="s">
        <v>12391</v>
      </c>
      <c r="G1463" s="155" t="s">
        <v>12390</v>
      </c>
      <c r="H1463" s="113" t="s">
        <v>10297</v>
      </c>
      <c r="I1463" s="4" t="s">
        <v>12390</v>
      </c>
      <c r="J1463" s="155" t="s">
        <v>12391</v>
      </c>
      <c r="K1463" s="4" t="s">
        <v>12375</v>
      </c>
    </row>
    <row r="1464" spans="1:11" s="4" customFormat="1" x14ac:dyDescent="0.25">
      <c r="A1464" s="114" t="s">
        <v>12392</v>
      </c>
      <c r="B1464" s="4" t="s">
        <v>12393</v>
      </c>
      <c r="C1464" s="4" t="s">
        <v>4</v>
      </c>
      <c r="D1464" s="155" t="s">
        <v>12394</v>
      </c>
      <c r="E1464" s="159"/>
      <c r="F1464" s="157" t="s">
        <v>12395</v>
      </c>
      <c r="G1464" s="155" t="s">
        <v>12393</v>
      </c>
      <c r="H1464" s="113" t="s">
        <v>10297</v>
      </c>
      <c r="I1464" s="4" t="s">
        <v>12393</v>
      </c>
      <c r="J1464" s="155" t="s">
        <v>12395</v>
      </c>
      <c r="K1464" s="4" t="s">
        <v>12275</v>
      </c>
    </row>
    <row r="1465" spans="1:11" s="4" customFormat="1" x14ac:dyDescent="0.25">
      <c r="A1465" s="114" t="s">
        <v>12396</v>
      </c>
      <c r="B1465" s="4" t="s">
        <v>12397</v>
      </c>
      <c r="C1465" s="4" t="s">
        <v>15363</v>
      </c>
      <c r="D1465" s="155" t="s">
        <v>10553</v>
      </c>
      <c r="E1465" s="159">
        <v>26</v>
      </c>
      <c r="F1465" s="157" t="s">
        <v>12398</v>
      </c>
      <c r="G1465" s="155" t="s">
        <v>12397</v>
      </c>
      <c r="H1465" s="113" t="s">
        <v>10297</v>
      </c>
      <c r="I1465" s="4" t="s">
        <v>12397</v>
      </c>
      <c r="J1465" s="155" t="s">
        <v>12398</v>
      </c>
      <c r="K1465" s="4" t="s">
        <v>12375</v>
      </c>
    </row>
    <row r="1466" spans="1:11" s="4" customFormat="1" x14ac:dyDescent="0.25">
      <c r="A1466" s="114" t="s">
        <v>12399</v>
      </c>
      <c r="B1466" s="4" t="s">
        <v>12400</v>
      </c>
      <c r="C1466" s="4" t="s">
        <v>4</v>
      </c>
      <c r="D1466" s="155" t="s">
        <v>12401</v>
      </c>
      <c r="E1466" s="159">
        <v>485</v>
      </c>
      <c r="F1466" s="157" t="s">
        <v>12402</v>
      </c>
      <c r="G1466" s="155" t="s">
        <v>12400</v>
      </c>
      <c r="H1466" s="113" t="s">
        <v>10297</v>
      </c>
      <c r="I1466" s="4" t="s">
        <v>12400</v>
      </c>
      <c r="J1466" s="155" t="s">
        <v>12402</v>
      </c>
      <c r="K1466" s="4" t="s">
        <v>14202</v>
      </c>
    </row>
    <row r="1467" spans="1:11" s="4" customFormat="1" x14ac:dyDescent="0.25">
      <c r="A1467" s="114" t="s">
        <v>12403</v>
      </c>
      <c r="B1467" s="4" t="s">
        <v>12404</v>
      </c>
      <c r="C1467" s="4" t="s">
        <v>4</v>
      </c>
      <c r="D1467" s="155" t="s">
        <v>10808</v>
      </c>
      <c r="E1467" s="159">
        <v>102</v>
      </c>
      <c r="F1467" s="157" t="s">
        <v>12405</v>
      </c>
      <c r="G1467" s="155" t="s">
        <v>12404</v>
      </c>
      <c r="H1467" s="113" t="s">
        <v>10297</v>
      </c>
      <c r="I1467" s="4" t="s">
        <v>12404</v>
      </c>
      <c r="J1467" s="155" t="s">
        <v>12405</v>
      </c>
      <c r="K1467" s="4" t="s">
        <v>12460</v>
      </c>
    </row>
    <row r="1468" spans="1:11" s="4" customFormat="1" x14ac:dyDescent="0.25">
      <c r="A1468" s="114" t="s">
        <v>12406</v>
      </c>
      <c r="B1468" s="4" t="s">
        <v>12407</v>
      </c>
      <c r="C1468" s="4" t="s">
        <v>15363</v>
      </c>
      <c r="D1468" s="155" t="s">
        <v>9850</v>
      </c>
      <c r="E1468" s="159">
        <v>50</v>
      </c>
      <c r="F1468" s="157" t="s">
        <v>12408</v>
      </c>
      <c r="G1468" s="155" t="s">
        <v>12407</v>
      </c>
      <c r="H1468" s="113" t="s">
        <v>10297</v>
      </c>
      <c r="I1468" s="4" t="s">
        <v>12407</v>
      </c>
      <c r="J1468" s="155" t="s">
        <v>12408</v>
      </c>
      <c r="K1468" s="4" t="s">
        <v>12460</v>
      </c>
    </row>
    <row r="1469" spans="1:11" s="4" customFormat="1" x14ac:dyDescent="0.25">
      <c r="A1469" s="114" t="s">
        <v>12409</v>
      </c>
      <c r="B1469" s="4" t="s">
        <v>12410</v>
      </c>
      <c r="C1469" s="4" t="s">
        <v>4</v>
      </c>
      <c r="D1469" s="155" t="s">
        <v>9850</v>
      </c>
      <c r="E1469" s="159">
        <v>314</v>
      </c>
      <c r="F1469" s="157" t="s">
        <v>12411</v>
      </c>
      <c r="G1469" s="155" t="s">
        <v>12410</v>
      </c>
      <c r="H1469" s="113" t="s">
        <v>10297</v>
      </c>
      <c r="I1469" s="4" t="s">
        <v>12410</v>
      </c>
      <c r="J1469" s="155" t="s">
        <v>12411</v>
      </c>
      <c r="K1469" s="4" t="s">
        <v>12375</v>
      </c>
    </row>
    <row r="1470" spans="1:11" s="4" customFormat="1" x14ac:dyDescent="0.25">
      <c r="A1470" s="114" t="s">
        <v>12412</v>
      </c>
      <c r="B1470" s="4" t="s">
        <v>12413</v>
      </c>
      <c r="C1470" s="4" t="s">
        <v>15363</v>
      </c>
      <c r="D1470" s="155" t="s">
        <v>12414</v>
      </c>
      <c r="E1470" s="159">
        <v>202</v>
      </c>
      <c r="F1470" s="157" t="s">
        <v>12415</v>
      </c>
      <c r="G1470" s="155" t="s">
        <v>12413</v>
      </c>
      <c r="H1470" s="113" t="s">
        <v>10297</v>
      </c>
      <c r="I1470" s="4" t="s">
        <v>12413</v>
      </c>
      <c r="J1470" s="155" t="s">
        <v>12415</v>
      </c>
      <c r="K1470" s="4" t="s">
        <v>12375</v>
      </c>
    </row>
    <row r="1471" spans="1:11" s="4" customFormat="1" x14ac:dyDescent="0.25">
      <c r="A1471" s="114" t="s">
        <v>12416</v>
      </c>
      <c r="B1471" s="4" t="s">
        <v>12417</v>
      </c>
      <c r="C1471" s="4" t="s">
        <v>15363</v>
      </c>
      <c r="D1471" s="155" t="s">
        <v>11289</v>
      </c>
      <c r="E1471" s="159">
        <v>295</v>
      </c>
      <c r="F1471" s="157" t="s">
        <v>12418</v>
      </c>
      <c r="G1471" s="155" t="s">
        <v>12417</v>
      </c>
      <c r="H1471" s="113" t="s">
        <v>10297</v>
      </c>
      <c r="I1471" s="4" t="s">
        <v>12417</v>
      </c>
      <c r="J1471" s="155" t="s">
        <v>12418</v>
      </c>
      <c r="K1471" s="4" t="s">
        <v>14202</v>
      </c>
    </row>
    <row r="1472" spans="1:11" s="4" customFormat="1" x14ac:dyDescent="0.25">
      <c r="A1472" s="114" t="s">
        <v>12419</v>
      </c>
      <c r="B1472" s="4" t="s">
        <v>12420</v>
      </c>
      <c r="C1472" s="4" t="s">
        <v>15363</v>
      </c>
      <c r="D1472" s="155" t="s">
        <v>10244</v>
      </c>
      <c r="E1472" s="159">
        <v>373</v>
      </c>
      <c r="F1472" s="157" t="s">
        <v>12421</v>
      </c>
      <c r="G1472" s="155" t="s">
        <v>12420</v>
      </c>
      <c r="H1472" s="113" t="s">
        <v>10297</v>
      </c>
      <c r="I1472" s="4" t="s">
        <v>12420</v>
      </c>
      <c r="J1472" s="155" t="s">
        <v>12421</v>
      </c>
      <c r="K1472" s="4" t="s">
        <v>15494</v>
      </c>
    </row>
    <row r="1473" spans="1:11" s="4" customFormat="1" x14ac:dyDescent="0.25">
      <c r="A1473" s="114" t="s">
        <v>12422</v>
      </c>
      <c r="B1473" s="4" t="s">
        <v>12423</v>
      </c>
      <c r="C1473" s="4" t="s">
        <v>4</v>
      </c>
      <c r="D1473" s="155" t="s">
        <v>10043</v>
      </c>
      <c r="E1473" s="159">
        <v>462</v>
      </c>
      <c r="F1473" s="157" t="s">
        <v>12424</v>
      </c>
      <c r="G1473" s="155" t="s">
        <v>12423</v>
      </c>
      <c r="H1473" s="113" t="s">
        <v>10297</v>
      </c>
      <c r="I1473" s="4" t="s">
        <v>12423</v>
      </c>
      <c r="J1473" s="155" t="s">
        <v>12424</v>
      </c>
      <c r="K1473" s="4" t="s">
        <v>15487</v>
      </c>
    </row>
    <row r="1474" spans="1:11" s="4" customFormat="1" x14ac:dyDescent="0.25">
      <c r="A1474" s="114" t="s">
        <v>12425</v>
      </c>
      <c r="B1474" s="4" t="s">
        <v>12426</v>
      </c>
      <c r="C1474" s="4" t="s">
        <v>4</v>
      </c>
      <c r="D1474" s="155" t="s">
        <v>12427</v>
      </c>
      <c r="E1474" s="159">
        <v>99</v>
      </c>
      <c r="F1474" s="157" t="s">
        <v>12428</v>
      </c>
      <c r="G1474" s="155" t="s">
        <v>12426</v>
      </c>
      <c r="H1474" s="113" t="s">
        <v>10297</v>
      </c>
      <c r="I1474" s="4" t="s">
        <v>12426</v>
      </c>
      <c r="J1474" s="155" t="s">
        <v>12428</v>
      </c>
      <c r="K1474" s="4" t="s">
        <v>9766</v>
      </c>
    </row>
    <row r="1475" spans="1:11" s="4" customFormat="1" x14ac:dyDescent="0.25">
      <c r="A1475" s="114" t="s">
        <v>12429</v>
      </c>
      <c r="B1475" s="4" t="s">
        <v>12430</v>
      </c>
      <c r="C1475" s="4" t="s">
        <v>15363</v>
      </c>
      <c r="D1475" s="155" t="s">
        <v>10775</v>
      </c>
      <c r="E1475" s="159">
        <v>1</v>
      </c>
      <c r="F1475" s="157" t="s">
        <v>12431</v>
      </c>
      <c r="G1475" s="155" t="s">
        <v>12430</v>
      </c>
      <c r="H1475" s="113" t="s">
        <v>10297</v>
      </c>
      <c r="I1475" s="4" t="s">
        <v>12430</v>
      </c>
      <c r="J1475" s="155" t="s">
        <v>12431</v>
      </c>
      <c r="K1475" s="4" t="s">
        <v>15493</v>
      </c>
    </row>
    <row r="1476" spans="1:11" s="4" customFormat="1" x14ac:dyDescent="0.25">
      <c r="A1476" s="114" t="s">
        <v>12432</v>
      </c>
      <c r="B1476" s="4" t="s">
        <v>12433</v>
      </c>
      <c r="C1476" s="4" t="s">
        <v>4</v>
      </c>
      <c r="D1476" s="155" t="s">
        <v>12434</v>
      </c>
      <c r="E1476" s="159">
        <v>494</v>
      </c>
      <c r="F1476" s="157" t="s">
        <v>12435</v>
      </c>
      <c r="G1476" s="155" t="s">
        <v>12433</v>
      </c>
      <c r="H1476" s="113" t="s">
        <v>10297</v>
      </c>
      <c r="I1476" s="4" t="s">
        <v>12433</v>
      </c>
      <c r="J1476" s="155" t="s">
        <v>12435</v>
      </c>
      <c r="K1476" s="4" t="s">
        <v>14202</v>
      </c>
    </row>
    <row r="1477" spans="1:11" s="4" customFormat="1" x14ac:dyDescent="0.25">
      <c r="A1477" s="114" t="s">
        <v>12436</v>
      </c>
      <c r="B1477" s="4" t="s">
        <v>12437</v>
      </c>
      <c r="C1477" s="4" t="s">
        <v>15363</v>
      </c>
      <c r="D1477" s="155" t="s">
        <v>12438</v>
      </c>
      <c r="E1477" s="159">
        <v>266</v>
      </c>
      <c r="F1477" s="157" t="s">
        <v>12439</v>
      </c>
      <c r="G1477" s="155" t="s">
        <v>12437</v>
      </c>
      <c r="H1477" s="113" t="s">
        <v>10297</v>
      </c>
      <c r="I1477" s="4" t="s">
        <v>12437</v>
      </c>
      <c r="J1477" s="155" t="s">
        <v>12439</v>
      </c>
      <c r="K1477" s="4" t="s">
        <v>15495</v>
      </c>
    </row>
    <row r="1478" spans="1:11" s="4" customFormat="1" x14ac:dyDescent="0.25">
      <c r="A1478" s="114" t="s">
        <v>12440</v>
      </c>
      <c r="B1478" s="4" t="s">
        <v>12441</v>
      </c>
      <c r="C1478" s="4" t="s">
        <v>4</v>
      </c>
      <c r="D1478" s="155" t="s">
        <v>10467</v>
      </c>
      <c r="E1478" s="159">
        <v>751</v>
      </c>
      <c r="F1478" s="157" t="s">
        <v>12442</v>
      </c>
      <c r="G1478" s="155" t="s">
        <v>12441</v>
      </c>
      <c r="H1478" s="113" t="s">
        <v>10297</v>
      </c>
      <c r="I1478" s="4" t="s">
        <v>12441</v>
      </c>
      <c r="J1478" s="155" t="s">
        <v>12442</v>
      </c>
      <c r="K1478" s="4" t="s">
        <v>15494</v>
      </c>
    </row>
    <row r="1479" spans="1:11" s="4" customFormat="1" x14ac:dyDescent="0.25">
      <c r="A1479" s="114" t="s">
        <v>12443</v>
      </c>
      <c r="B1479" s="4" t="s">
        <v>12444</v>
      </c>
      <c r="C1479" s="4" t="s">
        <v>15363</v>
      </c>
      <c r="D1479" s="155" t="s">
        <v>12445</v>
      </c>
      <c r="E1479" s="159">
        <v>495</v>
      </c>
      <c r="F1479" s="157" t="s">
        <v>12446</v>
      </c>
      <c r="G1479" s="155" t="s">
        <v>12444</v>
      </c>
      <c r="H1479" s="113" t="s">
        <v>10297</v>
      </c>
      <c r="I1479" s="4" t="s">
        <v>12444</v>
      </c>
      <c r="J1479" s="155" t="s">
        <v>12446</v>
      </c>
      <c r="K1479" s="4" t="s">
        <v>12460</v>
      </c>
    </row>
    <row r="1480" spans="1:11" s="4" customFormat="1" x14ac:dyDescent="0.25">
      <c r="A1480" s="114" t="s">
        <v>12447</v>
      </c>
      <c r="B1480" s="4" t="s">
        <v>12448</v>
      </c>
      <c r="C1480" s="4" t="s">
        <v>4</v>
      </c>
      <c r="D1480" s="155" t="s">
        <v>12449</v>
      </c>
      <c r="E1480" s="159">
        <v>598</v>
      </c>
      <c r="F1480" s="157" t="s">
        <v>12450</v>
      </c>
      <c r="G1480" s="155" t="s">
        <v>12448</v>
      </c>
      <c r="H1480" s="113" t="s">
        <v>10297</v>
      </c>
      <c r="I1480" s="4" t="s">
        <v>12448</v>
      </c>
      <c r="J1480" s="155" t="s">
        <v>12450</v>
      </c>
      <c r="K1480" s="4" t="s">
        <v>12460</v>
      </c>
    </row>
    <row r="1481" spans="1:11" s="4" customFormat="1" x14ac:dyDescent="0.25">
      <c r="A1481" s="114" t="s">
        <v>12451</v>
      </c>
      <c r="B1481" s="4" t="s">
        <v>12452</v>
      </c>
      <c r="C1481" s="4" t="s">
        <v>4</v>
      </c>
      <c r="D1481" s="155" t="s">
        <v>12453</v>
      </c>
      <c r="E1481" s="159">
        <v>330</v>
      </c>
      <c r="F1481" s="157" t="s">
        <v>12454</v>
      </c>
      <c r="G1481" s="155" t="s">
        <v>12452</v>
      </c>
      <c r="H1481" s="113" t="s">
        <v>10297</v>
      </c>
      <c r="I1481" s="4" t="s">
        <v>12452</v>
      </c>
      <c r="J1481" s="155" t="s">
        <v>12454</v>
      </c>
      <c r="K1481" s="4" t="s">
        <v>15487</v>
      </c>
    </row>
    <row r="1482" spans="1:11" s="4" customFormat="1" x14ac:dyDescent="0.25">
      <c r="A1482" s="114" t="s">
        <v>12455</v>
      </c>
      <c r="B1482" s="4" t="s">
        <v>12456</v>
      </c>
      <c r="C1482" s="4" t="s">
        <v>4</v>
      </c>
      <c r="D1482" s="155" t="s">
        <v>12457</v>
      </c>
      <c r="E1482" s="159">
        <v>174</v>
      </c>
      <c r="F1482" s="157" t="s">
        <v>12458</v>
      </c>
      <c r="G1482" s="155" t="s">
        <v>12456</v>
      </c>
      <c r="H1482" s="113" t="s">
        <v>10297</v>
      </c>
      <c r="I1482" s="4" t="s">
        <v>12456</v>
      </c>
      <c r="J1482" s="155" t="s">
        <v>12458</v>
      </c>
      <c r="K1482" s="4" t="s">
        <v>12275</v>
      </c>
    </row>
    <row r="1483" spans="1:11" s="4" customFormat="1" x14ac:dyDescent="0.25">
      <c r="A1483" s="114" t="s">
        <v>12459</v>
      </c>
      <c r="B1483" s="4" t="s">
        <v>12460</v>
      </c>
      <c r="C1483" s="4" t="s">
        <v>15363</v>
      </c>
      <c r="D1483" s="155" t="s">
        <v>11449</v>
      </c>
      <c r="E1483" s="159">
        <v>352</v>
      </c>
      <c r="F1483" s="157" t="s">
        <v>12461</v>
      </c>
      <c r="G1483" s="155" t="s">
        <v>12460</v>
      </c>
      <c r="H1483" s="113" t="s">
        <v>10297</v>
      </c>
      <c r="I1483" s="4" t="s">
        <v>12460</v>
      </c>
      <c r="J1483" s="155" t="s">
        <v>12461</v>
      </c>
      <c r="K1483" s="4" t="s">
        <v>12460</v>
      </c>
    </row>
    <row r="1484" spans="1:11" s="4" customFormat="1" x14ac:dyDescent="0.25">
      <c r="A1484" s="114" t="s">
        <v>12462</v>
      </c>
      <c r="B1484" s="4" t="s">
        <v>12463</v>
      </c>
      <c r="C1484" s="4" t="s">
        <v>4</v>
      </c>
      <c r="D1484" s="155" t="s">
        <v>6589</v>
      </c>
      <c r="E1484" s="159">
        <v>301</v>
      </c>
      <c r="F1484" s="157" t="s">
        <v>12464</v>
      </c>
      <c r="G1484" s="155" t="s">
        <v>12463</v>
      </c>
      <c r="H1484" s="113" t="s">
        <v>10297</v>
      </c>
      <c r="I1484" s="4" t="s">
        <v>12463</v>
      </c>
      <c r="J1484" s="155" t="s">
        <v>12464</v>
      </c>
      <c r="K1484" s="4" t="s">
        <v>12375</v>
      </c>
    </row>
    <row r="1485" spans="1:11" s="4" customFormat="1" x14ac:dyDescent="0.25">
      <c r="A1485" s="114" t="s">
        <v>12465</v>
      </c>
      <c r="B1485" s="4" t="s">
        <v>12466</v>
      </c>
      <c r="C1485" s="4" t="s">
        <v>15363</v>
      </c>
      <c r="D1485" s="155" t="s">
        <v>10199</v>
      </c>
      <c r="E1485" s="159">
        <v>462</v>
      </c>
      <c r="F1485" s="157" t="s">
        <v>12467</v>
      </c>
      <c r="G1485" s="155" t="s">
        <v>12466</v>
      </c>
      <c r="H1485" s="113" t="s">
        <v>10297</v>
      </c>
      <c r="I1485" s="4" t="s">
        <v>12466</v>
      </c>
      <c r="J1485" s="155" t="s">
        <v>12467</v>
      </c>
      <c r="K1485" s="4" t="s">
        <v>12460</v>
      </c>
    </row>
    <row r="1486" spans="1:11" s="4" customFormat="1" x14ac:dyDescent="0.25">
      <c r="A1486" s="114" t="s">
        <v>12468</v>
      </c>
      <c r="B1486" s="4" t="s">
        <v>12469</v>
      </c>
      <c r="C1486" s="4" t="s">
        <v>15363</v>
      </c>
      <c r="D1486" s="155" t="s">
        <v>12470</v>
      </c>
      <c r="E1486" s="159">
        <v>1441</v>
      </c>
      <c r="F1486" s="157" t="s">
        <v>12471</v>
      </c>
      <c r="G1486" s="155" t="s">
        <v>12469</v>
      </c>
      <c r="H1486" s="113" t="s">
        <v>10297</v>
      </c>
      <c r="I1486" s="4" t="s">
        <v>12469</v>
      </c>
      <c r="J1486" s="155" t="s">
        <v>12471</v>
      </c>
      <c r="K1486" s="4" t="s">
        <v>14202</v>
      </c>
    </row>
    <row r="1487" spans="1:11" s="4" customFormat="1" x14ac:dyDescent="0.25">
      <c r="A1487" s="114" t="s">
        <v>12472</v>
      </c>
      <c r="B1487" s="4" t="s">
        <v>12473</v>
      </c>
      <c r="C1487" s="4" t="s">
        <v>4</v>
      </c>
      <c r="D1487" s="155" t="s">
        <v>10759</v>
      </c>
      <c r="E1487" s="159">
        <v>248</v>
      </c>
      <c r="F1487" s="157" t="s">
        <v>12474</v>
      </c>
      <c r="G1487" s="155" t="s">
        <v>12473</v>
      </c>
      <c r="H1487" s="113" t="s">
        <v>10297</v>
      </c>
      <c r="I1487" s="4" t="s">
        <v>12473</v>
      </c>
      <c r="J1487" s="155" t="s">
        <v>12474</v>
      </c>
      <c r="K1487" s="4" t="s">
        <v>14202</v>
      </c>
    </row>
    <row r="1488" spans="1:11" s="4" customFormat="1" x14ac:dyDescent="0.25">
      <c r="A1488" s="114" t="s">
        <v>12475</v>
      </c>
      <c r="B1488" s="4" t="s">
        <v>12476</v>
      </c>
      <c r="C1488" s="4" t="s">
        <v>4</v>
      </c>
      <c r="D1488" s="155" t="s">
        <v>12477</v>
      </c>
      <c r="E1488" s="159">
        <v>25</v>
      </c>
      <c r="F1488" s="157" t="s">
        <v>12478</v>
      </c>
      <c r="G1488" s="155" t="s">
        <v>12476</v>
      </c>
      <c r="H1488" s="113" t="s">
        <v>10297</v>
      </c>
      <c r="I1488" s="4" t="s">
        <v>12476</v>
      </c>
      <c r="J1488" s="155" t="s">
        <v>12478</v>
      </c>
      <c r="K1488" s="4" t="s">
        <v>14202</v>
      </c>
    </row>
    <row r="1489" spans="1:11" s="4" customFormat="1" x14ac:dyDescent="0.25">
      <c r="A1489" s="114" t="s">
        <v>12479</v>
      </c>
      <c r="B1489" s="4" t="s">
        <v>12480</v>
      </c>
      <c r="C1489" s="4" t="s">
        <v>15363</v>
      </c>
      <c r="D1489" s="155" t="s">
        <v>10084</v>
      </c>
      <c r="E1489" s="159">
        <v>297</v>
      </c>
      <c r="F1489" s="157" t="s">
        <v>12481</v>
      </c>
      <c r="G1489" s="155" t="s">
        <v>12480</v>
      </c>
      <c r="H1489" s="113" t="s">
        <v>10297</v>
      </c>
      <c r="I1489" s="4" t="s">
        <v>12480</v>
      </c>
      <c r="J1489" s="155" t="s">
        <v>12481</v>
      </c>
      <c r="K1489" s="4" t="s">
        <v>15494</v>
      </c>
    </row>
    <row r="1490" spans="1:11" s="4" customFormat="1" x14ac:dyDescent="0.25">
      <c r="A1490" s="114" t="s">
        <v>12482</v>
      </c>
      <c r="B1490" s="4" t="s">
        <v>15299</v>
      </c>
      <c r="C1490" s="4" t="s">
        <v>4</v>
      </c>
      <c r="D1490" s="155" t="s">
        <v>10240</v>
      </c>
      <c r="E1490" s="159">
        <v>398</v>
      </c>
      <c r="F1490" s="157" t="s">
        <v>12483</v>
      </c>
      <c r="G1490" s="155" t="s">
        <v>15299</v>
      </c>
      <c r="H1490" s="113" t="s">
        <v>10297</v>
      </c>
      <c r="I1490" s="4" t="s">
        <v>15299</v>
      </c>
      <c r="J1490" s="155" t="s">
        <v>12483</v>
      </c>
      <c r="K1490" s="4" t="s">
        <v>14202</v>
      </c>
    </row>
    <row r="1491" spans="1:11" s="4" customFormat="1" x14ac:dyDescent="0.25">
      <c r="A1491" s="114" t="s">
        <v>12484</v>
      </c>
      <c r="B1491" s="4" t="s">
        <v>12485</v>
      </c>
      <c r="C1491" s="4" t="s">
        <v>4</v>
      </c>
      <c r="D1491" s="155" t="s">
        <v>12106</v>
      </c>
      <c r="E1491" s="159">
        <v>433</v>
      </c>
      <c r="F1491" s="157" t="s">
        <v>12486</v>
      </c>
      <c r="G1491" s="155" t="s">
        <v>12485</v>
      </c>
      <c r="H1491" s="113" t="s">
        <v>10297</v>
      </c>
      <c r="I1491" s="4" t="s">
        <v>12485</v>
      </c>
      <c r="J1491" s="155" t="s">
        <v>12486</v>
      </c>
      <c r="K1491" s="4" t="s">
        <v>14202</v>
      </c>
    </row>
    <row r="1492" spans="1:11" s="4" customFormat="1" x14ac:dyDescent="0.25">
      <c r="A1492" s="114" t="s">
        <v>12487</v>
      </c>
      <c r="B1492" s="4" t="s">
        <v>12488</v>
      </c>
      <c r="C1492" s="4" t="s">
        <v>15363</v>
      </c>
      <c r="D1492" s="155" t="s">
        <v>12489</v>
      </c>
      <c r="E1492" s="159">
        <v>81</v>
      </c>
      <c r="F1492" s="157" t="s">
        <v>12490</v>
      </c>
      <c r="G1492" s="155" t="s">
        <v>12488</v>
      </c>
      <c r="H1492" s="113" t="s">
        <v>10297</v>
      </c>
      <c r="I1492" s="4" t="s">
        <v>12488</v>
      </c>
      <c r="J1492" s="155" t="s">
        <v>12490</v>
      </c>
      <c r="K1492" s="4" t="s">
        <v>15494</v>
      </c>
    </row>
    <row r="1493" spans="1:11" s="4" customFormat="1" x14ac:dyDescent="0.25">
      <c r="A1493" s="114" t="s">
        <v>12491</v>
      </c>
      <c r="B1493" s="4" t="s">
        <v>12492</v>
      </c>
      <c r="C1493" s="4" t="s">
        <v>4</v>
      </c>
      <c r="D1493" s="155" t="s">
        <v>10177</v>
      </c>
      <c r="E1493" s="159">
        <v>201</v>
      </c>
      <c r="F1493" s="157" t="s">
        <v>12494</v>
      </c>
      <c r="G1493" s="155" t="s">
        <v>12493</v>
      </c>
      <c r="H1493" s="113" t="s">
        <v>10297</v>
      </c>
      <c r="I1493" s="4" t="s">
        <v>12492</v>
      </c>
      <c r="J1493" s="155" t="s">
        <v>12494</v>
      </c>
      <c r="K1493" s="4" t="s">
        <v>15487</v>
      </c>
    </row>
    <row r="1494" spans="1:11" s="4" customFormat="1" x14ac:dyDescent="0.25">
      <c r="A1494" s="114" t="s">
        <v>12495</v>
      </c>
      <c r="B1494" s="4" t="s">
        <v>12496</v>
      </c>
      <c r="C1494" s="4" t="s">
        <v>4</v>
      </c>
      <c r="D1494" s="155" t="s">
        <v>9810</v>
      </c>
      <c r="E1494" s="159">
        <v>405</v>
      </c>
      <c r="F1494" s="157" t="s">
        <v>12497</v>
      </c>
      <c r="G1494" s="155" t="s">
        <v>12496</v>
      </c>
      <c r="H1494" s="113" t="s">
        <v>10297</v>
      </c>
      <c r="I1494" s="4" t="s">
        <v>12496</v>
      </c>
      <c r="J1494" s="155" t="s">
        <v>12497</v>
      </c>
      <c r="K1494" s="4" t="s">
        <v>12275</v>
      </c>
    </row>
    <row r="1495" spans="1:11" s="4" customFormat="1" x14ac:dyDescent="0.25">
      <c r="A1495" s="114" t="s">
        <v>12498</v>
      </c>
      <c r="B1495" s="4" t="s">
        <v>12499</v>
      </c>
      <c r="C1495" s="4" t="s">
        <v>4</v>
      </c>
      <c r="D1495" s="155" t="s">
        <v>10297</v>
      </c>
      <c r="E1495" s="159">
        <v>45</v>
      </c>
      <c r="F1495" s="157" t="s">
        <v>12500</v>
      </c>
      <c r="G1495" s="155" t="s">
        <v>12499</v>
      </c>
      <c r="H1495" s="113" t="s">
        <v>10297</v>
      </c>
      <c r="I1495" s="4" t="s">
        <v>12499</v>
      </c>
      <c r="J1495" s="155" t="s">
        <v>12500</v>
      </c>
      <c r="K1495" s="4" t="s">
        <v>12275</v>
      </c>
    </row>
    <row r="1496" spans="1:11" s="4" customFormat="1" x14ac:dyDescent="0.25">
      <c r="A1496" s="114" t="s">
        <v>12501</v>
      </c>
      <c r="B1496" s="4" t="s">
        <v>12502</v>
      </c>
      <c r="C1496" s="4" t="s">
        <v>4</v>
      </c>
      <c r="D1496" s="155" t="s">
        <v>11626</v>
      </c>
      <c r="E1496" s="159">
        <v>1100</v>
      </c>
      <c r="F1496" s="157" t="s">
        <v>12503</v>
      </c>
      <c r="G1496" s="155" t="s">
        <v>12502</v>
      </c>
      <c r="H1496" s="113" t="s">
        <v>10297</v>
      </c>
      <c r="I1496" s="4" t="s">
        <v>12502</v>
      </c>
      <c r="J1496" s="155" t="s">
        <v>12503</v>
      </c>
      <c r="K1496" s="4" t="s">
        <v>14202</v>
      </c>
    </row>
    <row r="1497" spans="1:11" s="4" customFormat="1" x14ac:dyDescent="0.25">
      <c r="A1497" s="114" t="s">
        <v>12504</v>
      </c>
      <c r="B1497" s="4" t="s">
        <v>12505</v>
      </c>
      <c r="C1497" s="4" t="s">
        <v>4</v>
      </c>
      <c r="D1497" s="155" t="s">
        <v>12359</v>
      </c>
      <c r="E1497" s="159">
        <v>538</v>
      </c>
      <c r="F1497" s="157" t="s">
        <v>12506</v>
      </c>
      <c r="G1497" s="155" t="s">
        <v>12505</v>
      </c>
      <c r="H1497" s="113" t="s">
        <v>10297</v>
      </c>
      <c r="I1497" s="4" t="s">
        <v>12505</v>
      </c>
      <c r="J1497" s="155" t="s">
        <v>12506</v>
      </c>
      <c r="K1497" s="4" t="s">
        <v>15493</v>
      </c>
    </row>
    <row r="1498" spans="1:11" s="4" customFormat="1" x14ac:dyDescent="0.25">
      <c r="A1498" s="114" t="s">
        <v>12507</v>
      </c>
      <c r="B1498" s="4" t="s">
        <v>12508</v>
      </c>
      <c r="C1498" s="4" t="s">
        <v>4</v>
      </c>
      <c r="D1498" s="155" t="s">
        <v>12509</v>
      </c>
      <c r="E1498" s="159">
        <v>350</v>
      </c>
      <c r="F1498" s="157" t="s">
        <v>12510</v>
      </c>
      <c r="G1498" s="155" t="s">
        <v>12508</v>
      </c>
      <c r="H1498" s="113" t="s">
        <v>10297</v>
      </c>
      <c r="I1498" s="4" t="s">
        <v>12508</v>
      </c>
      <c r="J1498" s="155" t="s">
        <v>12510</v>
      </c>
      <c r="K1498" s="4" t="s">
        <v>15496</v>
      </c>
    </row>
    <row r="1499" spans="1:11" s="4" customFormat="1" x14ac:dyDescent="0.25">
      <c r="A1499" s="114" t="s">
        <v>12511</v>
      </c>
      <c r="B1499" s="4" t="s">
        <v>12512</v>
      </c>
      <c r="C1499" s="4" t="s">
        <v>15363</v>
      </c>
      <c r="D1499" s="155" t="s">
        <v>12513</v>
      </c>
      <c r="E1499" s="159">
        <v>170</v>
      </c>
      <c r="F1499" s="157" t="s">
        <v>12515</v>
      </c>
      <c r="G1499" s="155" t="s">
        <v>12514</v>
      </c>
      <c r="H1499" s="113" t="s">
        <v>10297</v>
      </c>
      <c r="I1499" s="4" t="s">
        <v>12512</v>
      </c>
      <c r="J1499" s="155" t="s">
        <v>12515</v>
      </c>
      <c r="K1499" s="4" t="s">
        <v>15487</v>
      </c>
    </row>
    <row r="1500" spans="1:11" s="4" customFormat="1" x14ac:dyDescent="0.25">
      <c r="A1500" s="114" t="s">
        <v>12516</v>
      </c>
      <c r="B1500" s="4" t="s">
        <v>12517</v>
      </c>
      <c r="C1500" s="4" t="s">
        <v>15363</v>
      </c>
      <c r="D1500" s="155" t="s">
        <v>10492</v>
      </c>
      <c r="E1500" s="159">
        <v>1</v>
      </c>
      <c r="F1500" s="157" t="s">
        <v>12518</v>
      </c>
      <c r="G1500" s="155" t="s">
        <v>12517</v>
      </c>
      <c r="H1500" s="113" t="s">
        <v>10297</v>
      </c>
      <c r="I1500" s="4" t="s">
        <v>12517</v>
      </c>
      <c r="J1500" s="155" t="s">
        <v>12518</v>
      </c>
      <c r="K1500" s="4" t="s">
        <v>15494</v>
      </c>
    </row>
    <row r="1501" spans="1:11" s="4" customFormat="1" x14ac:dyDescent="0.25">
      <c r="A1501" s="114" t="s">
        <v>12519</v>
      </c>
      <c r="B1501" s="4" t="s">
        <v>12520</v>
      </c>
      <c r="C1501" s="4" t="s">
        <v>15363</v>
      </c>
      <c r="D1501" s="155" t="s">
        <v>11221</v>
      </c>
      <c r="E1501" s="159">
        <v>51</v>
      </c>
      <c r="F1501" s="157" t="s">
        <v>12521</v>
      </c>
      <c r="G1501" s="155" t="s">
        <v>12520</v>
      </c>
      <c r="H1501" s="113" t="s">
        <v>10297</v>
      </c>
      <c r="I1501" s="4" t="s">
        <v>12520</v>
      </c>
      <c r="J1501" s="155" t="s">
        <v>12521</v>
      </c>
      <c r="K1501" s="4" t="s">
        <v>15493</v>
      </c>
    </row>
    <row r="1502" spans="1:11" s="4" customFormat="1" x14ac:dyDescent="0.25">
      <c r="A1502" s="114" t="s">
        <v>12522</v>
      </c>
      <c r="B1502" s="4" t="s">
        <v>12523</v>
      </c>
      <c r="C1502" s="4" t="s">
        <v>4</v>
      </c>
      <c r="D1502" s="155" t="s">
        <v>12524</v>
      </c>
      <c r="E1502" s="159">
        <v>262</v>
      </c>
      <c r="F1502" s="157" t="s">
        <v>12525</v>
      </c>
      <c r="G1502" s="155" t="s">
        <v>12523</v>
      </c>
      <c r="H1502" s="113" t="s">
        <v>10297</v>
      </c>
      <c r="I1502" s="4" t="s">
        <v>12523</v>
      </c>
      <c r="J1502" s="155" t="s">
        <v>12525</v>
      </c>
      <c r="K1502" s="4" t="s">
        <v>15494</v>
      </c>
    </row>
    <row r="1503" spans="1:11" s="4" customFormat="1" x14ac:dyDescent="0.25">
      <c r="A1503" s="114" t="s">
        <v>12526</v>
      </c>
      <c r="B1503" s="4" t="s">
        <v>15301</v>
      </c>
      <c r="C1503" s="4" t="s">
        <v>15363</v>
      </c>
      <c r="D1503" s="155" t="s">
        <v>12527</v>
      </c>
      <c r="E1503" s="159">
        <v>630</v>
      </c>
      <c r="F1503" s="157" t="s">
        <v>12528</v>
      </c>
      <c r="G1503" s="155" t="s">
        <v>15301</v>
      </c>
      <c r="H1503" s="113" t="s">
        <v>10297</v>
      </c>
      <c r="I1503" s="4" t="s">
        <v>15301</v>
      </c>
      <c r="J1503" s="155" t="s">
        <v>12528</v>
      </c>
      <c r="K1503" s="4" t="s">
        <v>12275</v>
      </c>
    </row>
    <row r="1504" spans="1:11" s="4" customFormat="1" x14ac:dyDescent="0.25">
      <c r="A1504" s="114" t="s">
        <v>12529</v>
      </c>
      <c r="B1504" s="4" t="s">
        <v>12530</v>
      </c>
      <c r="C1504" s="4" t="s">
        <v>4</v>
      </c>
      <c r="D1504" s="155" t="s">
        <v>12531</v>
      </c>
      <c r="E1504" s="159">
        <v>106</v>
      </c>
      <c r="F1504" s="157" t="s">
        <v>12532</v>
      </c>
      <c r="G1504" s="155" t="s">
        <v>12530</v>
      </c>
      <c r="H1504" s="113" t="s">
        <v>10297</v>
      </c>
      <c r="I1504" s="4" t="s">
        <v>12530</v>
      </c>
      <c r="J1504" s="155" t="s">
        <v>12532</v>
      </c>
      <c r="K1504" s="4" t="s">
        <v>15487</v>
      </c>
    </row>
    <row r="1505" spans="1:11" s="4" customFormat="1" x14ac:dyDescent="0.25">
      <c r="A1505" s="114" t="s">
        <v>12533</v>
      </c>
      <c r="B1505" s="4" t="s">
        <v>12534</v>
      </c>
      <c r="C1505" s="4" t="s">
        <v>4</v>
      </c>
      <c r="D1505" s="155" t="s">
        <v>12535</v>
      </c>
      <c r="E1505" s="159">
        <v>300</v>
      </c>
      <c r="F1505" s="157" t="s">
        <v>12536</v>
      </c>
      <c r="G1505" s="155" t="s">
        <v>12534</v>
      </c>
      <c r="H1505" s="113" t="s">
        <v>10297</v>
      </c>
      <c r="I1505" s="4" t="s">
        <v>12534</v>
      </c>
      <c r="J1505" s="155" t="s">
        <v>12536</v>
      </c>
      <c r="K1505" s="4" t="s">
        <v>12375</v>
      </c>
    </row>
    <row r="1506" spans="1:11" s="4" customFormat="1" x14ac:dyDescent="0.25">
      <c r="A1506" s="114" t="s">
        <v>12537</v>
      </c>
      <c r="B1506" s="4" t="s">
        <v>12538</v>
      </c>
      <c r="C1506" s="4" t="s">
        <v>15363</v>
      </c>
      <c r="D1506" s="155" t="s">
        <v>11524</v>
      </c>
      <c r="E1506" s="159">
        <v>1190</v>
      </c>
      <c r="F1506" s="157" t="s">
        <v>12540</v>
      </c>
      <c r="G1506" s="155" t="s">
        <v>12539</v>
      </c>
      <c r="H1506" s="113" t="s">
        <v>10297</v>
      </c>
      <c r="I1506" s="4" t="s">
        <v>12538</v>
      </c>
      <c r="J1506" s="155" t="s">
        <v>12540</v>
      </c>
      <c r="K1506" s="4" t="s">
        <v>9766</v>
      </c>
    </row>
    <row r="1507" spans="1:11" s="4" customFormat="1" x14ac:dyDescent="0.25">
      <c r="A1507" s="114" t="s">
        <v>12541</v>
      </c>
      <c r="B1507" s="4" t="s">
        <v>12542</v>
      </c>
      <c r="C1507" s="4" t="s">
        <v>4</v>
      </c>
      <c r="D1507" s="155" t="s">
        <v>12460</v>
      </c>
      <c r="E1507" s="159">
        <v>760</v>
      </c>
      <c r="F1507" s="157" t="s">
        <v>12543</v>
      </c>
      <c r="G1507" s="155" t="s">
        <v>12542</v>
      </c>
      <c r="H1507" s="113" t="s">
        <v>10297</v>
      </c>
      <c r="I1507" s="4" t="s">
        <v>12542</v>
      </c>
      <c r="J1507" s="155" t="s">
        <v>12543</v>
      </c>
      <c r="K1507" s="4" t="s">
        <v>9766</v>
      </c>
    </row>
    <row r="1508" spans="1:11" s="4" customFormat="1" x14ac:dyDescent="0.25">
      <c r="A1508" s="114" t="s">
        <v>12544</v>
      </c>
      <c r="B1508" s="4" t="s">
        <v>12545</v>
      </c>
      <c r="C1508" s="4" t="s">
        <v>4</v>
      </c>
      <c r="D1508" s="155" t="s">
        <v>12546</v>
      </c>
      <c r="E1508" s="159">
        <v>995</v>
      </c>
      <c r="F1508" s="157" t="s">
        <v>12547</v>
      </c>
      <c r="G1508" s="155" t="s">
        <v>12545</v>
      </c>
      <c r="H1508" s="113" t="s">
        <v>10297</v>
      </c>
      <c r="I1508" s="4" t="s">
        <v>12545</v>
      </c>
      <c r="J1508" s="155" t="s">
        <v>12547</v>
      </c>
      <c r="K1508" s="4" t="s">
        <v>12375</v>
      </c>
    </row>
    <row r="1509" spans="1:11" s="4" customFormat="1" x14ac:dyDescent="0.25">
      <c r="A1509" s="114" t="s">
        <v>12548</v>
      </c>
      <c r="B1509" s="4" t="s">
        <v>12549</v>
      </c>
      <c r="C1509" s="4" t="s">
        <v>15363</v>
      </c>
      <c r="D1509" s="155" t="s">
        <v>9764</v>
      </c>
      <c r="E1509" s="159">
        <v>164</v>
      </c>
      <c r="F1509" s="157" t="s">
        <v>12551</v>
      </c>
      <c r="G1509" s="155" t="s">
        <v>12550</v>
      </c>
      <c r="H1509" s="113" t="s">
        <v>10297</v>
      </c>
      <c r="I1509" s="4" t="s">
        <v>12549</v>
      </c>
      <c r="J1509" s="155" t="s">
        <v>12551</v>
      </c>
      <c r="K1509" s="4" t="s">
        <v>15487</v>
      </c>
    </row>
    <row r="1510" spans="1:11" s="4" customFormat="1" x14ac:dyDescent="0.25">
      <c r="A1510" s="114" t="s">
        <v>12552</v>
      </c>
      <c r="B1510" s="4" t="s">
        <v>12553</v>
      </c>
      <c r="C1510" s="4" t="s">
        <v>4</v>
      </c>
      <c r="D1510" s="155" t="s">
        <v>12554</v>
      </c>
      <c r="E1510" s="159">
        <v>599</v>
      </c>
      <c r="F1510" s="157" t="s">
        <v>12555</v>
      </c>
      <c r="G1510" s="155" t="s">
        <v>12553</v>
      </c>
      <c r="H1510" s="113" t="s">
        <v>10297</v>
      </c>
      <c r="I1510" s="4" t="s">
        <v>12553</v>
      </c>
      <c r="J1510" s="155" t="s">
        <v>12555</v>
      </c>
      <c r="K1510" s="4" t="s">
        <v>15487</v>
      </c>
    </row>
    <row r="1511" spans="1:11" s="4" customFormat="1" x14ac:dyDescent="0.25">
      <c r="A1511" s="114" t="s">
        <v>12556</v>
      </c>
      <c r="B1511" s="4" t="s">
        <v>12557</v>
      </c>
      <c r="C1511" s="4" t="s">
        <v>4</v>
      </c>
      <c r="D1511" s="155" t="s">
        <v>12558</v>
      </c>
      <c r="E1511" s="159">
        <v>847</v>
      </c>
      <c r="F1511" s="157" t="s">
        <v>12559</v>
      </c>
      <c r="G1511" s="155" t="s">
        <v>12557</v>
      </c>
      <c r="H1511" s="113" t="s">
        <v>10297</v>
      </c>
      <c r="I1511" s="4" t="s">
        <v>12557</v>
      </c>
      <c r="J1511" s="155" t="s">
        <v>12559</v>
      </c>
      <c r="K1511" s="4" t="s">
        <v>14202</v>
      </c>
    </row>
    <row r="1512" spans="1:11" s="4" customFormat="1" x14ac:dyDescent="0.25">
      <c r="A1512" s="114" t="s">
        <v>12560</v>
      </c>
      <c r="B1512" s="4" t="s">
        <v>12561</v>
      </c>
      <c r="C1512" s="4" t="s">
        <v>4</v>
      </c>
      <c r="D1512" s="155" t="s">
        <v>12562</v>
      </c>
      <c r="E1512" s="159">
        <v>690</v>
      </c>
      <c r="F1512" s="157" t="s">
        <v>12563</v>
      </c>
      <c r="G1512" s="155" t="s">
        <v>10297</v>
      </c>
      <c r="H1512" s="113" t="s">
        <v>10297</v>
      </c>
      <c r="I1512" s="4" t="s">
        <v>12561</v>
      </c>
      <c r="J1512" s="155" t="s">
        <v>12563</v>
      </c>
      <c r="K1512" s="4" t="s">
        <v>15376</v>
      </c>
    </row>
    <row r="1513" spans="1:11" s="4" customFormat="1" x14ac:dyDescent="0.25">
      <c r="A1513" s="114" t="s">
        <v>12564</v>
      </c>
      <c r="B1513" s="4" t="s">
        <v>12565</v>
      </c>
      <c r="C1513" s="4" t="s">
        <v>15364</v>
      </c>
      <c r="D1513" s="155" t="s">
        <v>12566</v>
      </c>
      <c r="E1513" s="159">
        <v>1</v>
      </c>
      <c r="F1513" s="157" t="s">
        <v>12567</v>
      </c>
      <c r="G1513" s="155" t="s">
        <v>10297</v>
      </c>
      <c r="H1513" s="113" t="s">
        <v>10297</v>
      </c>
      <c r="I1513" s="4" t="s">
        <v>12565</v>
      </c>
      <c r="J1513" s="155" t="s">
        <v>12567</v>
      </c>
      <c r="K1513" s="4" t="s">
        <v>15376</v>
      </c>
    </row>
    <row r="1514" spans="1:11" s="4" customFormat="1" x14ac:dyDescent="0.25">
      <c r="A1514" s="114" t="s">
        <v>12568</v>
      </c>
      <c r="B1514" s="4" t="s">
        <v>12569</v>
      </c>
      <c r="C1514" s="4" t="s">
        <v>4</v>
      </c>
      <c r="D1514" s="155" t="s">
        <v>12570</v>
      </c>
      <c r="E1514" s="159">
        <v>0</v>
      </c>
      <c r="F1514" s="157" t="s">
        <v>12571</v>
      </c>
      <c r="G1514" s="155" t="s">
        <v>12275</v>
      </c>
      <c r="H1514" s="113" t="s">
        <v>10297</v>
      </c>
      <c r="I1514" s="4" t="s">
        <v>12569</v>
      </c>
      <c r="J1514" s="155" t="s">
        <v>12571</v>
      </c>
      <c r="K1514" s="4" t="s">
        <v>12275</v>
      </c>
    </row>
    <row r="1515" spans="1:11" s="4" customFormat="1" x14ac:dyDescent="0.25">
      <c r="A1515" s="114" t="s">
        <v>12572</v>
      </c>
      <c r="B1515" s="4" t="s">
        <v>12573</v>
      </c>
      <c r="C1515" s="4" t="s">
        <v>4</v>
      </c>
      <c r="D1515" s="155" t="s">
        <v>12574</v>
      </c>
      <c r="E1515" s="159">
        <v>227</v>
      </c>
      <c r="F1515" s="157" t="s">
        <v>12575</v>
      </c>
      <c r="G1515" s="155" t="s">
        <v>12573</v>
      </c>
      <c r="H1515" s="113" t="s">
        <v>10297</v>
      </c>
      <c r="I1515" s="4" t="s">
        <v>12573</v>
      </c>
      <c r="J1515" s="155" t="s">
        <v>12575</v>
      </c>
      <c r="K1515" s="4" t="s">
        <v>12187</v>
      </c>
    </row>
    <row r="1516" spans="1:11" s="4" customFormat="1" x14ac:dyDescent="0.25">
      <c r="A1516" s="114" t="s">
        <v>12576</v>
      </c>
      <c r="B1516" s="4" t="s">
        <v>12577</v>
      </c>
      <c r="C1516" s="4" t="s">
        <v>4</v>
      </c>
      <c r="D1516" s="155" t="s">
        <v>12578</v>
      </c>
      <c r="E1516" s="159"/>
      <c r="F1516" s="157" t="s">
        <v>12579</v>
      </c>
      <c r="G1516" s="155" t="s">
        <v>12577</v>
      </c>
      <c r="H1516" s="113" t="s">
        <v>10297</v>
      </c>
      <c r="I1516" s="4" t="s">
        <v>12577</v>
      </c>
      <c r="J1516" s="155" t="s">
        <v>12579</v>
      </c>
      <c r="K1516" s="4" t="s">
        <v>9977</v>
      </c>
    </row>
    <row r="1517" spans="1:11" s="4" customFormat="1" x14ac:dyDescent="0.25">
      <c r="A1517" s="114" t="s">
        <v>12580</v>
      </c>
      <c r="B1517" s="4" t="s">
        <v>12581</v>
      </c>
      <c r="C1517" s="4" t="s">
        <v>15364</v>
      </c>
      <c r="D1517" s="155" t="s">
        <v>12582</v>
      </c>
      <c r="E1517" s="159">
        <v>1</v>
      </c>
      <c r="F1517" s="157" t="s">
        <v>12583</v>
      </c>
      <c r="G1517" s="155" t="s">
        <v>12581</v>
      </c>
      <c r="H1517" s="113" t="s">
        <v>10297</v>
      </c>
      <c r="I1517" s="4" t="s">
        <v>12581</v>
      </c>
      <c r="J1517" s="155" t="s">
        <v>12583</v>
      </c>
      <c r="K1517" s="4" t="s">
        <v>12069</v>
      </c>
    </row>
    <row r="1518" spans="1:11" s="4" customFormat="1" x14ac:dyDescent="0.25">
      <c r="A1518" s="114" t="s">
        <v>12584</v>
      </c>
      <c r="B1518" s="4" t="s">
        <v>12585</v>
      </c>
      <c r="C1518" s="4" t="s">
        <v>15364</v>
      </c>
      <c r="D1518" s="155" t="s">
        <v>12586</v>
      </c>
      <c r="E1518" s="159"/>
      <c r="F1518" s="157" t="s">
        <v>12587</v>
      </c>
      <c r="G1518" s="155" t="s">
        <v>12585</v>
      </c>
      <c r="H1518" s="113" t="s">
        <v>10297</v>
      </c>
      <c r="I1518" s="4" t="s">
        <v>12585</v>
      </c>
      <c r="J1518" s="155" t="s">
        <v>12587</v>
      </c>
      <c r="K1518" s="4" t="s">
        <v>15486</v>
      </c>
    </row>
    <row r="1519" spans="1:11" s="4" customFormat="1" x14ac:dyDescent="0.25">
      <c r="A1519" s="114" t="s">
        <v>12588</v>
      </c>
      <c r="B1519" s="4" t="s">
        <v>12589</v>
      </c>
      <c r="C1519" s="4" t="s">
        <v>15364</v>
      </c>
      <c r="D1519" s="155" t="s">
        <v>12590</v>
      </c>
      <c r="E1519" s="159"/>
      <c r="F1519" s="157" t="s">
        <v>12592</v>
      </c>
      <c r="G1519" s="155" t="s">
        <v>12591</v>
      </c>
      <c r="H1519" s="113" t="s">
        <v>10297</v>
      </c>
      <c r="I1519" s="4" t="s">
        <v>12589</v>
      </c>
      <c r="J1519" s="155" t="s">
        <v>12592</v>
      </c>
      <c r="K1519" s="4" t="s">
        <v>11630</v>
      </c>
    </row>
    <row r="1520" spans="1:11" s="4" customFormat="1" x14ac:dyDescent="0.25">
      <c r="A1520" s="114" t="s">
        <v>12593</v>
      </c>
      <c r="B1520" s="4" t="s">
        <v>10313</v>
      </c>
      <c r="C1520" s="4" t="s">
        <v>4</v>
      </c>
      <c r="D1520" s="155" t="s">
        <v>9819</v>
      </c>
      <c r="E1520" s="159">
        <v>401</v>
      </c>
      <c r="F1520" s="157" t="s">
        <v>12594</v>
      </c>
      <c r="G1520" s="155" t="s">
        <v>10313</v>
      </c>
      <c r="H1520" s="113" t="s">
        <v>10297</v>
      </c>
      <c r="I1520" s="4" t="s">
        <v>10313</v>
      </c>
      <c r="J1520" s="155" t="s">
        <v>12594</v>
      </c>
      <c r="K1520" s="4" t="s">
        <v>9977</v>
      </c>
    </row>
    <row r="1521" spans="1:11" s="4" customFormat="1" x14ac:dyDescent="0.25">
      <c r="A1521" s="114" t="s">
        <v>12595</v>
      </c>
      <c r="B1521" s="4" t="s">
        <v>15362</v>
      </c>
      <c r="C1521" s="4" t="s">
        <v>4</v>
      </c>
      <c r="D1521" s="155" t="s">
        <v>12282</v>
      </c>
      <c r="E1521" s="159">
        <v>2680</v>
      </c>
      <c r="F1521" s="157" t="s">
        <v>12596</v>
      </c>
      <c r="G1521" s="155" t="s">
        <v>10297</v>
      </c>
      <c r="H1521" s="113" t="s">
        <v>10297</v>
      </c>
      <c r="I1521" s="4" t="s">
        <v>15362</v>
      </c>
      <c r="J1521" s="155" t="s">
        <v>12596</v>
      </c>
      <c r="K1521" s="4" t="s">
        <v>15376</v>
      </c>
    </row>
    <row r="1522" spans="1:11" s="4" customFormat="1" x14ac:dyDescent="0.25">
      <c r="A1522" s="114" t="s">
        <v>12597</v>
      </c>
      <c r="B1522" s="4" t="s">
        <v>12598</v>
      </c>
      <c r="C1522" s="4" t="s">
        <v>4</v>
      </c>
      <c r="D1522" s="155" t="s">
        <v>10443</v>
      </c>
      <c r="E1522" s="159">
        <v>381</v>
      </c>
      <c r="F1522" s="157" t="s">
        <v>12599</v>
      </c>
      <c r="G1522" s="155" t="s">
        <v>10297</v>
      </c>
      <c r="H1522" s="113" t="s">
        <v>10297</v>
      </c>
      <c r="I1522" s="4" t="s">
        <v>12598</v>
      </c>
      <c r="J1522" s="155" t="s">
        <v>12599</v>
      </c>
      <c r="K1522" s="4" t="s">
        <v>15376</v>
      </c>
    </row>
    <row r="1523" spans="1:11" s="4" customFormat="1" x14ac:dyDescent="0.25">
      <c r="A1523" s="114" t="s">
        <v>12600</v>
      </c>
      <c r="B1523" s="4" t="s">
        <v>12601</v>
      </c>
      <c r="C1523" s="4" t="s">
        <v>4</v>
      </c>
      <c r="D1523" s="155" t="s">
        <v>12602</v>
      </c>
      <c r="E1523" s="159">
        <v>398</v>
      </c>
      <c r="F1523" s="157" t="s">
        <v>12603</v>
      </c>
      <c r="G1523" s="155" t="s">
        <v>12601</v>
      </c>
      <c r="H1523" s="113" t="s">
        <v>10297</v>
      </c>
      <c r="I1523" s="4" t="s">
        <v>12601</v>
      </c>
      <c r="J1523" s="155" t="s">
        <v>12603</v>
      </c>
      <c r="K1523" s="4" t="s">
        <v>9766</v>
      </c>
    </row>
    <row r="1524" spans="1:11" s="4" customFormat="1" x14ac:dyDescent="0.25">
      <c r="A1524" s="114" t="s">
        <v>12604</v>
      </c>
      <c r="B1524" s="4" t="s">
        <v>12605</v>
      </c>
      <c r="C1524" s="4" t="s">
        <v>4</v>
      </c>
      <c r="D1524" s="155" t="s">
        <v>9815</v>
      </c>
      <c r="E1524" s="159">
        <v>2756</v>
      </c>
      <c r="F1524" s="157" t="s">
        <v>12606</v>
      </c>
      <c r="G1524" s="155" t="s">
        <v>12539</v>
      </c>
      <c r="H1524" s="113" t="s">
        <v>10297</v>
      </c>
      <c r="I1524" s="4" t="s">
        <v>12605</v>
      </c>
      <c r="J1524" s="155" t="s">
        <v>12606</v>
      </c>
      <c r="K1524" s="4" t="s">
        <v>9766</v>
      </c>
    </row>
    <row r="1525" spans="1:11" s="4" customFormat="1" x14ac:dyDescent="0.25">
      <c r="A1525" s="114" t="s">
        <v>12607</v>
      </c>
      <c r="B1525" s="4" t="s">
        <v>12608</v>
      </c>
      <c r="C1525" s="4" t="s">
        <v>4</v>
      </c>
      <c r="D1525" s="155" t="s">
        <v>12609</v>
      </c>
      <c r="E1525" s="159">
        <v>690</v>
      </c>
      <c r="F1525" s="157" t="s">
        <v>12610</v>
      </c>
      <c r="G1525" s="155" t="s">
        <v>12539</v>
      </c>
      <c r="H1525" s="113" t="s">
        <v>10297</v>
      </c>
      <c r="I1525" s="4" t="s">
        <v>12608</v>
      </c>
      <c r="J1525" s="155" t="s">
        <v>12610</v>
      </c>
      <c r="K1525" s="4" t="s">
        <v>9766</v>
      </c>
    </row>
    <row r="1526" spans="1:11" s="4" customFormat="1" x14ac:dyDescent="0.25">
      <c r="A1526" s="114" t="s">
        <v>12611</v>
      </c>
      <c r="B1526" s="4" t="s">
        <v>12612</v>
      </c>
      <c r="C1526" s="4" t="s">
        <v>4</v>
      </c>
      <c r="D1526" s="155" t="s">
        <v>12327</v>
      </c>
      <c r="E1526" s="159">
        <v>405</v>
      </c>
      <c r="F1526" s="157" t="s">
        <v>12613</v>
      </c>
      <c r="G1526" s="155" t="s">
        <v>12539</v>
      </c>
      <c r="H1526" s="113" t="s">
        <v>10297</v>
      </c>
      <c r="I1526" s="4" t="s">
        <v>12612</v>
      </c>
      <c r="J1526" s="155" t="s">
        <v>12613</v>
      </c>
      <c r="K1526" s="4" t="s">
        <v>9766</v>
      </c>
    </row>
    <row r="1527" spans="1:11" s="4" customFormat="1" x14ac:dyDescent="0.25">
      <c r="A1527" s="114" t="s">
        <v>12614</v>
      </c>
      <c r="B1527" s="4" t="s">
        <v>12615</v>
      </c>
      <c r="C1527" s="4" t="s">
        <v>4</v>
      </c>
      <c r="D1527" s="155" t="s">
        <v>12616</v>
      </c>
      <c r="E1527" s="159">
        <v>0</v>
      </c>
      <c r="F1527" s="157" t="s">
        <v>12617</v>
      </c>
      <c r="G1527" s="155" t="s">
        <v>12615</v>
      </c>
      <c r="H1527" s="113" t="s">
        <v>10297</v>
      </c>
      <c r="I1527" s="4" t="s">
        <v>12615</v>
      </c>
      <c r="J1527" s="155" t="s">
        <v>12617</v>
      </c>
      <c r="K1527" s="4" t="s">
        <v>11630</v>
      </c>
    </row>
    <row r="1528" spans="1:11" s="4" customFormat="1" x14ac:dyDescent="0.25">
      <c r="A1528" s="114" t="s">
        <v>12618</v>
      </c>
      <c r="B1528" s="4" t="s">
        <v>12619</v>
      </c>
      <c r="C1528" s="4" t="s">
        <v>4</v>
      </c>
      <c r="D1528" s="155" t="s">
        <v>12620</v>
      </c>
      <c r="E1528" s="159">
        <v>417</v>
      </c>
      <c r="F1528" s="157" t="s">
        <v>12621</v>
      </c>
      <c r="G1528" s="155" t="s">
        <v>12619</v>
      </c>
      <c r="H1528" s="113" t="s">
        <v>10297</v>
      </c>
      <c r="I1528" s="4" t="s">
        <v>12619</v>
      </c>
      <c r="J1528" s="155" t="s">
        <v>12621</v>
      </c>
      <c r="K1528" s="4" t="s">
        <v>9977</v>
      </c>
    </row>
    <row r="1529" spans="1:11" s="4" customFormat="1" x14ac:dyDescent="0.25">
      <c r="A1529" s="114" t="s">
        <v>12622</v>
      </c>
      <c r="B1529" s="4" t="s">
        <v>12623</v>
      </c>
      <c r="C1529" s="4" t="s">
        <v>4</v>
      </c>
      <c r="D1529" s="155" t="s">
        <v>9819</v>
      </c>
      <c r="E1529" s="159">
        <v>953</v>
      </c>
      <c r="F1529" s="157" t="s">
        <v>12624</v>
      </c>
      <c r="G1529" s="155" t="s">
        <v>12623</v>
      </c>
      <c r="H1529" s="113" t="s">
        <v>10297</v>
      </c>
      <c r="I1529" s="4" t="s">
        <v>12623</v>
      </c>
      <c r="J1529" s="155" t="s">
        <v>12624</v>
      </c>
      <c r="K1529" s="4" t="s">
        <v>15491</v>
      </c>
    </row>
    <row r="1530" spans="1:11" s="4" customFormat="1" x14ac:dyDescent="0.25">
      <c r="A1530" s="114" t="s">
        <v>12625</v>
      </c>
      <c r="B1530" s="4" t="s">
        <v>12626</v>
      </c>
      <c r="C1530" s="4" t="s">
        <v>4</v>
      </c>
      <c r="D1530" s="155" t="s">
        <v>10199</v>
      </c>
      <c r="E1530" s="159">
        <v>288</v>
      </c>
      <c r="F1530" s="157" t="s">
        <v>12628</v>
      </c>
      <c r="G1530" s="155" t="s">
        <v>12627</v>
      </c>
      <c r="H1530" s="113" t="s">
        <v>10297</v>
      </c>
      <c r="I1530" s="4" t="s">
        <v>12626</v>
      </c>
      <c r="J1530" s="155" t="s">
        <v>12628</v>
      </c>
      <c r="K1530" s="4" t="s">
        <v>15488</v>
      </c>
    </row>
    <row r="1531" spans="1:11" s="4" customFormat="1" x14ac:dyDescent="0.25">
      <c r="A1531" s="114" t="s">
        <v>12629</v>
      </c>
      <c r="B1531" s="4" t="s">
        <v>12630</v>
      </c>
      <c r="C1531" s="4" t="s">
        <v>4</v>
      </c>
      <c r="D1531" s="155" t="s">
        <v>9895</v>
      </c>
      <c r="E1531" s="159">
        <v>1</v>
      </c>
      <c r="F1531" s="157" t="s">
        <v>12631</v>
      </c>
      <c r="G1531" s="155" t="s">
        <v>12630</v>
      </c>
      <c r="H1531" s="113" t="s">
        <v>10297</v>
      </c>
      <c r="I1531" s="4" t="s">
        <v>12630</v>
      </c>
      <c r="J1531" s="155" t="s">
        <v>12631</v>
      </c>
      <c r="K1531" s="4" t="s">
        <v>11630</v>
      </c>
    </row>
    <row r="1532" spans="1:11" s="4" customFormat="1" x14ac:dyDescent="0.25">
      <c r="A1532" s="114" t="s">
        <v>12632</v>
      </c>
      <c r="B1532" s="4" t="s">
        <v>12633</v>
      </c>
      <c r="C1532" s="4" t="s">
        <v>4</v>
      </c>
      <c r="D1532" s="155" t="s">
        <v>12634</v>
      </c>
      <c r="E1532" s="159">
        <v>6</v>
      </c>
      <c r="F1532" s="157" t="s">
        <v>12635</v>
      </c>
      <c r="G1532" s="155" t="s">
        <v>12633</v>
      </c>
      <c r="H1532" s="113" t="s">
        <v>10297</v>
      </c>
      <c r="I1532" s="4" t="s">
        <v>12633</v>
      </c>
      <c r="J1532" s="155" t="s">
        <v>12635</v>
      </c>
      <c r="K1532" s="4" t="s">
        <v>9977</v>
      </c>
    </row>
    <row r="1533" spans="1:11" s="4" customFormat="1" x14ac:dyDescent="0.25">
      <c r="A1533" s="114" t="s">
        <v>12636</v>
      </c>
      <c r="B1533" s="4" t="s">
        <v>12637</v>
      </c>
      <c r="C1533" s="4" t="s">
        <v>4</v>
      </c>
      <c r="D1533" s="155" t="s">
        <v>10317</v>
      </c>
      <c r="E1533" s="159">
        <v>18</v>
      </c>
      <c r="F1533" s="157" t="s">
        <v>12638</v>
      </c>
      <c r="G1533" s="155" t="s">
        <v>12637</v>
      </c>
      <c r="H1533" s="113" t="s">
        <v>10297</v>
      </c>
      <c r="I1533" s="4" t="s">
        <v>12637</v>
      </c>
      <c r="J1533" s="155" t="s">
        <v>12638</v>
      </c>
      <c r="K1533" s="4" t="s">
        <v>15488</v>
      </c>
    </row>
    <row r="1534" spans="1:11" s="4" customFormat="1" x14ac:dyDescent="0.25">
      <c r="A1534" s="114" t="s">
        <v>12639</v>
      </c>
      <c r="B1534" s="4" t="s">
        <v>12640</v>
      </c>
      <c r="C1534" s="4" t="s">
        <v>4</v>
      </c>
      <c r="D1534" s="155" t="s">
        <v>9887</v>
      </c>
      <c r="E1534" s="159">
        <v>1</v>
      </c>
      <c r="F1534" s="157" t="s">
        <v>12641</v>
      </c>
      <c r="G1534" s="155" t="s">
        <v>12640</v>
      </c>
      <c r="H1534" s="113" t="s">
        <v>10297</v>
      </c>
      <c r="I1534" s="4" t="s">
        <v>12640</v>
      </c>
      <c r="J1534" s="155" t="s">
        <v>12641</v>
      </c>
      <c r="K1534" s="4" t="s">
        <v>15486</v>
      </c>
    </row>
    <row r="1535" spans="1:11" s="4" customFormat="1" x14ac:dyDescent="0.25">
      <c r="A1535" s="114" t="s">
        <v>12642</v>
      </c>
      <c r="B1535" s="4" t="s">
        <v>12643</v>
      </c>
      <c r="C1535" s="4" t="s">
        <v>4</v>
      </c>
      <c r="D1535" s="155" t="s">
        <v>9913</v>
      </c>
      <c r="E1535" s="159">
        <v>0</v>
      </c>
      <c r="F1535" s="157" t="s">
        <v>12644</v>
      </c>
      <c r="G1535" s="155" t="s">
        <v>12643</v>
      </c>
      <c r="H1535" s="113" t="s">
        <v>10297</v>
      </c>
      <c r="I1535" s="4" t="s">
        <v>12643</v>
      </c>
      <c r="J1535" s="155" t="s">
        <v>12644</v>
      </c>
      <c r="K1535" s="4" t="s">
        <v>13672</v>
      </c>
    </row>
    <row r="1536" spans="1:11" s="4" customFormat="1" x14ac:dyDescent="0.25">
      <c r="A1536" s="114" t="s">
        <v>13078</v>
      </c>
      <c r="B1536" s="4" t="s">
        <v>12470</v>
      </c>
      <c r="C1536" s="4" t="s">
        <v>15363</v>
      </c>
      <c r="D1536" s="155" t="s">
        <v>10443</v>
      </c>
      <c r="E1536" s="159">
        <v>1136</v>
      </c>
      <c r="F1536" s="157" t="s">
        <v>13080</v>
      </c>
      <c r="G1536" s="155" t="s">
        <v>12470</v>
      </c>
      <c r="H1536" s="113" t="s">
        <v>13079</v>
      </c>
      <c r="I1536" s="4" t="s">
        <v>12470</v>
      </c>
      <c r="J1536" s="155" t="s">
        <v>13080</v>
      </c>
      <c r="K1536" s="4" t="s">
        <v>10059</v>
      </c>
    </row>
    <row r="1537" spans="1:11" s="4" customFormat="1" x14ac:dyDescent="0.25">
      <c r="A1537" s="114" t="s">
        <v>13081</v>
      </c>
      <c r="B1537" s="4" t="s">
        <v>13082</v>
      </c>
      <c r="C1537" s="4" t="s">
        <v>4</v>
      </c>
      <c r="D1537" s="155" t="s">
        <v>10043</v>
      </c>
      <c r="E1537" s="159">
        <v>490</v>
      </c>
      <c r="F1537" s="157" t="s">
        <v>13083</v>
      </c>
      <c r="G1537" s="155" t="s">
        <v>13082</v>
      </c>
      <c r="H1537" s="113" t="s">
        <v>13079</v>
      </c>
      <c r="I1537" s="4" t="s">
        <v>13082</v>
      </c>
      <c r="J1537" s="155" t="s">
        <v>13083</v>
      </c>
      <c r="K1537" s="4" t="s">
        <v>15497</v>
      </c>
    </row>
    <row r="1538" spans="1:11" s="4" customFormat="1" x14ac:dyDescent="0.25">
      <c r="A1538" s="114" t="s">
        <v>13084</v>
      </c>
      <c r="B1538" s="4" t="s">
        <v>13085</v>
      </c>
      <c r="C1538" s="4" t="s">
        <v>4</v>
      </c>
      <c r="D1538" s="155" t="s">
        <v>11884</v>
      </c>
      <c r="E1538" s="159"/>
      <c r="F1538" s="157" t="s">
        <v>13086</v>
      </c>
      <c r="G1538" s="155" t="s">
        <v>13085</v>
      </c>
      <c r="H1538" s="113" t="s">
        <v>13079</v>
      </c>
      <c r="I1538" s="4" t="s">
        <v>13085</v>
      </c>
      <c r="J1538" s="155" t="s">
        <v>13086</v>
      </c>
      <c r="K1538" s="4" t="s">
        <v>13092</v>
      </c>
    </row>
    <row r="1539" spans="1:11" s="4" customFormat="1" x14ac:dyDescent="0.25">
      <c r="A1539" s="114" t="s">
        <v>13087</v>
      </c>
      <c r="B1539" s="4" t="s">
        <v>13088</v>
      </c>
      <c r="C1539" s="4" t="s">
        <v>4</v>
      </c>
      <c r="D1539" s="155" t="s">
        <v>13089</v>
      </c>
      <c r="E1539" s="159">
        <v>175</v>
      </c>
      <c r="F1539" s="157" t="s">
        <v>13090</v>
      </c>
      <c r="G1539" s="155" t="s">
        <v>13088</v>
      </c>
      <c r="H1539" s="113" t="s">
        <v>13079</v>
      </c>
      <c r="I1539" s="4" t="s">
        <v>13088</v>
      </c>
      <c r="J1539" s="155" t="s">
        <v>13090</v>
      </c>
      <c r="K1539" s="4" t="s">
        <v>15498</v>
      </c>
    </row>
    <row r="1540" spans="1:11" s="4" customFormat="1" x14ac:dyDescent="0.25">
      <c r="A1540" s="114" t="s">
        <v>13091</v>
      </c>
      <c r="B1540" s="4" t="s">
        <v>13092</v>
      </c>
      <c r="C1540" s="4" t="s">
        <v>15363</v>
      </c>
      <c r="D1540" s="155" t="s">
        <v>9767</v>
      </c>
      <c r="E1540" s="159">
        <v>199</v>
      </c>
      <c r="F1540" s="157" t="s">
        <v>13093</v>
      </c>
      <c r="G1540" s="155" t="s">
        <v>13092</v>
      </c>
      <c r="H1540" s="113" t="s">
        <v>13079</v>
      </c>
      <c r="I1540" s="4" t="s">
        <v>13092</v>
      </c>
      <c r="J1540" s="155" t="s">
        <v>13093</v>
      </c>
      <c r="K1540" s="4" t="s">
        <v>13092</v>
      </c>
    </row>
    <row r="1541" spans="1:11" s="4" customFormat="1" x14ac:dyDescent="0.25">
      <c r="A1541" s="114" t="s">
        <v>13094</v>
      </c>
      <c r="B1541" s="4" t="s">
        <v>13095</v>
      </c>
      <c r="C1541" s="4" t="s">
        <v>4</v>
      </c>
      <c r="D1541" s="155" t="s">
        <v>13096</v>
      </c>
      <c r="E1541" s="159">
        <v>40</v>
      </c>
      <c r="F1541" s="157" t="s">
        <v>13097</v>
      </c>
      <c r="G1541" s="155" t="s">
        <v>13095</v>
      </c>
      <c r="H1541" s="113" t="s">
        <v>13079</v>
      </c>
      <c r="I1541" s="4" t="s">
        <v>13095</v>
      </c>
      <c r="J1541" s="155" t="s">
        <v>13097</v>
      </c>
      <c r="K1541" s="4" t="s">
        <v>10729</v>
      </c>
    </row>
    <row r="1542" spans="1:11" s="4" customFormat="1" x14ac:dyDescent="0.25">
      <c r="A1542" s="114" t="s">
        <v>13098</v>
      </c>
      <c r="B1542" s="4" t="s">
        <v>13099</v>
      </c>
      <c r="C1542" s="4" t="s">
        <v>15363</v>
      </c>
      <c r="D1542" s="155" t="s">
        <v>11711</v>
      </c>
      <c r="E1542" s="159">
        <v>207</v>
      </c>
      <c r="F1542" s="157" t="s">
        <v>13100</v>
      </c>
      <c r="G1542" s="155" t="s">
        <v>13099</v>
      </c>
      <c r="H1542" s="113" t="s">
        <v>13079</v>
      </c>
      <c r="I1542" s="4" t="s">
        <v>13099</v>
      </c>
      <c r="J1542" s="155" t="s">
        <v>13100</v>
      </c>
      <c r="K1542" s="4" t="s">
        <v>15499</v>
      </c>
    </row>
    <row r="1543" spans="1:11" s="4" customFormat="1" x14ac:dyDescent="0.25">
      <c r="A1543" s="114" t="s">
        <v>13101</v>
      </c>
      <c r="B1543" s="4" t="s">
        <v>13102</v>
      </c>
      <c r="C1543" s="4" t="s">
        <v>15363</v>
      </c>
      <c r="D1543" s="155" t="s">
        <v>9850</v>
      </c>
      <c r="E1543" s="159">
        <v>495</v>
      </c>
      <c r="F1543" s="157" t="s">
        <v>13104</v>
      </c>
      <c r="G1543" s="155" t="s">
        <v>13103</v>
      </c>
      <c r="H1543" s="113" t="s">
        <v>13079</v>
      </c>
      <c r="I1543" s="4" t="s">
        <v>13102</v>
      </c>
      <c r="J1543" s="155" t="s">
        <v>13104</v>
      </c>
      <c r="K1543" s="4" t="s">
        <v>15498</v>
      </c>
    </row>
    <row r="1544" spans="1:11" s="4" customFormat="1" x14ac:dyDescent="0.25">
      <c r="A1544" s="114" t="s">
        <v>13105</v>
      </c>
      <c r="B1544" s="4" t="s">
        <v>13106</v>
      </c>
      <c r="C1544" s="4" t="s">
        <v>4</v>
      </c>
      <c r="D1544" s="155" t="s">
        <v>13107</v>
      </c>
      <c r="E1544" s="159">
        <v>301</v>
      </c>
      <c r="F1544" s="157" t="s">
        <v>13108</v>
      </c>
      <c r="G1544" s="155" t="s">
        <v>13106</v>
      </c>
      <c r="H1544" s="113" t="s">
        <v>13079</v>
      </c>
      <c r="I1544" s="4" t="s">
        <v>13106</v>
      </c>
      <c r="J1544" s="155" t="s">
        <v>13108</v>
      </c>
      <c r="K1544" s="4" t="s">
        <v>13127</v>
      </c>
    </row>
    <row r="1545" spans="1:11" s="4" customFormat="1" x14ac:dyDescent="0.25">
      <c r="A1545" s="114" t="s">
        <v>13109</v>
      </c>
      <c r="B1545" s="4" t="s">
        <v>13110</v>
      </c>
      <c r="C1545" s="4" t="s">
        <v>4</v>
      </c>
      <c r="D1545" s="155" t="s">
        <v>13079</v>
      </c>
      <c r="E1545" s="159">
        <v>250</v>
      </c>
      <c r="F1545" s="157" t="s">
        <v>13111</v>
      </c>
      <c r="G1545" s="155" t="s">
        <v>13110</v>
      </c>
      <c r="H1545" s="113" t="s">
        <v>13079</v>
      </c>
      <c r="I1545" s="4" t="s">
        <v>13110</v>
      </c>
      <c r="J1545" s="155" t="s">
        <v>13111</v>
      </c>
      <c r="K1545" s="4" t="s">
        <v>13122</v>
      </c>
    </row>
    <row r="1546" spans="1:11" s="4" customFormat="1" x14ac:dyDescent="0.25">
      <c r="A1546" s="114" t="s">
        <v>13112</v>
      </c>
      <c r="B1546" s="4" t="s">
        <v>13113</v>
      </c>
      <c r="C1546" s="4" t="s">
        <v>15363</v>
      </c>
      <c r="D1546" s="155" t="s">
        <v>13114</v>
      </c>
      <c r="E1546" s="159"/>
      <c r="F1546" s="157" t="s">
        <v>13116</v>
      </c>
      <c r="G1546" s="155" t="s">
        <v>13115</v>
      </c>
      <c r="H1546" s="113" t="s">
        <v>13079</v>
      </c>
      <c r="I1546" s="4" t="s">
        <v>13113</v>
      </c>
      <c r="J1546" s="155" t="s">
        <v>13116</v>
      </c>
      <c r="K1546" s="4" t="s">
        <v>10059</v>
      </c>
    </row>
    <row r="1547" spans="1:11" s="4" customFormat="1" x14ac:dyDescent="0.25">
      <c r="A1547" s="114" t="s">
        <v>13117</v>
      </c>
      <c r="B1547" s="4" t="s">
        <v>13118</v>
      </c>
      <c r="C1547" s="4" t="s">
        <v>15363</v>
      </c>
      <c r="D1547" s="155" t="s">
        <v>10500</v>
      </c>
      <c r="E1547" s="159">
        <v>299</v>
      </c>
      <c r="F1547" s="157" t="s">
        <v>13119</v>
      </c>
      <c r="G1547" s="155" t="s">
        <v>13118</v>
      </c>
      <c r="H1547" s="113" t="s">
        <v>13079</v>
      </c>
      <c r="I1547" s="4" t="s">
        <v>13118</v>
      </c>
      <c r="J1547" s="155" t="s">
        <v>13119</v>
      </c>
      <c r="K1547" s="4" t="s">
        <v>13122</v>
      </c>
    </row>
    <row r="1548" spans="1:11" s="4" customFormat="1" x14ac:dyDescent="0.25">
      <c r="A1548" s="114" t="s">
        <v>13120</v>
      </c>
      <c r="B1548" s="4" t="s">
        <v>13121</v>
      </c>
      <c r="C1548" s="4" t="s">
        <v>4</v>
      </c>
      <c r="D1548" s="155" t="s">
        <v>9850</v>
      </c>
      <c r="E1548" s="159">
        <v>909</v>
      </c>
      <c r="F1548" s="157" t="s">
        <v>13123</v>
      </c>
      <c r="G1548" s="155" t="s">
        <v>13122</v>
      </c>
      <c r="H1548" s="113" t="s">
        <v>13079</v>
      </c>
      <c r="I1548" s="4" t="s">
        <v>13121</v>
      </c>
      <c r="J1548" s="155" t="s">
        <v>13123</v>
      </c>
      <c r="K1548" s="4" t="s">
        <v>13122</v>
      </c>
    </row>
    <row r="1549" spans="1:11" s="4" customFormat="1" x14ac:dyDescent="0.25">
      <c r="A1549" s="114" t="s">
        <v>13124</v>
      </c>
      <c r="B1549" s="4" t="s">
        <v>10729</v>
      </c>
      <c r="C1549" s="4" t="s">
        <v>15363</v>
      </c>
      <c r="D1549" s="155" t="s">
        <v>10043</v>
      </c>
      <c r="E1549" s="159">
        <v>280</v>
      </c>
      <c r="F1549" s="157" t="s">
        <v>13125</v>
      </c>
      <c r="G1549" s="155" t="s">
        <v>10729</v>
      </c>
      <c r="H1549" s="113" t="s">
        <v>13079</v>
      </c>
      <c r="I1549" s="4" t="s">
        <v>10729</v>
      </c>
      <c r="J1549" s="155" t="s">
        <v>13125</v>
      </c>
      <c r="K1549" s="4" t="s">
        <v>10729</v>
      </c>
    </row>
    <row r="1550" spans="1:11" s="4" customFormat="1" x14ac:dyDescent="0.25">
      <c r="A1550" s="114" t="s">
        <v>13126</v>
      </c>
      <c r="B1550" s="4" t="s">
        <v>13127</v>
      </c>
      <c r="C1550" s="4" t="s">
        <v>4</v>
      </c>
      <c r="D1550" s="155" t="s">
        <v>10467</v>
      </c>
      <c r="E1550" s="159">
        <v>497</v>
      </c>
      <c r="F1550" s="157" t="s">
        <v>13128</v>
      </c>
      <c r="G1550" s="155" t="s">
        <v>13127</v>
      </c>
      <c r="H1550" s="113" t="s">
        <v>13079</v>
      </c>
      <c r="I1550" s="4" t="s">
        <v>13127</v>
      </c>
      <c r="J1550" s="155" t="s">
        <v>13128</v>
      </c>
      <c r="K1550" s="4" t="s">
        <v>13127</v>
      </c>
    </row>
    <row r="1551" spans="1:11" s="4" customFormat="1" x14ac:dyDescent="0.25">
      <c r="A1551" s="114" t="s">
        <v>13129</v>
      </c>
      <c r="B1551" s="4" t="s">
        <v>13130</v>
      </c>
      <c r="C1551" s="4" t="s">
        <v>4</v>
      </c>
      <c r="D1551" s="155" t="s">
        <v>11711</v>
      </c>
      <c r="E1551" s="159">
        <v>0</v>
      </c>
      <c r="F1551" s="157" t="s">
        <v>13131</v>
      </c>
      <c r="G1551" s="155" t="s">
        <v>13130</v>
      </c>
      <c r="H1551" s="113" t="s">
        <v>13079</v>
      </c>
      <c r="I1551" s="4" t="s">
        <v>13130</v>
      </c>
      <c r="J1551" s="155" t="s">
        <v>13131</v>
      </c>
      <c r="K1551" s="4" t="s">
        <v>15498</v>
      </c>
    </row>
    <row r="1552" spans="1:11" s="4" customFormat="1" x14ac:dyDescent="0.25">
      <c r="A1552" s="114" t="s">
        <v>13132</v>
      </c>
      <c r="B1552" s="4" t="s">
        <v>13133</v>
      </c>
      <c r="C1552" s="4" t="s">
        <v>15364</v>
      </c>
      <c r="D1552" s="155" t="s">
        <v>13134</v>
      </c>
      <c r="E1552" s="159">
        <v>1</v>
      </c>
      <c r="F1552" s="157" t="s">
        <v>13135</v>
      </c>
      <c r="G1552" s="155" t="s">
        <v>13133</v>
      </c>
      <c r="H1552" s="113" t="s">
        <v>13079</v>
      </c>
      <c r="I1552" s="4" t="s">
        <v>13133</v>
      </c>
      <c r="J1552" s="155" t="s">
        <v>13135</v>
      </c>
      <c r="K1552" s="4" t="s">
        <v>15500</v>
      </c>
    </row>
    <row r="1553" spans="1:11" s="4" customFormat="1" x14ac:dyDescent="0.25">
      <c r="A1553" s="114" t="s">
        <v>13136</v>
      </c>
      <c r="B1553" s="4" t="s">
        <v>13137</v>
      </c>
      <c r="C1553" s="4" t="s">
        <v>15364</v>
      </c>
      <c r="D1553" s="155" t="s">
        <v>13138</v>
      </c>
      <c r="E1553" s="159"/>
      <c r="F1553" s="157" t="s">
        <v>13139</v>
      </c>
      <c r="G1553" s="155" t="s">
        <v>13137</v>
      </c>
      <c r="H1553" s="113" t="s">
        <v>13079</v>
      </c>
      <c r="I1553" s="4" t="s">
        <v>13137</v>
      </c>
      <c r="J1553" s="155" t="s">
        <v>13139</v>
      </c>
      <c r="K1553" s="4" t="s">
        <v>10059</v>
      </c>
    </row>
    <row r="1554" spans="1:11" s="4" customFormat="1" x14ac:dyDescent="0.25">
      <c r="A1554" s="114" t="s">
        <v>13140</v>
      </c>
      <c r="B1554" s="4" t="s">
        <v>13141</v>
      </c>
      <c r="C1554" s="4" t="s">
        <v>15364</v>
      </c>
      <c r="D1554" s="155" t="s">
        <v>13142</v>
      </c>
      <c r="E1554" s="159"/>
      <c r="F1554" s="157" t="s">
        <v>13143</v>
      </c>
      <c r="G1554" s="155" t="s">
        <v>13141</v>
      </c>
      <c r="H1554" s="113" t="s">
        <v>13079</v>
      </c>
      <c r="I1554" s="4" t="s">
        <v>13141</v>
      </c>
      <c r="J1554" s="155" t="s">
        <v>13143</v>
      </c>
      <c r="K1554" s="4" t="s">
        <v>15501</v>
      </c>
    </row>
    <row r="1555" spans="1:11" s="4" customFormat="1" x14ac:dyDescent="0.25">
      <c r="A1555" s="114" t="s">
        <v>13144</v>
      </c>
      <c r="B1555" s="4" t="s">
        <v>13145</v>
      </c>
      <c r="C1555" s="4" t="s">
        <v>4</v>
      </c>
      <c r="D1555" s="155" t="s">
        <v>13146</v>
      </c>
      <c r="E1555" s="159">
        <v>0</v>
      </c>
      <c r="F1555" s="157" t="s">
        <v>13147</v>
      </c>
      <c r="G1555" s="155" t="s">
        <v>12470</v>
      </c>
      <c r="H1555" s="113" t="s">
        <v>13079</v>
      </c>
      <c r="I1555" s="4" t="s">
        <v>13145</v>
      </c>
      <c r="J1555" s="155" t="s">
        <v>13147</v>
      </c>
      <c r="K1555" s="4" t="s">
        <v>10059</v>
      </c>
    </row>
    <row r="1556" spans="1:11" s="4" customFormat="1" x14ac:dyDescent="0.25">
      <c r="A1556" s="114" t="s">
        <v>14230</v>
      </c>
      <c r="B1556" s="4" t="s">
        <v>14231</v>
      </c>
      <c r="C1556" s="4" t="s">
        <v>15363</v>
      </c>
      <c r="D1556" s="155" t="s">
        <v>14232</v>
      </c>
      <c r="E1556" s="159">
        <v>893</v>
      </c>
      <c r="F1556" s="157" t="s">
        <v>14233</v>
      </c>
      <c r="G1556" s="155" t="s">
        <v>14231</v>
      </c>
      <c r="H1556" s="113" t="s">
        <v>10031</v>
      </c>
      <c r="I1556" s="4" t="s">
        <v>14231</v>
      </c>
      <c r="J1556" s="155" t="s">
        <v>14233</v>
      </c>
      <c r="K1556" s="4" t="s">
        <v>15502</v>
      </c>
    </row>
    <row r="1557" spans="1:11" s="4" customFormat="1" x14ac:dyDescent="0.25">
      <c r="A1557" s="114" t="s">
        <v>14234</v>
      </c>
      <c r="B1557" s="4" t="s">
        <v>14235</v>
      </c>
      <c r="C1557" s="4" t="s">
        <v>15363</v>
      </c>
      <c r="D1557" s="155" t="s">
        <v>14236</v>
      </c>
      <c r="E1557" s="159">
        <v>1501</v>
      </c>
      <c r="F1557" s="157" t="s">
        <v>14237</v>
      </c>
      <c r="G1557" s="155" t="s">
        <v>14231</v>
      </c>
      <c r="H1557" s="113" t="s">
        <v>10031</v>
      </c>
      <c r="I1557" s="4" t="s">
        <v>14235</v>
      </c>
      <c r="J1557" s="155" t="s">
        <v>14237</v>
      </c>
      <c r="K1557" s="4" t="s">
        <v>15502</v>
      </c>
    </row>
    <row r="1558" spans="1:11" s="4" customFormat="1" x14ac:dyDescent="0.25">
      <c r="A1558" s="114" t="s">
        <v>14238</v>
      </c>
      <c r="B1558" s="4" t="s">
        <v>14239</v>
      </c>
      <c r="C1558" s="4" t="s">
        <v>15363</v>
      </c>
      <c r="D1558" s="155" t="s">
        <v>10431</v>
      </c>
      <c r="E1558" s="159">
        <v>1133</v>
      </c>
      <c r="F1558" s="157" t="s">
        <v>14240</v>
      </c>
      <c r="G1558" s="155" t="s">
        <v>14239</v>
      </c>
      <c r="H1558" s="113" t="s">
        <v>10031</v>
      </c>
      <c r="I1558" s="4" t="s">
        <v>14239</v>
      </c>
      <c r="J1558" s="155" t="s">
        <v>14240</v>
      </c>
      <c r="K1558" s="4" t="s">
        <v>15503</v>
      </c>
    </row>
    <row r="1559" spans="1:11" s="4" customFormat="1" x14ac:dyDescent="0.25">
      <c r="A1559" s="114" t="s">
        <v>14241</v>
      </c>
      <c r="B1559" s="4" t="s">
        <v>14242</v>
      </c>
      <c r="C1559" s="4" t="s">
        <v>15363</v>
      </c>
      <c r="D1559" s="155" t="s">
        <v>15374</v>
      </c>
      <c r="E1559" s="159">
        <v>374</v>
      </c>
      <c r="F1559" s="157" t="s">
        <v>14244</v>
      </c>
      <c r="G1559" s="155" t="s">
        <v>14243</v>
      </c>
      <c r="H1559" s="113" t="s">
        <v>10031</v>
      </c>
      <c r="I1559" s="4" t="s">
        <v>14242</v>
      </c>
      <c r="J1559" s="155" t="s">
        <v>14244</v>
      </c>
      <c r="K1559" s="4" t="s">
        <v>15504</v>
      </c>
    </row>
    <row r="1560" spans="1:11" s="4" customFormat="1" x14ac:dyDescent="0.25">
      <c r="A1560" s="114" t="s">
        <v>14245</v>
      </c>
      <c r="B1560" s="4" t="s">
        <v>14246</v>
      </c>
      <c r="C1560" s="4" t="s">
        <v>15363</v>
      </c>
      <c r="D1560" s="155" t="s">
        <v>10353</v>
      </c>
      <c r="E1560" s="159">
        <v>490</v>
      </c>
      <c r="F1560" s="157" t="s">
        <v>14247</v>
      </c>
      <c r="G1560" s="155" t="s">
        <v>14246</v>
      </c>
      <c r="H1560" s="113" t="s">
        <v>10031</v>
      </c>
      <c r="I1560" s="4" t="s">
        <v>14246</v>
      </c>
      <c r="J1560" s="155" t="s">
        <v>14247</v>
      </c>
      <c r="K1560" s="4" t="s">
        <v>15475</v>
      </c>
    </row>
    <row r="1561" spans="1:11" s="4" customFormat="1" x14ac:dyDescent="0.25">
      <c r="A1561" s="114" t="s">
        <v>14248</v>
      </c>
      <c r="B1561" s="4" t="s">
        <v>14249</v>
      </c>
      <c r="C1561" s="4" t="s">
        <v>15363</v>
      </c>
      <c r="D1561" s="155" t="s">
        <v>9819</v>
      </c>
      <c r="E1561" s="159">
        <v>155</v>
      </c>
      <c r="F1561" s="157" t="s">
        <v>14251</v>
      </c>
      <c r="G1561" s="155" t="s">
        <v>14250</v>
      </c>
      <c r="H1561" s="113" t="s">
        <v>10031</v>
      </c>
      <c r="I1561" s="4" t="s">
        <v>14249</v>
      </c>
      <c r="J1561" s="155" t="s">
        <v>14251</v>
      </c>
      <c r="K1561" s="4" t="s">
        <v>15505</v>
      </c>
    </row>
    <row r="1562" spans="1:11" s="4" customFormat="1" x14ac:dyDescent="0.25">
      <c r="A1562" s="114" t="s">
        <v>14252</v>
      </c>
      <c r="B1562" s="4" t="s">
        <v>15309</v>
      </c>
      <c r="C1562" s="4" t="s">
        <v>15363</v>
      </c>
      <c r="D1562" s="155" t="s">
        <v>14253</v>
      </c>
      <c r="E1562" s="159">
        <v>201</v>
      </c>
      <c r="F1562" s="157" t="s">
        <v>14254</v>
      </c>
      <c r="G1562" s="155" t="s">
        <v>15309</v>
      </c>
      <c r="H1562" s="113" t="s">
        <v>10031</v>
      </c>
      <c r="I1562" s="4" t="s">
        <v>15309</v>
      </c>
      <c r="J1562" s="155" t="s">
        <v>14254</v>
      </c>
      <c r="K1562" s="4" t="s">
        <v>15506</v>
      </c>
    </row>
    <row r="1563" spans="1:11" s="4" customFormat="1" x14ac:dyDescent="0.25">
      <c r="A1563" s="114" t="s">
        <v>14255</v>
      </c>
      <c r="B1563" s="4" t="s">
        <v>14256</v>
      </c>
      <c r="C1563" s="4" t="s">
        <v>15363</v>
      </c>
      <c r="D1563" s="155" t="s">
        <v>10059</v>
      </c>
      <c r="E1563" s="159">
        <v>131</v>
      </c>
      <c r="F1563" s="157" t="s">
        <v>14257</v>
      </c>
      <c r="G1563" s="155" t="s">
        <v>14256</v>
      </c>
      <c r="H1563" s="113" t="s">
        <v>10031</v>
      </c>
      <c r="I1563" s="4" t="s">
        <v>14256</v>
      </c>
      <c r="J1563" s="155" t="s">
        <v>14257</v>
      </c>
      <c r="K1563" s="4" t="s">
        <v>15504</v>
      </c>
    </row>
    <row r="1564" spans="1:11" s="4" customFormat="1" x14ac:dyDescent="0.25">
      <c r="A1564" s="114" t="s">
        <v>14258</v>
      </c>
      <c r="B1564" s="4" t="s">
        <v>14259</v>
      </c>
      <c r="C1564" s="4" t="s">
        <v>15363</v>
      </c>
      <c r="D1564" s="155" t="s">
        <v>10181</v>
      </c>
      <c r="E1564" s="159">
        <v>194</v>
      </c>
      <c r="F1564" s="157" t="s">
        <v>14260</v>
      </c>
      <c r="G1564" s="155" t="s">
        <v>14259</v>
      </c>
      <c r="H1564" s="113" t="s">
        <v>10031</v>
      </c>
      <c r="I1564" s="4" t="s">
        <v>14259</v>
      </c>
      <c r="J1564" s="155" t="s">
        <v>14260</v>
      </c>
      <c r="K1564" s="4" t="s">
        <v>15506</v>
      </c>
    </row>
    <row r="1565" spans="1:11" s="4" customFormat="1" x14ac:dyDescent="0.25">
      <c r="A1565" s="114" t="s">
        <v>14261</v>
      </c>
      <c r="B1565" s="4" t="s">
        <v>14262</v>
      </c>
      <c r="C1565" s="4" t="s">
        <v>15363</v>
      </c>
      <c r="D1565" s="155" t="s">
        <v>12856</v>
      </c>
      <c r="E1565" s="159"/>
      <c r="F1565" s="157" t="s">
        <v>14263</v>
      </c>
      <c r="G1565" s="155" t="s">
        <v>14262</v>
      </c>
      <c r="H1565" s="113" t="s">
        <v>10031</v>
      </c>
      <c r="I1565" s="4" t="s">
        <v>14262</v>
      </c>
      <c r="J1565" s="155" t="s">
        <v>14263</v>
      </c>
      <c r="K1565" s="4" t="s">
        <v>15503</v>
      </c>
    </row>
    <row r="1566" spans="1:11" s="4" customFormat="1" x14ac:dyDescent="0.25">
      <c r="A1566" s="114" t="s">
        <v>14264</v>
      </c>
      <c r="B1566" s="4" t="s">
        <v>14265</v>
      </c>
      <c r="C1566" s="4" t="s">
        <v>15363</v>
      </c>
      <c r="D1566" s="155" t="s">
        <v>14266</v>
      </c>
      <c r="E1566" s="159">
        <v>494</v>
      </c>
      <c r="F1566" s="157" t="s">
        <v>14267</v>
      </c>
      <c r="G1566" s="155" t="s">
        <v>14265</v>
      </c>
      <c r="H1566" s="113" t="s">
        <v>10031</v>
      </c>
      <c r="I1566" s="4" t="s">
        <v>14265</v>
      </c>
      <c r="J1566" s="155" t="s">
        <v>14267</v>
      </c>
      <c r="K1566" s="4" t="s">
        <v>15502</v>
      </c>
    </row>
    <row r="1567" spans="1:11" s="4" customFormat="1" x14ac:dyDescent="0.25">
      <c r="A1567" s="114" t="s">
        <v>14268</v>
      </c>
      <c r="B1567" s="4" t="s">
        <v>14269</v>
      </c>
      <c r="C1567" s="4" t="s">
        <v>15363</v>
      </c>
      <c r="D1567" s="155" t="s">
        <v>9891</v>
      </c>
      <c r="E1567" s="159">
        <v>478</v>
      </c>
      <c r="F1567" s="157" t="s">
        <v>14270</v>
      </c>
      <c r="G1567" s="155" t="s">
        <v>14269</v>
      </c>
      <c r="H1567" s="113" t="s">
        <v>10031</v>
      </c>
      <c r="I1567" s="4" t="s">
        <v>14269</v>
      </c>
      <c r="J1567" s="155" t="s">
        <v>14270</v>
      </c>
      <c r="K1567" s="4" t="s">
        <v>15502</v>
      </c>
    </row>
    <row r="1568" spans="1:11" s="4" customFormat="1" x14ac:dyDescent="0.25">
      <c r="A1568" s="114" t="s">
        <v>14271</v>
      </c>
      <c r="B1568" s="4" t="s">
        <v>14272</v>
      </c>
      <c r="C1568" s="4" t="s">
        <v>15363</v>
      </c>
      <c r="D1568" s="155" t="s">
        <v>11663</v>
      </c>
      <c r="E1568" s="159">
        <v>0</v>
      </c>
      <c r="F1568" s="157" t="s">
        <v>14273</v>
      </c>
      <c r="G1568" s="155" t="s">
        <v>14272</v>
      </c>
      <c r="H1568" s="113" t="s">
        <v>10031</v>
      </c>
      <c r="I1568" s="4" t="s">
        <v>14272</v>
      </c>
      <c r="J1568" s="155" t="s">
        <v>14273</v>
      </c>
      <c r="K1568" s="4" t="s">
        <v>15502</v>
      </c>
    </row>
    <row r="1569" spans="1:11" s="4" customFormat="1" x14ac:dyDescent="0.25">
      <c r="A1569" s="114" t="s">
        <v>14274</v>
      </c>
      <c r="B1569" s="4" t="s">
        <v>10256</v>
      </c>
      <c r="C1569" s="4" t="s">
        <v>15363</v>
      </c>
      <c r="D1569" s="155" t="s">
        <v>9764</v>
      </c>
      <c r="E1569" s="159">
        <v>300</v>
      </c>
      <c r="F1569" s="157" t="s">
        <v>14275</v>
      </c>
      <c r="G1569" s="155" t="s">
        <v>10256</v>
      </c>
      <c r="H1569" s="113" t="s">
        <v>10031</v>
      </c>
      <c r="I1569" s="4" t="s">
        <v>10256</v>
      </c>
      <c r="J1569" s="155" t="s">
        <v>14275</v>
      </c>
      <c r="K1569" s="4" t="s">
        <v>15506</v>
      </c>
    </row>
    <row r="1570" spans="1:11" s="4" customFormat="1" x14ac:dyDescent="0.25">
      <c r="A1570" s="114" t="s">
        <v>14276</v>
      </c>
      <c r="B1570" s="4" t="s">
        <v>14277</v>
      </c>
      <c r="C1570" s="4" t="s">
        <v>15363</v>
      </c>
      <c r="D1570" s="155" t="s">
        <v>14278</v>
      </c>
      <c r="E1570" s="159">
        <v>19</v>
      </c>
      <c r="F1570" s="157" t="s">
        <v>14279</v>
      </c>
      <c r="G1570" s="155" t="s">
        <v>14277</v>
      </c>
      <c r="H1570" s="113" t="s">
        <v>10031</v>
      </c>
      <c r="I1570" s="4" t="s">
        <v>14277</v>
      </c>
      <c r="J1570" s="155" t="s">
        <v>14279</v>
      </c>
      <c r="K1570" s="4" t="s">
        <v>15507</v>
      </c>
    </row>
    <row r="1571" spans="1:11" s="4" customFormat="1" x14ac:dyDescent="0.25">
      <c r="A1571" s="114" t="s">
        <v>14280</v>
      </c>
      <c r="B1571" s="4" t="s">
        <v>14281</v>
      </c>
      <c r="C1571" s="4" t="s">
        <v>15363</v>
      </c>
      <c r="D1571" s="155" t="s">
        <v>14282</v>
      </c>
      <c r="E1571" s="159">
        <v>1327</v>
      </c>
      <c r="F1571" s="157" t="s">
        <v>14283</v>
      </c>
      <c r="G1571" s="155" t="s">
        <v>14281</v>
      </c>
      <c r="H1571" s="113" t="s">
        <v>10031</v>
      </c>
      <c r="I1571" s="4" t="s">
        <v>14281</v>
      </c>
      <c r="J1571" s="155" t="s">
        <v>14283</v>
      </c>
      <c r="K1571" s="4" t="s">
        <v>15507</v>
      </c>
    </row>
    <row r="1572" spans="1:11" s="4" customFormat="1" x14ac:dyDescent="0.25">
      <c r="A1572" s="114" t="s">
        <v>14284</v>
      </c>
      <c r="B1572" s="4" t="s">
        <v>14285</v>
      </c>
      <c r="C1572" s="4" t="s">
        <v>15363</v>
      </c>
      <c r="D1572" s="155" t="s">
        <v>10609</v>
      </c>
      <c r="E1572" s="159">
        <v>455</v>
      </c>
      <c r="F1572" s="157" t="s">
        <v>14286</v>
      </c>
      <c r="G1572" s="155" t="s">
        <v>14285</v>
      </c>
      <c r="H1572" s="113" t="s">
        <v>10031</v>
      </c>
      <c r="I1572" s="4" t="s">
        <v>14285</v>
      </c>
      <c r="J1572" s="155" t="s">
        <v>14286</v>
      </c>
      <c r="K1572" s="4" t="s">
        <v>15506</v>
      </c>
    </row>
    <row r="1573" spans="1:11" s="4" customFormat="1" x14ac:dyDescent="0.25">
      <c r="A1573" s="114" t="s">
        <v>14287</v>
      </c>
      <c r="B1573" s="4" t="s">
        <v>14288</v>
      </c>
      <c r="C1573" s="4" t="s">
        <v>15363</v>
      </c>
      <c r="D1573" s="155" t="s">
        <v>10244</v>
      </c>
      <c r="E1573" s="159">
        <v>1075</v>
      </c>
      <c r="F1573" s="157" t="s">
        <v>14289</v>
      </c>
      <c r="G1573" s="155" t="s">
        <v>14288</v>
      </c>
      <c r="H1573" s="113" t="s">
        <v>10031</v>
      </c>
      <c r="I1573" s="4" t="s">
        <v>14288</v>
      </c>
      <c r="J1573" s="155" t="s">
        <v>14289</v>
      </c>
      <c r="K1573" s="4" t="s">
        <v>15506</v>
      </c>
    </row>
    <row r="1574" spans="1:11" s="4" customFormat="1" x14ac:dyDescent="0.25">
      <c r="A1574" s="114" t="s">
        <v>14290</v>
      </c>
      <c r="B1574" s="4" t="s">
        <v>14291</v>
      </c>
      <c r="C1574" s="4" t="s">
        <v>15363</v>
      </c>
      <c r="D1574" s="155" t="s">
        <v>14292</v>
      </c>
      <c r="E1574" s="159">
        <v>22</v>
      </c>
      <c r="F1574" s="157" t="s">
        <v>14293</v>
      </c>
      <c r="G1574" s="155" t="s">
        <v>14291</v>
      </c>
      <c r="H1574" s="113" t="s">
        <v>10031</v>
      </c>
      <c r="I1574" s="4" t="s">
        <v>14291</v>
      </c>
      <c r="J1574" s="155" t="s">
        <v>14293</v>
      </c>
      <c r="K1574" s="4" t="s">
        <v>15503</v>
      </c>
    </row>
    <row r="1575" spans="1:11" s="4" customFormat="1" x14ac:dyDescent="0.25">
      <c r="A1575" s="114" t="s">
        <v>14294</v>
      </c>
      <c r="B1575" s="4" t="s">
        <v>14295</v>
      </c>
      <c r="C1575" s="4" t="s">
        <v>15363</v>
      </c>
      <c r="D1575" s="155" t="s">
        <v>14296</v>
      </c>
      <c r="E1575" s="159"/>
      <c r="F1575" s="157" t="s">
        <v>14298</v>
      </c>
      <c r="G1575" s="155" t="s">
        <v>14297</v>
      </c>
      <c r="H1575" s="113" t="s">
        <v>10031</v>
      </c>
      <c r="I1575" s="4" t="s">
        <v>14295</v>
      </c>
      <c r="J1575" s="155" t="s">
        <v>14298</v>
      </c>
      <c r="K1575" s="4" t="s">
        <v>15475</v>
      </c>
    </row>
    <row r="1576" spans="1:11" s="4" customFormat="1" x14ac:dyDescent="0.25">
      <c r="A1576" s="114"/>
      <c r="D1576" s="113"/>
      <c r="E1576" s="113"/>
      <c r="F1576" s="114"/>
      <c r="G1576" s="113"/>
      <c r="H1576" s="113"/>
      <c r="J1576" s="113"/>
    </row>
    <row r="1577" spans="1:11" s="4" customFormat="1" x14ac:dyDescent="0.25">
      <c r="A1577" s="114"/>
      <c r="D1577" s="113"/>
      <c r="E1577" s="113"/>
      <c r="F1577" s="114"/>
      <c r="G1577" s="113"/>
      <c r="H1577" s="113"/>
      <c r="J1577" s="113"/>
    </row>
    <row r="1578" spans="1:11" s="4" customFormat="1" x14ac:dyDescent="0.25">
      <c r="A1578" s="114"/>
      <c r="D1578" s="113"/>
      <c r="E1578" s="113"/>
      <c r="F1578" s="114"/>
      <c r="G1578" s="113"/>
      <c r="H1578" s="113"/>
      <c r="J1578" s="113"/>
    </row>
    <row r="1579" spans="1:11" s="4" customFormat="1" x14ac:dyDescent="0.25">
      <c r="A1579" s="114"/>
      <c r="D1579" s="113"/>
      <c r="E1579" s="113"/>
      <c r="F1579" s="114"/>
      <c r="G1579" s="113"/>
      <c r="H1579" s="113"/>
      <c r="J1579" s="113"/>
    </row>
    <row r="1580" spans="1:11" s="4" customFormat="1" x14ac:dyDescent="0.25">
      <c r="A1580" s="114"/>
      <c r="D1580" s="113"/>
      <c r="E1580" s="113"/>
      <c r="F1580" s="114"/>
      <c r="G1580" s="113"/>
      <c r="H1580" s="113"/>
      <c r="J1580" s="113"/>
    </row>
    <row r="1581" spans="1:11" s="4" customFormat="1" x14ac:dyDescent="0.25">
      <c r="A1581" s="114"/>
      <c r="D1581" s="113"/>
      <c r="E1581" s="113"/>
      <c r="F1581" s="114"/>
      <c r="G1581" s="113"/>
      <c r="H1581" s="113"/>
      <c r="J1581" s="113"/>
    </row>
    <row r="1582" spans="1:11" s="4" customFormat="1" x14ac:dyDescent="0.25">
      <c r="A1582" s="114"/>
      <c r="D1582" s="113"/>
      <c r="E1582" s="113"/>
      <c r="F1582" s="114"/>
      <c r="G1582" s="113"/>
      <c r="H1582" s="113"/>
      <c r="J1582" s="113"/>
    </row>
    <row r="1583" spans="1:11" s="4" customFormat="1" x14ac:dyDescent="0.25">
      <c r="A1583" s="114"/>
      <c r="D1583" s="113"/>
      <c r="E1583" s="113"/>
      <c r="F1583" s="114"/>
      <c r="G1583" s="113"/>
      <c r="H1583" s="113"/>
      <c r="J1583" s="113"/>
    </row>
    <row r="1584" spans="1:11" s="4" customFormat="1" x14ac:dyDescent="0.25">
      <c r="A1584" s="114"/>
      <c r="D1584" s="113"/>
      <c r="E1584" s="113"/>
      <c r="F1584" s="114"/>
      <c r="G1584" s="113"/>
      <c r="H1584" s="113"/>
      <c r="J1584" s="113"/>
    </row>
    <row r="1585" spans="1:10" s="4" customFormat="1" x14ac:dyDescent="0.25">
      <c r="A1585" s="114"/>
      <c r="D1585" s="113"/>
      <c r="E1585" s="113"/>
      <c r="F1585" s="114"/>
      <c r="G1585" s="113"/>
      <c r="H1585" s="113"/>
      <c r="J1585" s="113"/>
    </row>
    <row r="1586" spans="1:10" s="4" customFormat="1" x14ac:dyDescent="0.25">
      <c r="A1586" s="114"/>
      <c r="D1586" s="113"/>
      <c r="E1586" s="113"/>
      <c r="F1586" s="114"/>
      <c r="G1586" s="113"/>
      <c r="H1586" s="113"/>
      <c r="J1586" s="113"/>
    </row>
    <row r="1587" spans="1:10" s="4" customFormat="1" x14ac:dyDescent="0.25">
      <c r="A1587" s="114"/>
      <c r="D1587" s="113"/>
      <c r="E1587" s="113"/>
      <c r="F1587" s="114"/>
      <c r="G1587" s="113"/>
      <c r="H1587" s="113"/>
      <c r="J1587" s="113"/>
    </row>
    <row r="1588" spans="1:10" s="4" customFormat="1" x14ac:dyDescent="0.25">
      <c r="A1588" s="114"/>
      <c r="D1588" s="113"/>
      <c r="E1588" s="113"/>
      <c r="F1588" s="114"/>
      <c r="G1588" s="113"/>
      <c r="H1588" s="113"/>
      <c r="J1588" s="113"/>
    </row>
    <row r="1589" spans="1:10" s="4" customFormat="1" x14ac:dyDescent="0.25">
      <c r="A1589" s="114"/>
      <c r="D1589" s="113"/>
      <c r="E1589" s="113"/>
      <c r="F1589" s="114"/>
      <c r="G1589" s="113"/>
      <c r="H1589" s="113"/>
      <c r="J1589" s="113"/>
    </row>
    <row r="1590" spans="1:10" s="4" customFormat="1" x14ac:dyDescent="0.25">
      <c r="A1590" s="114"/>
      <c r="D1590" s="113"/>
      <c r="E1590" s="113"/>
      <c r="F1590" s="114"/>
      <c r="G1590" s="113"/>
      <c r="H1590" s="113"/>
      <c r="J1590" s="113"/>
    </row>
    <row r="1591" spans="1:10" s="4" customFormat="1" x14ac:dyDescent="0.25">
      <c r="A1591" s="114"/>
      <c r="D1591" s="113"/>
      <c r="E1591" s="113"/>
      <c r="F1591" s="114"/>
      <c r="G1591" s="113"/>
      <c r="H1591" s="113"/>
      <c r="J1591" s="113"/>
    </row>
    <row r="1592" spans="1:10" s="4" customFormat="1" x14ac:dyDescent="0.25">
      <c r="A1592" s="114"/>
      <c r="D1592" s="113"/>
      <c r="E1592" s="113"/>
      <c r="F1592" s="114"/>
      <c r="G1592" s="113"/>
      <c r="H1592" s="113"/>
      <c r="J1592" s="113"/>
    </row>
    <row r="1593" spans="1:10" s="4" customFormat="1" x14ac:dyDescent="0.25">
      <c r="A1593" s="114"/>
      <c r="D1593" s="113"/>
      <c r="E1593" s="113"/>
      <c r="F1593" s="114"/>
      <c r="G1593" s="113"/>
      <c r="H1593" s="113"/>
      <c r="J1593" s="113"/>
    </row>
    <row r="1594" spans="1:10" s="4" customFormat="1" x14ac:dyDescent="0.25">
      <c r="A1594" s="114"/>
      <c r="D1594" s="113"/>
      <c r="E1594" s="113"/>
      <c r="F1594" s="114"/>
      <c r="G1594" s="113"/>
      <c r="H1594" s="113"/>
      <c r="J1594" s="113"/>
    </row>
    <row r="1595" spans="1:10" s="4" customFormat="1" x14ac:dyDescent="0.25">
      <c r="A1595" s="114"/>
      <c r="D1595" s="113"/>
      <c r="E1595" s="113"/>
      <c r="F1595" s="114"/>
      <c r="G1595" s="113"/>
      <c r="H1595" s="113"/>
      <c r="J1595" s="113"/>
    </row>
    <row r="1596" spans="1:10" s="4" customFormat="1" x14ac:dyDescent="0.25">
      <c r="A1596" s="114"/>
      <c r="D1596" s="113"/>
      <c r="E1596" s="113"/>
      <c r="F1596" s="114"/>
      <c r="G1596" s="113"/>
      <c r="H1596" s="113"/>
      <c r="J1596" s="113"/>
    </row>
    <row r="1597" spans="1:10" s="4" customFormat="1" x14ac:dyDescent="0.25">
      <c r="A1597" s="114"/>
      <c r="D1597" s="113"/>
      <c r="E1597" s="113"/>
      <c r="F1597" s="114"/>
      <c r="G1597" s="113"/>
      <c r="H1597" s="113"/>
      <c r="J1597" s="113"/>
    </row>
    <row r="1598" spans="1:10" s="4" customFormat="1" x14ac:dyDescent="0.25">
      <c r="A1598" s="114"/>
      <c r="D1598" s="113"/>
      <c r="E1598" s="113"/>
      <c r="F1598" s="114"/>
      <c r="G1598" s="113"/>
      <c r="H1598" s="113"/>
      <c r="J1598" s="113"/>
    </row>
    <row r="1599" spans="1:10" s="4" customFormat="1" x14ac:dyDescent="0.25">
      <c r="A1599" s="114"/>
      <c r="D1599" s="113"/>
      <c r="E1599" s="113"/>
      <c r="F1599" s="114"/>
      <c r="G1599" s="113"/>
      <c r="H1599" s="113"/>
      <c r="J1599" s="113"/>
    </row>
    <row r="1600" spans="1:10" s="4" customFormat="1" x14ac:dyDescent="0.25">
      <c r="A1600" s="114"/>
      <c r="D1600" s="113"/>
      <c r="E1600" s="113"/>
      <c r="F1600" s="114"/>
      <c r="G1600" s="113"/>
      <c r="H1600" s="113"/>
      <c r="J1600" s="113"/>
    </row>
    <row r="1601" spans="1:10" s="4" customFormat="1" x14ac:dyDescent="0.25">
      <c r="A1601" s="114"/>
      <c r="D1601" s="113"/>
      <c r="E1601" s="113"/>
      <c r="F1601" s="114"/>
      <c r="G1601" s="113"/>
      <c r="H1601" s="113"/>
      <c r="J1601" s="113"/>
    </row>
    <row r="1602" spans="1:10" s="4" customFormat="1" x14ac:dyDescent="0.25">
      <c r="A1602" s="114"/>
      <c r="D1602" s="113"/>
      <c r="E1602" s="113"/>
      <c r="F1602" s="114"/>
      <c r="G1602" s="113"/>
      <c r="H1602" s="113"/>
      <c r="J1602" s="113"/>
    </row>
    <row r="1603" spans="1:10" s="4" customFormat="1" x14ac:dyDescent="0.25">
      <c r="A1603" s="114"/>
      <c r="D1603" s="113"/>
      <c r="E1603" s="113"/>
      <c r="F1603" s="114"/>
      <c r="G1603" s="113"/>
      <c r="H1603" s="113"/>
      <c r="J1603" s="113"/>
    </row>
    <row r="1604" spans="1:10" s="4" customFormat="1" x14ac:dyDescent="0.25">
      <c r="A1604" s="114"/>
      <c r="D1604" s="113"/>
      <c r="E1604" s="113"/>
      <c r="F1604" s="114"/>
      <c r="G1604" s="113"/>
      <c r="H1604" s="113"/>
      <c r="J1604" s="113"/>
    </row>
    <row r="1605" spans="1:10" s="4" customFormat="1" x14ac:dyDescent="0.25">
      <c r="A1605" s="114"/>
      <c r="D1605" s="113"/>
      <c r="E1605" s="113"/>
      <c r="F1605" s="114"/>
      <c r="G1605" s="113"/>
      <c r="H1605" s="113"/>
      <c r="J1605" s="113"/>
    </row>
    <row r="1606" spans="1:10" s="4" customFormat="1" x14ac:dyDescent="0.25">
      <c r="A1606" s="114"/>
      <c r="D1606" s="113"/>
      <c r="E1606" s="113"/>
      <c r="F1606" s="114"/>
      <c r="G1606" s="113"/>
      <c r="H1606" s="113"/>
      <c r="J1606" s="113"/>
    </row>
    <row r="1607" spans="1:10" s="4" customFormat="1" x14ac:dyDescent="0.25">
      <c r="A1607" s="114"/>
      <c r="D1607" s="113"/>
      <c r="E1607" s="113"/>
      <c r="F1607" s="114"/>
      <c r="G1607" s="113"/>
      <c r="H1607" s="113"/>
      <c r="J1607" s="113"/>
    </row>
    <row r="1608" spans="1:10" s="4" customFormat="1" x14ac:dyDescent="0.25">
      <c r="A1608" s="114"/>
      <c r="D1608" s="113"/>
      <c r="E1608" s="113"/>
      <c r="F1608" s="114"/>
      <c r="G1608" s="113"/>
      <c r="H1608" s="113"/>
      <c r="J1608" s="113"/>
    </row>
    <row r="1609" spans="1:10" s="4" customFormat="1" x14ac:dyDescent="0.25">
      <c r="A1609" s="114"/>
      <c r="D1609" s="113"/>
      <c r="E1609" s="113"/>
      <c r="F1609" s="114"/>
      <c r="G1609" s="113"/>
      <c r="H1609" s="113"/>
      <c r="J1609" s="113"/>
    </row>
    <row r="1610" spans="1:10" s="4" customFormat="1" x14ac:dyDescent="0.25">
      <c r="A1610" s="114"/>
      <c r="D1610" s="113"/>
      <c r="E1610" s="113"/>
      <c r="F1610" s="114"/>
      <c r="G1610" s="113"/>
      <c r="H1610" s="113"/>
      <c r="J1610" s="113"/>
    </row>
    <row r="1611" spans="1:10" s="4" customFormat="1" x14ac:dyDescent="0.25">
      <c r="A1611" s="114"/>
      <c r="D1611" s="113"/>
      <c r="E1611" s="113"/>
      <c r="F1611" s="114"/>
      <c r="G1611" s="113"/>
      <c r="H1611" s="113"/>
      <c r="J1611" s="113"/>
    </row>
    <row r="1612" spans="1:10" s="4" customFormat="1" x14ac:dyDescent="0.25">
      <c r="A1612" s="114"/>
      <c r="D1612" s="113"/>
      <c r="E1612" s="113"/>
      <c r="F1612" s="114"/>
      <c r="G1612" s="113"/>
      <c r="H1612" s="113"/>
      <c r="J1612" s="113"/>
    </row>
    <row r="1613" spans="1:10" s="4" customFormat="1" x14ac:dyDescent="0.25">
      <c r="A1613" s="114"/>
      <c r="D1613" s="113"/>
      <c r="E1613" s="113"/>
      <c r="F1613" s="114"/>
      <c r="G1613" s="113"/>
      <c r="H1613" s="113"/>
      <c r="J1613" s="113"/>
    </row>
    <row r="1614" spans="1:10" s="4" customFormat="1" x14ac:dyDescent="0.25">
      <c r="A1614" s="114"/>
      <c r="D1614" s="113"/>
      <c r="E1614" s="113"/>
      <c r="F1614" s="114"/>
      <c r="G1614" s="113"/>
      <c r="H1614" s="113"/>
      <c r="J1614" s="113"/>
    </row>
    <row r="1615" spans="1:10" s="4" customFormat="1" x14ac:dyDescent="0.25">
      <c r="A1615" s="114"/>
      <c r="D1615" s="113"/>
      <c r="E1615" s="113"/>
      <c r="F1615" s="114"/>
      <c r="G1615" s="113"/>
      <c r="H1615" s="113"/>
      <c r="J1615" s="113"/>
    </row>
    <row r="1616" spans="1:10" s="4" customFormat="1" x14ac:dyDescent="0.25">
      <c r="A1616" s="114"/>
      <c r="D1616" s="113"/>
      <c r="E1616" s="113"/>
      <c r="F1616" s="114"/>
      <c r="G1616" s="113"/>
      <c r="H1616" s="113"/>
      <c r="J1616" s="113"/>
    </row>
    <row r="1617" spans="1:10" s="4" customFormat="1" x14ac:dyDescent="0.25">
      <c r="A1617" s="114"/>
      <c r="D1617" s="113"/>
      <c r="E1617" s="113"/>
      <c r="F1617" s="114"/>
      <c r="G1617" s="113"/>
      <c r="H1617" s="113"/>
      <c r="J1617" s="113"/>
    </row>
    <row r="1618" spans="1:10" s="4" customFormat="1" x14ac:dyDescent="0.25">
      <c r="A1618" s="114"/>
      <c r="D1618" s="113"/>
      <c r="E1618" s="113"/>
      <c r="F1618" s="114"/>
      <c r="G1618" s="113"/>
      <c r="H1618" s="113"/>
      <c r="J1618" s="113"/>
    </row>
    <row r="1619" spans="1:10" s="4" customFormat="1" x14ac:dyDescent="0.25">
      <c r="A1619" s="114"/>
      <c r="D1619" s="113"/>
      <c r="E1619" s="113"/>
      <c r="F1619" s="114"/>
      <c r="G1619" s="113"/>
      <c r="H1619" s="113"/>
      <c r="J1619" s="113"/>
    </row>
    <row r="1620" spans="1:10" s="4" customFormat="1" x14ac:dyDescent="0.25">
      <c r="A1620" s="114"/>
      <c r="D1620" s="113"/>
      <c r="E1620" s="113"/>
      <c r="F1620" s="114"/>
      <c r="G1620" s="113"/>
      <c r="H1620" s="113"/>
      <c r="J1620" s="113"/>
    </row>
    <row r="1621" spans="1:10" s="4" customFormat="1" x14ac:dyDescent="0.25">
      <c r="A1621" s="114"/>
      <c r="D1621" s="113"/>
      <c r="E1621" s="113"/>
      <c r="F1621" s="114"/>
      <c r="G1621" s="113"/>
      <c r="H1621" s="113"/>
      <c r="J1621" s="113"/>
    </row>
    <row r="1622" spans="1:10" s="4" customFormat="1" x14ac:dyDescent="0.25">
      <c r="A1622" s="114"/>
      <c r="D1622" s="113"/>
      <c r="E1622" s="113"/>
      <c r="F1622" s="114"/>
      <c r="G1622" s="113"/>
      <c r="H1622" s="113"/>
      <c r="J1622" s="113"/>
    </row>
    <row r="1623" spans="1:10" s="4" customFormat="1" x14ac:dyDescent="0.25">
      <c r="A1623" s="114"/>
      <c r="D1623" s="113"/>
      <c r="E1623" s="113"/>
      <c r="F1623" s="114"/>
      <c r="G1623" s="113"/>
      <c r="H1623" s="113"/>
      <c r="J1623" s="113"/>
    </row>
    <row r="1624" spans="1:10" s="4" customFormat="1" x14ac:dyDescent="0.25">
      <c r="A1624" s="114"/>
      <c r="D1624" s="113"/>
      <c r="E1624" s="113"/>
      <c r="F1624" s="114"/>
      <c r="G1624" s="113"/>
      <c r="H1624" s="113"/>
      <c r="J1624" s="113"/>
    </row>
    <row r="1625" spans="1:10" s="4" customFormat="1" x14ac:dyDescent="0.25">
      <c r="A1625" s="114"/>
      <c r="D1625" s="113"/>
      <c r="E1625" s="113"/>
      <c r="F1625" s="114"/>
      <c r="G1625" s="113"/>
      <c r="H1625" s="113"/>
      <c r="J1625" s="113"/>
    </row>
    <row r="1626" spans="1:10" s="4" customFormat="1" x14ac:dyDescent="0.25">
      <c r="A1626" s="114"/>
      <c r="D1626" s="113"/>
      <c r="E1626" s="113"/>
      <c r="F1626" s="114"/>
      <c r="G1626" s="113"/>
      <c r="H1626" s="113"/>
      <c r="J1626" s="113"/>
    </row>
    <row r="1627" spans="1:10" s="4" customFormat="1" x14ac:dyDescent="0.25">
      <c r="A1627" s="114"/>
      <c r="D1627" s="113"/>
      <c r="E1627" s="113"/>
      <c r="F1627" s="114"/>
      <c r="G1627" s="113"/>
      <c r="H1627" s="113"/>
      <c r="J1627" s="113"/>
    </row>
    <row r="1628" spans="1:10" s="4" customFormat="1" x14ac:dyDescent="0.25">
      <c r="A1628" s="114"/>
      <c r="D1628" s="113"/>
      <c r="E1628" s="113"/>
      <c r="F1628" s="114"/>
      <c r="G1628" s="113"/>
      <c r="H1628" s="113"/>
      <c r="J1628" s="113"/>
    </row>
    <row r="1629" spans="1:10" s="4" customFormat="1" x14ac:dyDescent="0.25">
      <c r="A1629" s="114"/>
      <c r="D1629" s="113"/>
      <c r="E1629" s="113"/>
      <c r="F1629" s="114"/>
      <c r="G1629" s="113"/>
      <c r="H1629" s="113"/>
      <c r="J1629" s="113"/>
    </row>
    <row r="1630" spans="1:10" s="4" customFormat="1" x14ac:dyDescent="0.25">
      <c r="A1630" s="114"/>
      <c r="D1630" s="113"/>
      <c r="E1630" s="113"/>
      <c r="F1630" s="114"/>
      <c r="G1630" s="113"/>
      <c r="H1630" s="113"/>
      <c r="J1630" s="113"/>
    </row>
    <row r="1631" spans="1:10" s="4" customFormat="1" x14ac:dyDescent="0.25">
      <c r="A1631" s="114"/>
      <c r="D1631" s="113"/>
      <c r="E1631" s="113"/>
      <c r="F1631" s="114"/>
      <c r="G1631" s="113"/>
      <c r="H1631" s="113"/>
      <c r="J1631" s="113"/>
    </row>
    <row r="1632" spans="1:10" s="4" customFormat="1" x14ac:dyDescent="0.25">
      <c r="A1632" s="114"/>
      <c r="D1632" s="113"/>
      <c r="E1632" s="113"/>
      <c r="F1632" s="114"/>
      <c r="G1632" s="113"/>
      <c r="H1632" s="113"/>
      <c r="J1632" s="113"/>
    </row>
    <row r="1633" spans="1:10" s="4" customFormat="1" x14ac:dyDescent="0.25">
      <c r="A1633" s="114"/>
      <c r="D1633" s="113"/>
      <c r="E1633" s="113"/>
      <c r="F1633" s="114"/>
      <c r="G1633" s="113"/>
      <c r="H1633" s="113"/>
      <c r="J1633" s="113"/>
    </row>
    <row r="1634" spans="1:10" s="4" customFormat="1" x14ac:dyDescent="0.25">
      <c r="A1634" s="114"/>
      <c r="D1634" s="113"/>
      <c r="E1634" s="113"/>
      <c r="F1634" s="114"/>
      <c r="G1634" s="113"/>
      <c r="H1634" s="113"/>
      <c r="J1634" s="113"/>
    </row>
    <row r="1635" spans="1:10" s="4" customFormat="1" x14ac:dyDescent="0.25">
      <c r="A1635" s="114"/>
      <c r="D1635" s="113"/>
      <c r="E1635" s="113"/>
      <c r="F1635" s="114"/>
      <c r="G1635" s="113"/>
      <c r="H1635" s="113"/>
      <c r="J1635" s="113"/>
    </row>
    <row r="1636" spans="1:10" s="4" customFormat="1" x14ac:dyDescent="0.25">
      <c r="A1636" s="114"/>
      <c r="D1636" s="113"/>
      <c r="E1636" s="113"/>
      <c r="F1636" s="114"/>
      <c r="G1636" s="113"/>
      <c r="H1636" s="113"/>
      <c r="J1636" s="113"/>
    </row>
    <row r="1637" spans="1:10" s="4" customFormat="1" x14ac:dyDescent="0.25">
      <c r="A1637" s="114"/>
      <c r="D1637" s="113"/>
      <c r="E1637" s="113"/>
      <c r="F1637" s="114"/>
      <c r="G1637" s="113"/>
      <c r="H1637" s="113"/>
      <c r="J1637" s="113"/>
    </row>
    <row r="1638" spans="1:10" s="4" customFormat="1" x14ac:dyDescent="0.25">
      <c r="A1638" s="114"/>
      <c r="D1638" s="113"/>
      <c r="E1638" s="113"/>
      <c r="F1638" s="114"/>
      <c r="G1638" s="113"/>
      <c r="H1638" s="113"/>
      <c r="J1638" s="113"/>
    </row>
    <row r="1639" spans="1:10" s="4" customFormat="1" x14ac:dyDescent="0.25">
      <c r="A1639" s="114"/>
      <c r="D1639" s="113"/>
      <c r="E1639" s="113"/>
      <c r="F1639" s="114"/>
      <c r="G1639" s="113"/>
      <c r="H1639" s="113"/>
      <c r="J1639" s="113"/>
    </row>
    <row r="1640" spans="1:10" s="4" customFormat="1" x14ac:dyDescent="0.25">
      <c r="A1640" s="114"/>
      <c r="D1640" s="113"/>
      <c r="E1640" s="113"/>
      <c r="F1640" s="114"/>
      <c r="G1640" s="113"/>
      <c r="H1640" s="113"/>
      <c r="J1640" s="113"/>
    </row>
    <row r="1641" spans="1:10" s="4" customFormat="1" x14ac:dyDescent="0.25">
      <c r="A1641" s="114"/>
      <c r="D1641" s="113"/>
      <c r="E1641" s="113"/>
      <c r="F1641" s="114"/>
      <c r="G1641" s="113"/>
      <c r="H1641" s="113"/>
      <c r="J1641" s="113"/>
    </row>
    <row r="1642" spans="1:10" s="4" customFormat="1" x14ac:dyDescent="0.25">
      <c r="A1642" s="114"/>
      <c r="D1642" s="113"/>
      <c r="E1642" s="113"/>
      <c r="F1642" s="114"/>
      <c r="G1642" s="113"/>
      <c r="H1642" s="113"/>
      <c r="J1642" s="113"/>
    </row>
    <row r="1643" spans="1:10" s="4" customFormat="1" x14ac:dyDescent="0.25">
      <c r="A1643" s="114"/>
      <c r="D1643" s="113"/>
      <c r="E1643" s="113"/>
      <c r="F1643" s="114"/>
      <c r="G1643" s="113"/>
      <c r="H1643" s="113"/>
      <c r="J1643" s="113"/>
    </row>
    <row r="1644" spans="1:10" s="4" customFormat="1" x14ac:dyDescent="0.25">
      <c r="A1644" s="114"/>
      <c r="D1644" s="113"/>
      <c r="E1644" s="113"/>
      <c r="F1644" s="114"/>
      <c r="G1644" s="113"/>
      <c r="H1644" s="113"/>
      <c r="J1644" s="113"/>
    </row>
    <row r="1645" spans="1:10" s="4" customFormat="1" x14ac:dyDescent="0.25">
      <c r="A1645" s="114"/>
      <c r="D1645" s="113"/>
      <c r="E1645" s="113"/>
      <c r="F1645" s="114"/>
      <c r="G1645" s="113"/>
      <c r="H1645" s="113"/>
      <c r="J1645" s="113"/>
    </row>
    <row r="1646" spans="1:10" s="4" customFormat="1" x14ac:dyDescent="0.25">
      <c r="A1646" s="114"/>
      <c r="D1646" s="113"/>
      <c r="E1646" s="113"/>
      <c r="F1646" s="114"/>
      <c r="G1646" s="113"/>
      <c r="H1646" s="113"/>
      <c r="J1646" s="113"/>
    </row>
    <row r="1647" spans="1:10" s="4" customFormat="1" x14ac:dyDescent="0.25">
      <c r="A1647" s="114"/>
      <c r="D1647" s="113"/>
      <c r="E1647" s="113"/>
      <c r="F1647" s="114"/>
      <c r="G1647" s="113"/>
      <c r="H1647" s="113"/>
      <c r="J1647" s="113"/>
    </row>
    <row r="1648" spans="1:10" s="4" customFormat="1" x14ac:dyDescent="0.25">
      <c r="A1648" s="114"/>
      <c r="D1648" s="113"/>
      <c r="E1648" s="113"/>
      <c r="F1648" s="114"/>
      <c r="G1648" s="113"/>
      <c r="H1648" s="113"/>
      <c r="J1648" s="113"/>
    </row>
    <row r="1649" spans="1:10" s="4" customFormat="1" x14ac:dyDescent="0.25">
      <c r="A1649" s="114"/>
      <c r="D1649" s="113"/>
      <c r="E1649" s="113"/>
      <c r="F1649" s="114"/>
      <c r="G1649" s="113"/>
      <c r="H1649" s="113"/>
      <c r="J1649" s="113"/>
    </row>
    <row r="1650" spans="1:10" s="4" customFormat="1" x14ac:dyDescent="0.25">
      <c r="A1650" s="114"/>
      <c r="D1650" s="113"/>
      <c r="E1650" s="113"/>
      <c r="F1650" s="114"/>
      <c r="G1650" s="113"/>
      <c r="H1650" s="113"/>
      <c r="J1650" s="113"/>
    </row>
    <row r="1651" spans="1:10" s="4" customFormat="1" x14ac:dyDescent="0.25">
      <c r="A1651" s="114"/>
      <c r="D1651" s="113"/>
      <c r="E1651" s="113"/>
      <c r="F1651" s="114"/>
      <c r="G1651" s="113"/>
      <c r="H1651" s="113"/>
      <c r="J1651" s="113"/>
    </row>
    <row r="1652" spans="1:10" s="4" customFormat="1" x14ac:dyDescent="0.25">
      <c r="A1652" s="114"/>
      <c r="D1652" s="113"/>
      <c r="E1652" s="113"/>
      <c r="F1652" s="114"/>
      <c r="G1652" s="113"/>
      <c r="H1652" s="113"/>
      <c r="J1652" s="113"/>
    </row>
    <row r="1653" spans="1:10" s="4" customFormat="1" x14ac:dyDescent="0.25">
      <c r="A1653" s="114"/>
      <c r="D1653" s="113"/>
      <c r="E1653" s="113"/>
      <c r="F1653" s="114"/>
      <c r="G1653" s="113"/>
      <c r="H1653" s="113"/>
      <c r="J1653" s="113"/>
    </row>
    <row r="1654" spans="1:10" s="4" customFormat="1" x14ac:dyDescent="0.25">
      <c r="A1654" s="114"/>
      <c r="D1654" s="113"/>
      <c r="E1654" s="113"/>
      <c r="F1654" s="114"/>
      <c r="G1654" s="113"/>
      <c r="H1654" s="113"/>
      <c r="J1654" s="113"/>
    </row>
    <row r="1655" spans="1:10" s="4" customFormat="1" x14ac:dyDescent="0.25">
      <c r="A1655" s="114"/>
      <c r="D1655" s="113"/>
      <c r="E1655" s="113"/>
      <c r="F1655" s="114"/>
      <c r="G1655" s="113"/>
      <c r="H1655" s="113"/>
      <c r="J1655" s="113"/>
    </row>
    <row r="1656" spans="1:10" s="4" customFormat="1" x14ac:dyDescent="0.25">
      <c r="A1656" s="114"/>
      <c r="D1656" s="113"/>
      <c r="E1656" s="113"/>
      <c r="F1656" s="114"/>
      <c r="G1656" s="113"/>
      <c r="H1656" s="113"/>
      <c r="J1656" s="113"/>
    </row>
    <row r="1657" spans="1:10" s="4" customFormat="1" x14ac:dyDescent="0.25">
      <c r="A1657" s="114"/>
      <c r="D1657" s="113"/>
      <c r="E1657" s="113"/>
      <c r="F1657" s="114"/>
      <c r="G1657" s="113"/>
      <c r="H1657" s="113"/>
      <c r="J1657" s="113"/>
    </row>
    <row r="1658" spans="1:10" s="4" customFormat="1" x14ac:dyDescent="0.25">
      <c r="A1658" s="114"/>
      <c r="D1658" s="113"/>
      <c r="E1658" s="113"/>
      <c r="F1658" s="114"/>
      <c r="G1658" s="113"/>
      <c r="H1658" s="113"/>
      <c r="J1658" s="113"/>
    </row>
    <row r="1659" spans="1:10" s="4" customFormat="1" x14ac:dyDescent="0.25">
      <c r="A1659" s="114"/>
      <c r="D1659" s="113"/>
      <c r="E1659" s="113"/>
      <c r="F1659" s="114"/>
      <c r="G1659" s="113"/>
      <c r="H1659" s="113"/>
      <c r="J1659" s="113"/>
    </row>
    <row r="1660" spans="1:10" s="4" customFormat="1" x14ac:dyDescent="0.25">
      <c r="A1660" s="114"/>
      <c r="D1660" s="113"/>
      <c r="E1660" s="113"/>
      <c r="F1660" s="114"/>
      <c r="G1660" s="113"/>
      <c r="H1660" s="113"/>
      <c r="J1660" s="113"/>
    </row>
    <row r="1661" spans="1:10" s="4" customFormat="1" x14ac:dyDescent="0.25">
      <c r="A1661" s="114"/>
      <c r="D1661" s="113"/>
      <c r="E1661" s="113"/>
      <c r="F1661" s="114"/>
      <c r="G1661" s="113"/>
      <c r="H1661" s="113"/>
      <c r="J1661" s="113"/>
    </row>
    <row r="1662" spans="1:10" s="4" customFormat="1" x14ac:dyDescent="0.25">
      <c r="A1662" s="114"/>
      <c r="D1662" s="113"/>
      <c r="E1662" s="113"/>
      <c r="F1662" s="114"/>
      <c r="G1662" s="113"/>
      <c r="H1662" s="113"/>
      <c r="J1662" s="113"/>
    </row>
    <row r="1663" spans="1:10" s="4" customFormat="1" x14ac:dyDescent="0.25">
      <c r="A1663" s="114"/>
      <c r="D1663" s="113"/>
      <c r="E1663" s="113"/>
      <c r="F1663" s="114"/>
      <c r="G1663" s="113"/>
      <c r="H1663" s="113"/>
      <c r="J1663" s="113"/>
    </row>
    <row r="1664" spans="1:10" s="4" customFormat="1" x14ac:dyDescent="0.25">
      <c r="A1664" s="114"/>
      <c r="D1664" s="113"/>
      <c r="E1664" s="113"/>
      <c r="F1664" s="114"/>
      <c r="G1664" s="113"/>
      <c r="H1664" s="113"/>
      <c r="J1664" s="113"/>
    </row>
    <row r="1665" spans="1:10" s="4" customFormat="1" x14ac:dyDescent="0.25">
      <c r="A1665" s="114"/>
      <c r="D1665" s="113"/>
      <c r="E1665" s="113"/>
      <c r="F1665" s="114"/>
      <c r="G1665" s="113"/>
      <c r="H1665" s="113"/>
      <c r="J1665" s="113"/>
    </row>
    <row r="1666" spans="1:10" s="4" customFormat="1" x14ac:dyDescent="0.25">
      <c r="A1666" s="114"/>
      <c r="D1666" s="113"/>
      <c r="E1666" s="113"/>
      <c r="F1666" s="114"/>
      <c r="G1666" s="113"/>
      <c r="H1666" s="113"/>
      <c r="J1666" s="113"/>
    </row>
    <row r="1667" spans="1:10" s="4" customFormat="1" x14ac:dyDescent="0.25">
      <c r="A1667" s="114"/>
      <c r="D1667" s="113"/>
      <c r="E1667" s="113"/>
      <c r="F1667" s="114"/>
      <c r="G1667" s="113"/>
      <c r="H1667" s="113"/>
      <c r="J1667" s="113"/>
    </row>
    <row r="1668" spans="1:10" s="4" customFormat="1" x14ac:dyDescent="0.25">
      <c r="A1668" s="114"/>
      <c r="D1668" s="113"/>
      <c r="E1668" s="113"/>
      <c r="F1668" s="114"/>
      <c r="G1668" s="113"/>
      <c r="H1668" s="113"/>
      <c r="J1668" s="113"/>
    </row>
    <row r="1669" spans="1:10" s="4" customFormat="1" x14ac:dyDescent="0.25">
      <c r="A1669" s="114"/>
      <c r="D1669" s="113"/>
      <c r="E1669" s="113"/>
      <c r="F1669" s="114"/>
      <c r="G1669" s="113"/>
      <c r="H1669" s="113"/>
      <c r="J1669" s="113"/>
    </row>
    <row r="1670" spans="1:10" s="4" customFormat="1" x14ac:dyDescent="0.25">
      <c r="A1670" s="114"/>
      <c r="D1670" s="113"/>
      <c r="E1670" s="113"/>
      <c r="F1670" s="114"/>
      <c r="G1670" s="113"/>
      <c r="H1670" s="113"/>
      <c r="J1670" s="113"/>
    </row>
    <row r="1671" spans="1:10" s="4" customFormat="1" x14ac:dyDescent="0.25">
      <c r="A1671" s="114"/>
      <c r="D1671" s="113"/>
      <c r="E1671" s="113"/>
      <c r="F1671" s="114"/>
      <c r="G1671" s="113"/>
      <c r="H1671" s="113"/>
      <c r="J1671" s="113"/>
    </row>
    <row r="1672" spans="1:10" s="4" customFormat="1" x14ac:dyDescent="0.25">
      <c r="A1672" s="114"/>
      <c r="D1672" s="113"/>
      <c r="E1672" s="113"/>
      <c r="F1672" s="114"/>
      <c r="G1672" s="113"/>
      <c r="H1672" s="113"/>
      <c r="J1672" s="113"/>
    </row>
    <row r="1673" spans="1:10" s="4" customFormat="1" x14ac:dyDescent="0.25">
      <c r="A1673" s="114"/>
      <c r="D1673" s="113"/>
      <c r="E1673" s="113"/>
      <c r="F1673" s="114"/>
      <c r="G1673" s="113"/>
      <c r="H1673" s="113"/>
      <c r="J1673" s="113"/>
    </row>
    <row r="1674" spans="1:10" s="4" customFormat="1" x14ac:dyDescent="0.25">
      <c r="A1674" s="114"/>
      <c r="D1674" s="113"/>
      <c r="E1674" s="113"/>
      <c r="F1674" s="114"/>
      <c r="G1674" s="113"/>
      <c r="H1674" s="113"/>
      <c r="J1674" s="113"/>
    </row>
    <row r="1675" spans="1:10" s="4" customFormat="1" x14ac:dyDescent="0.25">
      <c r="A1675" s="114"/>
      <c r="D1675" s="113"/>
      <c r="E1675" s="113"/>
      <c r="F1675" s="114"/>
      <c r="G1675" s="113"/>
      <c r="H1675" s="113"/>
      <c r="J1675" s="113"/>
    </row>
    <row r="1676" spans="1:10" s="4" customFormat="1" x14ac:dyDescent="0.25">
      <c r="A1676" s="114"/>
      <c r="D1676" s="113"/>
      <c r="E1676" s="113"/>
      <c r="F1676" s="114"/>
      <c r="G1676" s="113"/>
      <c r="H1676" s="113"/>
      <c r="J1676" s="113"/>
    </row>
    <row r="1677" spans="1:10" s="4" customFormat="1" x14ac:dyDescent="0.25">
      <c r="A1677" s="114"/>
      <c r="D1677" s="113"/>
      <c r="E1677" s="113"/>
      <c r="F1677" s="114"/>
      <c r="G1677" s="113"/>
      <c r="H1677" s="113"/>
      <c r="J1677" s="113"/>
    </row>
    <row r="1678" spans="1:10" s="4" customFormat="1" x14ac:dyDescent="0.25">
      <c r="A1678" s="114"/>
      <c r="D1678" s="113"/>
      <c r="E1678" s="113"/>
      <c r="F1678" s="114"/>
      <c r="G1678" s="113"/>
      <c r="H1678" s="113"/>
      <c r="J1678" s="113"/>
    </row>
    <row r="1679" spans="1:10" s="4" customFormat="1" x14ac:dyDescent="0.25">
      <c r="A1679" s="114"/>
      <c r="D1679" s="113"/>
      <c r="E1679" s="113"/>
      <c r="F1679" s="114"/>
      <c r="G1679" s="113"/>
      <c r="H1679" s="113"/>
      <c r="J1679" s="113"/>
    </row>
    <row r="1680" spans="1:10" s="4" customFormat="1" x14ac:dyDescent="0.25">
      <c r="A1680" s="114"/>
      <c r="D1680" s="113"/>
      <c r="E1680" s="113"/>
      <c r="F1680" s="114"/>
      <c r="G1680" s="113"/>
      <c r="H1680" s="113"/>
      <c r="J1680" s="113"/>
    </row>
    <row r="1681" spans="1:10" s="4" customFormat="1" x14ac:dyDescent="0.25">
      <c r="A1681" s="114"/>
      <c r="D1681" s="113"/>
      <c r="E1681" s="113"/>
      <c r="F1681" s="114"/>
      <c r="G1681" s="113"/>
      <c r="H1681" s="113"/>
      <c r="J1681" s="113"/>
    </row>
    <row r="1682" spans="1:10" s="4" customFormat="1" x14ac:dyDescent="0.25">
      <c r="A1682" s="114"/>
      <c r="D1682" s="113"/>
      <c r="E1682" s="113"/>
      <c r="F1682" s="114"/>
      <c r="G1682" s="113"/>
      <c r="H1682" s="113"/>
      <c r="J1682" s="113"/>
    </row>
    <row r="1683" spans="1:10" s="4" customFormat="1" x14ac:dyDescent="0.25">
      <c r="A1683" s="114"/>
      <c r="D1683" s="113"/>
      <c r="E1683" s="113"/>
      <c r="F1683" s="114"/>
      <c r="G1683" s="113"/>
      <c r="H1683" s="113"/>
      <c r="J1683" s="113"/>
    </row>
    <row r="1684" spans="1:10" s="4" customFormat="1" x14ac:dyDescent="0.25">
      <c r="A1684" s="114"/>
      <c r="D1684" s="113"/>
      <c r="E1684" s="113"/>
      <c r="F1684" s="114"/>
      <c r="G1684" s="113"/>
      <c r="H1684" s="113"/>
      <c r="J1684" s="113"/>
    </row>
    <row r="1685" spans="1:10" s="4" customFormat="1" x14ac:dyDescent="0.25">
      <c r="A1685" s="114"/>
      <c r="D1685" s="113"/>
      <c r="E1685" s="113"/>
      <c r="F1685" s="114"/>
      <c r="G1685" s="113"/>
      <c r="H1685" s="113"/>
      <c r="J1685" s="113"/>
    </row>
    <row r="1686" spans="1:10" s="4" customFormat="1" x14ac:dyDescent="0.25">
      <c r="A1686" s="114"/>
      <c r="D1686" s="113"/>
      <c r="E1686" s="113"/>
      <c r="F1686" s="114"/>
      <c r="G1686" s="113"/>
      <c r="H1686" s="113"/>
      <c r="J1686" s="113"/>
    </row>
    <row r="1687" spans="1:10" s="4" customFormat="1" x14ac:dyDescent="0.25">
      <c r="A1687" s="114"/>
      <c r="D1687" s="113"/>
      <c r="E1687" s="113"/>
      <c r="F1687" s="114"/>
      <c r="G1687" s="113"/>
      <c r="H1687" s="113"/>
      <c r="J1687" s="113"/>
    </row>
    <row r="1688" spans="1:10" s="4" customFormat="1" x14ac:dyDescent="0.25">
      <c r="A1688" s="114"/>
      <c r="D1688" s="113"/>
      <c r="E1688" s="113"/>
      <c r="F1688" s="114"/>
      <c r="G1688" s="113"/>
      <c r="H1688" s="113"/>
      <c r="J1688" s="113"/>
    </row>
    <row r="1689" spans="1:10" s="4" customFormat="1" x14ac:dyDescent="0.25">
      <c r="A1689" s="114"/>
      <c r="D1689" s="113"/>
      <c r="E1689" s="113"/>
      <c r="F1689" s="114"/>
      <c r="G1689" s="113"/>
      <c r="H1689" s="113"/>
      <c r="J1689" s="113"/>
    </row>
    <row r="1690" spans="1:10" s="4" customFormat="1" x14ac:dyDescent="0.25">
      <c r="A1690" s="114"/>
      <c r="D1690" s="113"/>
      <c r="E1690" s="113"/>
      <c r="F1690" s="114"/>
      <c r="G1690" s="113"/>
      <c r="H1690" s="113"/>
      <c r="J1690" s="113"/>
    </row>
    <row r="1691" spans="1:10" s="4" customFormat="1" x14ac:dyDescent="0.25">
      <c r="A1691" s="114"/>
      <c r="D1691" s="113"/>
      <c r="E1691" s="113"/>
      <c r="F1691" s="114"/>
      <c r="G1691" s="113"/>
      <c r="H1691" s="113"/>
      <c r="J1691" s="113"/>
    </row>
    <row r="1692" spans="1:10" s="4" customFormat="1" x14ac:dyDescent="0.25">
      <c r="A1692" s="114"/>
      <c r="D1692" s="113"/>
      <c r="E1692" s="113"/>
      <c r="F1692" s="114"/>
      <c r="G1692" s="113"/>
      <c r="H1692" s="113"/>
      <c r="J1692" s="113"/>
    </row>
    <row r="1693" spans="1:10" s="4" customFormat="1" x14ac:dyDescent="0.25">
      <c r="A1693" s="114"/>
      <c r="D1693" s="113"/>
      <c r="E1693" s="113"/>
      <c r="F1693" s="114"/>
      <c r="G1693" s="113"/>
      <c r="H1693" s="113"/>
      <c r="J1693" s="113"/>
    </row>
    <row r="1694" spans="1:10" s="4" customFormat="1" x14ac:dyDescent="0.25">
      <c r="A1694" s="114"/>
      <c r="D1694" s="113"/>
      <c r="E1694" s="113"/>
      <c r="F1694" s="114"/>
      <c r="G1694" s="113"/>
      <c r="H1694" s="113"/>
      <c r="J1694" s="113"/>
    </row>
    <row r="1695" spans="1:10" s="4" customFormat="1" x14ac:dyDescent="0.25">
      <c r="A1695" s="114"/>
      <c r="D1695" s="113"/>
      <c r="E1695" s="113"/>
      <c r="F1695" s="114"/>
      <c r="G1695" s="113"/>
      <c r="H1695" s="113"/>
      <c r="J1695" s="113"/>
    </row>
    <row r="1696" spans="1:10" s="4" customFormat="1" x14ac:dyDescent="0.25">
      <c r="A1696" s="114"/>
      <c r="D1696" s="113"/>
      <c r="E1696" s="113"/>
      <c r="F1696" s="114"/>
      <c r="G1696" s="113"/>
      <c r="H1696" s="113"/>
      <c r="J1696" s="113"/>
    </row>
    <row r="1697" spans="1:10" s="4" customFormat="1" x14ac:dyDescent="0.25">
      <c r="A1697" s="114"/>
      <c r="D1697" s="113"/>
      <c r="E1697" s="113"/>
      <c r="F1697" s="114"/>
      <c r="G1697" s="113"/>
      <c r="H1697" s="113"/>
      <c r="J1697" s="113"/>
    </row>
    <row r="1698" spans="1:10" s="4" customFormat="1" x14ac:dyDescent="0.25">
      <c r="A1698" s="114"/>
      <c r="D1698" s="113"/>
      <c r="E1698" s="113"/>
      <c r="F1698" s="114"/>
      <c r="G1698" s="113"/>
      <c r="H1698" s="113"/>
      <c r="J1698" s="113"/>
    </row>
    <row r="1699" spans="1:10" s="4" customFormat="1" x14ac:dyDescent="0.25">
      <c r="A1699" s="114"/>
      <c r="D1699" s="113"/>
      <c r="E1699" s="113"/>
      <c r="F1699" s="114"/>
      <c r="G1699" s="113"/>
      <c r="H1699" s="113"/>
      <c r="J1699" s="113"/>
    </row>
    <row r="1700" spans="1:10" s="4" customFormat="1" x14ac:dyDescent="0.25">
      <c r="A1700" s="114"/>
      <c r="D1700" s="113"/>
      <c r="E1700" s="113"/>
      <c r="F1700" s="114"/>
      <c r="G1700" s="113"/>
      <c r="H1700" s="113"/>
      <c r="J1700" s="113"/>
    </row>
    <row r="1701" spans="1:10" s="4" customFormat="1" x14ac:dyDescent="0.25">
      <c r="A1701" s="114"/>
      <c r="D1701" s="113"/>
      <c r="E1701" s="113"/>
      <c r="F1701" s="114"/>
      <c r="G1701" s="113"/>
      <c r="H1701" s="113"/>
      <c r="J1701" s="113"/>
    </row>
    <row r="1702" spans="1:10" s="4" customFormat="1" x14ac:dyDescent="0.25">
      <c r="A1702" s="114"/>
      <c r="D1702" s="113"/>
      <c r="E1702" s="113"/>
      <c r="F1702" s="114"/>
      <c r="G1702" s="113"/>
      <c r="H1702" s="113"/>
      <c r="J1702" s="113"/>
    </row>
    <row r="1703" spans="1:10" s="4" customFormat="1" x14ac:dyDescent="0.25">
      <c r="A1703" s="114"/>
      <c r="D1703" s="113"/>
      <c r="E1703" s="113"/>
      <c r="F1703" s="114"/>
      <c r="G1703" s="113"/>
      <c r="H1703" s="113"/>
      <c r="J1703" s="113"/>
    </row>
    <row r="1704" spans="1:10" s="4" customFormat="1" x14ac:dyDescent="0.25">
      <c r="A1704" s="114"/>
      <c r="D1704" s="113"/>
      <c r="E1704" s="113"/>
      <c r="F1704" s="114"/>
      <c r="G1704" s="113"/>
      <c r="H1704" s="113"/>
      <c r="J1704" s="113"/>
    </row>
    <row r="1705" spans="1:10" s="4" customFormat="1" x14ac:dyDescent="0.25">
      <c r="A1705" s="114"/>
      <c r="D1705" s="113"/>
      <c r="E1705" s="113"/>
      <c r="F1705" s="114"/>
      <c r="G1705" s="113"/>
      <c r="H1705" s="113"/>
      <c r="J1705" s="113"/>
    </row>
    <row r="1706" spans="1:10" s="4" customFormat="1" x14ac:dyDescent="0.25">
      <c r="A1706" s="114"/>
      <c r="D1706" s="113"/>
      <c r="E1706" s="113"/>
      <c r="F1706" s="114"/>
      <c r="G1706" s="113"/>
      <c r="H1706" s="113"/>
      <c r="J1706" s="113"/>
    </row>
    <row r="1707" spans="1:10" s="4" customFormat="1" x14ac:dyDescent="0.25">
      <c r="A1707" s="114"/>
      <c r="D1707" s="113"/>
      <c r="E1707" s="113"/>
      <c r="F1707" s="114"/>
      <c r="G1707" s="113"/>
      <c r="H1707" s="113"/>
      <c r="J1707" s="113"/>
    </row>
    <row r="1708" spans="1:10" s="4" customFormat="1" x14ac:dyDescent="0.25">
      <c r="A1708" s="114"/>
      <c r="D1708" s="113"/>
      <c r="E1708" s="113"/>
      <c r="F1708" s="114"/>
      <c r="G1708" s="113"/>
      <c r="H1708" s="113"/>
      <c r="J1708" s="113"/>
    </row>
    <row r="1709" spans="1:10" s="4" customFormat="1" x14ac:dyDescent="0.25">
      <c r="A1709" s="114"/>
      <c r="D1709" s="113"/>
      <c r="E1709" s="113"/>
      <c r="F1709" s="114"/>
      <c r="G1709" s="113"/>
      <c r="H1709" s="113"/>
      <c r="J1709" s="113"/>
    </row>
    <row r="1710" spans="1:10" s="4" customFormat="1" x14ac:dyDescent="0.25">
      <c r="A1710" s="114"/>
      <c r="D1710" s="113"/>
      <c r="E1710" s="113"/>
      <c r="F1710" s="114"/>
      <c r="G1710" s="113"/>
      <c r="H1710" s="113"/>
      <c r="J1710" s="113"/>
    </row>
    <row r="1711" spans="1:10" s="4" customFormat="1" x14ac:dyDescent="0.25">
      <c r="A1711" s="114"/>
      <c r="D1711" s="113"/>
      <c r="E1711" s="113"/>
      <c r="F1711" s="114"/>
      <c r="G1711" s="113"/>
      <c r="H1711" s="113"/>
      <c r="J1711" s="113"/>
    </row>
    <row r="1712" spans="1:10" s="4" customFormat="1" x14ac:dyDescent="0.25">
      <c r="A1712" s="114"/>
      <c r="D1712" s="113"/>
      <c r="E1712" s="113"/>
      <c r="F1712" s="114"/>
      <c r="G1712" s="113"/>
      <c r="H1712" s="113"/>
      <c r="J1712" s="113"/>
    </row>
    <row r="1713" spans="1:10" s="4" customFormat="1" x14ac:dyDescent="0.25">
      <c r="A1713" s="114"/>
      <c r="D1713" s="113"/>
      <c r="E1713" s="113"/>
      <c r="F1713" s="114"/>
      <c r="G1713" s="113"/>
      <c r="H1713" s="113"/>
      <c r="J1713" s="113"/>
    </row>
    <row r="1714" spans="1:10" s="4" customFormat="1" x14ac:dyDescent="0.25">
      <c r="A1714" s="114"/>
      <c r="D1714" s="113"/>
      <c r="E1714" s="113"/>
      <c r="F1714" s="114"/>
      <c r="G1714" s="113"/>
      <c r="H1714" s="113"/>
      <c r="J1714" s="113"/>
    </row>
    <row r="1715" spans="1:10" s="4" customFormat="1" x14ac:dyDescent="0.25">
      <c r="A1715" s="114"/>
      <c r="D1715" s="113"/>
      <c r="E1715" s="113"/>
      <c r="F1715" s="114"/>
      <c r="G1715" s="113"/>
      <c r="H1715" s="113"/>
      <c r="J1715" s="113"/>
    </row>
    <row r="1716" spans="1:10" s="4" customFormat="1" x14ac:dyDescent="0.25">
      <c r="A1716" s="114"/>
      <c r="D1716" s="113"/>
      <c r="E1716" s="113"/>
      <c r="F1716" s="114"/>
      <c r="G1716" s="113"/>
      <c r="H1716" s="113"/>
      <c r="J1716" s="113"/>
    </row>
    <row r="1717" spans="1:10" s="4" customFormat="1" x14ac:dyDescent="0.25">
      <c r="A1717" s="114"/>
      <c r="D1717" s="113"/>
      <c r="E1717" s="113"/>
      <c r="F1717" s="114"/>
      <c r="G1717" s="113"/>
      <c r="H1717" s="113"/>
      <c r="J1717" s="113"/>
    </row>
    <row r="1718" spans="1:10" s="4" customFormat="1" x14ac:dyDescent="0.25">
      <c r="A1718" s="114"/>
      <c r="D1718" s="113"/>
      <c r="E1718" s="113"/>
      <c r="F1718" s="114"/>
      <c r="G1718" s="113"/>
      <c r="H1718" s="113"/>
      <c r="J1718" s="113"/>
    </row>
    <row r="1719" spans="1:10" s="4" customFormat="1" x14ac:dyDescent="0.25">
      <c r="A1719" s="114"/>
      <c r="D1719" s="113"/>
      <c r="E1719" s="113"/>
      <c r="F1719" s="114"/>
      <c r="G1719" s="113"/>
      <c r="H1719" s="113"/>
      <c r="J1719" s="113"/>
    </row>
    <row r="1720" spans="1:10" s="4" customFormat="1" x14ac:dyDescent="0.25">
      <c r="A1720" s="114"/>
      <c r="D1720" s="113"/>
      <c r="E1720" s="113"/>
      <c r="F1720" s="114"/>
      <c r="G1720" s="113"/>
      <c r="H1720" s="113"/>
      <c r="J1720" s="113"/>
    </row>
    <row r="1721" spans="1:10" s="4" customFormat="1" x14ac:dyDescent="0.25">
      <c r="A1721" s="114"/>
      <c r="D1721" s="113"/>
      <c r="E1721" s="113"/>
      <c r="F1721" s="114"/>
      <c r="G1721" s="113"/>
      <c r="H1721" s="113"/>
      <c r="J1721" s="113"/>
    </row>
    <row r="1722" spans="1:10" s="4" customFormat="1" x14ac:dyDescent="0.25">
      <c r="A1722" s="114"/>
      <c r="D1722" s="113"/>
      <c r="E1722" s="113"/>
      <c r="F1722" s="114"/>
      <c r="G1722" s="113"/>
      <c r="H1722" s="113"/>
      <c r="J1722" s="113"/>
    </row>
    <row r="1723" spans="1:10" s="4" customFormat="1" x14ac:dyDescent="0.25">
      <c r="A1723" s="114"/>
      <c r="D1723" s="113"/>
      <c r="E1723" s="113"/>
      <c r="F1723" s="114"/>
      <c r="G1723" s="113"/>
      <c r="H1723" s="113"/>
      <c r="J1723" s="113"/>
    </row>
    <row r="1724" spans="1:10" s="4" customFormat="1" x14ac:dyDescent="0.25">
      <c r="A1724" s="114"/>
      <c r="D1724" s="113"/>
      <c r="E1724" s="113"/>
      <c r="F1724" s="114"/>
      <c r="G1724" s="113"/>
      <c r="H1724" s="113"/>
      <c r="J1724" s="113"/>
    </row>
    <row r="1725" spans="1:10" s="4" customFormat="1" x14ac:dyDescent="0.25">
      <c r="A1725" s="114"/>
      <c r="D1725" s="113"/>
      <c r="E1725" s="113"/>
      <c r="F1725" s="114"/>
      <c r="G1725" s="113"/>
      <c r="H1725" s="113"/>
      <c r="J1725" s="113"/>
    </row>
    <row r="1726" spans="1:10" s="4" customFormat="1" x14ac:dyDescent="0.25">
      <c r="A1726" s="114"/>
      <c r="D1726" s="113"/>
      <c r="E1726" s="113"/>
      <c r="F1726" s="114"/>
      <c r="G1726" s="113"/>
      <c r="H1726" s="113"/>
      <c r="J1726" s="113"/>
    </row>
    <row r="1727" spans="1:10" s="4" customFormat="1" x14ac:dyDescent="0.25">
      <c r="A1727" s="114"/>
      <c r="D1727" s="113"/>
      <c r="E1727" s="113"/>
      <c r="F1727" s="114"/>
      <c r="G1727" s="113"/>
      <c r="H1727" s="113"/>
      <c r="J1727" s="113"/>
    </row>
    <row r="1728" spans="1:10" s="4" customFormat="1" x14ac:dyDescent="0.25">
      <c r="A1728" s="114"/>
      <c r="D1728" s="113"/>
      <c r="E1728" s="113"/>
      <c r="F1728" s="114"/>
      <c r="G1728" s="113"/>
      <c r="H1728" s="113"/>
      <c r="J1728" s="113"/>
    </row>
    <row r="1729" spans="1:10" s="4" customFormat="1" x14ac:dyDescent="0.25">
      <c r="A1729" s="114"/>
      <c r="D1729" s="113"/>
      <c r="E1729" s="113"/>
      <c r="F1729" s="114"/>
      <c r="G1729" s="113"/>
      <c r="H1729" s="113"/>
      <c r="J1729" s="113"/>
    </row>
    <row r="1730" spans="1:10" s="4" customFormat="1" x14ac:dyDescent="0.25">
      <c r="A1730" s="114"/>
      <c r="D1730" s="113"/>
      <c r="E1730" s="113"/>
      <c r="F1730" s="114"/>
      <c r="G1730" s="113"/>
      <c r="H1730" s="113"/>
      <c r="J1730" s="113"/>
    </row>
    <row r="1731" spans="1:10" s="4" customFormat="1" x14ac:dyDescent="0.25">
      <c r="A1731" s="114"/>
      <c r="D1731" s="113"/>
      <c r="E1731" s="113"/>
      <c r="F1731" s="114"/>
      <c r="G1731" s="113"/>
      <c r="H1731" s="113"/>
      <c r="J1731" s="113"/>
    </row>
    <row r="1732" spans="1:10" s="4" customFormat="1" x14ac:dyDescent="0.25">
      <c r="A1732" s="114"/>
      <c r="D1732" s="113"/>
      <c r="E1732" s="113"/>
      <c r="F1732" s="114"/>
      <c r="G1732" s="113"/>
      <c r="H1732" s="113"/>
      <c r="J1732" s="113"/>
    </row>
    <row r="1733" spans="1:10" s="4" customFormat="1" x14ac:dyDescent="0.25">
      <c r="A1733" s="114"/>
      <c r="D1733" s="113"/>
      <c r="E1733" s="113"/>
      <c r="F1733" s="114"/>
      <c r="G1733" s="113"/>
      <c r="H1733" s="113"/>
      <c r="J1733" s="113"/>
    </row>
    <row r="1734" spans="1:10" s="4" customFormat="1" x14ac:dyDescent="0.25">
      <c r="A1734" s="114"/>
      <c r="D1734" s="113"/>
      <c r="E1734" s="113"/>
      <c r="F1734" s="114"/>
      <c r="G1734" s="113"/>
      <c r="H1734" s="113"/>
      <c r="J1734" s="113"/>
    </row>
    <row r="1735" spans="1:10" s="4" customFormat="1" x14ac:dyDescent="0.25">
      <c r="A1735" s="114"/>
      <c r="D1735" s="113"/>
      <c r="E1735" s="113"/>
      <c r="F1735" s="114"/>
      <c r="G1735" s="113"/>
      <c r="H1735" s="113"/>
      <c r="J1735" s="113"/>
    </row>
    <row r="1736" spans="1:10" s="4" customFormat="1" x14ac:dyDescent="0.25">
      <c r="A1736" s="114"/>
      <c r="D1736" s="113"/>
      <c r="E1736" s="113"/>
      <c r="F1736" s="114"/>
      <c r="G1736" s="113"/>
      <c r="H1736" s="113"/>
      <c r="J1736" s="113"/>
    </row>
    <row r="1737" spans="1:10" s="4" customFormat="1" x14ac:dyDescent="0.25">
      <c r="A1737" s="114"/>
      <c r="D1737" s="113"/>
      <c r="E1737" s="113"/>
      <c r="F1737" s="114"/>
      <c r="G1737" s="113"/>
      <c r="H1737" s="113"/>
      <c r="J1737" s="113"/>
    </row>
    <row r="1738" spans="1:10" s="4" customFormat="1" x14ac:dyDescent="0.25">
      <c r="A1738" s="114"/>
      <c r="D1738" s="113"/>
      <c r="E1738" s="113"/>
      <c r="F1738" s="114"/>
      <c r="G1738" s="113"/>
      <c r="H1738" s="113"/>
      <c r="J1738" s="113"/>
    </row>
    <row r="1739" spans="1:10" s="4" customFormat="1" x14ac:dyDescent="0.25">
      <c r="A1739" s="114"/>
      <c r="D1739" s="113"/>
      <c r="E1739" s="113"/>
      <c r="F1739" s="114"/>
      <c r="G1739" s="113"/>
      <c r="H1739" s="113"/>
      <c r="J1739" s="113"/>
    </row>
    <row r="1740" spans="1:10" s="4" customFormat="1" x14ac:dyDescent="0.25">
      <c r="A1740" s="114"/>
      <c r="D1740" s="113"/>
      <c r="E1740" s="113"/>
      <c r="F1740" s="114"/>
      <c r="G1740" s="113"/>
      <c r="H1740" s="113"/>
      <c r="J1740" s="113"/>
    </row>
    <row r="1741" spans="1:10" s="4" customFormat="1" x14ac:dyDescent="0.25">
      <c r="A1741" s="114"/>
      <c r="D1741" s="113"/>
      <c r="E1741" s="113"/>
      <c r="F1741" s="114"/>
      <c r="G1741" s="113"/>
      <c r="H1741" s="113"/>
      <c r="J1741" s="113"/>
    </row>
    <row r="1742" spans="1:10" s="4" customFormat="1" x14ac:dyDescent="0.25">
      <c r="A1742" s="114"/>
      <c r="D1742" s="113"/>
      <c r="E1742" s="113"/>
      <c r="F1742" s="114"/>
      <c r="G1742" s="113"/>
      <c r="H1742" s="113"/>
      <c r="J1742" s="113"/>
    </row>
    <row r="1743" spans="1:10" s="4" customFormat="1" x14ac:dyDescent="0.25">
      <c r="A1743" s="114"/>
      <c r="D1743" s="113"/>
      <c r="E1743" s="113"/>
      <c r="F1743" s="114"/>
      <c r="G1743" s="113"/>
      <c r="H1743" s="113"/>
      <c r="J1743" s="113"/>
    </row>
    <row r="1744" spans="1:10" s="4" customFormat="1" x14ac:dyDescent="0.25">
      <c r="A1744" s="114"/>
      <c r="D1744" s="113"/>
      <c r="E1744" s="113"/>
      <c r="F1744" s="114"/>
      <c r="G1744" s="113"/>
      <c r="H1744" s="113"/>
      <c r="J1744" s="113"/>
    </row>
    <row r="1745" spans="1:10" s="4" customFormat="1" x14ac:dyDescent="0.25">
      <c r="A1745" s="114"/>
      <c r="D1745" s="113"/>
      <c r="E1745" s="113"/>
      <c r="F1745" s="114"/>
      <c r="G1745" s="113"/>
      <c r="H1745" s="113"/>
      <c r="J1745" s="113"/>
    </row>
    <row r="1746" spans="1:10" s="4" customFormat="1" x14ac:dyDescent="0.25">
      <c r="A1746" s="114"/>
      <c r="D1746" s="113"/>
      <c r="E1746" s="113"/>
      <c r="F1746" s="114"/>
      <c r="G1746" s="113"/>
      <c r="H1746" s="113"/>
      <c r="J1746" s="113"/>
    </row>
    <row r="1747" spans="1:10" s="4" customFormat="1" x14ac:dyDescent="0.25">
      <c r="A1747" s="114"/>
      <c r="D1747" s="113"/>
      <c r="E1747" s="113"/>
      <c r="F1747" s="114"/>
      <c r="G1747" s="113"/>
      <c r="H1747" s="113"/>
      <c r="J1747" s="113"/>
    </row>
    <row r="1748" spans="1:10" s="4" customFormat="1" x14ac:dyDescent="0.25">
      <c r="A1748" s="114"/>
      <c r="D1748" s="113"/>
      <c r="E1748" s="113"/>
      <c r="F1748" s="114"/>
      <c r="G1748" s="113"/>
      <c r="H1748" s="113"/>
      <c r="J1748" s="113"/>
    </row>
    <row r="1749" spans="1:10" s="4" customFormat="1" x14ac:dyDescent="0.25">
      <c r="A1749" s="114"/>
      <c r="D1749" s="113"/>
      <c r="E1749" s="113"/>
      <c r="F1749" s="114"/>
      <c r="G1749" s="113"/>
      <c r="H1749" s="113"/>
      <c r="J1749" s="113"/>
    </row>
    <row r="1750" spans="1:10" s="4" customFormat="1" x14ac:dyDescent="0.25">
      <c r="A1750" s="114"/>
      <c r="D1750" s="113"/>
      <c r="E1750" s="113"/>
      <c r="F1750" s="114"/>
      <c r="G1750" s="113"/>
      <c r="H1750" s="113"/>
      <c r="J1750" s="113"/>
    </row>
    <row r="1751" spans="1:10" s="4" customFormat="1" x14ac:dyDescent="0.25">
      <c r="A1751" s="114"/>
      <c r="D1751" s="113"/>
      <c r="E1751" s="113"/>
      <c r="F1751" s="114"/>
      <c r="G1751" s="113"/>
      <c r="H1751" s="113"/>
      <c r="J1751" s="113"/>
    </row>
    <row r="1752" spans="1:10" s="4" customFormat="1" x14ac:dyDescent="0.25">
      <c r="A1752" s="114"/>
      <c r="D1752" s="113"/>
      <c r="E1752" s="113"/>
      <c r="F1752" s="114"/>
      <c r="G1752" s="113"/>
      <c r="H1752" s="113"/>
      <c r="J1752" s="113"/>
    </row>
    <row r="1753" spans="1:10" s="4" customFormat="1" x14ac:dyDescent="0.25">
      <c r="A1753" s="114"/>
      <c r="D1753" s="113"/>
      <c r="E1753" s="113"/>
      <c r="F1753" s="114"/>
      <c r="G1753" s="113"/>
      <c r="H1753" s="113"/>
      <c r="J1753" s="113"/>
    </row>
    <row r="1754" spans="1:10" s="4" customFormat="1" x14ac:dyDescent="0.25">
      <c r="A1754" s="114"/>
      <c r="D1754" s="113"/>
      <c r="E1754" s="113"/>
      <c r="F1754" s="114"/>
      <c r="G1754" s="113"/>
      <c r="H1754" s="113"/>
      <c r="J1754" s="113"/>
    </row>
    <row r="1755" spans="1:10" s="4" customFormat="1" x14ac:dyDescent="0.25">
      <c r="A1755" s="114"/>
      <c r="D1755" s="113"/>
      <c r="E1755" s="113"/>
      <c r="F1755" s="114"/>
      <c r="G1755" s="113"/>
      <c r="H1755" s="113"/>
      <c r="J1755" s="113"/>
    </row>
    <row r="1756" spans="1:10" s="4" customFormat="1" x14ac:dyDescent="0.25">
      <c r="A1756" s="114"/>
      <c r="D1756" s="113"/>
      <c r="E1756" s="113"/>
      <c r="F1756" s="114"/>
      <c r="G1756" s="113"/>
      <c r="H1756" s="113"/>
      <c r="J1756" s="113"/>
    </row>
    <row r="1757" spans="1:10" s="4" customFormat="1" x14ac:dyDescent="0.25">
      <c r="A1757" s="114"/>
      <c r="D1757" s="113"/>
      <c r="E1757" s="113"/>
      <c r="F1757" s="114"/>
      <c r="G1757" s="113"/>
      <c r="H1757" s="113"/>
      <c r="J1757" s="113"/>
    </row>
    <row r="1758" spans="1:10" s="4" customFormat="1" x14ac:dyDescent="0.25">
      <c r="A1758" s="114"/>
      <c r="D1758" s="113"/>
      <c r="E1758" s="113"/>
      <c r="F1758" s="114"/>
      <c r="G1758" s="113"/>
      <c r="H1758" s="113"/>
      <c r="J1758" s="113"/>
    </row>
    <row r="1759" spans="1:10" s="4" customFormat="1" x14ac:dyDescent="0.25">
      <c r="A1759" s="114"/>
      <c r="D1759" s="113"/>
      <c r="E1759" s="113"/>
      <c r="F1759" s="114"/>
      <c r="G1759" s="113"/>
      <c r="H1759" s="113"/>
      <c r="J1759" s="113"/>
    </row>
    <row r="1760" spans="1:10" s="4" customFormat="1" x14ac:dyDescent="0.25">
      <c r="A1760" s="114"/>
      <c r="D1760" s="113"/>
      <c r="E1760" s="113"/>
      <c r="F1760" s="114"/>
      <c r="G1760" s="113"/>
      <c r="H1760" s="113"/>
      <c r="J1760" s="113"/>
    </row>
    <row r="1761" spans="1:10" s="4" customFormat="1" x14ac:dyDescent="0.25">
      <c r="A1761" s="114"/>
      <c r="D1761" s="113"/>
      <c r="E1761" s="113"/>
      <c r="F1761" s="114"/>
      <c r="G1761" s="113"/>
      <c r="H1761" s="113"/>
      <c r="J1761" s="113"/>
    </row>
    <row r="1762" spans="1:10" s="4" customFormat="1" x14ac:dyDescent="0.25">
      <c r="A1762" s="114"/>
      <c r="D1762" s="113"/>
      <c r="E1762" s="113"/>
      <c r="F1762" s="114"/>
      <c r="G1762" s="113"/>
      <c r="H1762" s="113"/>
      <c r="J1762" s="113"/>
    </row>
    <row r="1763" spans="1:10" s="4" customFormat="1" x14ac:dyDescent="0.25">
      <c r="A1763" s="114"/>
      <c r="D1763" s="113"/>
      <c r="E1763" s="113"/>
      <c r="F1763" s="114"/>
      <c r="G1763" s="113"/>
      <c r="H1763" s="113"/>
      <c r="J1763" s="113"/>
    </row>
    <row r="1764" spans="1:10" s="4" customFormat="1" x14ac:dyDescent="0.25">
      <c r="A1764" s="114"/>
      <c r="D1764" s="113"/>
      <c r="E1764" s="113"/>
      <c r="F1764" s="114"/>
      <c r="G1764" s="113"/>
      <c r="H1764" s="113"/>
      <c r="J1764" s="113"/>
    </row>
    <row r="1765" spans="1:10" s="4" customFormat="1" x14ac:dyDescent="0.25">
      <c r="A1765" s="114"/>
      <c r="D1765" s="113"/>
      <c r="E1765" s="113"/>
      <c r="F1765" s="114"/>
      <c r="G1765" s="113"/>
      <c r="H1765" s="113"/>
      <c r="J1765" s="113"/>
    </row>
    <row r="1766" spans="1:10" s="4" customFormat="1" x14ac:dyDescent="0.25">
      <c r="A1766" s="114"/>
      <c r="D1766" s="113"/>
      <c r="E1766" s="113"/>
      <c r="F1766" s="114"/>
      <c r="G1766" s="113"/>
      <c r="H1766" s="113"/>
      <c r="J1766" s="113"/>
    </row>
    <row r="1767" spans="1:10" s="4" customFormat="1" x14ac:dyDescent="0.25">
      <c r="A1767" s="114"/>
      <c r="D1767" s="113"/>
      <c r="E1767" s="113"/>
      <c r="F1767" s="114"/>
      <c r="G1767" s="113"/>
      <c r="H1767" s="113"/>
      <c r="J1767" s="113"/>
    </row>
    <row r="1768" spans="1:10" s="4" customFormat="1" x14ac:dyDescent="0.25">
      <c r="A1768" s="114"/>
      <c r="D1768" s="113"/>
      <c r="E1768" s="113"/>
      <c r="F1768" s="114"/>
      <c r="G1768" s="113"/>
      <c r="H1768" s="113"/>
      <c r="J1768" s="113"/>
    </row>
    <row r="1769" spans="1:10" s="4" customFormat="1" x14ac:dyDescent="0.25">
      <c r="A1769" s="114"/>
      <c r="D1769" s="113"/>
      <c r="E1769" s="113"/>
      <c r="F1769" s="114"/>
      <c r="G1769" s="113"/>
      <c r="H1769" s="113"/>
      <c r="J1769" s="113"/>
    </row>
    <row r="1770" spans="1:10" s="4" customFormat="1" x14ac:dyDescent="0.25">
      <c r="A1770" s="114"/>
      <c r="D1770" s="113"/>
      <c r="E1770" s="113"/>
      <c r="F1770" s="114"/>
      <c r="G1770" s="113"/>
      <c r="H1770" s="113"/>
      <c r="J1770" s="113"/>
    </row>
    <row r="1771" spans="1:10" s="4" customFormat="1" x14ac:dyDescent="0.25">
      <c r="A1771" s="114"/>
      <c r="D1771" s="113"/>
      <c r="E1771" s="113"/>
      <c r="F1771" s="114"/>
      <c r="G1771" s="113"/>
      <c r="H1771" s="113"/>
      <c r="J1771" s="113"/>
    </row>
    <row r="1772" spans="1:10" s="4" customFormat="1" x14ac:dyDescent="0.25">
      <c r="A1772" s="114"/>
      <c r="D1772" s="113"/>
      <c r="E1772" s="113"/>
      <c r="F1772" s="114"/>
      <c r="G1772" s="113"/>
      <c r="H1772" s="113"/>
      <c r="J1772" s="113"/>
    </row>
    <row r="1773" spans="1:10" s="4" customFormat="1" x14ac:dyDescent="0.25">
      <c r="A1773" s="114"/>
      <c r="D1773" s="113"/>
      <c r="E1773" s="113"/>
      <c r="F1773" s="114"/>
      <c r="G1773" s="113"/>
      <c r="H1773" s="113"/>
      <c r="J1773" s="113"/>
    </row>
    <row r="1774" spans="1:10" s="4" customFormat="1" x14ac:dyDescent="0.25">
      <c r="A1774" s="114"/>
      <c r="D1774" s="113"/>
      <c r="E1774" s="113"/>
      <c r="F1774" s="114"/>
      <c r="G1774" s="113"/>
      <c r="H1774" s="113"/>
      <c r="J1774" s="113"/>
    </row>
    <row r="1775" spans="1:10" s="4" customFormat="1" x14ac:dyDescent="0.25">
      <c r="A1775" s="114"/>
      <c r="D1775" s="113"/>
      <c r="E1775" s="113"/>
      <c r="F1775" s="114"/>
      <c r="G1775" s="113"/>
      <c r="H1775" s="113"/>
      <c r="J1775" s="113"/>
    </row>
    <row r="1776" spans="1:10" s="4" customFormat="1" x14ac:dyDescent="0.25">
      <c r="A1776" s="114"/>
      <c r="D1776" s="113"/>
      <c r="E1776" s="113"/>
      <c r="F1776" s="114"/>
      <c r="G1776" s="113"/>
      <c r="H1776" s="113"/>
      <c r="J1776" s="113"/>
    </row>
    <row r="1777" spans="1:10" s="4" customFormat="1" x14ac:dyDescent="0.25">
      <c r="A1777" s="114"/>
      <c r="D1777" s="113"/>
      <c r="E1777" s="113"/>
      <c r="F1777" s="114"/>
      <c r="G1777" s="113"/>
      <c r="H1777" s="113"/>
      <c r="J1777" s="113"/>
    </row>
    <row r="1778" spans="1:10" s="4" customFormat="1" x14ac:dyDescent="0.25">
      <c r="A1778" s="114"/>
      <c r="D1778" s="113"/>
      <c r="E1778" s="113"/>
      <c r="F1778" s="114"/>
      <c r="G1778" s="113"/>
      <c r="H1778" s="113"/>
      <c r="J1778" s="113"/>
    </row>
    <row r="1779" spans="1:10" s="4" customFormat="1" x14ac:dyDescent="0.25">
      <c r="A1779" s="114"/>
      <c r="D1779" s="113"/>
      <c r="E1779" s="113"/>
      <c r="F1779" s="114"/>
      <c r="G1779" s="113"/>
      <c r="H1779" s="113"/>
      <c r="J1779" s="113"/>
    </row>
    <row r="1780" spans="1:10" s="4" customFormat="1" x14ac:dyDescent="0.25">
      <c r="A1780" s="114"/>
      <c r="D1780" s="113"/>
      <c r="E1780" s="113"/>
      <c r="F1780" s="114"/>
      <c r="G1780" s="113"/>
      <c r="H1780" s="113"/>
      <c r="J1780" s="113"/>
    </row>
    <row r="1781" spans="1:10" s="4" customFormat="1" x14ac:dyDescent="0.25">
      <c r="A1781" s="114"/>
      <c r="D1781" s="113"/>
      <c r="E1781" s="113"/>
      <c r="F1781" s="114"/>
      <c r="G1781" s="113"/>
      <c r="H1781" s="113"/>
      <c r="J1781" s="113"/>
    </row>
    <row r="1782" spans="1:10" s="4" customFormat="1" x14ac:dyDescent="0.25">
      <c r="A1782" s="114"/>
      <c r="D1782" s="113"/>
      <c r="E1782" s="113"/>
      <c r="F1782" s="114"/>
      <c r="G1782" s="113"/>
      <c r="H1782" s="113"/>
      <c r="J1782" s="113"/>
    </row>
    <row r="1783" spans="1:10" s="4" customFormat="1" x14ac:dyDescent="0.25">
      <c r="A1783" s="114"/>
      <c r="D1783" s="113"/>
      <c r="E1783" s="113"/>
      <c r="F1783" s="114"/>
      <c r="G1783" s="113"/>
      <c r="H1783" s="113"/>
      <c r="J1783" s="113"/>
    </row>
    <row r="1784" spans="1:10" s="4" customFormat="1" x14ac:dyDescent="0.25">
      <c r="A1784" s="114"/>
      <c r="D1784" s="113"/>
      <c r="E1784" s="113"/>
      <c r="F1784" s="114"/>
      <c r="G1784" s="113"/>
      <c r="H1784" s="113"/>
      <c r="J1784" s="113"/>
    </row>
    <row r="1785" spans="1:10" s="4" customFormat="1" x14ac:dyDescent="0.25">
      <c r="A1785" s="114"/>
      <c r="D1785" s="113"/>
      <c r="E1785" s="113"/>
      <c r="F1785" s="114"/>
      <c r="G1785" s="113"/>
      <c r="H1785" s="113"/>
      <c r="J1785" s="113"/>
    </row>
    <row r="1786" spans="1:10" s="4" customFormat="1" x14ac:dyDescent="0.25">
      <c r="A1786" s="114"/>
      <c r="D1786" s="113"/>
      <c r="E1786" s="113"/>
      <c r="F1786" s="114"/>
      <c r="G1786" s="113"/>
      <c r="H1786" s="113"/>
      <c r="J1786" s="113"/>
    </row>
    <row r="1787" spans="1:10" s="4" customFormat="1" x14ac:dyDescent="0.25">
      <c r="A1787" s="114"/>
      <c r="D1787" s="113"/>
      <c r="E1787" s="113"/>
      <c r="F1787" s="114"/>
      <c r="G1787" s="113"/>
      <c r="H1787" s="113"/>
      <c r="J1787" s="113"/>
    </row>
    <row r="1788" spans="1:10" s="4" customFormat="1" x14ac:dyDescent="0.25">
      <c r="A1788" s="114"/>
      <c r="D1788" s="113"/>
      <c r="E1788" s="113"/>
      <c r="F1788" s="114"/>
      <c r="G1788" s="113"/>
      <c r="H1788" s="113"/>
      <c r="J1788" s="113"/>
    </row>
    <row r="1789" spans="1:10" s="4" customFormat="1" x14ac:dyDescent="0.25">
      <c r="A1789" s="114"/>
      <c r="D1789" s="113"/>
      <c r="E1789" s="113"/>
      <c r="F1789" s="114"/>
      <c r="G1789" s="113"/>
      <c r="H1789" s="113"/>
      <c r="J1789" s="113"/>
    </row>
    <row r="1790" spans="1:10" s="4" customFormat="1" x14ac:dyDescent="0.25">
      <c r="A1790" s="114"/>
      <c r="D1790" s="113"/>
      <c r="E1790" s="113"/>
      <c r="F1790" s="114"/>
      <c r="G1790" s="113"/>
      <c r="H1790" s="113"/>
      <c r="J1790" s="113"/>
    </row>
    <row r="1791" spans="1:10" s="4" customFormat="1" x14ac:dyDescent="0.25">
      <c r="A1791" s="114"/>
      <c r="D1791" s="113"/>
      <c r="E1791" s="113"/>
      <c r="F1791" s="114"/>
      <c r="G1791" s="113"/>
      <c r="H1791" s="113"/>
      <c r="J1791" s="113"/>
    </row>
    <row r="1792" spans="1:10" s="4" customFormat="1" x14ac:dyDescent="0.25">
      <c r="A1792" s="114"/>
      <c r="D1792" s="113"/>
      <c r="E1792" s="113"/>
      <c r="F1792" s="114"/>
      <c r="G1792" s="113"/>
      <c r="H1792" s="113"/>
      <c r="J1792" s="113"/>
    </row>
    <row r="1793" spans="1:10" s="4" customFormat="1" x14ac:dyDescent="0.25">
      <c r="A1793" s="114"/>
      <c r="D1793" s="113"/>
      <c r="E1793" s="113"/>
      <c r="F1793" s="114"/>
      <c r="G1793" s="113"/>
      <c r="H1793" s="113"/>
      <c r="J1793" s="113"/>
    </row>
    <row r="1794" spans="1:10" s="4" customFormat="1" x14ac:dyDescent="0.25">
      <c r="A1794" s="114"/>
      <c r="D1794" s="113"/>
      <c r="E1794" s="113"/>
      <c r="F1794" s="114"/>
      <c r="G1794" s="113"/>
      <c r="H1794" s="113"/>
      <c r="J1794" s="113"/>
    </row>
    <row r="1795" spans="1:10" s="4" customFormat="1" x14ac:dyDescent="0.25">
      <c r="A1795" s="114"/>
      <c r="D1795" s="113"/>
      <c r="E1795" s="113"/>
      <c r="F1795" s="114"/>
      <c r="G1795" s="113"/>
      <c r="H1795" s="113"/>
      <c r="J1795" s="113"/>
    </row>
    <row r="1796" spans="1:10" s="4" customFormat="1" x14ac:dyDescent="0.25">
      <c r="A1796" s="114"/>
      <c r="D1796" s="113"/>
      <c r="E1796" s="113"/>
      <c r="F1796" s="114"/>
      <c r="G1796" s="113"/>
      <c r="H1796" s="113"/>
      <c r="J1796" s="113"/>
    </row>
    <row r="1797" spans="1:10" s="4" customFormat="1" x14ac:dyDescent="0.25">
      <c r="A1797" s="114"/>
      <c r="D1797" s="113"/>
      <c r="E1797" s="113"/>
      <c r="F1797" s="114"/>
      <c r="G1797" s="113"/>
      <c r="H1797" s="113"/>
      <c r="J1797" s="113"/>
    </row>
    <row r="1798" spans="1:10" s="4" customFormat="1" x14ac:dyDescent="0.25">
      <c r="A1798" s="114"/>
      <c r="D1798" s="113"/>
      <c r="E1798" s="113"/>
      <c r="F1798" s="114"/>
      <c r="G1798" s="113"/>
      <c r="H1798" s="113"/>
      <c r="J1798" s="113"/>
    </row>
    <row r="1799" spans="1:10" s="4" customFormat="1" x14ac:dyDescent="0.25">
      <c r="A1799" s="114"/>
      <c r="D1799" s="113"/>
      <c r="E1799" s="113"/>
      <c r="F1799" s="114"/>
      <c r="G1799" s="113"/>
      <c r="H1799" s="113"/>
      <c r="J1799" s="113"/>
    </row>
    <row r="1800" spans="1:10" s="4" customFormat="1" x14ac:dyDescent="0.25">
      <c r="A1800" s="114"/>
      <c r="D1800" s="113"/>
      <c r="E1800" s="113"/>
      <c r="F1800" s="114"/>
      <c r="G1800" s="113"/>
      <c r="H1800" s="113"/>
      <c r="J1800" s="113"/>
    </row>
    <row r="1801" spans="1:10" s="4" customFormat="1" x14ac:dyDescent="0.25">
      <c r="A1801" s="114"/>
      <c r="D1801" s="113"/>
      <c r="E1801" s="113"/>
      <c r="F1801" s="114"/>
      <c r="G1801" s="113"/>
      <c r="H1801" s="113"/>
      <c r="J1801" s="113"/>
    </row>
    <row r="1802" spans="1:10" s="4" customFormat="1" x14ac:dyDescent="0.25">
      <c r="A1802" s="114"/>
      <c r="D1802" s="113"/>
      <c r="E1802" s="113"/>
      <c r="F1802" s="114"/>
      <c r="G1802" s="113"/>
      <c r="H1802" s="113"/>
      <c r="J1802" s="113"/>
    </row>
    <row r="1803" spans="1:10" s="4" customFormat="1" x14ac:dyDescent="0.25">
      <c r="A1803" s="114"/>
      <c r="D1803" s="113"/>
      <c r="E1803" s="113"/>
      <c r="F1803" s="114"/>
      <c r="G1803" s="113"/>
      <c r="H1803" s="113"/>
      <c r="J1803" s="113"/>
    </row>
    <row r="1804" spans="1:10" s="4" customFormat="1" x14ac:dyDescent="0.25">
      <c r="A1804" s="114"/>
      <c r="D1804" s="113"/>
      <c r="E1804" s="113"/>
      <c r="F1804" s="114"/>
      <c r="G1804" s="113"/>
      <c r="H1804" s="113"/>
      <c r="J1804" s="113"/>
    </row>
    <row r="1805" spans="1:10" s="4" customFormat="1" x14ac:dyDescent="0.25">
      <c r="A1805" s="114"/>
      <c r="D1805" s="113"/>
      <c r="E1805" s="113"/>
      <c r="F1805" s="114"/>
      <c r="G1805" s="113"/>
      <c r="H1805" s="113"/>
      <c r="J1805" s="113"/>
    </row>
    <row r="1806" spans="1:10" s="4" customFormat="1" x14ac:dyDescent="0.25">
      <c r="A1806" s="114"/>
      <c r="D1806" s="113"/>
      <c r="E1806" s="113"/>
      <c r="F1806" s="114"/>
      <c r="G1806" s="113"/>
      <c r="H1806" s="113"/>
      <c r="J1806" s="113"/>
    </row>
    <row r="1807" spans="1:10" s="4" customFormat="1" x14ac:dyDescent="0.25">
      <c r="A1807" s="114"/>
      <c r="D1807" s="113"/>
      <c r="E1807" s="113"/>
      <c r="F1807" s="114"/>
      <c r="G1807" s="113"/>
      <c r="H1807" s="113"/>
      <c r="J1807" s="113"/>
    </row>
    <row r="1808" spans="1:10" s="4" customFormat="1" x14ac:dyDescent="0.25">
      <c r="A1808" s="114"/>
      <c r="D1808" s="113"/>
      <c r="E1808" s="113"/>
      <c r="F1808" s="114"/>
      <c r="G1808" s="113"/>
      <c r="H1808" s="113"/>
      <c r="J1808" s="113"/>
    </row>
    <row r="1809" spans="1:10" s="4" customFormat="1" x14ac:dyDescent="0.25">
      <c r="A1809" s="114"/>
      <c r="D1809" s="113"/>
      <c r="E1809" s="113"/>
      <c r="F1809" s="114"/>
      <c r="G1809" s="113"/>
      <c r="H1809" s="113"/>
      <c r="J1809" s="113"/>
    </row>
    <row r="1810" spans="1:10" s="4" customFormat="1" x14ac:dyDescent="0.25">
      <c r="A1810" s="114"/>
      <c r="D1810" s="113"/>
      <c r="E1810" s="113"/>
      <c r="F1810" s="114"/>
      <c r="G1810" s="113"/>
      <c r="H1810" s="113"/>
      <c r="J1810" s="113"/>
    </row>
    <row r="1811" spans="1:10" s="4" customFormat="1" x14ac:dyDescent="0.25">
      <c r="A1811" s="114"/>
      <c r="D1811" s="113"/>
      <c r="E1811" s="113"/>
      <c r="F1811" s="114"/>
      <c r="G1811" s="113"/>
      <c r="H1811" s="113"/>
      <c r="J1811" s="113"/>
    </row>
    <row r="1812" spans="1:10" s="4" customFormat="1" x14ac:dyDescent="0.25">
      <c r="A1812" s="114"/>
      <c r="D1812" s="113"/>
      <c r="E1812" s="113"/>
      <c r="F1812" s="114"/>
      <c r="G1812" s="113"/>
      <c r="H1812" s="113"/>
      <c r="J1812" s="113"/>
    </row>
    <row r="1813" spans="1:10" s="4" customFormat="1" x14ac:dyDescent="0.25">
      <c r="A1813" s="114"/>
      <c r="D1813" s="113"/>
      <c r="E1813" s="113"/>
      <c r="F1813" s="114"/>
      <c r="G1813" s="113"/>
      <c r="H1813" s="113"/>
      <c r="J1813" s="113"/>
    </row>
    <row r="1814" spans="1:10" s="4" customFormat="1" x14ac:dyDescent="0.25">
      <c r="A1814" s="114"/>
      <c r="D1814" s="113"/>
      <c r="E1814" s="113"/>
      <c r="F1814" s="114"/>
      <c r="G1814" s="113"/>
      <c r="H1814" s="113"/>
      <c r="J1814" s="113"/>
    </row>
    <row r="1815" spans="1:10" s="4" customFormat="1" x14ac:dyDescent="0.25">
      <c r="A1815" s="114"/>
      <c r="D1815" s="113"/>
      <c r="E1815" s="113"/>
      <c r="F1815" s="114"/>
      <c r="G1815" s="113"/>
      <c r="H1815" s="113"/>
      <c r="J1815" s="113"/>
    </row>
    <row r="1816" spans="1:10" s="4" customFormat="1" x14ac:dyDescent="0.25">
      <c r="A1816" s="114"/>
      <c r="D1816" s="113"/>
      <c r="E1816" s="113"/>
      <c r="F1816" s="114"/>
      <c r="G1816" s="113"/>
      <c r="H1816" s="113"/>
      <c r="J1816" s="113"/>
    </row>
    <row r="1817" spans="1:10" s="4" customFormat="1" x14ac:dyDescent="0.25">
      <c r="A1817" s="114"/>
      <c r="D1817" s="113"/>
      <c r="E1817" s="113"/>
      <c r="F1817" s="114"/>
      <c r="G1817" s="113"/>
      <c r="H1817" s="113"/>
      <c r="J1817" s="113"/>
    </row>
    <row r="1818" spans="1:10" s="4" customFormat="1" x14ac:dyDescent="0.25">
      <c r="A1818" s="114"/>
      <c r="D1818" s="113"/>
      <c r="E1818" s="113"/>
      <c r="F1818" s="114"/>
      <c r="G1818" s="113"/>
      <c r="H1818" s="113"/>
      <c r="J1818" s="113"/>
    </row>
    <row r="1819" spans="1:10" s="4" customFormat="1" x14ac:dyDescent="0.25">
      <c r="A1819" s="114"/>
      <c r="D1819" s="113"/>
      <c r="E1819" s="113"/>
      <c r="F1819" s="114"/>
      <c r="G1819" s="113"/>
      <c r="H1819" s="113"/>
      <c r="J1819" s="113"/>
    </row>
    <row r="1820" spans="1:10" s="4" customFormat="1" x14ac:dyDescent="0.25">
      <c r="A1820" s="114"/>
      <c r="D1820" s="113"/>
      <c r="E1820" s="113"/>
      <c r="F1820" s="114"/>
      <c r="G1820" s="113"/>
      <c r="H1820" s="113"/>
      <c r="J1820" s="113"/>
    </row>
    <row r="1821" spans="1:10" s="4" customFormat="1" x14ac:dyDescent="0.25">
      <c r="A1821" s="114"/>
      <c r="D1821" s="113"/>
      <c r="E1821" s="113"/>
      <c r="F1821" s="114"/>
      <c r="G1821" s="113"/>
      <c r="H1821" s="113"/>
      <c r="J1821" s="113"/>
    </row>
    <row r="1822" spans="1:10" s="4" customFormat="1" x14ac:dyDescent="0.25">
      <c r="A1822" s="114"/>
      <c r="D1822" s="113"/>
      <c r="E1822" s="113"/>
      <c r="F1822" s="114"/>
      <c r="G1822" s="113"/>
      <c r="H1822" s="113"/>
      <c r="J1822" s="113"/>
    </row>
    <row r="1823" spans="1:10" s="4" customFormat="1" x14ac:dyDescent="0.25">
      <c r="A1823" s="114"/>
      <c r="D1823" s="113"/>
      <c r="E1823" s="113"/>
      <c r="F1823" s="114"/>
      <c r="G1823" s="113"/>
      <c r="H1823" s="113"/>
      <c r="J1823" s="113"/>
    </row>
    <row r="1824" spans="1:10" s="4" customFormat="1" x14ac:dyDescent="0.25">
      <c r="A1824" s="114"/>
      <c r="D1824" s="113"/>
      <c r="E1824" s="113"/>
      <c r="F1824" s="114"/>
      <c r="G1824" s="113"/>
      <c r="H1824" s="113"/>
      <c r="J1824" s="113"/>
    </row>
    <row r="1825" spans="1:10" s="4" customFormat="1" x14ac:dyDescent="0.25">
      <c r="A1825" s="114"/>
      <c r="D1825" s="113"/>
      <c r="E1825" s="113"/>
      <c r="F1825" s="114"/>
      <c r="G1825" s="113"/>
      <c r="H1825" s="113"/>
      <c r="J1825" s="113"/>
    </row>
    <row r="1826" spans="1:10" s="4" customFormat="1" x14ac:dyDescent="0.25">
      <c r="A1826" s="114"/>
      <c r="D1826" s="113"/>
      <c r="E1826" s="113"/>
      <c r="F1826" s="114"/>
      <c r="G1826" s="113"/>
      <c r="H1826" s="113"/>
      <c r="J1826" s="113"/>
    </row>
    <row r="1827" spans="1:10" s="4" customFormat="1" x14ac:dyDescent="0.25">
      <c r="A1827" s="114"/>
      <c r="D1827" s="113"/>
      <c r="E1827" s="113"/>
      <c r="F1827" s="114"/>
      <c r="G1827" s="113"/>
      <c r="H1827" s="113"/>
      <c r="J1827" s="113"/>
    </row>
    <row r="1828" spans="1:10" s="4" customFormat="1" x14ac:dyDescent="0.25">
      <c r="A1828" s="114"/>
      <c r="D1828" s="113"/>
      <c r="E1828" s="113"/>
      <c r="F1828" s="114"/>
      <c r="G1828" s="113"/>
      <c r="H1828" s="113"/>
      <c r="J1828" s="113"/>
    </row>
    <row r="1829" spans="1:10" s="4" customFormat="1" x14ac:dyDescent="0.25">
      <c r="A1829" s="114"/>
      <c r="D1829" s="113"/>
      <c r="E1829" s="113"/>
      <c r="F1829" s="114"/>
      <c r="G1829" s="113"/>
      <c r="H1829" s="113"/>
      <c r="J1829" s="113"/>
    </row>
    <row r="1830" spans="1:10" s="4" customFormat="1" x14ac:dyDescent="0.25">
      <c r="A1830" s="114"/>
      <c r="D1830" s="113"/>
      <c r="E1830" s="113"/>
      <c r="F1830" s="114"/>
      <c r="G1830" s="113"/>
      <c r="H1830" s="113"/>
      <c r="J1830" s="113"/>
    </row>
    <row r="1831" spans="1:10" s="4" customFormat="1" x14ac:dyDescent="0.25">
      <c r="A1831" s="114"/>
      <c r="D1831" s="113"/>
      <c r="E1831" s="113"/>
      <c r="F1831" s="114"/>
      <c r="G1831" s="113"/>
      <c r="H1831" s="113"/>
      <c r="J1831" s="113"/>
    </row>
    <row r="1832" spans="1:10" s="4" customFormat="1" x14ac:dyDescent="0.25">
      <c r="A1832" s="114"/>
      <c r="D1832" s="113"/>
      <c r="E1832" s="113"/>
      <c r="F1832" s="114"/>
      <c r="G1832" s="113"/>
      <c r="H1832" s="113"/>
      <c r="J1832" s="113"/>
    </row>
    <row r="1833" spans="1:10" s="4" customFormat="1" x14ac:dyDescent="0.25">
      <c r="A1833" s="114"/>
      <c r="D1833" s="113"/>
      <c r="E1833" s="113"/>
      <c r="F1833" s="114"/>
      <c r="G1833" s="113"/>
      <c r="H1833" s="113"/>
      <c r="J1833" s="113"/>
    </row>
    <row r="1834" spans="1:10" s="4" customFormat="1" x14ac:dyDescent="0.25">
      <c r="A1834" s="114"/>
      <c r="D1834" s="113"/>
      <c r="E1834" s="113"/>
      <c r="F1834" s="114"/>
      <c r="G1834" s="113"/>
      <c r="H1834" s="113"/>
      <c r="J1834" s="113"/>
    </row>
    <row r="1835" spans="1:10" s="4" customFormat="1" x14ac:dyDescent="0.25">
      <c r="A1835" s="114"/>
      <c r="D1835" s="113"/>
      <c r="E1835" s="113"/>
      <c r="F1835" s="114"/>
      <c r="G1835" s="113"/>
      <c r="H1835" s="113"/>
      <c r="J1835" s="113"/>
    </row>
    <row r="1836" spans="1:10" s="4" customFormat="1" x14ac:dyDescent="0.25">
      <c r="A1836" s="114"/>
      <c r="D1836" s="113"/>
      <c r="E1836" s="113"/>
      <c r="F1836" s="114"/>
      <c r="G1836" s="113"/>
      <c r="H1836" s="113"/>
      <c r="J1836" s="113"/>
    </row>
    <row r="1837" spans="1:10" s="4" customFormat="1" x14ac:dyDescent="0.25">
      <c r="A1837" s="114"/>
      <c r="D1837" s="113"/>
      <c r="E1837" s="113"/>
      <c r="F1837" s="114"/>
      <c r="G1837" s="113"/>
      <c r="H1837" s="113"/>
      <c r="J1837" s="113"/>
    </row>
    <row r="1838" spans="1:10" s="4" customFormat="1" x14ac:dyDescent="0.25">
      <c r="A1838" s="114"/>
      <c r="D1838" s="113"/>
      <c r="E1838" s="113"/>
      <c r="F1838" s="114"/>
      <c r="G1838" s="113"/>
      <c r="H1838" s="113"/>
      <c r="J1838" s="113"/>
    </row>
    <row r="1839" spans="1:10" s="4" customFormat="1" x14ac:dyDescent="0.25">
      <c r="A1839" s="114"/>
      <c r="D1839" s="113"/>
      <c r="E1839" s="113"/>
      <c r="F1839" s="114"/>
      <c r="G1839" s="113"/>
      <c r="H1839" s="113"/>
      <c r="J1839" s="113"/>
    </row>
    <row r="1840" spans="1:10" s="4" customFormat="1" x14ac:dyDescent="0.25">
      <c r="A1840" s="114"/>
      <c r="D1840" s="113"/>
      <c r="E1840" s="113"/>
      <c r="F1840" s="114"/>
      <c r="G1840" s="113"/>
      <c r="H1840" s="113"/>
      <c r="J1840" s="113"/>
    </row>
    <row r="1841" spans="1:10" s="4" customFormat="1" x14ac:dyDescent="0.25">
      <c r="A1841" s="114"/>
      <c r="D1841" s="113"/>
      <c r="E1841" s="113"/>
      <c r="F1841" s="114"/>
      <c r="G1841" s="113"/>
      <c r="H1841" s="113"/>
      <c r="J1841" s="113"/>
    </row>
    <row r="1842" spans="1:10" s="4" customFormat="1" x14ac:dyDescent="0.25">
      <c r="A1842" s="114"/>
      <c r="D1842" s="113"/>
      <c r="E1842" s="113"/>
      <c r="F1842" s="114"/>
      <c r="G1842" s="113"/>
      <c r="H1842" s="113"/>
      <c r="J1842" s="113"/>
    </row>
    <row r="1843" spans="1:10" s="4" customFormat="1" x14ac:dyDescent="0.25">
      <c r="A1843" s="114"/>
      <c r="D1843" s="113"/>
      <c r="E1843" s="113"/>
      <c r="F1843" s="114"/>
      <c r="G1843" s="113"/>
      <c r="H1843" s="113"/>
      <c r="J1843" s="113"/>
    </row>
    <row r="1844" spans="1:10" s="4" customFormat="1" x14ac:dyDescent="0.25">
      <c r="A1844" s="114"/>
      <c r="D1844" s="113"/>
      <c r="E1844" s="113"/>
      <c r="F1844" s="114"/>
      <c r="G1844" s="113"/>
      <c r="H1844" s="113"/>
      <c r="J1844" s="113"/>
    </row>
    <row r="1845" spans="1:10" s="4" customFormat="1" x14ac:dyDescent="0.25">
      <c r="A1845" s="114"/>
      <c r="D1845" s="113"/>
      <c r="E1845" s="113"/>
      <c r="F1845" s="114"/>
      <c r="G1845" s="113"/>
      <c r="H1845" s="113"/>
      <c r="J1845" s="113"/>
    </row>
    <row r="1846" spans="1:10" s="4" customFormat="1" x14ac:dyDescent="0.25">
      <c r="A1846" s="114"/>
      <c r="D1846" s="113"/>
      <c r="E1846" s="113"/>
      <c r="F1846" s="114"/>
      <c r="G1846" s="113"/>
      <c r="H1846" s="113"/>
      <c r="J1846" s="113"/>
    </row>
    <row r="1847" spans="1:10" s="4" customFormat="1" x14ac:dyDescent="0.25">
      <c r="A1847" s="114"/>
      <c r="D1847" s="113"/>
      <c r="E1847" s="113"/>
      <c r="F1847" s="114"/>
      <c r="G1847" s="113"/>
      <c r="H1847" s="113"/>
      <c r="J1847" s="113"/>
    </row>
    <row r="1848" spans="1:10" s="4" customFormat="1" x14ac:dyDescent="0.25">
      <c r="A1848" s="114"/>
      <c r="D1848" s="113"/>
      <c r="E1848" s="113"/>
      <c r="F1848" s="114"/>
      <c r="G1848" s="113"/>
      <c r="H1848" s="113"/>
      <c r="J1848" s="113"/>
    </row>
    <row r="1849" spans="1:10" s="4" customFormat="1" x14ac:dyDescent="0.25">
      <c r="A1849" s="114"/>
      <c r="D1849" s="113"/>
      <c r="E1849" s="113"/>
      <c r="F1849" s="114"/>
      <c r="G1849" s="113"/>
      <c r="H1849" s="113"/>
      <c r="J1849" s="113"/>
    </row>
    <row r="1850" spans="1:10" s="4" customFormat="1" x14ac:dyDescent="0.25">
      <c r="A1850" s="114"/>
      <c r="D1850" s="113"/>
      <c r="E1850" s="113"/>
      <c r="F1850" s="114"/>
      <c r="G1850" s="113"/>
      <c r="H1850" s="113"/>
      <c r="J1850" s="113"/>
    </row>
    <row r="1851" spans="1:10" s="4" customFormat="1" x14ac:dyDescent="0.25">
      <c r="A1851" s="114"/>
      <c r="D1851" s="113"/>
      <c r="E1851" s="113"/>
      <c r="F1851" s="114"/>
      <c r="G1851" s="113"/>
      <c r="H1851" s="113"/>
      <c r="J1851" s="113"/>
    </row>
    <row r="1852" spans="1:10" s="4" customFormat="1" x14ac:dyDescent="0.25">
      <c r="A1852" s="114"/>
      <c r="D1852" s="113"/>
      <c r="E1852" s="113"/>
      <c r="F1852" s="114"/>
      <c r="G1852" s="113"/>
      <c r="H1852" s="113"/>
      <c r="J1852" s="113"/>
    </row>
    <row r="1853" spans="1:10" s="4" customFormat="1" x14ac:dyDescent="0.25">
      <c r="A1853" s="114"/>
      <c r="D1853" s="113"/>
      <c r="E1853" s="113"/>
      <c r="F1853" s="114"/>
      <c r="G1853" s="113"/>
      <c r="H1853" s="113"/>
      <c r="J1853" s="113"/>
    </row>
    <row r="1854" spans="1:10" s="4" customFormat="1" x14ac:dyDescent="0.25">
      <c r="A1854" s="114"/>
      <c r="D1854" s="113"/>
      <c r="E1854" s="113"/>
      <c r="F1854" s="114"/>
      <c r="G1854" s="113"/>
      <c r="H1854" s="113"/>
      <c r="J1854" s="113"/>
    </row>
    <row r="1855" spans="1:10" s="4" customFormat="1" x14ac:dyDescent="0.25">
      <c r="A1855" s="114"/>
      <c r="D1855" s="113"/>
      <c r="E1855" s="113"/>
      <c r="F1855" s="114"/>
      <c r="G1855" s="113"/>
      <c r="H1855" s="113"/>
      <c r="J1855" s="113"/>
    </row>
    <row r="1856" spans="1:10" s="4" customFormat="1" x14ac:dyDescent="0.25">
      <c r="A1856" s="114"/>
      <c r="D1856" s="113"/>
      <c r="E1856" s="113"/>
      <c r="F1856" s="114"/>
      <c r="G1856" s="113"/>
      <c r="H1856" s="113"/>
      <c r="J1856" s="113"/>
    </row>
    <row r="1857" spans="1:10" s="4" customFormat="1" x14ac:dyDescent="0.25">
      <c r="A1857" s="114"/>
      <c r="D1857" s="113"/>
      <c r="E1857" s="113"/>
      <c r="F1857" s="114"/>
      <c r="G1857" s="113"/>
      <c r="H1857" s="113"/>
      <c r="J1857" s="113"/>
    </row>
    <row r="1858" spans="1:10" s="4" customFormat="1" x14ac:dyDescent="0.25">
      <c r="A1858" s="114"/>
      <c r="D1858" s="113"/>
      <c r="E1858" s="113"/>
      <c r="F1858" s="114"/>
      <c r="G1858" s="113"/>
      <c r="H1858" s="113"/>
      <c r="J1858" s="113"/>
    </row>
    <row r="1859" spans="1:10" s="4" customFormat="1" x14ac:dyDescent="0.25">
      <c r="A1859" s="114"/>
      <c r="D1859" s="113"/>
      <c r="E1859" s="113"/>
      <c r="F1859" s="114"/>
      <c r="G1859" s="113"/>
      <c r="H1859" s="113"/>
      <c r="J1859" s="113"/>
    </row>
    <row r="1860" spans="1:10" s="4" customFormat="1" x14ac:dyDescent="0.25">
      <c r="A1860" s="114"/>
      <c r="D1860" s="113"/>
      <c r="E1860" s="113"/>
      <c r="F1860" s="114"/>
      <c r="G1860" s="113"/>
      <c r="H1860" s="113"/>
      <c r="J1860" s="113"/>
    </row>
    <row r="1861" spans="1:10" s="4" customFormat="1" x14ac:dyDescent="0.25">
      <c r="A1861" s="114"/>
      <c r="D1861" s="113"/>
      <c r="E1861" s="113"/>
      <c r="F1861" s="114"/>
      <c r="G1861" s="113"/>
      <c r="H1861" s="113"/>
      <c r="J1861" s="113"/>
    </row>
    <row r="1862" spans="1:10" s="4" customFormat="1" x14ac:dyDescent="0.25">
      <c r="A1862" s="114"/>
      <c r="D1862" s="113"/>
      <c r="E1862" s="113"/>
      <c r="F1862" s="114"/>
      <c r="G1862" s="113"/>
      <c r="H1862" s="113"/>
      <c r="J1862" s="113"/>
    </row>
    <row r="1863" spans="1:10" s="4" customFormat="1" x14ac:dyDescent="0.25">
      <c r="A1863" s="114"/>
      <c r="D1863" s="113"/>
      <c r="E1863" s="113"/>
      <c r="F1863" s="114"/>
      <c r="G1863" s="113"/>
      <c r="H1863" s="113"/>
      <c r="J1863" s="113"/>
    </row>
    <row r="1864" spans="1:10" s="4" customFormat="1" x14ac:dyDescent="0.25">
      <c r="A1864" s="114"/>
      <c r="D1864" s="113"/>
      <c r="E1864" s="113"/>
      <c r="F1864" s="114"/>
      <c r="G1864" s="113"/>
      <c r="H1864" s="113"/>
      <c r="J1864" s="113"/>
    </row>
    <row r="1865" spans="1:10" s="4" customFormat="1" x14ac:dyDescent="0.25">
      <c r="A1865" s="114"/>
      <c r="D1865" s="113"/>
      <c r="E1865" s="113"/>
      <c r="F1865" s="114"/>
      <c r="G1865" s="113"/>
      <c r="H1865" s="113"/>
      <c r="J1865" s="113"/>
    </row>
    <row r="1866" spans="1:10" s="4" customFormat="1" x14ac:dyDescent="0.25">
      <c r="A1866" s="114"/>
      <c r="D1866" s="113"/>
      <c r="E1866" s="113"/>
      <c r="F1866" s="114"/>
      <c r="G1866" s="113"/>
      <c r="H1866" s="113"/>
      <c r="J1866" s="113"/>
    </row>
    <row r="1867" spans="1:10" s="4" customFormat="1" x14ac:dyDescent="0.25">
      <c r="A1867" s="114"/>
      <c r="D1867" s="113"/>
      <c r="E1867" s="113"/>
      <c r="F1867" s="114"/>
      <c r="G1867" s="113"/>
      <c r="H1867" s="113"/>
      <c r="J1867" s="113"/>
    </row>
    <row r="1868" spans="1:10" s="4" customFormat="1" x14ac:dyDescent="0.25">
      <c r="A1868" s="114"/>
      <c r="D1868" s="113"/>
      <c r="E1868" s="113"/>
      <c r="F1868" s="114"/>
      <c r="G1868" s="113"/>
      <c r="H1868" s="113"/>
      <c r="J1868" s="113"/>
    </row>
    <row r="1869" spans="1:10" s="4" customFormat="1" x14ac:dyDescent="0.25">
      <c r="A1869" s="114"/>
      <c r="D1869" s="113"/>
      <c r="E1869" s="113"/>
      <c r="F1869" s="114"/>
      <c r="G1869" s="113"/>
      <c r="H1869" s="113"/>
      <c r="J1869" s="113"/>
    </row>
    <row r="1870" spans="1:10" s="4" customFormat="1" x14ac:dyDescent="0.25">
      <c r="A1870" s="114"/>
      <c r="D1870" s="113"/>
      <c r="E1870" s="113"/>
      <c r="F1870" s="114"/>
      <c r="G1870" s="113"/>
      <c r="H1870" s="113"/>
      <c r="J1870" s="113"/>
    </row>
    <row r="1871" spans="1:10" s="4" customFormat="1" x14ac:dyDescent="0.25">
      <c r="A1871" s="114"/>
      <c r="D1871" s="113"/>
      <c r="E1871" s="113"/>
      <c r="F1871" s="114"/>
      <c r="G1871" s="113"/>
      <c r="H1871" s="113"/>
      <c r="J1871" s="113"/>
    </row>
    <row r="1872" spans="1:10" s="4" customFormat="1" x14ac:dyDescent="0.25">
      <c r="A1872" s="114"/>
      <c r="D1872" s="113"/>
      <c r="E1872" s="113"/>
      <c r="F1872" s="114"/>
      <c r="G1872" s="113"/>
      <c r="H1872" s="113"/>
      <c r="J1872" s="113"/>
    </row>
    <row r="1873" spans="1:10" s="4" customFormat="1" x14ac:dyDescent="0.25">
      <c r="A1873" s="114"/>
      <c r="D1873" s="113"/>
      <c r="E1873" s="113"/>
      <c r="F1873" s="114"/>
      <c r="G1873" s="113"/>
      <c r="H1873" s="113"/>
      <c r="J1873" s="113"/>
    </row>
    <row r="1874" spans="1:10" s="4" customFormat="1" x14ac:dyDescent="0.25">
      <c r="A1874" s="114"/>
      <c r="D1874" s="113"/>
      <c r="E1874" s="113"/>
      <c r="F1874" s="114"/>
      <c r="G1874" s="113"/>
      <c r="H1874" s="113"/>
      <c r="J1874" s="113"/>
    </row>
    <row r="1875" spans="1:10" s="4" customFormat="1" x14ac:dyDescent="0.25">
      <c r="A1875" s="114"/>
      <c r="D1875" s="113"/>
      <c r="E1875" s="113"/>
      <c r="F1875" s="114"/>
      <c r="G1875" s="113"/>
      <c r="H1875" s="113"/>
      <c r="J1875" s="113"/>
    </row>
    <row r="1876" spans="1:10" s="4" customFormat="1" x14ac:dyDescent="0.25">
      <c r="A1876" s="114"/>
      <c r="D1876" s="113"/>
      <c r="E1876" s="113"/>
      <c r="F1876" s="114"/>
      <c r="G1876" s="113"/>
      <c r="H1876" s="113"/>
      <c r="J1876" s="113"/>
    </row>
    <row r="1877" spans="1:10" s="4" customFormat="1" x14ac:dyDescent="0.25">
      <c r="A1877" s="114"/>
      <c r="D1877" s="113"/>
      <c r="E1877" s="113"/>
      <c r="F1877" s="114"/>
      <c r="G1877" s="113"/>
      <c r="H1877" s="113"/>
      <c r="J1877" s="113"/>
    </row>
    <row r="1878" spans="1:10" s="4" customFormat="1" x14ac:dyDescent="0.25">
      <c r="A1878" s="114"/>
      <c r="D1878" s="113"/>
      <c r="E1878" s="113"/>
      <c r="F1878" s="114"/>
      <c r="G1878" s="113"/>
      <c r="H1878" s="113"/>
      <c r="J1878" s="113"/>
    </row>
    <row r="1879" spans="1:10" s="4" customFormat="1" x14ac:dyDescent="0.25">
      <c r="A1879" s="114"/>
      <c r="D1879" s="113"/>
      <c r="E1879" s="113"/>
      <c r="F1879" s="114"/>
      <c r="G1879" s="113"/>
      <c r="H1879" s="113"/>
      <c r="J1879" s="113"/>
    </row>
    <row r="1880" spans="1:10" s="4" customFormat="1" x14ac:dyDescent="0.25">
      <c r="A1880" s="114"/>
      <c r="D1880" s="113"/>
      <c r="E1880" s="113"/>
      <c r="F1880" s="114"/>
      <c r="G1880" s="113"/>
      <c r="H1880" s="113"/>
      <c r="J1880" s="113"/>
    </row>
    <row r="1881" spans="1:10" s="4" customFormat="1" x14ac:dyDescent="0.25">
      <c r="A1881" s="114"/>
      <c r="D1881" s="113"/>
      <c r="E1881" s="113"/>
      <c r="F1881" s="114"/>
      <c r="G1881" s="113"/>
      <c r="H1881" s="113"/>
      <c r="J1881" s="113"/>
    </row>
    <row r="1882" spans="1:10" s="4" customFormat="1" x14ac:dyDescent="0.25">
      <c r="A1882" s="114"/>
      <c r="D1882" s="113"/>
      <c r="E1882" s="113"/>
      <c r="F1882" s="114"/>
      <c r="G1882" s="113"/>
      <c r="H1882" s="113"/>
      <c r="J1882" s="113"/>
    </row>
    <row r="1883" spans="1:10" s="4" customFormat="1" x14ac:dyDescent="0.25">
      <c r="A1883" s="114"/>
      <c r="D1883" s="113"/>
      <c r="E1883" s="113"/>
      <c r="F1883" s="114"/>
      <c r="G1883" s="113"/>
      <c r="H1883" s="113"/>
      <c r="J1883" s="113"/>
    </row>
    <row r="1884" spans="1:10" s="4" customFormat="1" x14ac:dyDescent="0.25">
      <c r="A1884" s="114"/>
      <c r="D1884" s="113"/>
      <c r="E1884" s="113"/>
      <c r="F1884" s="114"/>
      <c r="G1884" s="113"/>
      <c r="H1884" s="113"/>
      <c r="J1884" s="113"/>
    </row>
    <row r="1885" spans="1:10" s="4" customFormat="1" x14ac:dyDescent="0.25">
      <c r="A1885" s="114"/>
      <c r="D1885" s="113"/>
      <c r="E1885" s="113"/>
      <c r="F1885" s="114"/>
      <c r="G1885" s="113"/>
      <c r="H1885" s="113"/>
      <c r="J1885" s="113"/>
    </row>
    <row r="1886" spans="1:10" s="4" customFormat="1" x14ac:dyDescent="0.25">
      <c r="A1886" s="114"/>
      <c r="D1886" s="113"/>
      <c r="E1886" s="113"/>
      <c r="F1886" s="114"/>
      <c r="G1886" s="113"/>
      <c r="H1886" s="113"/>
      <c r="J1886" s="113"/>
    </row>
    <row r="1887" spans="1:10" s="4" customFormat="1" x14ac:dyDescent="0.25">
      <c r="A1887" s="114"/>
      <c r="D1887" s="113"/>
      <c r="E1887" s="113"/>
      <c r="F1887" s="114"/>
      <c r="G1887" s="113"/>
      <c r="H1887" s="113"/>
      <c r="J1887" s="113"/>
    </row>
    <row r="1888" spans="1:10" s="4" customFormat="1" x14ac:dyDescent="0.25">
      <c r="A1888" s="114"/>
      <c r="D1888" s="113"/>
      <c r="E1888" s="113"/>
      <c r="F1888" s="114"/>
      <c r="G1888" s="113"/>
      <c r="H1888" s="113"/>
      <c r="J1888" s="113"/>
    </row>
    <row r="1889" spans="1:10" s="4" customFormat="1" x14ac:dyDescent="0.25">
      <c r="A1889" s="114"/>
      <c r="D1889" s="113"/>
      <c r="E1889" s="113"/>
      <c r="F1889" s="114"/>
      <c r="G1889" s="113"/>
      <c r="H1889" s="113"/>
      <c r="J1889" s="113"/>
    </row>
    <row r="1890" spans="1:10" s="4" customFormat="1" x14ac:dyDescent="0.25">
      <c r="A1890" s="114"/>
      <c r="D1890" s="113"/>
      <c r="E1890" s="113"/>
      <c r="F1890" s="114"/>
      <c r="G1890" s="113"/>
      <c r="H1890" s="113"/>
      <c r="J1890" s="113"/>
    </row>
    <row r="1891" spans="1:10" s="4" customFormat="1" x14ac:dyDescent="0.25">
      <c r="A1891" s="114"/>
      <c r="D1891" s="113"/>
      <c r="E1891" s="113"/>
      <c r="F1891" s="114"/>
      <c r="G1891" s="113"/>
      <c r="H1891" s="113"/>
      <c r="J1891" s="113"/>
    </row>
    <row r="1892" spans="1:10" s="4" customFormat="1" x14ac:dyDescent="0.25">
      <c r="A1892" s="114"/>
      <c r="D1892" s="113"/>
      <c r="E1892" s="113"/>
      <c r="F1892" s="114"/>
      <c r="G1892" s="113"/>
      <c r="H1892" s="113"/>
      <c r="J1892" s="113"/>
    </row>
    <row r="1893" spans="1:10" s="4" customFormat="1" x14ac:dyDescent="0.25">
      <c r="A1893" s="114"/>
      <c r="D1893" s="113"/>
      <c r="E1893" s="113"/>
      <c r="F1893" s="114"/>
      <c r="G1893" s="113"/>
      <c r="H1893" s="113"/>
      <c r="J1893" s="113"/>
    </row>
    <row r="1894" spans="1:10" s="4" customFormat="1" x14ac:dyDescent="0.25">
      <c r="A1894" s="114"/>
      <c r="D1894" s="113"/>
      <c r="E1894" s="113"/>
      <c r="F1894" s="114"/>
      <c r="G1894" s="113"/>
      <c r="H1894" s="113"/>
      <c r="J1894" s="113"/>
    </row>
    <row r="1895" spans="1:10" s="4" customFormat="1" x14ac:dyDescent="0.25">
      <c r="A1895" s="114"/>
      <c r="D1895" s="113"/>
      <c r="E1895" s="113"/>
      <c r="F1895" s="114"/>
      <c r="G1895" s="113"/>
      <c r="H1895" s="113"/>
      <c r="J1895" s="113"/>
    </row>
    <row r="1896" spans="1:10" s="4" customFormat="1" x14ac:dyDescent="0.25">
      <c r="A1896" s="114"/>
      <c r="D1896" s="113"/>
      <c r="E1896" s="113"/>
      <c r="F1896" s="114"/>
      <c r="G1896" s="113"/>
      <c r="H1896" s="113"/>
      <c r="J1896" s="113"/>
    </row>
    <row r="1897" spans="1:10" s="4" customFormat="1" x14ac:dyDescent="0.25">
      <c r="A1897" s="114"/>
      <c r="D1897" s="113"/>
      <c r="E1897" s="113"/>
      <c r="F1897" s="114"/>
      <c r="G1897" s="113"/>
      <c r="H1897" s="113"/>
      <c r="J1897" s="113"/>
    </row>
    <row r="1898" spans="1:10" s="4" customFormat="1" x14ac:dyDescent="0.25">
      <c r="A1898" s="114"/>
      <c r="D1898" s="113"/>
      <c r="E1898" s="113"/>
      <c r="F1898" s="114"/>
      <c r="G1898" s="113"/>
      <c r="H1898" s="113"/>
      <c r="J1898" s="113"/>
    </row>
    <row r="1899" spans="1:10" s="4" customFormat="1" x14ac:dyDescent="0.25">
      <c r="A1899" s="114"/>
      <c r="D1899" s="113"/>
      <c r="E1899" s="113"/>
      <c r="F1899" s="114"/>
      <c r="G1899" s="113"/>
      <c r="H1899" s="113"/>
      <c r="J1899" s="113"/>
    </row>
    <row r="1900" spans="1:10" s="4" customFormat="1" x14ac:dyDescent="0.25">
      <c r="A1900" s="114"/>
      <c r="D1900" s="113"/>
      <c r="E1900" s="113"/>
      <c r="F1900" s="114"/>
      <c r="G1900" s="113"/>
      <c r="H1900" s="113"/>
      <c r="J1900" s="113"/>
    </row>
    <row r="1901" spans="1:10" s="4" customFormat="1" x14ac:dyDescent="0.25">
      <c r="A1901" s="114"/>
      <c r="D1901" s="113"/>
      <c r="E1901" s="113"/>
      <c r="F1901" s="114"/>
      <c r="G1901" s="113"/>
      <c r="H1901" s="113"/>
      <c r="J1901" s="113"/>
    </row>
    <row r="1902" spans="1:10" s="4" customFormat="1" x14ac:dyDescent="0.25">
      <c r="A1902" s="114"/>
      <c r="D1902" s="113"/>
      <c r="E1902" s="113"/>
      <c r="F1902" s="114"/>
      <c r="G1902" s="113"/>
      <c r="H1902" s="113"/>
      <c r="J1902" s="113"/>
    </row>
    <row r="1903" spans="1:10" s="4" customFormat="1" x14ac:dyDescent="0.25">
      <c r="A1903" s="114"/>
      <c r="D1903" s="113"/>
      <c r="E1903" s="113"/>
      <c r="F1903" s="114"/>
      <c r="G1903" s="113"/>
      <c r="H1903" s="113"/>
      <c r="J1903" s="113"/>
    </row>
    <row r="1904" spans="1:10" s="4" customFormat="1" x14ac:dyDescent="0.25">
      <c r="A1904" s="114"/>
      <c r="D1904" s="113"/>
      <c r="E1904" s="113"/>
      <c r="F1904" s="114"/>
      <c r="G1904" s="113"/>
      <c r="H1904" s="113"/>
      <c r="J1904" s="113"/>
    </row>
    <row r="1905" spans="1:10" s="4" customFormat="1" x14ac:dyDescent="0.25">
      <c r="A1905" s="114"/>
      <c r="D1905" s="113"/>
      <c r="E1905" s="113"/>
      <c r="F1905" s="114"/>
      <c r="G1905" s="113"/>
      <c r="H1905" s="113"/>
      <c r="J1905" s="113"/>
    </row>
    <row r="1906" spans="1:10" s="4" customFormat="1" x14ac:dyDescent="0.25">
      <c r="A1906" s="114"/>
      <c r="D1906" s="113"/>
      <c r="E1906" s="113"/>
      <c r="F1906" s="114"/>
      <c r="G1906" s="113"/>
      <c r="H1906" s="113"/>
      <c r="J1906" s="113"/>
    </row>
    <row r="1907" spans="1:10" s="4" customFormat="1" x14ac:dyDescent="0.25">
      <c r="A1907" s="114"/>
      <c r="D1907" s="113"/>
      <c r="E1907" s="113"/>
      <c r="F1907" s="114"/>
      <c r="G1907" s="113"/>
      <c r="H1907" s="113"/>
      <c r="J1907" s="113"/>
    </row>
    <row r="1908" spans="1:10" s="4" customFormat="1" x14ac:dyDescent="0.25">
      <c r="A1908" s="114"/>
      <c r="D1908" s="113"/>
      <c r="E1908" s="113"/>
      <c r="F1908" s="114"/>
      <c r="G1908" s="113"/>
      <c r="H1908" s="113"/>
      <c r="J1908" s="113"/>
    </row>
    <row r="1909" spans="1:10" s="4" customFormat="1" x14ac:dyDescent="0.25">
      <c r="A1909" s="114"/>
      <c r="D1909" s="113"/>
      <c r="E1909" s="113"/>
      <c r="F1909" s="114"/>
      <c r="G1909" s="113"/>
      <c r="H1909" s="113"/>
      <c r="J1909" s="113"/>
    </row>
    <row r="1910" spans="1:10" s="4" customFormat="1" x14ac:dyDescent="0.25">
      <c r="A1910" s="114"/>
      <c r="D1910" s="113"/>
      <c r="E1910" s="113"/>
      <c r="F1910" s="114"/>
      <c r="G1910" s="113"/>
      <c r="H1910" s="113"/>
      <c r="J1910" s="113"/>
    </row>
    <row r="1911" spans="1:10" s="4" customFormat="1" x14ac:dyDescent="0.25">
      <c r="A1911" s="114"/>
      <c r="D1911" s="113"/>
      <c r="E1911" s="113"/>
      <c r="F1911" s="114"/>
      <c r="G1911" s="113"/>
      <c r="H1911" s="113"/>
      <c r="J1911" s="113"/>
    </row>
    <row r="1912" spans="1:10" s="4" customFormat="1" x14ac:dyDescent="0.25">
      <c r="A1912" s="114"/>
      <c r="D1912" s="113"/>
      <c r="E1912" s="113"/>
      <c r="F1912" s="114"/>
      <c r="G1912" s="113"/>
      <c r="H1912" s="113"/>
      <c r="J1912" s="113"/>
    </row>
    <row r="1913" spans="1:10" s="4" customFormat="1" x14ac:dyDescent="0.25">
      <c r="A1913" s="114"/>
      <c r="D1913" s="113"/>
      <c r="E1913" s="113"/>
      <c r="F1913" s="114"/>
      <c r="G1913" s="113"/>
      <c r="H1913" s="113"/>
      <c r="J1913" s="113"/>
    </row>
    <row r="1914" spans="1:10" s="4" customFormat="1" x14ac:dyDescent="0.25">
      <c r="A1914" s="114"/>
      <c r="D1914" s="113"/>
      <c r="E1914" s="113"/>
      <c r="F1914" s="114"/>
      <c r="G1914" s="113"/>
      <c r="H1914" s="113"/>
      <c r="J1914" s="113"/>
    </row>
    <row r="1915" spans="1:10" s="4" customFormat="1" x14ac:dyDescent="0.25">
      <c r="A1915" s="114"/>
      <c r="D1915" s="113"/>
      <c r="E1915" s="113"/>
      <c r="F1915" s="114"/>
      <c r="G1915" s="113"/>
      <c r="H1915" s="113"/>
      <c r="J1915" s="113"/>
    </row>
    <row r="1916" spans="1:10" s="4" customFormat="1" x14ac:dyDescent="0.25">
      <c r="A1916" s="114"/>
      <c r="D1916" s="113"/>
      <c r="E1916" s="113"/>
      <c r="F1916" s="114"/>
      <c r="G1916" s="113"/>
      <c r="H1916" s="113"/>
      <c r="J1916" s="113"/>
    </row>
    <row r="1917" spans="1:10" s="4" customFormat="1" x14ac:dyDescent="0.25">
      <c r="A1917" s="114"/>
      <c r="D1917" s="113"/>
      <c r="E1917" s="113"/>
      <c r="F1917" s="114"/>
      <c r="G1917" s="113"/>
      <c r="H1917" s="113"/>
      <c r="J1917" s="113"/>
    </row>
    <row r="1918" spans="1:10" s="4" customFormat="1" x14ac:dyDescent="0.25">
      <c r="A1918" s="114"/>
      <c r="D1918" s="113"/>
      <c r="E1918" s="113"/>
      <c r="F1918" s="114"/>
      <c r="G1918" s="113"/>
      <c r="H1918" s="113"/>
      <c r="J1918" s="113"/>
    </row>
    <row r="1919" spans="1:10" s="4" customFormat="1" x14ac:dyDescent="0.25">
      <c r="A1919" s="114"/>
      <c r="D1919" s="113"/>
      <c r="E1919" s="113"/>
      <c r="F1919" s="114"/>
      <c r="G1919" s="113"/>
      <c r="H1919" s="113"/>
      <c r="J1919" s="113"/>
    </row>
    <row r="1920" spans="1:10" s="4" customFormat="1" x14ac:dyDescent="0.25">
      <c r="A1920" s="114"/>
      <c r="D1920" s="113"/>
      <c r="E1920" s="113"/>
      <c r="F1920" s="114"/>
      <c r="G1920" s="113"/>
      <c r="H1920" s="113"/>
      <c r="J1920" s="113"/>
    </row>
    <row r="1921" spans="1:10" s="4" customFormat="1" x14ac:dyDescent="0.25">
      <c r="A1921" s="114"/>
      <c r="D1921" s="113"/>
      <c r="E1921" s="113"/>
      <c r="F1921" s="114"/>
      <c r="G1921" s="113"/>
      <c r="H1921" s="113"/>
      <c r="J1921" s="113"/>
    </row>
    <row r="1922" spans="1:10" s="4" customFormat="1" x14ac:dyDescent="0.25">
      <c r="A1922" s="114"/>
      <c r="D1922" s="113"/>
      <c r="E1922" s="113"/>
      <c r="F1922" s="114"/>
      <c r="G1922" s="113"/>
      <c r="H1922" s="113"/>
      <c r="J1922" s="113"/>
    </row>
    <row r="1923" spans="1:10" s="4" customFormat="1" x14ac:dyDescent="0.25">
      <c r="A1923" s="114"/>
      <c r="D1923" s="113"/>
      <c r="E1923" s="113"/>
      <c r="F1923" s="114"/>
      <c r="G1923" s="113"/>
      <c r="H1923" s="113"/>
      <c r="J1923" s="113"/>
    </row>
    <row r="1924" spans="1:10" s="4" customFormat="1" x14ac:dyDescent="0.25">
      <c r="A1924" s="114"/>
      <c r="D1924" s="113"/>
      <c r="E1924" s="113"/>
      <c r="F1924" s="114"/>
      <c r="G1924" s="113"/>
      <c r="H1924" s="113"/>
      <c r="J1924" s="113"/>
    </row>
    <row r="1925" spans="1:10" s="4" customFormat="1" x14ac:dyDescent="0.25">
      <c r="A1925" s="114"/>
      <c r="D1925" s="113"/>
      <c r="E1925" s="113"/>
      <c r="F1925" s="114"/>
      <c r="G1925" s="113"/>
      <c r="H1925" s="113"/>
      <c r="J1925" s="113"/>
    </row>
    <row r="1926" spans="1:10" s="4" customFormat="1" x14ac:dyDescent="0.25">
      <c r="A1926" s="114"/>
      <c r="D1926" s="113"/>
      <c r="E1926" s="113"/>
      <c r="F1926" s="114"/>
      <c r="G1926" s="113"/>
      <c r="H1926" s="113"/>
      <c r="J1926" s="113"/>
    </row>
    <row r="1927" spans="1:10" s="4" customFormat="1" x14ac:dyDescent="0.25">
      <c r="A1927" s="114"/>
      <c r="D1927" s="113"/>
      <c r="E1927" s="113"/>
      <c r="F1927" s="114"/>
      <c r="G1927" s="113"/>
      <c r="H1927" s="113"/>
      <c r="J1927" s="113"/>
    </row>
    <row r="1928" spans="1:10" s="4" customFormat="1" x14ac:dyDescent="0.25">
      <c r="A1928" s="114"/>
      <c r="D1928" s="113"/>
      <c r="E1928" s="113"/>
      <c r="F1928" s="114"/>
      <c r="G1928" s="113"/>
      <c r="H1928" s="113"/>
      <c r="J1928" s="113"/>
    </row>
    <row r="1929" spans="1:10" s="4" customFormat="1" x14ac:dyDescent="0.25">
      <c r="A1929" s="114"/>
      <c r="D1929" s="113"/>
      <c r="E1929" s="113"/>
      <c r="F1929" s="114"/>
      <c r="G1929" s="113"/>
      <c r="H1929" s="113"/>
      <c r="J1929" s="113"/>
    </row>
    <row r="1930" spans="1:10" s="4" customFormat="1" x14ac:dyDescent="0.25">
      <c r="A1930" s="114"/>
      <c r="D1930" s="113"/>
      <c r="E1930" s="113"/>
      <c r="F1930" s="114"/>
      <c r="G1930" s="113"/>
      <c r="H1930" s="113"/>
      <c r="J1930" s="113"/>
    </row>
    <row r="1931" spans="1:10" s="4" customFormat="1" x14ac:dyDescent="0.25">
      <c r="A1931" s="114"/>
      <c r="D1931" s="113"/>
      <c r="E1931" s="113"/>
      <c r="F1931" s="114"/>
      <c r="G1931" s="113"/>
      <c r="H1931" s="113"/>
      <c r="J1931" s="113"/>
    </row>
    <row r="1932" spans="1:10" s="4" customFormat="1" x14ac:dyDescent="0.25">
      <c r="A1932" s="114"/>
      <c r="D1932" s="113"/>
      <c r="E1932" s="113"/>
      <c r="F1932" s="114"/>
      <c r="G1932" s="113"/>
      <c r="H1932" s="113"/>
      <c r="J1932" s="113"/>
    </row>
    <row r="1933" spans="1:10" s="4" customFormat="1" x14ac:dyDescent="0.25">
      <c r="A1933" s="114"/>
      <c r="D1933" s="113"/>
      <c r="E1933" s="113"/>
      <c r="F1933" s="114"/>
      <c r="G1933" s="113"/>
      <c r="H1933" s="113"/>
      <c r="J1933" s="113"/>
    </row>
    <row r="1934" spans="1:10" s="4" customFormat="1" x14ac:dyDescent="0.25">
      <c r="A1934" s="114"/>
      <c r="D1934" s="113"/>
      <c r="E1934" s="113"/>
      <c r="F1934" s="114"/>
      <c r="G1934" s="113"/>
      <c r="H1934" s="113"/>
      <c r="J1934" s="113"/>
    </row>
    <row r="1935" spans="1:10" s="4" customFormat="1" x14ac:dyDescent="0.25">
      <c r="A1935" s="114"/>
      <c r="D1935" s="113"/>
      <c r="E1935" s="113"/>
      <c r="F1935" s="114"/>
      <c r="G1935" s="113"/>
      <c r="H1935" s="113"/>
      <c r="J1935" s="113"/>
    </row>
    <row r="1936" spans="1:10" s="4" customFormat="1" x14ac:dyDescent="0.25">
      <c r="A1936" s="114"/>
      <c r="D1936" s="113"/>
      <c r="E1936" s="113"/>
      <c r="F1936" s="114"/>
      <c r="G1936" s="113"/>
      <c r="H1936" s="113"/>
      <c r="J1936" s="113"/>
    </row>
    <row r="1937" spans="1:10" s="4" customFormat="1" x14ac:dyDescent="0.25">
      <c r="A1937" s="114"/>
      <c r="D1937" s="113"/>
      <c r="E1937" s="113"/>
      <c r="F1937" s="114"/>
      <c r="G1937" s="113"/>
      <c r="H1937" s="113"/>
      <c r="J1937" s="113"/>
    </row>
    <row r="1938" spans="1:10" s="4" customFormat="1" x14ac:dyDescent="0.25">
      <c r="A1938" s="114"/>
      <c r="D1938" s="113"/>
      <c r="E1938" s="113"/>
      <c r="F1938" s="114"/>
      <c r="G1938" s="113"/>
      <c r="H1938" s="113"/>
      <c r="J1938" s="113"/>
    </row>
    <row r="1939" spans="1:10" s="4" customFormat="1" x14ac:dyDescent="0.25">
      <c r="A1939" s="114"/>
      <c r="D1939" s="113"/>
      <c r="E1939" s="113"/>
      <c r="F1939" s="114"/>
      <c r="G1939" s="113"/>
      <c r="H1939" s="113"/>
      <c r="J1939" s="113"/>
    </row>
    <row r="1940" spans="1:10" s="4" customFormat="1" x14ac:dyDescent="0.25">
      <c r="A1940" s="114"/>
      <c r="D1940" s="113"/>
      <c r="E1940" s="113"/>
      <c r="F1940" s="114"/>
      <c r="G1940" s="113"/>
      <c r="H1940" s="113"/>
      <c r="J1940" s="113"/>
    </row>
    <row r="1941" spans="1:10" s="4" customFormat="1" x14ac:dyDescent="0.25">
      <c r="A1941" s="114"/>
      <c r="D1941" s="113"/>
      <c r="E1941" s="113"/>
      <c r="F1941" s="114"/>
      <c r="G1941" s="113"/>
      <c r="H1941" s="113"/>
      <c r="J1941" s="113"/>
    </row>
    <row r="1942" spans="1:10" s="4" customFormat="1" x14ac:dyDescent="0.25">
      <c r="A1942" s="114"/>
      <c r="D1942" s="113"/>
      <c r="E1942" s="113"/>
      <c r="F1942" s="114"/>
      <c r="G1942" s="113"/>
      <c r="H1942" s="113"/>
      <c r="J1942" s="113"/>
    </row>
    <row r="1943" spans="1:10" s="4" customFormat="1" x14ac:dyDescent="0.25">
      <c r="A1943" s="114"/>
      <c r="D1943" s="113"/>
      <c r="E1943" s="113"/>
      <c r="F1943" s="114"/>
      <c r="G1943" s="113"/>
      <c r="H1943" s="113"/>
      <c r="J1943" s="113"/>
    </row>
    <row r="1944" spans="1:10" s="4" customFormat="1" x14ac:dyDescent="0.25">
      <c r="A1944" s="114"/>
      <c r="D1944" s="113"/>
      <c r="E1944" s="113"/>
      <c r="F1944" s="114"/>
      <c r="G1944" s="113"/>
      <c r="H1944" s="113"/>
      <c r="J1944" s="113"/>
    </row>
    <row r="1945" spans="1:10" s="4" customFormat="1" x14ac:dyDescent="0.25">
      <c r="A1945" s="114"/>
      <c r="D1945" s="113"/>
      <c r="E1945" s="113"/>
      <c r="F1945" s="114"/>
      <c r="G1945" s="113"/>
      <c r="H1945" s="113"/>
      <c r="J1945" s="113"/>
    </row>
    <row r="1946" spans="1:10" s="4" customFormat="1" x14ac:dyDescent="0.25">
      <c r="A1946" s="114"/>
      <c r="D1946" s="113"/>
      <c r="E1946" s="113"/>
      <c r="F1946" s="114"/>
      <c r="G1946" s="113"/>
      <c r="H1946" s="113"/>
      <c r="J1946" s="113"/>
    </row>
    <row r="1947" spans="1:10" s="4" customFormat="1" x14ac:dyDescent="0.25">
      <c r="A1947" s="114"/>
      <c r="D1947" s="113"/>
      <c r="E1947" s="113"/>
      <c r="F1947" s="114"/>
      <c r="G1947" s="113"/>
      <c r="H1947" s="113"/>
      <c r="J1947" s="113"/>
    </row>
    <row r="1948" spans="1:10" s="4" customFormat="1" x14ac:dyDescent="0.25">
      <c r="A1948" s="114"/>
      <c r="D1948" s="113"/>
      <c r="E1948" s="113"/>
      <c r="F1948" s="114"/>
      <c r="G1948" s="113"/>
      <c r="H1948" s="113"/>
      <c r="J1948" s="113"/>
    </row>
    <row r="1949" spans="1:10" s="4" customFormat="1" x14ac:dyDescent="0.25">
      <c r="A1949" s="114"/>
      <c r="D1949" s="113"/>
      <c r="E1949" s="113"/>
      <c r="F1949" s="114"/>
      <c r="G1949" s="113"/>
      <c r="H1949" s="113"/>
      <c r="J1949" s="113"/>
    </row>
    <row r="1950" spans="1:10" s="4" customFormat="1" x14ac:dyDescent="0.25">
      <c r="A1950" s="114"/>
      <c r="D1950" s="113"/>
      <c r="E1950" s="113"/>
      <c r="F1950" s="114"/>
      <c r="G1950" s="113"/>
      <c r="H1950" s="113"/>
      <c r="J1950" s="113"/>
    </row>
    <row r="1951" spans="1:10" s="4" customFormat="1" x14ac:dyDescent="0.25">
      <c r="A1951" s="114"/>
      <c r="D1951" s="113"/>
      <c r="E1951" s="113"/>
      <c r="F1951" s="114"/>
      <c r="G1951" s="113"/>
      <c r="H1951" s="113"/>
      <c r="J1951" s="113"/>
    </row>
    <row r="1952" spans="1:10" s="4" customFormat="1" x14ac:dyDescent="0.25">
      <c r="A1952" s="114"/>
      <c r="D1952" s="113"/>
      <c r="E1952" s="113"/>
      <c r="F1952" s="114"/>
      <c r="G1952" s="113"/>
      <c r="H1952" s="113"/>
      <c r="J1952" s="113"/>
    </row>
    <row r="1953" spans="1:10" s="4" customFormat="1" x14ac:dyDescent="0.25">
      <c r="A1953" s="114"/>
      <c r="D1953" s="113"/>
      <c r="E1953" s="113"/>
      <c r="F1953" s="114"/>
      <c r="G1953" s="113"/>
      <c r="H1953" s="113"/>
      <c r="J1953" s="113"/>
    </row>
    <row r="1954" spans="1:10" s="4" customFormat="1" x14ac:dyDescent="0.25">
      <c r="A1954" s="114"/>
      <c r="D1954" s="113"/>
      <c r="E1954" s="113"/>
      <c r="F1954" s="114"/>
      <c r="G1954" s="113"/>
      <c r="H1954" s="113"/>
      <c r="J1954" s="113"/>
    </row>
    <row r="1955" spans="1:10" s="4" customFormat="1" x14ac:dyDescent="0.25">
      <c r="A1955" s="114"/>
      <c r="D1955" s="113"/>
      <c r="E1955" s="113"/>
      <c r="F1955" s="114"/>
      <c r="G1955" s="113"/>
      <c r="H1955" s="113"/>
      <c r="J1955" s="113"/>
    </row>
    <row r="1956" spans="1:10" s="4" customFormat="1" x14ac:dyDescent="0.25">
      <c r="A1956" s="114"/>
      <c r="D1956" s="113"/>
      <c r="E1956" s="113"/>
      <c r="F1956" s="114"/>
      <c r="G1956" s="113"/>
      <c r="H1956" s="113"/>
      <c r="J1956" s="113"/>
    </row>
    <row r="1957" spans="1:10" s="4" customFormat="1" x14ac:dyDescent="0.25">
      <c r="A1957" s="114"/>
      <c r="D1957" s="113"/>
      <c r="E1957" s="113"/>
      <c r="F1957" s="114"/>
      <c r="G1957" s="113"/>
      <c r="H1957" s="113"/>
      <c r="J1957" s="113"/>
    </row>
    <row r="1958" spans="1:10" s="4" customFormat="1" x14ac:dyDescent="0.25">
      <c r="A1958" s="114"/>
      <c r="D1958" s="113"/>
      <c r="E1958" s="113"/>
      <c r="F1958" s="114"/>
      <c r="G1958" s="113"/>
      <c r="H1958" s="113"/>
      <c r="J1958" s="113"/>
    </row>
    <row r="1959" spans="1:10" s="4" customFormat="1" x14ac:dyDescent="0.25">
      <c r="A1959" s="114"/>
      <c r="D1959" s="113"/>
      <c r="E1959" s="113"/>
      <c r="F1959" s="114"/>
      <c r="G1959" s="113"/>
      <c r="H1959" s="113"/>
      <c r="J1959" s="113"/>
    </row>
    <row r="1960" spans="1:10" s="4" customFormat="1" x14ac:dyDescent="0.25">
      <c r="A1960" s="114"/>
      <c r="D1960" s="113"/>
      <c r="E1960" s="113"/>
      <c r="F1960" s="114"/>
      <c r="G1960" s="113"/>
      <c r="H1960" s="113"/>
      <c r="J1960" s="113"/>
    </row>
    <row r="1961" spans="1:10" s="4" customFormat="1" x14ac:dyDescent="0.25">
      <c r="A1961" s="114"/>
      <c r="D1961" s="113"/>
      <c r="E1961" s="113"/>
      <c r="F1961" s="114"/>
      <c r="G1961" s="113"/>
      <c r="H1961" s="113"/>
      <c r="J1961" s="113"/>
    </row>
    <row r="1962" spans="1:10" s="4" customFormat="1" x14ac:dyDescent="0.25">
      <c r="A1962" s="114"/>
      <c r="D1962" s="113"/>
      <c r="E1962" s="113"/>
      <c r="F1962" s="114"/>
      <c r="G1962" s="113"/>
      <c r="H1962" s="113"/>
      <c r="J1962" s="113"/>
    </row>
    <row r="1963" spans="1:10" s="4" customFormat="1" x14ac:dyDescent="0.25">
      <c r="A1963" s="114"/>
      <c r="D1963" s="113"/>
      <c r="E1963" s="113"/>
      <c r="F1963" s="114"/>
      <c r="G1963" s="113"/>
      <c r="H1963" s="113"/>
      <c r="J1963" s="113"/>
    </row>
    <row r="1964" spans="1:10" s="4" customFormat="1" x14ac:dyDescent="0.25">
      <c r="A1964" s="114"/>
      <c r="D1964" s="113"/>
      <c r="E1964" s="113"/>
      <c r="F1964" s="114"/>
      <c r="G1964" s="113"/>
      <c r="H1964" s="113"/>
      <c r="J1964" s="113"/>
    </row>
    <row r="1965" spans="1:10" s="4" customFormat="1" x14ac:dyDescent="0.25">
      <c r="A1965" s="114"/>
      <c r="D1965" s="113"/>
      <c r="E1965" s="113"/>
      <c r="F1965" s="114"/>
      <c r="G1965" s="113"/>
      <c r="H1965" s="113"/>
      <c r="J1965" s="113"/>
    </row>
    <row r="1966" spans="1:10" s="4" customFormat="1" x14ac:dyDescent="0.25">
      <c r="A1966" s="114"/>
      <c r="D1966" s="113"/>
      <c r="E1966" s="113"/>
      <c r="F1966" s="114"/>
      <c r="G1966" s="113"/>
      <c r="H1966" s="113"/>
      <c r="J1966" s="113"/>
    </row>
    <row r="1967" spans="1:10" s="4" customFormat="1" x14ac:dyDescent="0.25">
      <c r="A1967" s="114"/>
      <c r="D1967" s="113"/>
      <c r="E1967" s="113"/>
      <c r="F1967" s="114"/>
      <c r="G1967" s="113"/>
      <c r="H1967" s="113"/>
      <c r="J1967" s="113"/>
    </row>
    <row r="1968" spans="1:10" s="4" customFormat="1" x14ac:dyDescent="0.25">
      <c r="A1968" s="114"/>
      <c r="D1968" s="113"/>
      <c r="E1968" s="113"/>
      <c r="F1968" s="114"/>
      <c r="G1968" s="113"/>
      <c r="H1968" s="113"/>
      <c r="J1968" s="113"/>
    </row>
    <row r="1969" spans="1:10" s="4" customFormat="1" x14ac:dyDescent="0.25">
      <c r="A1969" s="114"/>
      <c r="D1969" s="113"/>
      <c r="E1969" s="113"/>
      <c r="F1969" s="114"/>
      <c r="G1969" s="113"/>
      <c r="H1969" s="113"/>
      <c r="J1969" s="113"/>
    </row>
    <row r="1970" spans="1:10" s="4" customFormat="1" x14ac:dyDescent="0.25">
      <c r="A1970" s="114"/>
      <c r="D1970" s="113"/>
      <c r="E1970" s="113"/>
      <c r="F1970" s="114"/>
      <c r="G1970" s="113"/>
      <c r="H1970" s="113"/>
      <c r="J1970" s="113"/>
    </row>
    <row r="1971" spans="1:10" s="4" customFormat="1" x14ac:dyDescent="0.25">
      <c r="A1971" s="114"/>
      <c r="D1971" s="113"/>
      <c r="E1971" s="113"/>
      <c r="F1971" s="114"/>
      <c r="G1971" s="113"/>
      <c r="H1971" s="113"/>
      <c r="J1971" s="113"/>
    </row>
    <row r="1972" spans="1:10" s="4" customFormat="1" x14ac:dyDescent="0.25">
      <c r="A1972" s="114"/>
      <c r="D1972" s="113"/>
      <c r="E1972" s="113"/>
      <c r="F1972" s="114"/>
      <c r="G1972" s="113"/>
      <c r="H1972" s="113"/>
      <c r="J1972" s="113"/>
    </row>
    <row r="1973" spans="1:10" s="4" customFormat="1" x14ac:dyDescent="0.25">
      <c r="A1973" s="114"/>
      <c r="D1973" s="113"/>
      <c r="E1973" s="113"/>
      <c r="F1973" s="114"/>
      <c r="G1973" s="113"/>
      <c r="H1973" s="113"/>
      <c r="J1973" s="113"/>
    </row>
    <row r="1974" spans="1:10" s="4" customFormat="1" x14ac:dyDescent="0.25">
      <c r="A1974" s="114"/>
      <c r="D1974" s="113"/>
      <c r="E1974" s="113"/>
      <c r="F1974" s="114"/>
      <c r="G1974" s="113"/>
      <c r="H1974" s="113"/>
      <c r="J1974" s="113"/>
    </row>
    <row r="1975" spans="1:10" s="4" customFormat="1" x14ac:dyDescent="0.25">
      <c r="A1975" s="114"/>
      <c r="D1975" s="113"/>
      <c r="E1975" s="113"/>
      <c r="F1975" s="114"/>
      <c r="G1975" s="113"/>
      <c r="H1975" s="113"/>
      <c r="J1975" s="113"/>
    </row>
    <row r="1976" spans="1:10" s="4" customFormat="1" x14ac:dyDescent="0.25">
      <c r="A1976" s="114"/>
      <c r="D1976" s="113"/>
      <c r="E1976" s="113"/>
      <c r="F1976" s="114"/>
      <c r="G1976" s="113"/>
      <c r="H1976" s="113"/>
      <c r="J1976" s="113"/>
    </row>
    <row r="1977" spans="1:10" s="4" customFormat="1" x14ac:dyDescent="0.25">
      <c r="A1977" s="114"/>
      <c r="D1977" s="113"/>
      <c r="E1977" s="113"/>
      <c r="F1977" s="114"/>
      <c r="G1977" s="113"/>
      <c r="H1977" s="113"/>
      <c r="J1977" s="113"/>
    </row>
    <row r="1978" spans="1:10" s="4" customFormat="1" x14ac:dyDescent="0.25">
      <c r="A1978" s="114"/>
      <c r="D1978" s="113"/>
      <c r="E1978" s="113"/>
      <c r="F1978" s="114"/>
      <c r="G1978" s="113"/>
      <c r="H1978" s="113"/>
      <c r="J1978" s="113"/>
    </row>
    <row r="1979" spans="1:10" s="4" customFormat="1" x14ac:dyDescent="0.25">
      <c r="A1979" s="114"/>
      <c r="D1979" s="113"/>
      <c r="E1979" s="113"/>
      <c r="F1979" s="114"/>
      <c r="G1979" s="113"/>
      <c r="H1979" s="113"/>
      <c r="J1979" s="113"/>
    </row>
    <row r="1980" spans="1:10" s="4" customFormat="1" x14ac:dyDescent="0.25">
      <c r="A1980" s="114"/>
      <c r="D1980" s="113"/>
      <c r="E1980" s="113"/>
      <c r="F1980" s="114"/>
      <c r="G1980" s="113"/>
      <c r="H1980" s="113"/>
      <c r="J1980" s="113"/>
    </row>
    <row r="1981" spans="1:10" s="4" customFormat="1" x14ac:dyDescent="0.25">
      <c r="A1981" s="114"/>
      <c r="D1981" s="113"/>
      <c r="E1981" s="113"/>
      <c r="F1981" s="114"/>
      <c r="G1981" s="113"/>
      <c r="H1981" s="113"/>
      <c r="J1981" s="113"/>
    </row>
    <row r="1982" spans="1:10" s="4" customFormat="1" x14ac:dyDescent="0.25">
      <c r="A1982" s="114"/>
      <c r="D1982" s="113"/>
      <c r="E1982" s="113"/>
      <c r="F1982" s="114"/>
      <c r="G1982" s="113"/>
      <c r="H1982" s="113"/>
      <c r="J1982" s="113"/>
    </row>
    <row r="1983" spans="1:10" s="4" customFormat="1" x14ac:dyDescent="0.25">
      <c r="A1983" s="114"/>
      <c r="D1983" s="113"/>
      <c r="E1983" s="113"/>
      <c r="F1983" s="114"/>
      <c r="G1983" s="113"/>
      <c r="H1983" s="113"/>
      <c r="J1983" s="113"/>
    </row>
    <row r="1984" spans="1:10" s="4" customFormat="1" x14ac:dyDescent="0.25">
      <c r="A1984" s="114"/>
      <c r="D1984" s="113"/>
      <c r="E1984" s="113"/>
      <c r="F1984" s="114"/>
      <c r="G1984" s="113"/>
      <c r="H1984" s="113"/>
      <c r="J1984" s="113"/>
    </row>
    <row r="1985" spans="1:10" s="4" customFormat="1" x14ac:dyDescent="0.25">
      <c r="A1985" s="114"/>
      <c r="D1985" s="113"/>
      <c r="E1985" s="113"/>
      <c r="F1985" s="114"/>
      <c r="G1985" s="113"/>
      <c r="H1985" s="113"/>
      <c r="J1985" s="113"/>
    </row>
    <row r="1986" spans="1:10" s="4" customFormat="1" x14ac:dyDescent="0.25">
      <c r="A1986" s="114"/>
      <c r="D1986" s="113"/>
      <c r="E1986" s="113"/>
      <c r="F1986" s="114"/>
      <c r="G1986" s="113"/>
      <c r="H1986" s="113"/>
      <c r="J1986" s="113"/>
    </row>
    <row r="1987" spans="1:10" s="4" customFormat="1" x14ac:dyDescent="0.25">
      <c r="A1987" s="114"/>
      <c r="D1987" s="113"/>
      <c r="E1987" s="113"/>
      <c r="F1987" s="114"/>
      <c r="G1987" s="113"/>
      <c r="H1987" s="113"/>
      <c r="J1987" s="113"/>
    </row>
    <row r="1988" spans="1:10" s="4" customFormat="1" x14ac:dyDescent="0.25">
      <c r="A1988" s="114"/>
      <c r="D1988" s="113"/>
      <c r="E1988" s="113"/>
      <c r="F1988" s="114"/>
      <c r="G1988" s="113"/>
      <c r="H1988" s="113"/>
      <c r="J1988" s="113"/>
    </row>
    <row r="1989" spans="1:10" s="4" customFormat="1" x14ac:dyDescent="0.25">
      <c r="A1989" s="114"/>
      <c r="D1989" s="113"/>
      <c r="E1989" s="113"/>
      <c r="F1989" s="114"/>
      <c r="G1989" s="113"/>
      <c r="H1989" s="113"/>
      <c r="J1989" s="113"/>
    </row>
    <row r="1990" spans="1:10" s="4" customFormat="1" x14ac:dyDescent="0.25">
      <c r="A1990" s="114"/>
      <c r="D1990" s="113"/>
      <c r="E1990" s="113"/>
      <c r="F1990" s="114"/>
      <c r="G1990" s="113"/>
      <c r="H1990" s="113"/>
      <c r="J1990" s="113"/>
    </row>
    <row r="1991" spans="1:10" s="4" customFormat="1" x14ac:dyDescent="0.25">
      <c r="A1991" s="114"/>
      <c r="D1991" s="113"/>
      <c r="E1991" s="113"/>
      <c r="F1991" s="114"/>
      <c r="G1991" s="113"/>
      <c r="H1991" s="113"/>
      <c r="J1991" s="113"/>
    </row>
    <row r="1992" spans="1:10" s="4" customFormat="1" x14ac:dyDescent="0.25">
      <c r="A1992" s="114"/>
      <c r="D1992" s="113"/>
      <c r="E1992" s="113"/>
      <c r="F1992" s="114"/>
      <c r="G1992" s="113"/>
      <c r="H1992" s="113"/>
      <c r="J1992" s="113"/>
    </row>
    <row r="1993" spans="1:10" s="4" customFormat="1" x14ac:dyDescent="0.25">
      <c r="A1993" s="114"/>
      <c r="D1993" s="113"/>
      <c r="E1993" s="113"/>
      <c r="F1993" s="114"/>
      <c r="G1993" s="113"/>
      <c r="H1993" s="113"/>
      <c r="J1993" s="113"/>
    </row>
    <row r="1994" spans="1:10" s="4" customFormat="1" x14ac:dyDescent="0.25">
      <c r="A1994" s="114"/>
      <c r="D1994" s="113"/>
      <c r="E1994" s="113"/>
      <c r="F1994" s="114"/>
      <c r="G1994" s="113"/>
      <c r="H1994" s="113"/>
      <c r="J1994" s="113"/>
    </row>
    <row r="1995" spans="1:10" s="4" customFormat="1" x14ac:dyDescent="0.25">
      <c r="A1995" s="114"/>
      <c r="D1995" s="113"/>
      <c r="E1995" s="113"/>
      <c r="F1995" s="114"/>
      <c r="G1995" s="113"/>
      <c r="H1995" s="113"/>
      <c r="J1995" s="113"/>
    </row>
    <row r="1996" spans="1:10" s="4" customFormat="1" x14ac:dyDescent="0.25">
      <c r="A1996" s="114"/>
      <c r="D1996" s="113"/>
      <c r="E1996" s="113"/>
      <c r="F1996" s="114"/>
      <c r="G1996" s="113"/>
      <c r="H1996" s="113"/>
      <c r="J1996" s="113"/>
    </row>
    <row r="1997" spans="1:10" s="4" customFormat="1" x14ac:dyDescent="0.25">
      <c r="A1997" s="114"/>
      <c r="D1997" s="113"/>
      <c r="E1997" s="113"/>
      <c r="F1997" s="114"/>
      <c r="G1997" s="113"/>
      <c r="H1997" s="113"/>
      <c r="J1997" s="113"/>
    </row>
    <row r="1998" spans="1:10" s="4" customFormat="1" x14ac:dyDescent="0.25">
      <c r="A1998" s="114"/>
      <c r="D1998" s="113"/>
      <c r="E1998" s="113"/>
      <c r="F1998" s="114"/>
      <c r="G1998" s="113"/>
      <c r="H1998" s="113"/>
      <c r="J1998" s="113"/>
    </row>
    <row r="1999" spans="1:10" s="4" customFormat="1" x14ac:dyDescent="0.25">
      <c r="A1999" s="114"/>
      <c r="D1999" s="113"/>
      <c r="E1999" s="113"/>
      <c r="F1999" s="114"/>
      <c r="G1999" s="113"/>
      <c r="H1999" s="113"/>
      <c r="J1999" s="113"/>
    </row>
    <row r="2000" spans="1:10" s="4" customFormat="1" x14ac:dyDescent="0.25">
      <c r="A2000" s="114"/>
      <c r="D2000" s="113"/>
      <c r="E2000" s="113"/>
      <c r="F2000" s="114"/>
      <c r="G2000" s="113"/>
      <c r="H2000" s="113"/>
      <c r="J2000" s="113"/>
    </row>
    <row r="2001" spans="1:10" s="4" customFormat="1" x14ac:dyDescent="0.25">
      <c r="A2001" s="114"/>
      <c r="D2001" s="113"/>
      <c r="E2001" s="113"/>
      <c r="F2001" s="114"/>
      <c r="G2001" s="113"/>
      <c r="H2001" s="113"/>
      <c r="J2001" s="113"/>
    </row>
    <row r="2002" spans="1:10" s="4" customFormat="1" x14ac:dyDescent="0.25">
      <c r="A2002" s="114"/>
      <c r="D2002" s="113"/>
      <c r="E2002" s="113"/>
      <c r="F2002" s="114"/>
      <c r="G2002" s="113"/>
      <c r="H2002" s="113"/>
      <c r="J2002" s="113"/>
    </row>
    <row r="2003" spans="1:10" s="4" customFormat="1" x14ac:dyDescent="0.25">
      <c r="A2003" s="114"/>
      <c r="D2003" s="113"/>
      <c r="E2003" s="113"/>
      <c r="F2003" s="114"/>
      <c r="G2003" s="113"/>
      <c r="H2003" s="113"/>
      <c r="J2003" s="113"/>
    </row>
    <row r="2004" spans="1:10" s="4" customFormat="1" x14ac:dyDescent="0.25">
      <c r="A2004" s="114"/>
      <c r="D2004" s="113"/>
      <c r="E2004" s="113"/>
      <c r="F2004" s="114"/>
      <c r="G2004" s="113"/>
      <c r="H2004" s="113"/>
      <c r="J2004" s="113"/>
    </row>
    <row r="2005" spans="1:10" s="4" customFormat="1" x14ac:dyDescent="0.25">
      <c r="A2005" s="114"/>
      <c r="D2005" s="113"/>
      <c r="E2005" s="113"/>
      <c r="F2005" s="114"/>
      <c r="G2005" s="113"/>
      <c r="H2005" s="113"/>
      <c r="J2005" s="113"/>
    </row>
    <row r="2006" spans="1:10" s="4" customFormat="1" x14ac:dyDescent="0.25">
      <c r="A2006" s="114"/>
      <c r="D2006" s="113"/>
      <c r="E2006" s="113"/>
      <c r="F2006" s="114"/>
      <c r="G2006" s="113"/>
      <c r="H2006" s="113"/>
      <c r="J2006" s="113"/>
    </row>
    <row r="2007" spans="1:10" s="4" customFormat="1" x14ac:dyDescent="0.25">
      <c r="A2007" s="114"/>
      <c r="D2007" s="113"/>
      <c r="E2007" s="113"/>
      <c r="F2007" s="114"/>
      <c r="G2007" s="113"/>
      <c r="H2007" s="113"/>
      <c r="J2007" s="113"/>
    </row>
    <row r="2008" spans="1:10" s="4" customFormat="1" x14ac:dyDescent="0.25">
      <c r="A2008" s="114"/>
      <c r="D2008" s="113"/>
      <c r="E2008" s="113"/>
      <c r="F2008" s="114"/>
      <c r="G2008" s="113"/>
      <c r="H2008" s="113"/>
      <c r="J2008" s="113"/>
    </row>
    <row r="2009" spans="1:10" s="4" customFormat="1" x14ac:dyDescent="0.25">
      <c r="A2009" s="114"/>
      <c r="D2009" s="113"/>
      <c r="E2009" s="113"/>
      <c r="F2009" s="114"/>
      <c r="G2009" s="113"/>
      <c r="H2009" s="113"/>
      <c r="J2009" s="113"/>
    </row>
    <row r="2010" spans="1:10" s="4" customFormat="1" x14ac:dyDescent="0.25">
      <c r="A2010" s="114"/>
      <c r="D2010" s="113"/>
      <c r="E2010" s="113"/>
      <c r="F2010" s="114"/>
      <c r="G2010" s="113"/>
      <c r="H2010" s="113"/>
      <c r="J2010" s="113"/>
    </row>
    <row r="2011" spans="1:10" s="4" customFormat="1" x14ac:dyDescent="0.25">
      <c r="A2011" s="114"/>
      <c r="D2011" s="113"/>
      <c r="E2011" s="113"/>
      <c r="F2011" s="114"/>
      <c r="G2011" s="113"/>
      <c r="H2011" s="113"/>
      <c r="J2011" s="113"/>
    </row>
    <row r="2012" spans="1:10" s="4" customFormat="1" x14ac:dyDescent="0.25">
      <c r="A2012" s="114"/>
      <c r="D2012" s="113"/>
      <c r="E2012" s="113"/>
      <c r="F2012" s="114"/>
      <c r="G2012" s="113"/>
      <c r="H2012" s="113"/>
      <c r="J2012" s="113"/>
    </row>
    <row r="2013" spans="1:10" s="4" customFormat="1" x14ac:dyDescent="0.25">
      <c r="A2013" s="114"/>
      <c r="D2013" s="113"/>
      <c r="E2013" s="113"/>
      <c r="F2013" s="114"/>
      <c r="G2013" s="113"/>
      <c r="H2013" s="113"/>
      <c r="J2013" s="113"/>
    </row>
    <row r="2014" spans="1:10" s="4" customFormat="1" x14ac:dyDescent="0.25">
      <c r="A2014" s="114"/>
      <c r="D2014" s="113"/>
      <c r="E2014" s="113"/>
      <c r="F2014" s="114"/>
      <c r="G2014" s="113"/>
      <c r="H2014" s="113"/>
      <c r="J2014" s="113"/>
    </row>
    <row r="2015" spans="1:10" s="4" customFormat="1" x14ac:dyDescent="0.25">
      <c r="A2015" s="114"/>
      <c r="D2015" s="113"/>
      <c r="E2015" s="113"/>
      <c r="F2015" s="114"/>
      <c r="G2015" s="113"/>
      <c r="H2015" s="113"/>
      <c r="J2015" s="113"/>
    </row>
    <row r="2016" spans="1:10" s="4" customFormat="1" x14ac:dyDescent="0.25">
      <c r="A2016" s="114"/>
      <c r="D2016" s="113"/>
      <c r="E2016" s="113"/>
      <c r="F2016" s="114"/>
      <c r="G2016" s="113"/>
      <c r="H2016" s="113"/>
      <c r="J2016" s="113"/>
    </row>
    <row r="2017" spans="1:10" s="4" customFormat="1" x14ac:dyDescent="0.25">
      <c r="A2017" s="114"/>
      <c r="D2017" s="113"/>
      <c r="E2017" s="113"/>
      <c r="F2017" s="114"/>
      <c r="G2017" s="113"/>
      <c r="H2017" s="113"/>
      <c r="J2017" s="113"/>
    </row>
    <row r="2018" spans="1:10" s="4" customFormat="1" x14ac:dyDescent="0.25">
      <c r="A2018" s="114"/>
      <c r="D2018" s="113"/>
      <c r="E2018" s="113"/>
      <c r="F2018" s="114"/>
      <c r="G2018" s="113"/>
      <c r="H2018" s="113"/>
      <c r="J2018" s="113"/>
    </row>
    <row r="2019" spans="1:10" s="4" customFormat="1" x14ac:dyDescent="0.25">
      <c r="A2019" s="114"/>
      <c r="D2019" s="113"/>
      <c r="E2019" s="113"/>
      <c r="F2019" s="114"/>
      <c r="G2019" s="113"/>
      <c r="H2019" s="113"/>
      <c r="J2019" s="113"/>
    </row>
    <row r="2020" spans="1:10" s="4" customFormat="1" x14ac:dyDescent="0.25">
      <c r="A2020" s="114"/>
      <c r="D2020" s="113"/>
      <c r="E2020" s="113"/>
      <c r="F2020" s="114"/>
      <c r="G2020" s="113"/>
      <c r="H2020" s="113"/>
      <c r="J2020" s="113"/>
    </row>
    <row r="2021" spans="1:10" s="4" customFormat="1" x14ac:dyDescent="0.25">
      <c r="A2021" s="114"/>
      <c r="D2021" s="113"/>
      <c r="E2021" s="113"/>
      <c r="F2021" s="114"/>
      <c r="G2021" s="113"/>
      <c r="H2021" s="113"/>
      <c r="J2021" s="113"/>
    </row>
    <row r="2022" spans="1:10" s="4" customFormat="1" x14ac:dyDescent="0.25">
      <c r="A2022" s="114"/>
      <c r="D2022" s="113"/>
      <c r="E2022" s="113"/>
      <c r="F2022" s="114"/>
      <c r="G2022" s="113"/>
      <c r="H2022" s="113"/>
      <c r="J2022" s="113"/>
    </row>
    <row r="2023" spans="1:10" s="4" customFormat="1" x14ac:dyDescent="0.25">
      <c r="A2023" s="114"/>
      <c r="D2023" s="113"/>
      <c r="E2023" s="113"/>
      <c r="F2023" s="114"/>
      <c r="G2023" s="113"/>
      <c r="H2023" s="113"/>
      <c r="J2023" s="113"/>
    </row>
    <row r="2024" spans="1:10" s="4" customFormat="1" x14ac:dyDescent="0.25">
      <c r="A2024" s="114"/>
      <c r="D2024" s="113"/>
      <c r="E2024" s="113"/>
      <c r="F2024" s="114"/>
      <c r="G2024" s="113"/>
      <c r="H2024" s="113"/>
      <c r="J2024" s="113"/>
    </row>
    <row r="2025" spans="1:10" s="4" customFormat="1" x14ac:dyDescent="0.25">
      <c r="A2025" s="114"/>
      <c r="D2025" s="113"/>
      <c r="E2025" s="113"/>
      <c r="F2025" s="114"/>
      <c r="G2025" s="113"/>
      <c r="H2025" s="113"/>
      <c r="J2025" s="113"/>
    </row>
    <row r="2026" spans="1:10" s="4" customFormat="1" x14ac:dyDescent="0.25">
      <c r="A2026" s="114"/>
      <c r="D2026" s="113"/>
      <c r="E2026" s="113"/>
      <c r="F2026" s="114"/>
      <c r="G2026" s="113"/>
      <c r="H2026" s="113"/>
      <c r="J2026" s="113"/>
    </row>
    <row r="2027" spans="1:10" s="4" customFormat="1" x14ac:dyDescent="0.25">
      <c r="A2027" s="114"/>
      <c r="D2027" s="113"/>
      <c r="E2027" s="113"/>
      <c r="F2027" s="114"/>
      <c r="G2027" s="113"/>
      <c r="H2027" s="113"/>
      <c r="J2027" s="113"/>
    </row>
    <row r="2028" spans="1:10" s="4" customFormat="1" x14ac:dyDescent="0.25">
      <c r="A2028" s="114"/>
      <c r="D2028" s="113"/>
      <c r="E2028" s="113"/>
      <c r="F2028" s="114"/>
      <c r="G2028" s="113"/>
      <c r="H2028" s="113"/>
      <c r="J2028" s="113"/>
    </row>
    <row r="2029" spans="1:10" s="4" customFormat="1" x14ac:dyDescent="0.25">
      <c r="A2029" s="114"/>
      <c r="D2029" s="113"/>
      <c r="E2029" s="113"/>
      <c r="F2029" s="114"/>
      <c r="G2029" s="113"/>
      <c r="H2029" s="113"/>
      <c r="J2029" s="113"/>
    </row>
    <row r="2030" spans="1:10" s="4" customFormat="1" x14ac:dyDescent="0.25">
      <c r="A2030" s="114"/>
      <c r="D2030" s="113"/>
      <c r="E2030" s="113"/>
      <c r="F2030" s="114"/>
      <c r="G2030" s="113"/>
      <c r="H2030" s="113"/>
      <c r="J2030" s="113"/>
    </row>
    <row r="2031" spans="1:10" s="4" customFormat="1" x14ac:dyDescent="0.25">
      <c r="A2031" s="114"/>
      <c r="D2031" s="113"/>
      <c r="E2031" s="113"/>
      <c r="F2031" s="114"/>
      <c r="G2031" s="113"/>
      <c r="H2031" s="113"/>
      <c r="J2031" s="113"/>
    </row>
    <row r="2032" spans="1:10" s="4" customFormat="1" x14ac:dyDescent="0.25">
      <c r="A2032" s="114"/>
      <c r="D2032" s="113"/>
      <c r="E2032" s="113"/>
      <c r="F2032" s="114"/>
      <c r="G2032" s="113"/>
      <c r="H2032" s="113"/>
      <c r="J2032" s="113"/>
    </row>
    <row r="2033" spans="1:10" s="4" customFormat="1" x14ac:dyDescent="0.25">
      <c r="A2033" s="114"/>
      <c r="D2033" s="113"/>
      <c r="E2033" s="113"/>
      <c r="F2033" s="114"/>
      <c r="G2033" s="113"/>
      <c r="H2033" s="113"/>
      <c r="J2033" s="113"/>
    </row>
    <row r="2034" spans="1:10" s="4" customFormat="1" x14ac:dyDescent="0.25">
      <c r="A2034" s="114"/>
      <c r="D2034" s="113"/>
      <c r="E2034" s="113"/>
      <c r="F2034" s="114"/>
      <c r="G2034" s="113"/>
      <c r="H2034" s="113"/>
      <c r="J2034" s="113"/>
    </row>
    <row r="2035" spans="1:10" s="4" customFormat="1" x14ac:dyDescent="0.25">
      <c r="A2035" s="114"/>
      <c r="D2035" s="113"/>
      <c r="E2035" s="113"/>
      <c r="F2035" s="114"/>
      <c r="G2035" s="113"/>
      <c r="H2035" s="113"/>
      <c r="J2035" s="113"/>
    </row>
    <row r="2036" spans="1:10" s="4" customFormat="1" x14ac:dyDescent="0.25">
      <c r="A2036" s="114"/>
      <c r="D2036" s="113"/>
      <c r="E2036" s="113"/>
      <c r="F2036" s="114"/>
      <c r="G2036" s="113"/>
      <c r="H2036" s="113"/>
      <c r="J2036" s="113"/>
    </row>
    <row r="2037" spans="1:10" s="4" customFormat="1" x14ac:dyDescent="0.25">
      <c r="A2037" s="114"/>
      <c r="D2037" s="113"/>
      <c r="E2037" s="113"/>
      <c r="F2037" s="114"/>
      <c r="G2037" s="113"/>
      <c r="H2037" s="113"/>
      <c r="J2037" s="113"/>
    </row>
    <row r="2038" spans="1:10" s="4" customFormat="1" x14ac:dyDescent="0.25">
      <c r="A2038" s="114"/>
      <c r="D2038" s="113"/>
      <c r="E2038" s="113"/>
      <c r="F2038" s="114"/>
      <c r="G2038" s="113"/>
      <c r="H2038" s="113"/>
      <c r="J2038" s="113"/>
    </row>
    <row r="2039" spans="1:10" s="4" customFormat="1" x14ac:dyDescent="0.25">
      <c r="A2039" s="114"/>
      <c r="D2039" s="113"/>
      <c r="E2039" s="113"/>
      <c r="F2039" s="114"/>
      <c r="G2039" s="113"/>
      <c r="H2039" s="113"/>
      <c r="J2039" s="113"/>
    </row>
    <row r="2040" spans="1:10" s="4" customFormat="1" x14ac:dyDescent="0.25">
      <c r="A2040" s="114"/>
      <c r="D2040" s="113"/>
      <c r="E2040" s="113"/>
      <c r="F2040" s="114"/>
      <c r="G2040" s="113"/>
      <c r="H2040" s="113"/>
      <c r="J2040" s="113"/>
    </row>
    <row r="2041" spans="1:10" s="4" customFormat="1" x14ac:dyDescent="0.25">
      <c r="A2041" s="114"/>
      <c r="D2041" s="113"/>
      <c r="E2041" s="113"/>
      <c r="F2041" s="114"/>
      <c r="G2041" s="113"/>
      <c r="H2041" s="113"/>
      <c r="J2041" s="113"/>
    </row>
    <row r="2042" spans="1:10" s="4" customFormat="1" x14ac:dyDescent="0.25">
      <c r="A2042" s="114"/>
      <c r="D2042" s="113"/>
      <c r="E2042" s="113"/>
      <c r="F2042" s="114"/>
      <c r="G2042" s="113"/>
      <c r="H2042" s="113"/>
      <c r="J2042" s="113"/>
    </row>
    <row r="2043" spans="1:10" s="4" customFormat="1" x14ac:dyDescent="0.25">
      <c r="A2043" s="114"/>
      <c r="D2043" s="113"/>
      <c r="E2043" s="113"/>
      <c r="F2043" s="114"/>
      <c r="G2043" s="113"/>
      <c r="H2043" s="113"/>
      <c r="J2043" s="113"/>
    </row>
    <row r="2044" spans="1:10" s="4" customFormat="1" x14ac:dyDescent="0.25">
      <c r="A2044" s="114"/>
      <c r="D2044" s="113"/>
      <c r="E2044" s="113"/>
      <c r="F2044" s="114"/>
      <c r="G2044" s="113"/>
      <c r="H2044" s="113"/>
      <c r="J2044" s="113"/>
    </row>
    <row r="2045" spans="1:10" s="4" customFormat="1" x14ac:dyDescent="0.25">
      <c r="A2045" s="114"/>
      <c r="D2045" s="113"/>
      <c r="E2045" s="113"/>
      <c r="F2045" s="114"/>
      <c r="G2045" s="113"/>
      <c r="H2045" s="113"/>
      <c r="J2045" s="113"/>
    </row>
    <row r="2046" spans="1:10" s="4" customFormat="1" x14ac:dyDescent="0.25">
      <c r="A2046" s="114"/>
      <c r="D2046" s="113"/>
      <c r="E2046" s="113"/>
      <c r="F2046" s="114"/>
      <c r="G2046" s="113"/>
      <c r="H2046" s="113"/>
      <c r="J2046" s="113"/>
    </row>
    <row r="2047" spans="1:10" s="4" customFormat="1" x14ac:dyDescent="0.25">
      <c r="A2047" s="114"/>
      <c r="D2047" s="113"/>
      <c r="E2047" s="113"/>
      <c r="F2047" s="114"/>
      <c r="G2047" s="113"/>
      <c r="H2047" s="113"/>
      <c r="J2047" s="113"/>
    </row>
    <row r="2048" spans="1:10" s="4" customFormat="1" x14ac:dyDescent="0.25">
      <c r="A2048" s="114"/>
      <c r="D2048" s="113"/>
      <c r="E2048" s="113"/>
      <c r="F2048" s="114"/>
      <c r="G2048" s="113"/>
      <c r="H2048" s="113"/>
      <c r="J2048" s="113"/>
    </row>
    <row r="2049" spans="1:10" s="4" customFormat="1" x14ac:dyDescent="0.25">
      <c r="A2049" s="114"/>
      <c r="D2049" s="113"/>
      <c r="E2049" s="113"/>
      <c r="F2049" s="114"/>
      <c r="G2049" s="113"/>
      <c r="H2049" s="113"/>
      <c r="J2049" s="113"/>
    </row>
    <row r="2050" spans="1:10" s="4" customFormat="1" x14ac:dyDescent="0.25">
      <c r="A2050" s="114"/>
      <c r="D2050" s="113"/>
      <c r="E2050" s="113"/>
      <c r="F2050" s="114"/>
      <c r="G2050" s="113"/>
      <c r="H2050" s="113"/>
      <c r="J2050" s="113"/>
    </row>
    <row r="2051" spans="1:10" s="4" customFormat="1" x14ac:dyDescent="0.25">
      <c r="A2051" s="114"/>
      <c r="D2051" s="113"/>
      <c r="E2051" s="113"/>
      <c r="F2051" s="114"/>
      <c r="G2051" s="113"/>
      <c r="H2051" s="113"/>
      <c r="J2051" s="113"/>
    </row>
    <row r="2052" spans="1:10" s="4" customFormat="1" x14ac:dyDescent="0.25">
      <c r="A2052" s="114"/>
      <c r="D2052" s="113"/>
      <c r="E2052" s="113"/>
      <c r="F2052" s="114"/>
      <c r="G2052" s="113"/>
      <c r="H2052" s="113"/>
      <c r="J2052" s="113"/>
    </row>
    <row r="2053" spans="1:10" s="4" customFormat="1" x14ac:dyDescent="0.25">
      <c r="A2053" s="114"/>
      <c r="D2053" s="113"/>
      <c r="E2053" s="113"/>
      <c r="F2053" s="114"/>
      <c r="G2053" s="113"/>
      <c r="H2053" s="113"/>
      <c r="J2053" s="113"/>
    </row>
    <row r="2054" spans="1:10" s="4" customFormat="1" x14ac:dyDescent="0.25">
      <c r="A2054" s="114"/>
      <c r="D2054" s="113"/>
      <c r="E2054" s="113"/>
      <c r="F2054" s="114"/>
      <c r="G2054" s="113"/>
      <c r="H2054" s="113"/>
      <c r="J2054" s="113"/>
    </row>
    <row r="2055" spans="1:10" s="4" customFormat="1" x14ac:dyDescent="0.25">
      <c r="A2055" s="114"/>
      <c r="D2055" s="113"/>
      <c r="E2055" s="113"/>
      <c r="F2055" s="114"/>
      <c r="G2055" s="113"/>
      <c r="H2055" s="113"/>
      <c r="J2055" s="113"/>
    </row>
    <row r="2056" spans="1:10" s="4" customFormat="1" x14ac:dyDescent="0.25">
      <c r="A2056" s="114"/>
      <c r="D2056" s="113"/>
      <c r="E2056" s="113"/>
      <c r="F2056" s="114"/>
      <c r="G2056" s="113"/>
      <c r="H2056" s="113"/>
      <c r="J2056" s="113"/>
    </row>
    <row r="2057" spans="1:10" s="4" customFormat="1" x14ac:dyDescent="0.25">
      <c r="A2057" s="114"/>
      <c r="D2057" s="113"/>
      <c r="E2057" s="113"/>
      <c r="F2057" s="114"/>
      <c r="G2057" s="113"/>
      <c r="H2057" s="113"/>
      <c r="J2057" s="113"/>
    </row>
    <row r="2058" spans="1:10" s="4" customFormat="1" x14ac:dyDescent="0.25">
      <c r="A2058" s="114"/>
      <c r="D2058" s="113"/>
      <c r="E2058" s="113"/>
      <c r="F2058" s="114"/>
      <c r="G2058" s="113"/>
      <c r="H2058" s="113"/>
      <c r="J2058" s="113"/>
    </row>
    <row r="2059" spans="1:10" s="4" customFormat="1" x14ac:dyDescent="0.25">
      <c r="A2059" s="114"/>
      <c r="D2059" s="113"/>
      <c r="E2059" s="113"/>
      <c r="F2059" s="114"/>
      <c r="G2059" s="113"/>
      <c r="H2059" s="113"/>
      <c r="J2059" s="113"/>
    </row>
    <row r="2060" spans="1:10" s="4" customFormat="1" x14ac:dyDescent="0.25">
      <c r="A2060" s="114"/>
      <c r="D2060" s="113"/>
      <c r="E2060" s="113"/>
      <c r="F2060" s="114"/>
      <c r="G2060" s="113"/>
      <c r="H2060" s="113"/>
      <c r="J2060" s="113"/>
    </row>
    <row r="2061" spans="1:10" s="4" customFormat="1" x14ac:dyDescent="0.25">
      <c r="A2061" s="114"/>
      <c r="D2061" s="113"/>
      <c r="E2061" s="113"/>
      <c r="F2061" s="114"/>
      <c r="G2061" s="113"/>
      <c r="H2061" s="113"/>
      <c r="J2061" s="113"/>
    </row>
    <row r="2062" spans="1:10" s="4" customFormat="1" x14ac:dyDescent="0.25">
      <c r="A2062" s="114"/>
      <c r="D2062" s="113"/>
      <c r="E2062" s="113"/>
      <c r="F2062" s="114"/>
      <c r="G2062" s="113"/>
      <c r="H2062" s="113"/>
      <c r="J2062" s="113"/>
    </row>
    <row r="2063" spans="1:10" s="4" customFormat="1" x14ac:dyDescent="0.25">
      <c r="A2063" s="114"/>
      <c r="D2063" s="113"/>
      <c r="E2063" s="113"/>
      <c r="F2063" s="114"/>
      <c r="G2063" s="113"/>
      <c r="H2063" s="113"/>
      <c r="J2063" s="113"/>
    </row>
    <row r="2064" spans="1:10" s="4" customFormat="1" x14ac:dyDescent="0.25">
      <c r="A2064" s="114"/>
      <c r="D2064" s="113"/>
      <c r="E2064" s="113"/>
      <c r="F2064" s="114"/>
      <c r="G2064" s="113"/>
      <c r="H2064" s="113"/>
      <c r="J2064" s="113"/>
    </row>
    <row r="2065" spans="1:10" s="4" customFormat="1" x14ac:dyDescent="0.25">
      <c r="A2065" s="114"/>
      <c r="D2065" s="113"/>
      <c r="E2065" s="113"/>
      <c r="F2065" s="114"/>
      <c r="G2065" s="113"/>
      <c r="H2065" s="113"/>
      <c r="J2065" s="113"/>
    </row>
    <row r="2066" spans="1:10" s="4" customFormat="1" x14ac:dyDescent="0.25">
      <c r="A2066" s="114"/>
      <c r="D2066" s="113"/>
      <c r="E2066" s="113"/>
      <c r="F2066" s="114"/>
      <c r="G2066" s="113"/>
      <c r="H2066" s="113"/>
      <c r="J2066" s="113"/>
    </row>
    <row r="2067" spans="1:10" s="4" customFormat="1" x14ac:dyDescent="0.25">
      <c r="A2067" s="114"/>
      <c r="D2067" s="113"/>
      <c r="E2067" s="113"/>
      <c r="F2067" s="114"/>
      <c r="G2067" s="113"/>
      <c r="H2067" s="113"/>
      <c r="J2067" s="113"/>
    </row>
    <row r="2068" spans="1:10" s="4" customFormat="1" x14ac:dyDescent="0.25">
      <c r="A2068" s="114"/>
      <c r="D2068" s="113"/>
      <c r="E2068" s="113"/>
      <c r="F2068" s="114"/>
      <c r="G2068" s="113"/>
      <c r="H2068" s="113"/>
      <c r="J2068" s="113"/>
    </row>
    <row r="2069" spans="1:10" s="4" customFormat="1" x14ac:dyDescent="0.25">
      <c r="A2069" s="114"/>
      <c r="D2069" s="113"/>
      <c r="E2069" s="113"/>
      <c r="F2069" s="114"/>
      <c r="G2069" s="113"/>
      <c r="H2069" s="113"/>
      <c r="J2069" s="113"/>
    </row>
    <row r="2070" spans="1:10" s="4" customFormat="1" x14ac:dyDescent="0.25">
      <c r="A2070" s="114"/>
      <c r="D2070" s="113"/>
      <c r="E2070" s="113"/>
      <c r="F2070" s="114"/>
      <c r="G2070" s="113"/>
      <c r="H2070" s="113"/>
      <c r="J2070" s="113"/>
    </row>
    <row r="2071" spans="1:10" s="4" customFormat="1" x14ac:dyDescent="0.25">
      <c r="A2071" s="114"/>
      <c r="D2071" s="113"/>
      <c r="E2071" s="113"/>
      <c r="F2071" s="114"/>
      <c r="G2071" s="113"/>
      <c r="H2071" s="113"/>
      <c r="J2071" s="113"/>
    </row>
    <row r="2072" spans="1:10" s="4" customFormat="1" x14ac:dyDescent="0.25">
      <c r="A2072" s="114"/>
      <c r="D2072" s="113"/>
      <c r="E2072" s="113"/>
      <c r="F2072" s="114"/>
      <c r="G2072" s="113"/>
      <c r="H2072" s="113"/>
      <c r="J2072" s="113"/>
    </row>
    <row r="2073" spans="1:10" s="4" customFormat="1" x14ac:dyDescent="0.25">
      <c r="A2073" s="114"/>
      <c r="D2073" s="113"/>
      <c r="E2073" s="113"/>
      <c r="F2073" s="114"/>
      <c r="G2073" s="113"/>
      <c r="H2073" s="113"/>
      <c r="J2073" s="113"/>
    </row>
    <row r="2074" spans="1:10" s="4" customFormat="1" x14ac:dyDescent="0.25">
      <c r="A2074" s="114"/>
      <c r="D2074" s="113"/>
      <c r="E2074" s="113"/>
      <c r="F2074" s="114"/>
      <c r="G2074" s="113"/>
      <c r="H2074" s="113"/>
      <c r="J2074" s="113"/>
    </row>
    <row r="2075" spans="1:10" s="4" customFormat="1" x14ac:dyDescent="0.25">
      <c r="A2075" s="114"/>
      <c r="D2075" s="113"/>
      <c r="E2075" s="113"/>
      <c r="F2075" s="114"/>
      <c r="G2075" s="113"/>
      <c r="H2075" s="113"/>
      <c r="J2075" s="113"/>
    </row>
    <row r="2076" spans="1:10" s="4" customFormat="1" x14ac:dyDescent="0.25">
      <c r="A2076" s="114"/>
      <c r="D2076" s="113"/>
      <c r="E2076" s="113"/>
      <c r="F2076" s="114"/>
      <c r="G2076" s="113"/>
      <c r="H2076" s="113"/>
      <c r="J2076" s="113"/>
    </row>
    <row r="2077" spans="1:10" s="4" customFormat="1" x14ac:dyDescent="0.25">
      <c r="A2077" s="114"/>
      <c r="D2077" s="113"/>
      <c r="E2077" s="113"/>
      <c r="F2077" s="114"/>
      <c r="G2077" s="113"/>
      <c r="H2077" s="113"/>
      <c r="J2077" s="113"/>
    </row>
    <row r="2078" spans="1:10" s="4" customFormat="1" x14ac:dyDescent="0.25">
      <c r="A2078" s="114"/>
      <c r="D2078" s="113"/>
      <c r="E2078" s="113"/>
      <c r="F2078" s="114"/>
      <c r="G2078" s="113"/>
      <c r="H2078" s="113"/>
      <c r="J2078" s="113"/>
    </row>
    <row r="2079" spans="1:10" s="4" customFormat="1" x14ac:dyDescent="0.25">
      <c r="A2079" s="114"/>
      <c r="D2079" s="113"/>
      <c r="E2079" s="113"/>
      <c r="F2079" s="114"/>
      <c r="G2079" s="113"/>
      <c r="H2079" s="113"/>
      <c r="J2079" s="113"/>
    </row>
    <row r="2080" spans="1:10" s="4" customFormat="1" x14ac:dyDescent="0.25">
      <c r="A2080" s="114"/>
      <c r="D2080" s="113"/>
      <c r="E2080" s="113"/>
      <c r="F2080" s="114"/>
      <c r="G2080" s="113"/>
      <c r="H2080" s="113"/>
      <c r="J2080" s="113"/>
    </row>
    <row r="2081" spans="1:10" s="4" customFormat="1" x14ac:dyDescent="0.25">
      <c r="A2081" s="114"/>
      <c r="D2081" s="113"/>
      <c r="E2081" s="113"/>
      <c r="F2081" s="114"/>
      <c r="G2081" s="113"/>
      <c r="H2081" s="113"/>
      <c r="J2081" s="113"/>
    </row>
    <row r="2082" spans="1:10" s="4" customFormat="1" x14ac:dyDescent="0.25">
      <c r="A2082" s="114"/>
      <c r="D2082" s="113"/>
      <c r="E2082" s="113"/>
      <c r="F2082" s="114"/>
      <c r="G2082" s="113"/>
      <c r="H2082" s="113"/>
      <c r="J2082" s="113"/>
    </row>
    <row r="2083" spans="1:10" s="4" customFormat="1" x14ac:dyDescent="0.25">
      <c r="A2083" s="114"/>
      <c r="D2083" s="113"/>
      <c r="E2083" s="113"/>
      <c r="F2083" s="114"/>
      <c r="G2083" s="113"/>
      <c r="H2083" s="113"/>
      <c r="J2083" s="113"/>
    </row>
    <row r="2084" spans="1:10" s="4" customFormat="1" x14ac:dyDescent="0.25">
      <c r="A2084" s="114"/>
      <c r="D2084" s="113"/>
      <c r="E2084" s="113"/>
      <c r="F2084" s="114"/>
      <c r="G2084" s="113"/>
      <c r="H2084" s="113"/>
      <c r="J2084" s="113"/>
    </row>
    <row r="2085" spans="1:10" s="4" customFormat="1" x14ac:dyDescent="0.25">
      <c r="A2085" s="114"/>
      <c r="D2085" s="113"/>
      <c r="E2085" s="113"/>
      <c r="F2085" s="114"/>
      <c r="G2085" s="113"/>
      <c r="H2085" s="113"/>
      <c r="J2085" s="113"/>
    </row>
    <row r="2086" spans="1:10" s="4" customFormat="1" x14ac:dyDescent="0.25">
      <c r="A2086" s="114"/>
      <c r="D2086" s="113"/>
      <c r="E2086" s="113"/>
      <c r="F2086" s="114"/>
      <c r="G2086" s="113"/>
      <c r="H2086" s="113"/>
      <c r="J2086" s="113"/>
    </row>
    <row r="2087" spans="1:10" s="4" customFormat="1" x14ac:dyDescent="0.25">
      <c r="A2087" s="114"/>
      <c r="D2087" s="113"/>
      <c r="E2087" s="113"/>
      <c r="F2087" s="114"/>
      <c r="G2087" s="113"/>
      <c r="H2087" s="113"/>
      <c r="J2087" s="113"/>
    </row>
    <row r="2088" spans="1:10" s="4" customFormat="1" x14ac:dyDescent="0.25">
      <c r="A2088" s="114"/>
      <c r="D2088" s="113"/>
      <c r="E2088" s="113"/>
      <c r="F2088" s="114"/>
      <c r="G2088" s="113"/>
      <c r="H2088" s="113"/>
      <c r="J2088" s="113"/>
    </row>
    <row r="2089" spans="1:10" s="4" customFormat="1" x14ac:dyDescent="0.25">
      <c r="A2089" s="114"/>
      <c r="D2089" s="113"/>
      <c r="E2089" s="113"/>
      <c r="F2089" s="114"/>
      <c r="G2089" s="113"/>
      <c r="H2089" s="113"/>
      <c r="J2089" s="113"/>
    </row>
    <row r="2090" spans="1:10" s="4" customFormat="1" x14ac:dyDescent="0.25">
      <c r="A2090" s="114"/>
      <c r="D2090" s="113"/>
      <c r="E2090" s="113"/>
      <c r="F2090" s="114"/>
      <c r="G2090" s="113"/>
      <c r="H2090" s="113"/>
      <c r="J2090" s="113"/>
    </row>
    <row r="2091" spans="1:10" s="4" customFormat="1" x14ac:dyDescent="0.25">
      <c r="A2091" s="114"/>
      <c r="D2091" s="113"/>
      <c r="E2091" s="113"/>
      <c r="F2091" s="114"/>
      <c r="G2091" s="113"/>
      <c r="H2091" s="113"/>
      <c r="J2091" s="113"/>
    </row>
    <row r="2092" spans="1:10" s="4" customFormat="1" x14ac:dyDescent="0.25">
      <c r="A2092" s="114"/>
      <c r="D2092" s="113"/>
      <c r="E2092" s="113"/>
      <c r="F2092" s="114"/>
      <c r="G2092" s="113"/>
      <c r="H2092" s="113"/>
      <c r="J2092" s="113"/>
    </row>
    <row r="2093" spans="1:10" s="4" customFormat="1" x14ac:dyDescent="0.25">
      <c r="A2093" s="114"/>
      <c r="D2093" s="113"/>
      <c r="E2093" s="113"/>
      <c r="F2093" s="114"/>
      <c r="G2093" s="113"/>
      <c r="H2093" s="113"/>
      <c r="J2093" s="113"/>
    </row>
    <row r="2094" spans="1:10" s="4" customFormat="1" x14ac:dyDescent="0.25">
      <c r="A2094" s="114"/>
      <c r="D2094" s="113"/>
      <c r="E2094" s="113"/>
      <c r="F2094" s="114"/>
      <c r="G2094" s="113"/>
      <c r="H2094" s="113"/>
      <c r="J2094" s="113"/>
    </row>
    <row r="2095" spans="1:10" s="4" customFormat="1" x14ac:dyDescent="0.25">
      <c r="A2095" s="114"/>
      <c r="D2095" s="113"/>
      <c r="E2095" s="113"/>
      <c r="F2095" s="114"/>
      <c r="G2095" s="113"/>
      <c r="H2095" s="113"/>
      <c r="J2095" s="113"/>
    </row>
    <row r="2096" spans="1:10" s="4" customFormat="1" x14ac:dyDescent="0.25">
      <c r="A2096" s="114"/>
      <c r="D2096" s="113"/>
      <c r="E2096" s="113"/>
      <c r="F2096" s="114"/>
      <c r="G2096" s="113"/>
      <c r="H2096" s="113"/>
      <c r="J2096" s="113"/>
    </row>
    <row r="2097" spans="1:10" s="4" customFormat="1" x14ac:dyDescent="0.25">
      <c r="A2097" s="114"/>
      <c r="D2097" s="113"/>
      <c r="E2097" s="113"/>
      <c r="F2097" s="114"/>
      <c r="G2097" s="113"/>
      <c r="H2097" s="113"/>
      <c r="J2097" s="113"/>
    </row>
    <row r="2098" spans="1:10" s="4" customFormat="1" x14ac:dyDescent="0.25">
      <c r="A2098" s="114"/>
      <c r="D2098" s="113"/>
      <c r="E2098" s="113"/>
      <c r="F2098" s="114"/>
      <c r="G2098" s="113"/>
      <c r="H2098" s="113"/>
      <c r="J2098" s="113"/>
    </row>
    <row r="2099" spans="1:10" s="4" customFormat="1" x14ac:dyDescent="0.25">
      <c r="A2099" s="114"/>
      <c r="D2099" s="113"/>
      <c r="E2099" s="113"/>
      <c r="F2099" s="114"/>
      <c r="G2099" s="113"/>
      <c r="H2099" s="113"/>
      <c r="J2099" s="113"/>
    </row>
    <row r="2100" spans="1:10" s="4" customFormat="1" x14ac:dyDescent="0.25">
      <c r="A2100" s="114"/>
      <c r="D2100" s="113"/>
      <c r="E2100" s="113"/>
      <c r="F2100" s="114"/>
      <c r="G2100" s="113"/>
      <c r="H2100" s="113"/>
      <c r="J2100" s="113"/>
    </row>
    <row r="2101" spans="1:10" s="4" customFormat="1" x14ac:dyDescent="0.25">
      <c r="A2101" s="114"/>
      <c r="D2101" s="113"/>
      <c r="E2101" s="113"/>
      <c r="F2101" s="114"/>
      <c r="G2101" s="113"/>
      <c r="H2101" s="113"/>
      <c r="J2101" s="113"/>
    </row>
    <row r="2102" spans="1:10" s="4" customFormat="1" x14ac:dyDescent="0.25">
      <c r="A2102" s="114"/>
      <c r="D2102" s="113"/>
      <c r="E2102" s="113"/>
      <c r="F2102" s="114"/>
      <c r="G2102" s="113"/>
      <c r="H2102" s="113"/>
      <c r="J2102" s="113"/>
    </row>
    <row r="2103" spans="1:10" s="4" customFormat="1" x14ac:dyDescent="0.25">
      <c r="A2103" s="114"/>
      <c r="D2103" s="113"/>
      <c r="E2103" s="113"/>
      <c r="F2103" s="114"/>
      <c r="G2103" s="113"/>
      <c r="H2103" s="113"/>
      <c r="J2103" s="113"/>
    </row>
    <row r="2104" spans="1:10" s="4" customFormat="1" x14ac:dyDescent="0.25">
      <c r="A2104" s="114"/>
      <c r="D2104" s="113"/>
      <c r="E2104" s="113"/>
      <c r="F2104" s="114"/>
      <c r="G2104" s="113"/>
      <c r="H2104" s="113"/>
      <c r="J2104" s="113"/>
    </row>
    <row r="2105" spans="1:10" s="4" customFormat="1" x14ac:dyDescent="0.25">
      <c r="A2105" s="114"/>
      <c r="D2105" s="113"/>
      <c r="E2105" s="113"/>
      <c r="F2105" s="114"/>
      <c r="G2105" s="113"/>
      <c r="H2105" s="113"/>
      <c r="J2105" s="113"/>
    </row>
    <row r="2106" spans="1:10" s="4" customFormat="1" x14ac:dyDescent="0.25">
      <c r="A2106" s="114"/>
      <c r="D2106" s="113"/>
      <c r="E2106" s="113"/>
      <c r="F2106" s="114"/>
      <c r="G2106" s="113"/>
      <c r="H2106" s="113"/>
      <c r="J2106" s="113"/>
    </row>
    <row r="2107" spans="1:10" s="4" customFormat="1" x14ac:dyDescent="0.25">
      <c r="A2107" s="114"/>
      <c r="D2107" s="113"/>
      <c r="E2107" s="113"/>
      <c r="F2107" s="114"/>
      <c r="G2107" s="113"/>
      <c r="H2107" s="113"/>
      <c r="J2107" s="113"/>
    </row>
    <row r="2108" spans="1:10" s="4" customFormat="1" x14ac:dyDescent="0.25">
      <c r="A2108" s="114"/>
      <c r="D2108" s="113"/>
      <c r="E2108" s="113"/>
      <c r="F2108" s="114"/>
      <c r="G2108" s="113"/>
      <c r="H2108" s="113"/>
      <c r="J2108" s="113"/>
    </row>
    <row r="2109" spans="1:10" s="4" customFormat="1" x14ac:dyDescent="0.25">
      <c r="A2109" s="114"/>
      <c r="D2109" s="113"/>
      <c r="E2109" s="113"/>
      <c r="F2109" s="114"/>
      <c r="G2109" s="113"/>
      <c r="H2109" s="113"/>
      <c r="J2109" s="113"/>
    </row>
    <row r="2110" spans="1:10" s="4" customFormat="1" x14ac:dyDescent="0.25">
      <c r="A2110" s="114"/>
      <c r="D2110" s="113"/>
      <c r="E2110" s="113"/>
      <c r="F2110" s="114"/>
      <c r="G2110" s="113"/>
      <c r="H2110" s="113"/>
      <c r="J2110" s="113"/>
    </row>
    <row r="2111" spans="1:10" s="4" customFormat="1" x14ac:dyDescent="0.25">
      <c r="A2111" s="114"/>
      <c r="D2111" s="113"/>
      <c r="E2111" s="113"/>
      <c r="F2111" s="114"/>
      <c r="G2111" s="113"/>
      <c r="H2111" s="113"/>
      <c r="J2111" s="113"/>
    </row>
    <row r="2112" spans="1:10" s="4" customFormat="1" x14ac:dyDescent="0.25">
      <c r="A2112" s="114"/>
      <c r="D2112" s="113"/>
      <c r="E2112" s="113"/>
      <c r="F2112" s="114"/>
      <c r="G2112" s="113"/>
      <c r="H2112" s="113"/>
      <c r="J2112" s="113"/>
    </row>
    <row r="2113" spans="1:10" s="4" customFormat="1" x14ac:dyDescent="0.25">
      <c r="A2113" s="114"/>
      <c r="D2113" s="113"/>
      <c r="E2113" s="113"/>
      <c r="F2113" s="114"/>
      <c r="G2113" s="113"/>
      <c r="H2113" s="113"/>
      <c r="J2113" s="113"/>
    </row>
    <row r="2114" spans="1:10" s="4" customFormat="1" x14ac:dyDescent="0.25">
      <c r="A2114" s="114"/>
      <c r="D2114" s="113"/>
      <c r="E2114" s="113"/>
      <c r="F2114" s="114"/>
      <c r="G2114" s="113"/>
      <c r="H2114" s="113"/>
      <c r="J2114" s="113"/>
    </row>
    <row r="2115" spans="1:10" s="4" customFormat="1" x14ac:dyDescent="0.25">
      <c r="A2115" s="114"/>
      <c r="D2115" s="113"/>
      <c r="E2115" s="113"/>
      <c r="F2115" s="114"/>
      <c r="G2115" s="113"/>
      <c r="H2115" s="113"/>
      <c r="J2115" s="113"/>
    </row>
    <row r="2116" spans="1:10" s="4" customFormat="1" x14ac:dyDescent="0.25">
      <c r="A2116" s="114"/>
      <c r="D2116" s="113"/>
      <c r="E2116" s="113"/>
      <c r="F2116" s="114"/>
      <c r="G2116" s="113"/>
      <c r="H2116" s="113"/>
      <c r="J2116" s="113"/>
    </row>
    <row r="2117" spans="1:10" s="4" customFormat="1" x14ac:dyDescent="0.25">
      <c r="A2117" s="114"/>
      <c r="D2117" s="113"/>
      <c r="E2117" s="113"/>
      <c r="F2117" s="114"/>
      <c r="G2117" s="113"/>
      <c r="H2117" s="113"/>
      <c r="J2117" s="113"/>
    </row>
    <row r="2118" spans="1:10" s="4" customFormat="1" x14ac:dyDescent="0.25">
      <c r="A2118" s="114"/>
      <c r="D2118" s="113"/>
      <c r="E2118" s="113"/>
      <c r="F2118" s="114"/>
      <c r="G2118" s="113"/>
      <c r="H2118" s="113"/>
      <c r="J2118" s="113"/>
    </row>
    <row r="2119" spans="1:10" s="4" customFormat="1" x14ac:dyDescent="0.25">
      <c r="A2119" s="114"/>
      <c r="D2119" s="113"/>
      <c r="E2119" s="113"/>
      <c r="F2119" s="114"/>
      <c r="G2119" s="113"/>
      <c r="H2119" s="113"/>
      <c r="J2119" s="113"/>
    </row>
    <row r="2120" spans="1:10" s="4" customFormat="1" x14ac:dyDescent="0.25">
      <c r="A2120" s="114"/>
      <c r="D2120" s="113"/>
      <c r="E2120" s="113"/>
      <c r="F2120" s="114"/>
      <c r="G2120" s="113"/>
      <c r="H2120" s="113"/>
      <c r="J2120" s="113"/>
    </row>
    <row r="2121" spans="1:10" s="4" customFormat="1" x14ac:dyDescent="0.25">
      <c r="A2121" s="114"/>
      <c r="D2121" s="113"/>
      <c r="E2121" s="113"/>
      <c r="F2121" s="114"/>
      <c r="G2121" s="113"/>
      <c r="H2121" s="113"/>
      <c r="J2121" s="113"/>
    </row>
    <row r="2122" spans="1:10" s="4" customFormat="1" x14ac:dyDescent="0.25">
      <c r="A2122" s="114"/>
      <c r="D2122" s="113"/>
      <c r="E2122" s="113"/>
      <c r="F2122" s="114"/>
      <c r="G2122" s="113"/>
      <c r="H2122" s="113"/>
      <c r="J2122" s="113"/>
    </row>
    <row r="2123" spans="1:10" s="4" customFormat="1" x14ac:dyDescent="0.25">
      <c r="A2123" s="114"/>
      <c r="D2123" s="113"/>
      <c r="E2123" s="113"/>
      <c r="F2123" s="114"/>
      <c r="G2123" s="113"/>
      <c r="H2123" s="113"/>
      <c r="J2123" s="113"/>
    </row>
    <row r="2124" spans="1:10" s="4" customFormat="1" x14ac:dyDescent="0.25">
      <c r="A2124" s="114"/>
      <c r="D2124" s="113"/>
      <c r="E2124" s="113"/>
      <c r="F2124" s="114"/>
      <c r="G2124" s="113"/>
      <c r="H2124" s="113"/>
      <c r="J2124" s="113"/>
    </row>
    <row r="2125" spans="1:10" s="4" customFormat="1" x14ac:dyDescent="0.25">
      <c r="A2125" s="114"/>
      <c r="D2125" s="113"/>
      <c r="E2125" s="113"/>
      <c r="F2125" s="114"/>
      <c r="G2125" s="113"/>
      <c r="H2125" s="113"/>
      <c r="J2125" s="113"/>
    </row>
    <row r="2126" spans="1:10" s="4" customFormat="1" x14ac:dyDescent="0.25">
      <c r="A2126" s="114"/>
      <c r="D2126" s="113"/>
      <c r="E2126" s="113"/>
      <c r="F2126" s="114"/>
      <c r="G2126" s="113"/>
      <c r="H2126" s="113"/>
      <c r="J2126" s="113"/>
    </row>
    <row r="2127" spans="1:10" s="4" customFormat="1" x14ac:dyDescent="0.25">
      <c r="A2127" s="114"/>
      <c r="D2127" s="113"/>
      <c r="E2127" s="113"/>
      <c r="F2127" s="114"/>
      <c r="G2127" s="113"/>
      <c r="H2127" s="113"/>
      <c r="J2127" s="113"/>
    </row>
    <row r="2128" spans="1:10" s="4" customFormat="1" x14ac:dyDescent="0.25">
      <c r="A2128" s="114"/>
      <c r="D2128" s="113"/>
      <c r="E2128" s="113"/>
      <c r="F2128" s="114"/>
      <c r="G2128" s="113"/>
      <c r="H2128" s="113"/>
      <c r="J2128" s="113"/>
    </row>
    <row r="2129" spans="1:10" s="4" customFormat="1" x14ac:dyDescent="0.25">
      <c r="A2129" s="114"/>
      <c r="D2129" s="113"/>
      <c r="E2129" s="113"/>
      <c r="F2129" s="114"/>
      <c r="G2129" s="113"/>
      <c r="H2129" s="113"/>
      <c r="J2129" s="113"/>
    </row>
    <row r="2130" spans="1:10" s="4" customFormat="1" x14ac:dyDescent="0.25">
      <c r="A2130" s="114"/>
      <c r="D2130" s="113"/>
      <c r="E2130" s="113"/>
      <c r="F2130" s="114"/>
      <c r="G2130" s="113"/>
      <c r="H2130" s="113"/>
      <c r="J2130" s="113"/>
    </row>
    <row r="2131" spans="1:10" s="4" customFormat="1" x14ac:dyDescent="0.25">
      <c r="A2131" s="114"/>
      <c r="D2131" s="113"/>
      <c r="E2131" s="113"/>
      <c r="F2131" s="114"/>
      <c r="G2131" s="113"/>
      <c r="H2131" s="113"/>
      <c r="J2131" s="113"/>
    </row>
    <row r="2132" spans="1:10" s="4" customFormat="1" x14ac:dyDescent="0.25">
      <c r="A2132" s="114"/>
      <c r="D2132" s="113"/>
      <c r="E2132" s="113"/>
      <c r="F2132" s="114"/>
      <c r="G2132" s="113"/>
      <c r="H2132" s="113"/>
      <c r="J2132" s="113"/>
    </row>
    <row r="2133" spans="1:10" s="4" customFormat="1" x14ac:dyDescent="0.25">
      <c r="A2133" s="114"/>
      <c r="D2133" s="113"/>
      <c r="E2133" s="113"/>
      <c r="F2133" s="114"/>
      <c r="G2133" s="113"/>
      <c r="H2133" s="113"/>
      <c r="J2133" s="113"/>
    </row>
    <row r="2134" spans="1:10" s="4" customFormat="1" x14ac:dyDescent="0.25">
      <c r="A2134" s="114"/>
      <c r="D2134" s="113"/>
      <c r="E2134" s="113"/>
      <c r="F2134" s="114"/>
      <c r="G2134" s="113"/>
      <c r="H2134" s="113"/>
      <c r="J2134" s="113"/>
    </row>
    <row r="2135" spans="1:10" s="4" customFormat="1" x14ac:dyDescent="0.25">
      <c r="A2135" s="114"/>
      <c r="D2135" s="113"/>
      <c r="E2135" s="113"/>
      <c r="F2135" s="114"/>
      <c r="G2135" s="113"/>
      <c r="H2135" s="113"/>
      <c r="J2135" s="113"/>
    </row>
    <row r="2136" spans="1:10" s="4" customFormat="1" x14ac:dyDescent="0.25">
      <c r="A2136" s="114"/>
      <c r="D2136" s="113"/>
      <c r="E2136" s="113"/>
      <c r="F2136" s="114"/>
      <c r="G2136" s="113"/>
      <c r="H2136" s="113"/>
      <c r="J2136" s="113"/>
    </row>
    <row r="2137" spans="1:10" s="4" customFormat="1" x14ac:dyDescent="0.25">
      <c r="A2137" s="114"/>
      <c r="D2137" s="113"/>
      <c r="E2137" s="113"/>
      <c r="F2137" s="114"/>
      <c r="G2137" s="113"/>
      <c r="H2137" s="113"/>
      <c r="J2137" s="113"/>
    </row>
    <row r="2138" spans="1:10" s="4" customFormat="1" x14ac:dyDescent="0.25">
      <c r="A2138" s="114"/>
      <c r="D2138" s="113"/>
      <c r="E2138" s="113"/>
      <c r="F2138" s="114"/>
      <c r="G2138" s="113"/>
      <c r="H2138" s="113"/>
      <c r="J2138" s="113"/>
    </row>
    <row r="2139" spans="1:10" s="4" customFormat="1" x14ac:dyDescent="0.25">
      <c r="A2139" s="114"/>
      <c r="D2139" s="113"/>
      <c r="E2139" s="113"/>
      <c r="F2139" s="114"/>
      <c r="G2139" s="113"/>
      <c r="H2139" s="113"/>
      <c r="J2139" s="113"/>
    </row>
    <row r="2140" spans="1:10" s="4" customFormat="1" x14ac:dyDescent="0.25">
      <c r="A2140" s="114"/>
      <c r="D2140" s="113"/>
      <c r="E2140" s="113"/>
      <c r="F2140" s="114"/>
      <c r="G2140" s="113"/>
      <c r="H2140" s="113"/>
      <c r="J2140" s="113"/>
    </row>
    <row r="2141" spans="1:10" s="4" customFormat="1" x14ac:dyDescent="0.25">
      <c r="A2141" s="114"/>
      <c r="D2141" s="113"/>
      <c r="E2141" s="113"/>
      <c r="F2141" s="114"/>
      <c r="G2141" s="113"/>
      <c r="H2141" s="113"/>
      <c r="J2141" s="113"/>
    </row>
    <row r="2142" spans="1:10" s="4" customFormat="1" x14ac:dyDescent="0.25">
      <c r="A2142" s="114"/>
      <c r="D2142" s="113"/>
      <c r="E2142" s="113"/>
      <c r="F2142" s="114"/>
      <c r="G2142" s="113"/>
      <c r="H2142" s="113"/>
      <c r="J2142" s="113"/>
    </row>
    <row r="2143" spans="1:10" s="4" customFormat="1" x14ac:dyDescent="0.25">
      <c r="A2143" s="114"/>
      <c r="D2143" s="113"/>
      <c r="E2143" s="113"/>
      <c r="F2143" s="114"/>
      <c r="G2143" s="113"/>
      <c r="H2143" s="113"/>
      <c r="J2143" s="113"/>
    </row>
    <row r="2144" spans="1:10" s="4" customFormat="1" x14ac:dyDescent="0.25">
      <c r="A2144" s="114"/>
      <c r="D2144" s="113"/>
      <c r="E2144" s="113"/>
      <c r="F2144" s="114"/>
      <c r="G2144" s="113"/>
      <c r="H2144" s="113"/>
      <c r="J2144" s="113"/>
    </row>
    <row r="2145" spans="1:10" s="4" customFormat="1" x14ac:dyDescent="0.25">
      <c r="A2145" s="114"/>
      <c r="D2145" s="113"/>
      <c r="E2145" s="113"/>
      <c r="F2145" s="114"/>
      <c r="G2145" s="113"/>
      <c r="H2145" s="113"/>
      <c r="J2145" s="113"/>
    </row>
    <row r="2146" spans="1:10" s="4" customFormat="1" x14ac:dyDescent="0.25">
      <c r="A2146" s="114"/>
      <c r="D2146" s="113"/>
      <c r="E2146" s="113"/>
      <c r="F2146" s="114"/>
      <c r="G2146" s="113"/>
      <c r="H2146" s="113"/>
      <c r="J2146" s="113"/>
    </row>
    <row r="2147" spans="1:10" s="4" customFormat="1" x14ac:dyDescent="0.25">
      <c r="A2147" s="114"/>
      <c r="D2147" s="113"/>
      <c r="E2147" s="113"/>
      <c r="F2147" s="114"/>
      <c r="G2147" s="113"/>
      <c r="H2147" s="113"/>
      <c r="J2147" s="113"/>
    </row>
    <row r="2148" spans="1:10" s="4" customFormat="1" x14ac:dyDescent="0.25">
      <c r="A2148" s="114"/>
      <c r="D2148" s="113"/>
      <c r="E2148" s="113"/>
      <c r="F2148" s="114"/>
      <c r="G2148" s="113"/>
      <c r="H2148" s="113"/>
      <c r="J2148" s="113"/>
    </row>
    <row r="2149" spans="1:10" s="4" customFormat="1" x14ac:dyDescent="0.25">
      <c r="A2149" s="114"/>
      <c r="D2149" s="113"/>
      <c r="E2149" s="113"/>
      <c r="F2149" s="114"/>
      <c r="G2149" s="113"/>
      <c r="H2149" s="113"/>
      <c r="J2149" s="113"/>
    </row>
    <row r="2150" spans="1:10" s="4" customFormat="1" x14ac:dyDescent="0.25">
      <c r="A2150" s="114"/>
      <c r="D2150" s="113"/>
      <c r="E2150" s="113"/>
      <c r="F2150" s="114"/>
      <c r="G2150" s="113"/>
      <c r="H2150" s="113"/>
      <c r="J2150" s="113"/>
    </row>
    <row r="2151" spans="1:10" s="4" customFormat="1" x14ac:dyDescent="0.25">
      <c r="A2151" s="114"/>
      <c r="D2151" s="113"/>
      <c r="E2151" s="113"/>
      <c r="F2151" s="114"/>
      <c r="G2151" s="113"/>
      <c r="H2151" s="113"/>
      <c r="J2151" s="113"/>
    </row>
    <row r="2152" spans="1:10" s="4" customFormat="1" x14ac:dyDescent="0.25">
      <c r="A2152" s="114"/>
      <c r="D2152" s="113"/>
      <c r="E2152" s="113"/>
      <c r="F2152" s="114"/>
      <c r="G2152" s="113"/>
      <c r="H2152" s="113"/>
      <c r="J2152" s="113"/>
    </row>
    <row r="2153" spans="1:10" s="4" customFormat="1" x14ac:dyDescent="0.25">
      <c r="A2153" s="114"/>
      <c r="D2153" s="113"/>
      <c r="E2153" s="113"/>
      <c r="F2153" s="114"/>
      <c r="G2153" s="113"/>
      <c r="H2153" s="113"/>
      <c r="J2153" s="113"/>
    </row>
    <row r="2154" spans="1:10" s="4" customFormat="1" x14ac:dyDescent="0.25">
      <c r="A2154" s="114"/>
      <c r="D2154" s="113"/>
      <c r="E2154" s="113"/>
      <c r="F2154" s="114"/>
      <c r="G2154" s="113"/>
      <c r="H2154" s="113"/>
      <c r="J2154" s="113"/>
    </row>
    <row r="2155" spans="1:10" s="4" customFormat="1" x14ac:dyDescent="0.25">
      <c r="A2155" s="114"/>
      <c r="D2155" s="113"/>
      <c r="E2155" s="113"/>
      <c r="F2155" s="114"/>
      <c r="G2155" s="113"/>
      <c r="H2155" s="113"/>
      <c r="J2155" s="113"/>
    </row>
    <row r="2156" spans="1:10" s="4" customFormat="1" x14ac:dyDescent="0.25">
      <c r="A2156" s="114"/>
      <c r="D2156" s="113"/>
      <c r="E2156" s="113"/>
      <c r="F2156" s="114"/>
      <c r="G2156" s="113"/>
      <c r="H2156" s="113"/>
      <c r="J2156" s="113"/>
    </row>
    <row r="2157" spans="1:10" s="4" customFormat="1" x14ac:dyDescent="0.25">
      <c r="A2157" s="114"/>
      <c r="D2157" s="113"/>
      <c r="E2157" s="113"/>
      <c r="F2157" s="114"/>
      <c r="G2157" s="113"/>
      <c r="H2157" s="113"/>
      <c r="J2157" s="113"/>
    </row>
    <row r="2158" spans="1:10" s="4" customFormat="1" x14ac:dyDescent="0.25">
      <c r="A2158" s="114"/>
      <c r="D2158" s="113"/>
      <c r="E2158" s="113"/>
      <c r="F2158" s="114"/>
      <c r="G2158" s="113"/>
      <c r="H2158" s="113"/>
      <c r="J2158" s="113"/>
    </row>
    <row r="2159" spans="1:10" s="4" customFormat="1" x14ac:dyDescent="0.25">
      <c r="A2159" s="114"/>
      <c r="D2159" s="113"/>
      <c r="E2159" s="113"/>
      <c r="F2159" s="114"/>
      <c r="G2159" s="113"/>
      <c r="H2159" s="113"/>
      <c r="J2159" s="113"/>
    </row>
    <row r="2160" spans="1:10" s="4" customFormat="1" x14ac:dyDescent="0.25">
      <c r="A2160" s="114"/>
      <c r="D2160" s="113"/>
      <c r="E2160" s="113"/>
      <c r="F2160" s="114"/>
      <c r="G2160" s="113"/>
      <c r="H2160" s="113"/>
      <c r="J2160" s="113"/>
    </row>
    <row r="2161" spans="1:10" s="4" customFormat="1" x14ac:dyDescent="0.25">
      <c r="A2161" s="114"/>
      <c r="D2161" s="113"/>
      <c r="E2161" s="113"/>
      <c r="F2161" s="114"/>
      <c r="G2161" s="113"/>
      <c r="H2161" s="113"/>
      <c r="J2161" s="113"/>
    </row>
    <row r="2162" spans="1:10" s="4" customFormat="1" x14ac:dyDescent="0.25">
      <c r="A2162" s="114"/>
      <c r="D2162" s="113"/>
      <c r="E2162" s="113"/>
      <c r="F2162" s="114"/>
      <c r="G2162" s="113"/>
      <c r="H2162" s="113"/>
      <c r="J2162" s="113"/>
    </row>
    <row r="2163" spans="1:10" s="4" customFormat="1" x14ac:dyDescent="0.25">
      <c r="A2163" s="114"/>
      <c r="D2163" s="113"/>
      <c r="E2163" s="113"/>
      <c r="F2163" s="114"/>
      <c r="G2163" s="113"/>
      <c r="H2163" s="113"/>
      <c r="J2163" s="113"/>
    </row>
    <row r="2164" spans="1:10" s="4" customFormat="1" x14ac:dyDescent="0.25">
      <c r="A2164" s="114"/>
      <c r="D2164" s="113"/>
      <c r="E2164" s="113"/>
      <c r="F2164" s="114"/>
      <c r="G2164" s="113"/>
      <c r="H2164" s="113"/>
      <c r="J2164" s="113"/>
    </row>
    <row r="2165" spans="1:10" s="4" customFormat="1" x14ac:dyDescent="0.25">
      <c r="A2165" s="114"/>
      <c r="D2165" s="113"/>
      <c r="E2165" s="113"/>
      <c r="F2165" s="114"/>
      <c r="G2165" s="113"/>
      <c r="H2165" s="113"/>
      <c r="J2165" s="113"/>
    </row>
    <row r="2166" spans="1:10" s="4" customFormat="1" x14ac:dyDescent="0.25">
      <c r="A2166" s="114"/>
      <c r="D2166" s="113"/>
      <c r="E2166" s="113"/>
      <c r="F2166" s="114"/>
      <c r="G2166" s="113"/>
      <c r="H2166" s="113"/>
      <c r="J2166" s="113"/>
    </row>
    <row r="2167" spans="1:10" s="4" customFormat="1" x14ac:dyDescent="0.25">
      <c r="A2167" s="114"/>
      <c r="D2167" s="113"/>
      <c r="E2167" s="113"/>
      <c r="F2167" s="114"/>
      <c r="G2167" s="113"/>
      <c r="H2167" s="113"/>
      <c r="J2167" s="113"/>
    </row>
    <row r="2168" spans="1:10" s="4" customFormat="1" x14ac:dyDescent="0.25">
      <c r="A2168" s="114"/>
      <c r="D2168" s="113"/>
      <c r="E2168" s="113"/>
      <c r="F2168" s="114"/>
      <c r="G2168" s="113"/>
      <c r="H2168" s="113"/>
      <c r="J2168" s="113"/>
    </row>
    <row r="2169" spans="1:10" s="4" customFormat="1" x14ac:dyDescent="0.25">
      <c r="A2169" s="114"/>
      <c r="D2169" s="113"/>
      <c r="E2169" s="113"/>
      <c r="F2169" s="114"/>
      <c r="G2169" s="113"/>
      <c r="H2169" s="113"/>
      <c r="J2169" s="113"/>
    </row>
    <row r="2170" spans="1:10" s="4" customFormat="1" x14ac:dyDescent="0.25">
      <c r="A2170" s="114"/>
      <c r="D2170" s="113"/>
      <c r="E2170" s="113"/>
      <c r="F2170" s="114"/>
      <c r="G2170" s="113"/>
      <c r="H2170" s="113"/>
      <c r="J2170" s="113"/>
    </row>
    <row r="2171" spans="1:10" s="4" customFormat="1" x14ac:dyDescent="0.25">
      <c r="A2171" s="114"/>
      <c r="D2171" s="113"/>
      <c r="E2171" s="113"/>
      <c r="F2171" s="114"/>
      <c r="G2171" s="113"/>
      <c r="H2171" s="113"/>
      <c r="J2171" s="113"/>
    </row>
    <row r="2172" spans="1:10" s="4" customFormat="1" x14ac:dyDescent="0.25">
      <c r="A2172" s="114"/>
      <c r="D2172" s="113"/>
      <c r="E2172" s="113"/>
      <c r="F2172" s="114"/>
      <c r="G2172" s="113"/>
      <c r="H2172" s="113"/>
      <c r="J2172" s="113"/>
    </row>
    <row r="2173" spans="1:10" s="4" customFormat="1" x14ac:dyDescent="0.25">
      <c r="A2173" s="114"/>
      <c r="D2173" s="113"/>
      <c r="E2173" s="113"/>
      <c r="F2173" s="114"/>
      <c r="G2173" s="113"/>
      <c r="H2173" s="113"/>
      <c r="J2173" s="113"/>
    </row>
    <row r="2174" spans="1:10" s="4" customFormat="1" x14ac:dyDescent="0.25">
      <c r="A2174" s="114"/>
      <c r="D2174" s="113"/>
      <c r="E2174" s="113"/>
      <c r="F2174" s="114"/>
      <c r="G2174" s="113"/>
      <c r="H2174" s="113"/>
      <c r="J2174" s="113"/>
    </row>
    <row r="2175" spans="1:10" s="4" customFormat="1" x14ac:dyDescent="0.25">
      <c r="A2175" s="114"/>
      <c r="D2175" s="113"/>
      <c r="E2175" s="113"/>
      <c r="F2175" s="114"/>
      <c r="G2175" s="113"/>
      <c r="H2175" s="113"/>
      <c r="J2175" s="113"/>
    </row>
    <row r="2176" spans="1:10" s="4" customFormat="1" x14ac:dyDescent="0.25">
      <c r="A2176" s="114"/>
      <c r="D2176" s="113"/>
      <c r="E2176" s="113"/>
      <c r="F2176" s="114"/>
      <c r="G2176" s="113"/>
      <c r="H2176" s="113"/>
      <c r="J2176" s="113"/>
    </row>
    <row r="2177" spans="1:10" s="4" customFormat="1" x14ac:dyDescent="0.25">
      <c r="A2177" s="114"/>
      <c r="D2177" s="113"/>
      <c r="E2177" s="113"/>
      <c r="F2177" s="114"/>
      <c r="G2177" s="113"/>
      <c r="H2177" s="113"/>
      <c r="J2177" s="113"/>
    </row>
    <row r="2178" spans="1:10" s="4" customFormat="1" x14ac:dyDescent="0.25">
      <c r="A2178" s="114"/>
      <c r="D2178" s="113"/>
      <c r="E2178" s="113"/>
      <c r="F2178" s="114"/>
      <c r="G2178" s="113"/>
      <c r="H2178" s="113"/>
      <c r="J2178" s="113"/>
    </row>
    <row r="2179" spans="1:10" s="4" customFormat="1" x14ac:dyDescent="0.25">
      <c r="A2179" s="114"/>
      <c r="D2179" s="113"/>
      <c r="E2179" s="113"/>
      <c r="F2179" s="114"/>
      <c r="G2179" s="113"/>
      <c r="H2179" s="113"/>
      <c r="J2179" s="113"/>
    </row>
    <row r="2180" spans="1:10" s="4" customFormat="1" x14ac:dyDescent="0.25">
      <c r="A2180" s="114"/>
      <c r="D2180" s="113"/>
      <c r="E2180" s="113"/>
      <c r="F2180" s="114"/>
      <c r="G2180" s="113"/>
      <c r="H2180" s="113"/>
      <c r="J2180" s="113"/>
    </row>
    <row r="2181" spans="1:10" s="4" customFormat="1" x14ac:dyDescent="0.25">
      <c r="A2181" s="114"/>
      <c r="D2181" s="113"/>
      <c r="E2181" s="113"/>
      <c r="F2181" s="114"/>
      <c r="G2181" s="113"/>
      <c r="H2181" s="113"/>
      <c r="J2181" s="113"/>
    </row>
    <row r="2182" spans="1:10" s="4" customFormat="1" x14ac:dyDescent="0.25">
      <c r="A2182" s="114"/>
      <c r="D2182" s="113"/>
      <c r="E2182" s="113"/>
      <c r="F2182" s="114"/>
      <c r="G2182" s="113"/>
      <c r="H2182" s="113"/>
      <c r="J2182" s="113"/>
    </row>
    <row r="2183" spans="1:10" s="4" customFormat="1" x14ac:dyDescent="0.25">
      <c r="A2183" s="114"/>
      <c r="D2183" s="113"/>
      <c r="E2183" s="113"/>
      <c r="F2183" s="114"/>
      <c r="G2183" s="113"/>
      <c r="H2183" s="113"/>
      <c r="J2183" s="113"/>
    </row>
    <row r="2184" spans="1:10" s="4" customFormat="1" x14ac:dyDescent="0.25">
      <c r="A2184" s="114"/>
      <c r="D2184" s="113"/>
      <c r="E2184" s="113"/>
      <c r="F2184" s="114"/>
      <c r="G2184" s="113"/>
      <c r="H2184" s="113"/>
      <c r="J2184" s="113"/>
    </row>
    <row r="2185" spans="1:10" s="4" customFormat="1" x14ac:dyDescent="0.25">
      <c r="A2185" s="114"/>
      <c r="D2185" s="113"/>
      <c r="E2185" s="113"/>
      <c r="F2185" s="114"/>
      <c r="G2185" s="113"/>
      <c r="H2185" s="113"/>
      <c r="J2185" s="113"/>
    </row>
    <row r="2186" spans="1:10" s="4" customFormat="1" x14ac:dyDescent="0.25">
      <c r="A2186" s="114"/>
      <c r="D2186" s="113"/>
      <c r="E2186" s="113"/>
      <c r="F2186" s="114"/>
      <c r="G2186" s="113"/>
      <c r="H2186" s="113"/>
      <c r="J2186" s="113"/>
    </row>
    <row r="2187" spans="1:10" s="4" customFormat="1" x14ac:dyDescent="0.25">
      <c r="A2187" s="114"/>
      <c r="D2187" s="113"/>
      <c r="E2187" s="113"/>
      <c r="F2187" s="114"/>
      <c r="G2187" s="113"/>
      <c r="H2187" s="113"/>
      <c r="J2187" s="113"/>
    </row>
    <row r="2188" spans="1:10" s="4" customFormat="1" x14ac:dyDescent="0.25">
      <c r="A2188" s="114"/>
      <c r="D2188" s="113"/>
      <c r="E2188" s="113"/>
      <c r="F2188" s="114"/>
      <c r="G2188" s="113"/>
      <c r="H2188" s="113"/>
      <c r="J2188" s="113"/>
    </row>
    <row r="2189" spans="1:10" s="4" customFormat="1" x14ac:dyDescent="0.25">
      <c r="A2189" s="114"/>
      <c r="D2189" s="113"/>
      <c r="E2189" s="113"/>
      <c r="F2189" s="114"/>
      <c r="G2189" s="113"/>
      <c r="H2189" s="113"/>
      <c r="J2189" s="113"/>
    </row>
    <row r="2190" spans="1:10" s="4" customFormat="1" x14ac:dyDescent="0.25">
      <c r="A2190" s="114"/>
      <c r="D2190" s="113"/>
      <c r="E2190" s="113"/>
      <c r="F2190" s="114"/>
      <c r="G2190" s="113"/>
      <c r="H2190" s="113"/>
      <c r="J2190" s="113"/>
    </row>
    <row r="2191" spans="1:10" s="4" customFormat="1" x14ac:dyDescent="0.25">
      <c r="A2191" s="114"/>
      <c r="D2191" s="113"/>
      <c r="E2191" s="113"/>
      <c r="F2191" s="114"/>
      <c r="G2191" s="113"/>
      <c r="H2191" s="113"/>
      <c r="J2191" s="113"/>
    </row>
    <row r="2192" spans="1:10" s="4" customFormat="1" x14ac:dyDescent="0.25">
      <c r="A2192" s="114"/>
      <c r="D2192" s="113"/>
      <c r="E2192" s="113"/>
      <c r="F2192" s="114"/>
      <c r="G2192" s="113"/>
      <c r="H2192" s="113"/>
      <c r="J2192" s="113"/>
    </row>
    <row r="2193" spans="1:10" s="4" customFormat="1" x14ac:dyDescent="0.25">
      <c r="A2193" s="114"/>
      <c r="D2193" s="113"/>
      <c r="E2193" s="113"/>
      <c r="F2193" s="114"/>
      <c r="G2193" s="113"/>
      <c r="H2193" s="113"/>
      <c r="J2193" s="113"/>
    </row>
    <row r="2194" spans="1:10" s="4" customFormat="1" x14ac:dyDescent="0.25">
      <c r="A2194" s="114"/>
      <c r="D2194" s="113"/>
      <c r="E2194" s="113"/>
      <c r="F2194" s="114"/>
      <c r="G2194" s="113"/>
      <c r="H2194" s="113"/>
      <c r="J2194" s="113"/>
    </row>
    <row r="2195" spans="1:10" s="4" customFormat="1" x14ac:dyDescent="0.25">
      <c r="A2195" s="114"/>
      <c r="D2195" s="113"/>
      <c r="E2195" s="113"/>
      <c r="F2195" s="114"/>
      <c r="G2195" s="113"/>
      <c r="H2195" s="113"/>
      <c r="J2195" s="113"/>
    </row>
    <row r="2196" spans="1:10" s="4" customFormat="1" x14ac:dyDescent="0.25">
      <c r="A2196" s="114"/>
      <c r="D2196" s="113"/>
      <c r="E2196" s="113"/>
      <c r="F2196" s="114"/>
      <c r="G2196" s="113"/>
      <c r="H2196" s="113"/>
      <c r="J2196" s="113"/>
    </row>
    <row r="2197" spans="1:10" s="4" customFormat="1" x14ac:dyDescent="0.25">
      <c r="A2197" s="114"/>
      <c r="D2197" s="113"/>
      <c r="E2197" s="113"/>
      <c r="F2197" s="114"/>
      <c r="G2197" s="113"/>
      <c r="H2197" s="113"/>
      <c r="J2197" s="113"/>
    </row>
    <row r="2198" spans="1:10" s="4" customFormat="1" x14ac:dyDescent="0.25">
      <c r="A2198" s="114"/>
      <c r="D2198" s="113"/>
      <c r="E2198" s="113"/>
      <c r="F2198" s="114"/>
      <c r="G2198" s="113"/>
      <c r="H2198" s="113"/>
      <c r="J2198" s="113"/>
    </row>
    <row r="2199" spans="1:10" s="4" customFormat="1" x14ac:dyDescent="0.25">
      <c r="A2199" s="114"/>
      <c r="D2199" s="113"/>
      <c r="E2199" s="113"/>
      <c r="F2199" s="114"/>
      <c r="G2199" s="113"/>
      <c r="H2199" s="113"/>
      <c r="J2199" s="113"/>
    </row>
    <row r="2200" spans="1:10" s="4" customFormat="1" x14ac:dyDescent="0.25">
      <c r="A2200" s="114"/>
      <c r="D2200" s="113"/>
      <c r="E2200" s="113"/>
      <c r="F2200" s="114"/>
      <c r="G2200" s="113"/>
      <c r="H2200" s="113"/>
      <c r="J2200" s="113"/>
    </row>
    <row r="2201" spans="1:10" s="4" customFormat="1" x14ac:dyDescent="0.25">
      <c r="A2201" s="114"/>
      <c r="D2201" s="113"/>
      <c r="E2201" s="113"/>
      <c r="F2201" s="114"/>
      <c r="G2201" s="113"/>
      <c r="H2201" s="113"/>
      <c r="J2201" s="113"/>
    </row>
    <row r="2202" spans="1:10" s="4" customFormat="1" x14ac:dyDescent="0.25">
      <c r="A2202" s="114"/>
      <c r="D2202" s="113"/>
      <c r="E2202" s="113"/>
      <c r="F2202" s="114"/>
      <c r="G2202" s="113"/>
      <c r="H2202" s="113"/>
      <c r="J2202" s="113"/>
    </row>
    <row r="2203" spans="1:10" s="4" customFormat="1" x14ac:dyDescent="0.25">
      <c r="A2203" s="114"/>
      <c r="D2203" s="113"/>
      <c r="E2203" s="113"/>
      <c r="F2203" s="114"/>
      <c r="G2203" s="113"/>
      <c r="H2203" s="113"/>
      <c r="J2203" s="113"/>
    </row>
    <row r="2204" spans="1:10" s="4" customFormat="1" x14ac:dyDescent="0.25">
      <c r="A2204" s="114"/>
      <c r="D2204" s="113"/>
      <c r="E2204" s="113"/>
      <c r="F2204" s="114"/>
      <c r="G2204" s="113"/>
      <c r="H2204" s="113"/>
      <c r="J2204" s="113"/>
    </row>
    <row r="2205" spans="1:10" s="4" customFormat="1" x14ac:dyDescent="0.25">
      <c r="A2205" s="114"/>
      <c r="D2205" s="113"/>
      <c r="E2205" s="113"/>
      <c r="F2205" s="114"/>
      <c r="G2205" s="113"/>
      <c r="H2205" s="113"/>
      <c r="J2205" s="113"/>
    </row>
    <row r="2206" spans="1:10" s="4" customFormat="1" x14ac:dyDescent="0.25">
      <c r="A2206" s="114"/>
      <c r="D2206" s="113"/>
      <c r="E2206" s="113"/>
      <c r="F2206" s="114"/>
      <c r="G2206" s="113"/>
      <c r="H2206" s="113"/>
      <c r="J2206" s="113"/>
    </row>
    <row r="2207" spans="1:10" s="4" customFormat="1" x14ac:dyDescent="0.25">
      <c r="A2207" s="114"/>
      <c r="D2207" s="113"/>
      <c r="E2207" s="113"/>
      <c r="F2207" s="114"/>
      <c r="G2207" s="113"/>
      <c r="H2207" s="113"/>
      <c r="J2207" s="113"/>
    </row>
    <row r="2208" spans="1:10" s="4" customFormat="1" x14ac:dyDescent="0.25">
      <c r="A2208" s="114"/>
      <c r="D2208" s="113"/>
      <c r="E2208" s="113"/>
      <c r="F2208" s="114"/>
      <c r="G2208" s="113"/>
      <c r="H2208" s="113"/>
      <c r="J2208" s="113"/>
    </row>
    <row r="2209" spans="1:10" s="4" customFormat="1" x14ac:dyDescent="0.25">
      <c r="A2209" s="114"/>
      <c r="D2209" s="113"/>
      <c r="E2209" s="113"/>
      <c r="F2209" s="114"/>
      <c r="G2209" s="113"/>
      <c r="H2209" s="113"/>
      <c r="J2209" s="113"/>
    </row>
    <row r="2210" spans="1:10" s="4" customFormat="1" x14ac:dyDescent="0.25">
      <c r="A2210" s="114"/>
      <c r="D2210" s="113"/>
      <c r="E2210" s="113"/>
      <c r="F2210" s="114"/>
      <c r="G2210" s="113"/>
      <c r="H2210" s="113"/>
      <c r="J2210" s="113"/>
    </row>
    <row r="2211" spans="1:10" s="4" customFormat="1" x14ac:dyDescent="0.25">
      <c r="A2211" s="114"/>
      <c r="D2211" s="113"/>
      <c r="E2211" s="113"/>
      <c r="F2211" s="114"/>
      <c r="G2211" s="113"/>
      <c r="H2211" s="113"/>
      <c r="J2211" s="113"/>
    </row>
    <row r="2212" spans="1:10" s="4" customFormat="1" x14ac:dyDescent="0.25">
      <c r="A2212" s="114"/>
      <c r="D2212" s="113"/>
      <c r="E2212" s="113"/>
      <c r="F2212" s="114"/>
      <c r="G2212" s="113"/>
      <c r="H2212" s="113"/>
      <c r="J2212" s="113"/>
    </row>
    <row r="2213" spans="1:10" s="4" customFormat="1" x14ac:dyDescent="0.25">
      <c r="A2213" s="114"/>
      <c r="D2213" s="113"/>
      <c r="E2213" s="113"/>
      <c r="F2213" s="114"/>
      <c r="G2213" s="113"/>
      <c r="H2213" s="113"/>
      <c r="J2213" s="113"/>
    </row>
    <row r="2214" spans="1:10" s="4" customFormat="1" x14ac:dyDescent="0.25">
      <c r="A2214" s="114"/>
      <c r="D2214" s="113"/>
      <c r="E2214" s="113"/>
      <c r="F2214" s="114"/>
      <c r="G2214" s="113"/>
      <c r="H2214" s="113"/>
      <c r="J2214" s="113"/>
    </row>
    <row r="2215" spans="1:10" s="4" customFormat="1" x14ac:dyDescent="0.25">
      <c r="A2215" s="114"/>
      <c r="D2215" s="113"/>
      <c r="E2215" s="113"/>
      <c r="F2215" s="114"/>
      <c r="G2215" s="113"/>
      <c r="H2215" s="113"/>
      <c r="J2215" s="113"/>
    </row>
    <row r="2216" spans="1:10" s="4" customFormat="1" x14ac:dyDescent="0.25">
      <c r="A2216" s="114"/>
      <c r="D2216" s="113"/>
      <c r="E2216" s="113"/>
      <c r="F2216" s="114"/>
      <c r="G2216" s="113"/>
      <c r="H2216" s="113"/>
      <c r="J2216" s="113"/>
    </row>
    <row r="2217" spans="1:10" s="4" customFormat="1" x14ac:dyDescent="0.25">
      <c r="A2217" s="114"/>
      <c r="D2217" s="113"/>
      <c r="E2217" s="113"/>
      <c r="F2217" s="114"/>
      <c r="G2217" s="113"/>
      <c r="H2217" s="113"/>
      <c r="J2217" s="113"/>
    </row>
    <row r="2218" spans="1:10" s="4" customFormat="1" x14ac:dyDescent="0.25">
      <c r="A2218" s="114"/>
      <c r="D2218" s="113"/>
      <c r="E2218" s="113"/>
      <c r="F2218" s="114"/>
      <c r="G2218" s="113"/>
      <c r="H2218" s="113"/>
      <c r="J2218" s="113"/>
    </row>
    <row r="2219" spans="1:10" s="4" customFormat="1" x14ac:dyDescent="0.25">
      <c r="A2219" s="114"/>
      <c r="D2219" s="113"/>
      <c r="E2219" s="113"/>
      <c r="F2219" s="114"/>
      <c r="G2219" s="113"/>
      <c r="H2219" s="113"/>
      <c r="J2219" s="113"/>
    </row>
    <row r="2220" spans="1:10" s="4" customFormat="1" x14ac:dyDescent="0.25">
      <c r="A2220" s="114"/>
      <c r="D2220" s="113"/>
      <c r="E2220" s="113"/>
      <c r="F2220" s="114"/>
      <c r="G2220" s="113"/>
      <c r="H2220" s="113"/>
      <c r="J2220" s="113"/>
    </row>
    <row r="2221" spans="1:10" s="4" customFormat="1" x14ac:dyDescent="0.25">
      <c r="A2221" s="114"/>
      <c r="D2221" s="113"/>
      <c r="E2221" s="113"/>
      <c r="F2221" s="114"/>
      <c r="G2221" s="113"/>
      <c r="H2221" s="113"/>
      <c r="J2221" s="113"/>
    </row>
    <row r="2222" spans="1:10" s="4" customFormat="1" x14ac:dyDescent="0.25">
      <c r="A2222" s="114"/>
      <c r="D2222" s="113"/>
      <c r="E2222" s="113"/>
      <c r="F2222" s="114"/>
      <c r="G2222" s="113"/>
      <c r="H2222" s="113"/>
      <c r="J2222" s="113"/>
    </row>
    <row r="2223" spans="1:10" s="4" customFormat="1" x14ac:dyDescent="0.25">
      <c r="A2223" s="114"/>
      <c r="D2223" s="113"/>
      <c r="E2223" s="113"/>
      <c r="F2223" s="114"/>
      <c r="G2223" s="113"/>
      <c r="H2223" s="113"/>
      <c r="J2223" s="113"/>
    </row>
    <row r="2224" spans="1:10" s="4" customFormat="1" x14ac:dyDescent="0.25">
      <c r="A2224" s="114"/>
      <c r="D2224" s="113"/>
      <c r="E2224" s="113"/>
      <c r="F2224" s="114"/>
      <c r="G2224" s="113"/>
      <c r="H2224" s="113"/>
      <c r="J2224" s="113"/>
    </row>
    <row r="2225" spans="1:10" s="4" customFormat="1" x14ac:dyDescent="0.25">
      <c r="A2225" s="114"/>
      <c r="D2225" s="113"/>
      <c r="E2225" s="113"/>
      <c r="F2225" s="114"/>
      <c r="G2225" s="113"/>
      <c r="H2225" s="113"/>
      <c r="J2225" s="113"/>
    </row>
    <row r="2226" spans="1:10" s="4" customFormat="1" x14ac:dyDescent="0.25">
      <c r="A2226" s="114"/>
      <c r="D2226" s="113"/>
      <c r="E2226" s="113"/>
      <c r="F2226" s="114"/>
      <c r="G2226" s="113"/>
      <c r="H2226" s="113"/>
      <c r="J2226" s="113"/>
    </row>
    <row r="2227" spans="1:10" s="4" customFormat="1" x14ac:dyDescent="0.25">
      <c r="A2227" s="114"/>
      <c r="D2227" s="113"/>
      <c r="E2227" s="113"/>
      <c r="F2227" s="114"/>
      <c r="G2227" s="113"/>
      <c r="H2227" s="113"/>
      <c r="J2227" s="113"/>
    </row>
    <row r="2228" spans="1:10" s="4" customFormat="1" x14ac:dyDescent="0.25">
      <c r="A2228" s="114"/>
      <c r="D2228" s="113"/>
      <c r="E2228" s="113"/>
      <c r="F2228" s="114"/>
      <c r="G2228" s="113"/>
      <c r="H2228" s="113"/>
      <c r="J2228" s="113"/>
    </row>
    <row r="2229" spans="1:10" s="4" customFormat="1" x14ac:dyDescent="0.25">
      <c r="A2229" s="114"/>
      <c r="D2229" s="113"/>
      <c r="E2229" s="113"/>
      <c r="F2229" s="114"/>
      <c r="G2229" s="113"/>
      <c r="H2229" s="113"/>
      <c r="J2229" s="113"/>
    </row>
    <row r="2230" spans="1:10" s="4" customFormat="1" x14ac:dyDescent="0.25">
      <c r="A2230" s="114"/>
      <c r="D2230" s="113"/>
      <c r="E2230" s="113"/>
      <c r="F2230" s="114"/>
      <c r="G2230" s="113"/>
      <c r="H2230" s="113"/>
      <c r="J2230" s="113"/>
    </row>
    <row r="2231" spans="1:10" s="4" customFormat="1" x14ac:dyDescent="0.25">
      <c r="A2231" s="114"/>
      <c r="D2231" s="113"/>
      <c r="E2231" s="113"/>
      <c r="F2231" s="114"/>
      <c r="G2231" s="113"/>
      <c r="H2231" s="113"/>
      <c r="J2231" s="113"/>
    </row>
    <row r="2232" spans="1:10" s="4" customFormat="1" x14ac:dyDescent="0.25">
      <c r="A2232" s="114"/>
      <c r="D2232" s="113"/>
      <c r="E2232" s="113"/>
      <c r="F2232" s="114"/>
      <c r="G2232" s="113"/>
      <c r="H2232" s="113"/>
      <c r="J2232" s="113"/>
    </row>
    <row r="2233" spans="1:10" s="4" customFormat="1" x14ac:dyDescent="0.25">
      <c r="A2233" s="114"/>
      <c r="D2233" s="113"/>
      <c r="E2233" s="113"/>
      <c r="F2233" s="114"/>
      <c r="G2233" s="113"/>
      <c r="H2233" s="113"/>
      <c r="J2233" s="113"/>
    </row>
    <row r="2234" spans="1:10" s="4" customFormat="1" x14ac:dyDescent="0.25">
      <c r="A2234" s="114"/>
      <c r="D2234" s="113"/>
      <c r="E2234" s="113"/>
      <c r="F2234" s="114"/>
      <c r="G2234" s="113"/>
      <c r="H2234" s="113"/>
      <c r="J2234" s="113"/>
    </row>
    <row r="2235" spans="1:10" s="4" customFormat="1" x14ac:dyDescent="0.25">
      <c r="A2235" s="114"/>
      <c r="D2235" s="113"/>
      <c r="E2235" s="113"/>
      <c r="F2235" s="114"/>
      <c r="G2235" s="113"/>
      <c r="H2235" s="113"/>
      <c r="J2235" s="113"/>
    </row>
    <row r="2236" spans="1:10" s="4" customFormat="1" x14ac:dyDescent="0.25">
      <c r="A2236" s="114"/>
      <c r="D2236" s="113"/>
      <c r="E2236" s="113"/>
      <c r="F2236" s="114"/>
      <c r="G2236" s="113"/>
      <c r="H2236" s="113"/>
      <c r="J2236" s="113"/>
    </row>
    <row r="2237" spans="1:10" s="4" customFormat="1" x14ac:dyDescent="0.25">
      <c r="A2237" s="114"/>
      <c r="D2237" s="113"/>
      <c r="E2237" s="113"/>
      <c r="F2237" s="114"/>
      <c r="G2237" s="113"/>
      <c r="H2237" s="113"/>
      <c r="J2237" s="113"/>
    </row>
    <row r="2238" spans="1:10" s="4" customFormat="1" x14ac:dyDescent="0.25">
      <c r="A2238" s="114"/>
      <c r="D2238" s="113"/>
      <c r="E2238" s="113"/>
      <c r="F2238" s="114"/>
      <c r="G2238" s="113"/>
      <c r="H2238" s="113"/>
      <c r="J2238" s="113"/>
    </row>
    <row r="2239" spans="1:10" s="4" customFormat="1" x14ac:dyDescent="0.25">
      <c r="A2239" s="114"/>
      <c r="D2239" s="113"/>
      <c r="E2239" s="113"/>
      <c r="F2239" s="114"/>
      <c r="G2239" s="113"/>
      <c r="H2239" s="113"/>
      <c r="J2239" s="113"/>
    </row>
    <row r="2240" spans="1:10" s="4" customFormat="1" x14ac:dyDescent="0.25">
      <c r="A2240" s="114"/>
      <c r="D2240" s="113"/>
      <c r="E2240" s="113"/>
      <c r="F2240" s="114"/>
      <c r="G2240" s="113"/>
      <c r="H2240" s="113"/>
      <c r="J2240" s="113"/>
    </row>
    <row r="2241" spans="1:10" s="4" customFormat="1" x14ac:dyDescent="0.25">
      <c r="A2241" s="114"/>
      <c r="D2241" s="113"/>
      <c r="E2241" s="113"/>
      <c r="F2241" s="114"/>
      <c r="G2241" s="113"/>
      <c r="H2241" s="113"/>
      <c r="J2241" s="113"/>
    </row>
    <row r="2242" spans="1:10" s="4" customFormat="1" x14ac:dyDescent="0.25">
      <c r="A2242" s="114"/>
      <c r="D2242" s="113"/>
      <c r="E2242" s="113"/>
      <c r="F2242" s="114"/>
      <c r="G2242" s="113"/>
      <c r="H2242" s="113"/>
      <c r="J2242" s="113"/>
    </row>
    <row r="2243" spans="1:10" s="4" customFormat="1" x14ac:dyDescent="0.25">
      <c r="A2243" s="114"/>
      <c r="D2243" s="113"/>
      <c r="E2243" s="113"/>
      <c r="F2243" s="114"/>
      <c r="G2243" s="113"/>
      <c r="H2243" s="113"/>
      <c r="J2243" s="113"/>
    </row>
    <row r="2244" spans="1:10" s="4" customFormat="1" x14ac:dyDescent="0.25">
      <c r="A2244" s="114"/>
      <c r="D2244" s="113"/>
      <c r="E2244" s="113"/>
      <c r="F2244" s="114"/>
      <c r="G2244" s="113"/>
      <c r="H2244" s="113"/>
      <c r="J2244" s="113"/>
    </row>
    <row r="2245" spans="1:10" s="4" customFormat="1" x14ac:dyDescent="0.25">
      <c r="A2245" s="114"/>
      <c r="D2245" s="113"/>
      <c r="E2245" s="113"/>
      <c r="F2245" s="114"/>
      <c r="G2245" s="113"/>
      <c r="H2245" s="113"/>
      <c r="J2245" s="113"/>
    </row>
    <row r="2246" spans="1:10" s="4" customFormat="1" x14ac:dyDescent="0.25">
      <c r="A2246" s="114"/>
      <c r="D2246" s="113"/>
      <c r="E2246" s="113"/>
      <c r="F2246" s="114"/>
      <c r="G2246" s="113"/>
      <c r="H2246" s="113"/>
      <c r="J2246" s="113"/>
    </row>
    <row r="2247" spans="1:10" s="4" customFormat="1" x14ac:dyDescent="0.25">
      <c r="A2247" s="114"/>
      <c r="D2247" s="113"/>
      <c r="E2247" s="113"/>
      <c r="F2247" s="114"/>
      <c r="G2247" s="113"/>
      <c r="H2247" s="113"/>
      <c r="J2247" s="113"/>
    </row>
    <row r="2248" spans="1:10" s="4" customFormat="1" x14ac:dyDescent="0.25">
      <c r="A2248" s="114"/>
      <c r="D2248" s="113"/>
      <c r="E2248" s="113"/>
      <c r="F2248" s="114"/>
      <c r="G2248" s="113"/>
      <c r="H2248" s="113"/>
      <c r="J2248" s="113"/>
    </row>
    <row r="2249" spans="1:10" s="4" customFormat="1" x14ac:dyDescent="0.25">
      <c r="A2249" s="114"/>
      <c r="D2249" s="113"/>
      <c r="E2249" s="113"/>
      <c r="F2249" s="114"/>
      <c r="G2249" s="113"/>
      <c r="H2249" s="113"/>
      <c r="J2249" s="113"/>
    </row>
    <row r="2250" spans="1:10" s="4" customFormat="1" x14ac:dyDescent="0.25">
      <c r="A2250" s="114"/>
      <c r="D2250" s="113"/>
      <c r="E2250" s="113"/>
      <c r="F2250" s="114"/>
      <c r="G2250" s="113"/>
      <c r="H2250" s="113"/>
      <c r="J2250" s="113"/>
    </row>
    <row r="2251" spans="1:10" s="4" customFormat="1" x14ac:dyDescent="0.25">
      <c r="A2251" s="114"/>
      <c r="D2251" s="113"/>
      <c r="E2251" s="113"/>
      <c r="F2251" s="114"/>
      <c r="G2251" s="113"/>
      <c r="H2251" s="113"/>
      <c r="J2251" s="113"/>
    </row>
    <row r="2252" spans="1:10" s="4" customFormat="1" x14ac:dyDescent="0.25">
      <c r="A2252" s="114"/>
      <c r="D2252" s="113"/>
      <c r="E2252" s="113"/>
      <c r="F2252" s="114"/>
      <c r="G2252" s="113"/>
      <c r="H2252" s="113"/>
      <c r="J2252" s="113"/>
    </row>
    <row r="2253" spans="1:10" s="4" customFormat="1" x14ac:dyDescent="0.25">
      <c r="A2253" s="114"/>
      <c r="D2253" s="113"/>
      <c r="E2253" s="113"/>
      <c r="F2253" s="114"/>
      <c r="G2253" s="113"/>
      <c r="H2253" s="113"/>
      <c r="J2253" s="113"/>
    </row>
    <row r="2254" spans="1:10" s="4" customFormat="1" x14ac:dyDescent="0.25">
      <c r="A2254" s="114"/>
      <c r="D2254" s="113"/>
      <c r="E2254" s="113"/>
      <c r="F2254" s="114"/>
      <c r="G2254" s="113"/>
      <c r="H2254" s="113"/>
      <c r="J2254" s="113"/>
    </row>
    <row r="2255" spans="1:10" s="4" customFormat="1" x14ac:dyDescent="0.25">
      <c r="A2255" s="114"/>
      <c r="D2255" s="113"/>
      <c r="E2255" s="113"/>
      <c r="F2255" s="114"/>
      <c r="G2255" s="113"/>
      <c r="H2255" s="113"/>
      <c r="J2255" s="113"/>
    </row>
    <row r="2256" spans="1:10" s="4" customFormat="1" x14ac:dyDescent="0.25">
      <c r="A2256" s="114"/>
      <c r="D2256" s="113"/>
      <c r="E2256" s="113"/>
      <c r="F2256" s="114"/>
      <c r="G2256" s="113"/>
      <c r="H2256" s="113"/>
      <c r="J2256" s="113"/>
    </row>
    <row r="2257" spans="1:10" s="4" customFormat="1" x14ac:dyDescent="0.25">
      <c r="A2257" s="114"/>
      <c r="D2257" s="113"/>
      <c r="E2257" s="113"/>
      <c r="F2257" s="114"/>
      <c r="G2257" s="113"/>
      <c r="H2257" s="113"/>
      <c r="J2257" s="113"/>
    </row>
    <row r="2258" spans="1:10" s="4" customFormat="1" x14ac:dyDescent="0.25">
      <c r="A2258" s="114"/>
      <c r="D2258" s="113"/>
      <c r="E2258" s="113"/>
      <c r="F2258" s="114"/>
      <c r="G2258" s="113"/>
      <c r="H2258" s="113"/>
      <c r="J2258" s="113"/>
    </row>
    <row r="2259" spans="1:10" s="4" customFormat="1" x14ac:dyDescent="0.25">
      <c r="A2259" s="114"/>
      <c r="D2259" s="113"/>
      <c r="E2259" s="113"/>
      <c r="F2259" s="114"/>
      <c r="G2259" s="113"/>
      <c r="H2259" s="113"/>
      <c r="J2259" s="113"/>
    </row>
    <row r="2260" spans="1:10" s="4" customFormat="1" x14ac:dyDescent="0.25">
      <c r="A2260" s="114"/>
      <c r="D2260" s="113"/>
      <c r="E2260" s="113"/>
      <c r="F2260" s="114"/>
      <c r="G2260" s="113"/>
      <c r="H2260" s="113"/>
      <c r="J2260" s="113"/>
    </row>
    <row r="2261" spans="1:10" s="4" customFormat="1" x14ac:dyDescent="0.25">
      <c r="A2261" s="114"/>
      <c r="D2261" s="113"/>
      <c r="E2261" s="113"/>
      <c r="F2261" s="114"/>
      <c r="G2261" s="113"/>
      <c r="H2261" s="113"/>
      <c r="J2261" s="113"/>
    </row>
    <row r="2262" spans="1:10" s="4" customFormat="1" x14ac:dyDescent="0.25">
      <c r="A2262" s="114"/>
      <c r="D2262" s="113"/>
      <c r="E2262" s="113"/>
      <c r="F2262" s="114"/>
      <c r="G2262" s="113"/>
      <c r="H2262" s="113"/>
      <c r="J2262" s="113"/>
    </row>
    <row r="2263" spans="1:10" s="4" customFormat="1" x14ac:dyDescent="0.25">
      <c r="A2263" s="114"/>
      <c r="D2263" s="113"/>
      <c r="E2263" s="113"/>
      <c r="F2263" s="114"/>
      <c r="G2263" s="113"/>
      <c r="H2263" s="113"/>
      <c r="J2263" s="113"/>
    </row>
    <row r="2264" spans="1:10" s="4" customFormat="1" x14ac:dyDescent="0.25">
      <c r="A2264" s="114"/>
      <c r="D2264" s="113"/>
      <c r="E2264" s="113"/>
      <c r="F2264" s="114"/>
      <c r="G2264" s="113"/>
      <c r="H2264" s="113"/>
      <c r="J2264" s="113"/>
    </row>
    <row r="2265" spans="1:10" s="4" customFormat="1" x14ac:dyDescent="0.25">
      <c r="A2265" s="114"/>
      <c r="D2265" s="113"/>
      <c r="E2265" s="113"/>
      <c r="F2265" s="114"/>
      <c r="G2265" s="113"/>
      <c r="H2265" s="113"/>
      <c r="J2265" s="113"/>
    </row>
    <row r="2266" spans="1:10" s="4" customFormat="1" x14ac:dyDescent="0.25">
      <c r="A2266" s="114"/>
      <c r="D2266" s="113"/>
      <c r="E2266" s="113"/>
      <c r="F2266" s="114"/>
      <c r="G2266" s="113"/>
      <c r="H2266" s="113"/>
      <c r="J2266" s="113"/>
    </row>
    <row r="2267" spans="1:10" s="4" customFormat="1" x14ac:dyDescent="0.25">
      <c r="A2267" s="114"/>
      <c r="D2267" s="113"/>
      <c r="E2267" s="113"/>
      <c r="F2267" s="114"/>
      <c r="G2267" s="113"/>
      <c r="H2267" s="113"/>
      <c r="J2267" s="113"/>
    </row>
    <row r="2268" spans="1:10" s="4" customFormat="1" x14ac:dyDescent="0.25">
      <c r="A2268" s="114"/>
      <c r="D2268" s="113"/>
      <c r="E2268" s="113"/>
      <c r="F2268" s="114"/>
      <c r="G2268" s="113"/>
      <c r="H2268" s="113"/>
      <c r="J2268" s="113"/>
    </row>
    <row r="2269" spans="1:10" s="4" customFormat="1" x14ac:dyDescent="0.25">
      <c r="A2269" s="114"/>
      <c r="D2269" s="113"/>
      <c r="E2269" s="113"/>
      <c r="F2269" s="114"/>
      <c r="G2269" s="113"/>
      <c r="H2269" s="113"/>
      <c r="J2269" s="113"/>
    </row>
    <row r="2270" spans="1:10" s="4" customFormat="1" x14ac:dyDescent="0.25">
      <c r="A2270" s="114"/>
      <c r="D2270" s="113"/>
      <c r="E2270" s="113"/>
      <c r="F2270" s="114"/>
      <c r="G2270" s="113"/>
      <c r="H2270" s="113"/>
      <c r="J2270" s="113"/>
    </row>
    <row r="2271" spans="1:10" s="4" customFormat="1" x14ac:dyDescent="0.25">
      <c r="A2271" s="114"/>
      <c r="D2271" s="113"/>
      <c r="E2271" s="113"/>
      <c r="F2271" s="114"/>
      <c r="G2271" s="113"/>
      <c r="H2271" s="113"/>
      <c r="J2271" s="113"/>
    </row>
    <row r="2272" spans="1:10" s="4" customFormat="1" x14ac:dyDescent="0.25">
      <c r="A2272" s="114"/>
      <c r="D2272" s="113"/>
      <c r="E2272" s="113"/>
      <c r="F2272" s="114"/>
      <c r="G2272" s="113"/>
      <c r="H2272" s="113"/>
      <c r="J2272" s="113"/>
    </row>
    <row r="2273" spans="1:10" s="4" customFormat="1" x14ac:dyDescent="0.25">
      <c r="A2273" s="114"/>
      <c r="D2273" s="113"/>
      <c r="E2273" s="113"/>
      <c r="F2273" s="114"/>
      <c r="G2273" s="113"/>
      <c r="H2273" s="113"/>
      <c r="J2273" s="113"/>
    </row>
    <row r="2274" spans="1:10" s="4" customFormat="1" x14ac:dyDescent="0.25">
      <c r="A2274" s="114"/>
      <c r="D2274" s="113"/>
      <c r="E2274" s="113"/>
      <c r="F2274" s="114"/>
      <c r="G2274" s="113"/>
      <c r="H2274" s="113"/>
      <c r="J2274" s="113"/>
    </row>
    <row r="2275" spans="1:10" s="4" customFormat="1" x14ac:dyDescent="0.25">
      <c r="A2275" s="114"/>
      <c r="D2275" s="113"/>
      <c r="E2275" s="113"/>
      <c r="F2275" s="114"/>
      <c r="G2275" s="113"/>
      <c r="H2275" s="113"/>
      <c r="J2275" s="113"/>
    </row>
    <row r="2276" spans="1:10" s="4" customFormat="1" x14ac:dyDescent="0.25">
      <c r="A2276" s="114"/>
      <c r="D2276" s="113"/>
      <c r="E2276" s="113"/>
      <c r="F2276" s="114"/>
      <c r="G2276" s="113"/>
      <c r="H2276" s="113"/>
      <c r="J2276" s="113"/>
    </row>
    <row r="2277" spans="1:10" s="4" customFormat="1" x14ac:dyDescent="0.25">
      <c r="A2277" s="114"/>
      <c r="D2277" s="113"/>
      <c r="E2277" s="113"/>
      <c r="F2277" s="114"/>
      <c r="G2277" s="113"/>
      <c r="H2277" s="113"/>
      <c r="J2277" s="113"/>
    </row>
    <row r="2278" spans="1:10" s="4" customFormat="1" x14ac:dyDescent="0.25">
      <c r="A2278" s="114"/>
      <c r="D2278" s="113"/>
      <c r="E2278" s="113"/>
      <c r="F2278" s="114"/>
      <c r="G2278" s="113"/>
      <c r="H2278" s="113"/>
      <c r="J2278" s="113"/>
    </row>
    <row r="2279" spans="1:10" s="4" customFormat="1" x14ac:dyDescent="0.25">
      <c r="A2279" s="114"/>
      <c r="D2279" s="113"/>
      <c r="E2279" s="113"/>
      <c r="F2279" s="114"/>
      <c r="G2279" s="113"/>
      <c r="H2279" s="113"/>
      <c r="J2279" s="113"/>
    </row>
    <row r="2280" spans="1:10" s="4" customFormat="1" x14ac:dyDescent="0.25">
      <c r="A2280" s="114"/>
      <c r="D2280" s="113"/>
      <c r="E2280" s="113"/>
      <c r="F2280" s="114"/>
      <c r="G2280" s="113"/>
      <c r="H2280" s="113"/>
      <c r="J2280" s="113"/>
    </row>
    <row r="2281" spans="1:10" s="4" customFormat="1" x14ac:dyDescent="0.25">
      <c r="A2281" s="114"/>
      <c r="D2281" s="113"/>
      <c r="E2281" s="113"/>
      <c r="F2281" s="114"/>
      <c r="G2281" s="113"/>
      <c r="H2281" s="113"/>
      <c r="J2281" s="113"/>
    </row>
    <row r="2282" spans="1:10" s="4" customFormat="1" x14ac:dyDescent="0.25">
      <c r="A2282" s="114"/>
      <c r="D2282" s="113"/>
      <c r="E2282" s="113"/>
      <c r="F2282" s="114"/>
      <c r="G2282" s="113"/>
      <c r="H2282" s="113"/>
      <c r="J2282" s="113"/>
    </row>
    <row r="2283" spans="1:10" s="4" customFormat="1" x14ac:dyDescent="0.25">
      <c r="A2283" s="114"/>
      <c r="D2283" s="113"/>
      <c r="E2283" s="113"/>
      <c r="F2283" s="114"/>
      <c r="G2283" s="113"/>
      <c r="H2283" s="113"/>
      <c r="J2283" s="113"/>
    </row>
    <row r="2284" spans="1:10" s="4" customFormat="1" x14ac:dyDescent="0.25">
      <c r="A2284" s="114"/>
      <c r="D2284" s="113"/>
      <c r="E2284" s="113"/>
      <c r="F2284" s="114"/>
      <c r="G2284" s="113"/>
      <c r="H2284" s="113"/>
      <c r="J2284" s="113"/>
    </row>
    <row r="2285" spans="1:10" s="4" customFormat="1" x14ac:dyDescent="0.25">
      <c r="A2285" s="114"/>
      <c r="D2285" s="113"/>
      <c r="E2285" s="113"/>
      <c r="F2285" s="114"/>
      <c r="G2285" s="113"/>
      <c r="H2285" s="113"/>
      <c r="J2285" s="113"/>
    </row>
    <row r="2286" spans="1:10" s="4" customFormat="1" x14ac:dyDescent="0.25">
      <c r="A2286" s="114"/>
      <c r="D2286" s="113"/>
      <c r="E2286" s="113"/>
      <c r="F2286" s="114"/>
      <c r="G2286" s="113"/>
      <c r="H2286" s="113"/>
      <c r="J2286" s="113"/>
    </row>
    <row r="2287" spans="1:10" s="4" customFormat="1" x14ac:dyDescent="0.25">
      <c r="A2287" s="114"/>
      <c r="D2287" s="113"/>
      <c r="E2287" s="113"/>
      <c r="F2287" s="114"/>
      <c r="G2287" s="113"/>
      <c r="H2287" s="113"/>
      <c r="J2287" s="113"/>
    </row>
    <row r="2288" spans="1:10" s="4" customFormat="1" x14ac:dyDescent="0.25">
      <c r="A2288" s="114"/>
      <c r="D2288" s="113"/>
      <c r="E2288" s="113"/>
      <c r="F2288" s="114"/>
      <c r="G2288" s="113"/>
      <c r="H2288" s="113"/>
      <c r="J2288" s="113"/>
    </row>
    <row r="2289" spans="1:10" s="4" customFormat="1" x14ac:dyDescent="0.25">
      <c r="A2289" s="114"/>
      <c r="D2289" s="113"/>
      <c r="E2289" s="113"/>
      <c r="F2289" s="114"/>
      <c r="G2289" s="113"/>
      <c r="H2289" s="113"/>
      <c r="J2289" s="113"/>
    </row>
    <row r="2290" spans="1:10" s="4" customFormat="1" x14ac:dyDescent="0.25">
      <c r="A2290" s="114"/>
      <c r="D2290" s="113"/>
      <c r="E2290" s="113"/>
      <c r="F2290" s="114"/>
      <c r="G2290" s="113"/>
      <c r="H2290" s="113"/>
      <c r="J2290" s="113"/>
    </row>
    <row r="2291" spans="1:10" s="4" customFormat="1" x14ac:dyDescent="0.25">
      <c r="A2291" s="114"/>
      <c r="D2291" s="113"/>
      <c r="E2291" s="113"/>
      <c r="F2291" s="114"/>
      <c r="G2291" s="113"/>
      <c r="H2291" s="113"/>
      <c r="J2291" s="113"/>
    </row>
    <row r="2292" spans="1:10" s="4" customFormat="1" x14ac:dyDescent="0.25">
      <c r="A2292" s="114"/>
      <c r="D2292" s="113"/>
      <c r="E2292" s="113"/>
      <c r="F2292" s="114"/>
      <c r="G2292" s="113"/>
      <c r="H2292" s="113"/>
      <c r="J2292" s="113"/>
    </row>
    <row r="2293" spans="1:10" s="4" customFormat="1" x14ac:dyDescent="0.25">
      <c r="A2293" s="114"/>
      <c r="D2293" s="113"/>
      <c r="E2293" s="113"/>
      <c r="F2293" s="114"/>
      <c r="G2293" s="113"/>
      <c r="H2293" s="113"/>
      <c r="J2293" s="113"/>
    </row>
    <row r="2294" spans="1:10" s="4" customFormat="1" x14ac:dyDescent="0.25">
      <c r="A2294" s="114"/>
      <c r="D2294" s="113"/>
      <c r="E2294" s="113"/>
      <c r="F2294" s="114"/>
      <c r="G2294" s="113"/>
      <c r="H2294" s="113"/>
      <c r="J2294" s="113"/>
    </row>
    <row r="2295" spans="1:10" s="4" customFormat="1" x14ac:dyDescent="0.25">
      <c r="A2295" s="114"/>
      <c r="D2295" s="113"/>
      <c r="E2295" s="113"/>
      <c r="F2295" s="114"/>
      <c r="G2295" s="113"/>
      <c r="H2295" s="113"/>
      <c r="J2295" s="113"/>
    </row>
    <row r="2296" spans="1:10" s="4" customFormat="1" x14ac:dyDescent="0.25">
      <c r="A2296" s="114"/>
      <c r="D2296" s="113"/>
      <c r="E2296" s="113"/>
      <c r="F2296" s="114"/>
      <c r="G2296" s="113"/>
      <c r="H2296" s="113"/>
      <c r="J2296" s="113"/>
    </row>
    <row r="2297" spans="1:10" s="4" customFormat="1" x14ac:dyDescent="0.25">
      <c r="A2297" s="114"/>
      <c r="D2297" s="113"/>
      <c r="E2297" s="113"/>
      <c r="F2297" s="114"/>
      <c r="G2297" s="113"/>
      <c r="H2297" s="113"/>
      <c r="J2297" s="113"/>
    </row>
    <row r="2298" spans="1:10" s="4" customFormat="1" x14ac:dyDescent="0.25">
      <c r="A2298" s="114"/>
      <c r="D2298" s="113"/>
      <c r="E2298" s="113"/>
      <c r="F2298" s="114"/>
      <c r="G2298" s="113"/>
      <c r="H2298" s="113"/>
      <c r="J2298" s="113"/>
    </row>
    <row r="2299" spans="1:10" s="4" customFormat="1" x14ac:dyDescent="0.25">
      <c r="A2299" s="114"/>
      <c r="D2299" s="113"/>
      <c r="E2299" s="113"/>
      <c r="F2299" s="114"/>
      <c r="G2299" s="113"/>
      <c r="H2299" s="113"/>
      <c r="J2299" s="113"/>
    </row>
    <row r="2300" spans="1:10" s="4" customFormat="1" x14ac:dyDescent="0.25">
      <c r="A2300" s="114"/>
      <c r="D2300" s="113"/>
      <c r="E2300" s="113"/>
      <c r="F2300" s="114"/>
      <c r="G2300" s="113"/>
      <c r="H2300" s="113"/>
      <c r="J2300" s="113"/>
    </row>
    <row r="2301" spans="1:10" s="4" customFormat="1" x14ac:dyDescent="0.25">
      <c r="A2301" s="114"/>
      <c r="D2301" s="113"/>
      <c r="E2301" s="113"/>
      <c r="F2301" s="114"/>
      <c r="G2301" s="113"/>
      <c r="H2301" s="113"/>
      <c r="J2301" s="113"/>
    </row>
    <row r="2302" spans="1:10" s="4" customFormat="1" x14ac:dyDescent="0.25">
      <c r="A2302" s="114"/>
      <c r="D2302" s="113"/>
      <c r="E2302" s="113"/>
      <c r="F2302" s="114"/>
      <c r="G2302" s="113"/>
      <c r="H2302" s="113"/>
      <c r="J2302" s="113"/>
    </row>
    <row r="2303" spans="1:10" s="4" customFormat="1" x14ac:dyDescent="0.25">
      <c r="A2303" s="114"/>
      <c r="D2303" s="113"/>
      <c r="E2303" s="113"/>
      <c r="F2303" s="114"/>
      <c r="G2303" s="113"/>
      <c r="H2303" s="113"/>
      <c r="J2303" s="113"/>
    </row>
    <row r="2304" spans="1:10" s="4" customFormat="1" x14ac:dyDescent="0.25">
      <c r="A2304" s="114"/>
      <c r="D2304" s="113"/>
      <c r="E2304" s="113"/>
      <c r="F2304" s="114"/>
      <c r="G2304" s="113"/>
      <c r="H2304" s="113"/>
      <c r="J2304" s="113"/>
    </row>
    <row r="2305" spans="1:10" s="4" customFormat="1" x14ac:dyDescent="0.25">
      <c r="A2305" s="114"/>
      <c r="D2305" s="113"/>
      <c r="E2305" s="113"/>
      <c r="F2305" s="114"/>
      <c r="G2305" s="113"/>
      <c r="H2305" s="113"/>
      <c r="J2305" s="113"/>
    </row>
    <row r="2306" spans="1:10" s="4" customFormat="1" x14ac:dyDescent="0.25">
      <c r="A2306" s="114"/>
      <c r="D2306" s="113"/>
      <c r="E2306" s="113"/>
      <c r="F2306" s="114"/>
      <c r="G2306" s="113"/>
      <c r="H2306" s="113"/>
      <c r="J2306" s="113"/>
    </row>
    <row r="2307" spans="1:10" s="4" customFormat="1" x14ac:dyDescent="0.25">
      <c r="A2307" s="114"/>
      <c r="D2307" s="113"/>
      <c r="E2307" s="113"/>
      <c r="F2307" s="114"/>
      <c r="G2307" s="113"/>
      <c r="H2307" s="113"/>
      <c r="J2307" s="113"/>
    </row>
    <row r="2308" spans="1:10" s="4" customFormat="1" x14ac:dyDescent="0.25">
      <c r="A2308" s="114"/>
      <c r="D2308" s="113"/>
      <c r="E2308" s="113"/>
      <c r="F2308" s="114"/>
      <c r="G2308" s="113"/>
      <c r="H2308" s="113"/>
      <c r="J2308" s="113"/>
    </row>
    <row r="2309" spans="1:10" s="4" customFormat="1" x14ac:dyDescent="0.25">
      <c r="A2309" s="114"/>
      <c r="D2309" s="113"/>
      <c r="E2309" s="113"/>
      <c r="F2309" s="114"/>
      <c r="G2309" s="113"/>
      <c r="H2309" s="113"/>
      <c r="J2309" s="113"/>
    </row>
    <row r="2310" spans="1:10" s="4" customFormat="1" x14ac:dyDescent="0.25">
      <c r="A2310" s="114"/>
      <c r="D2310" s="113"/>
      <c r="E2310" s="113"/>
      <c r="F2310" s="114"/>
      <c r="G2310" s="113"/>
      <c r="H2310" s="113"/>
      <c r="J2310" s="113"/>
    </row>
    <row r="2311" spans="1:10" s="4" customFormat="1" x14ac:dyDescent="0.25">
      <c r="A2311" s="114"/>
      <c r="D2311" s="113"/>
      <c r="E2311" s="113"/>
      <c r="F2311" s="114"/>
      <c r="G2311" s="113"/>
      <c r="H2311" s="113"/>
      <c r="J2311" s="113"/>
    </row>
    <row r="2312" spans="1:10" s="4" customFormat="1" x14ac:dyDescent="0.25">
      <c r="A2312" s="114"/>
      <c r="D2312" s="113"/>
      <c r="E2312" s="113"/>
      <c r="F2312" s="114"/>
      <c r="G2312" s="113"/>
      <c r="H2312" s="113"/>
      <c r="J2312" s="113"/>
    </row>
    <row r="2313" spans="1:10" s="4" customFormat="1" x14ac:dyDescent="0.25">
      <c r="A2313" s="114"/>
      <c r="D2313" s="113"/>
      <c r="E2313" s="113"/>
      <c r="F2313" s="114"/>
      <c r="G2313" s="113"/>
      <c r="H2313" s="113"/>
      <c r="J2313" s="113"/>
    </row>
    <row r="2314" spans="1:10" s="4" customFormat="1" x14ac:dyDescent="0.25">
      <c r="A2314" s="114"/>
      <c r="D2314" s="113"/>
      <c r="E2314" s="113"/>
      <c r="F2314" s="114"/>
      <c r="G2314" s="113"/>
      <c r="H2314" s="113"/>
      <c r="J2314" s="113"/>
    </row>
    <row r="2315" spans="1:10" s="4" customFormat="1" x14ac:dyDescent="0.25">
      <c r="A2315" s="114"/>
      <c r="D2315" s="113"/>
      <c r="E2315" s="113"/>
      <c r="F2315" s="114"/>
      <c r="G2315" s="113"/>
      <c r="H2315" s="113"/>
      <c r="J2315" s="113"/>
    </row>
    <row r="2316" spans="1:10" s="4" customFormat="1" x14ac:dyDescent="0.25">
      <c r="A2316" s="114"/>
      <c r="D2316" s="113"/>
      <c r="E2316" s="113"/>
      <c r="F2316" s="114"/>
      <c r="G2316" s="113"/>
      <c r="H2316" s="113"/>
      <c r="J2316" s="113"/>
    </row>
    <row r="2317" spans="1:10" s="4" customFormat="1" x14ac:dyDescent="0.25">
      <c r="A2317" s="114"/>
      <c r="D2317" s="113"/>
      <c r="E2317" s="113"/>
      <c r="F2317" s="114"/>
      <c r="G2317" s="113"/>
      <c r="H2317" s="113"/>
      <c r="J2317" s="113"/>
    </row>
    <row r="2318" spans="1:10" s="4" customFormat="1" x14ac:dyDescent="0.25">
      <c r="A2318" s="114"/>
      <c r="D2318" s="113"/>
      <c r="E2318" s="113"/>
      <c r="F2318" s="114"/>
      <c r="G2318" s="113"/>
      <c r="H2318" s="113"/>
      <c r="J2318" s="113"/>
    </row>
    <row r="2319" spans="1:10" s="4" customFormat="1" x14ac:dyDescent="0.25">
      <c r="A2319" s="114"/>
      <c r="D2319" s="113"/>
      <c r="E2319" s="113"/>
      <c r="F2319" s="114"/>
      <c r="G2319" s="113"/>
      <c r="H2319" s="113"/>
      <c r="J2319" s="113"/>
    </row>
    <row r="2320" spans="1:10" s="4" customFormat="1" x14ac:dyDescent="0.25">
      <c r="A2320" s="114"/>
      <c r="D2320" s="113"/>
      <c r="E2320" s="113"/>
      <c r="F2320" s="114"/>
      <c r="G2320" s="113"/>
      <c r="H2320" s="113"/>
      <c r="J2320" s="113"/>
    </row>
    <row r="2321" spans="1:10" s="4" customFormat="1" x14ac:dyDescent="0.25">
      <c r="A2321" s="114"/>
      <c r="D2321" s="113"/>
      <c r="E2321" s="113"/>
      <c r="F2321" s="114"/>
      <c r="G2321" s="113"/>
      <c r="H2321" s="113"/>
      <c r="J2321" s="113"/>
    </row>
    <row r="2322" spans="1:10" s="4" customFormat="1" x14ac:dyDescent="0.25">
      <c r="A2322" s="114"/>
      <c r="D2322" s="113"/>
      <c r="E2322" s="113"/>
      <c r="F2322" s="114"/>
      <c r="G2322" s="113"/>
      <c r="H2322" s="113"/>
      <c r="J2322" s="113"/>
    </row>
    <row r="2323" spans="1:10" s="4" customFormat="1" x14ac:dyDescent="0.25">
      <c r="A2323" s="114"/>
      <c r="D2323" s="113"/>
      <c r="E2323" s="113"/>
      <c r="F2323" s="114"/>
      <c r="G2323" s="113"/>
      <c r="H2323" s="113"/>
      <c r="J2323" s="113"/>
    </row>
    <row r="2324" spans="1:10" s="4" customFormat="1" x14ac:dyDescent="0.25">
      <c r="A2324" s="114"/>
      <c r="D2324" s="113"/>
      <c r="E2324" s="113"/>
      <c r="F2324" s="114"/>
      <c r="G2324" s="113"/>
      <c r="H2324" s="113"/>
      <c r="J2324" s="113"/>
    </row>
    <row r="2325" spans="1:10" s="4" customFormat="1" x14ac:dyDescent="0.25">
      <c r="A2325" s="114"/>
      <c r="D2325" s="113"/>
      <c r="E2325" s="113"/>
      <c r="F2325" s="114"/>
      <c r="G2325" s="113"/>
      <c r="H2325" s="113"/>
      <c r="J2325" s="113"/>
    </row>
    <row r="2326" spans="1:10" s="4" customFormat="1" x14ac:dyDescent="0.25">
      <c r="A2326" s="114"/>
      <c r="D2326" s="113"/>
      <c r="E2326" s="113"/>
      <c r="F2326" s="114"/>
      <c r="G2326" s="113"/>
      <c r="H2326" s="113"/>
      <c r="J2326" s="113"/>
    </row>
    <row r="2327" spans="1:10" s="4" customFormat="1" x14ac:dyDescent="0.25">
      <c r="A2327" s="114"/>
      <c r="D2327" s="113"/>
      <c r="E2327" s="113"/>
      <c r="F2327" s="114"/>
      <c r="G2327" s="113"/>
      <c r="H2327" s="113"/>
      <c r="J2327" s="113"/>
    </row>
    <row r="2328" spans="1:10" s="4" customFormat="1" x14ac:dyDescent="0.25">
      <c r="A2328" s="114"/>
      <c r="D2328" s="113"/>
      <c r="E2328" s="113"/>
      <c r="F2328" s="114"/>
      <c r="G2328" s="113"/>
      <c r="H2328" s="113"/>
      <c r="J2328" s="113"/>
    </row>
    <row r="2329" spans="1:10" s="4" customFormat="1" x14ac:dyDescent="0.25">
      <c r="A2329" s="114"/>
      <c r="D2329" s="113"/>
      <c r="E2329" s="113"/>
      <c r="F2329" s="114"/>
      <c r="G2329" s="113"/>
      <c r="H2329" s="113"/>
      <c r="J2329" s="113"/>
    </row>
    <row r="2330" spans="1:10" s="4" customFormat="1" x14ac:dyDescent="0.25">
      <c r="A2330" s="114"/>
      <c r="D2330" s="113"/>
      <c r="E2330" s="113"/>
      <c r="F2330" s="114"/>
      <c r="G2330" s="113"/>
      <c r="H2330" s="113"/>
      <c r="J2330" s="113"/>
    </row>
    <row r="2331" spans="1:10" s="4" customFormat="1" x14ac:dyDescent="0.25">
      <c r="A2331" s="114"/>
      <c r="D2331" s="113"/>
      <c r="E2331" s="113"/>
      <c r="F2331" s="114"/>
      <c r="G2331" s="113"/>
      <c r="H2331" s="113"/>
      <c r="J2331" s="113"/>
    </row>
    <row r="2332" spans="1:10" s="4" customFormat="1" x14ac:dyDescent="0.25">
      <c r="A2332" s="114"/>
      <c r="D2332" s="113"/>
      <c r="E2332" s="113"/>
      <c r="F2332" s="114"/>
      <c r="G2332" s="113"/>
      <c r="H2332" s="113"/>
      <c r="J2332" s="113"/>
    </row>
    <row r="2333" spans="1:10" s="4" customFormat="1" x14ac:dyDescent="0.25">
      <c r="A2333" s="114"/>
      <c r="D2333" s="113"/>
      <c r="E2333" s="113"/>
      <c r="F2333" s="114"/>
      <c r="G2333" s="113"/>
      <c r="H2333" s="113"/>
      <c r="J2333" s="113"/>
    </row>
    <row r="2334" spans="1:10" s="4" customFormat="1" x14ac:dyDescent="0.25">
      <c r="A2334" s="114"/>
      <c r="D2334" s="113"/>
      <c r="E2334" s="113"/>
      <c r="F2334" s="114"/>
      <c r="G2334" s="113"/>
      <c r="H2334" s="113"/>
      <c r="J2334" s="113"/>
    </row>
    <row r="2335" spans="1:10" s="4" customFormat="1" x14ac:dyDescent="0.25">
      <c r="A2335" s="114"/>
      <c r="D2335" s="113"/>
      <c r="E2335" s="113"/>
      <c r="F2335" s="114"/>
      <c r="G2335" s="113"/>
      <c r="H2335" s="113"/>
      <c r="J2335" s="113"/>
    </row>
    <row r="2336" spans="1:10" s="4" customFormat="1" x14ac:dyDescent="0.25">
      <c r="A2336" s="114"/>
      <c r="D2336" s="113"/>
      <c r="E2336" s="113"/>
      <c r="F2336" s="114"/>
      <c r="G2336" s="113"/>
      <c r="H2336" s="113"/>
      <c r="J2336" s="113"/>
    </row>
    <row r="2337" spans="1:10" s="4" customFormat="1" x14ac:dyDescent="0.25">
      <c r="A2337" s="114"/>
      <c r="D2337" s="113"/>
      <c r="E2337" s="113"/>
      <c r="F2337" s="114"/>
      <c r="G2337" s="113"/>
      <c r="H2337" s="113"/>
      <c r="J2337" s="113"/>
    </row>
    <row r="2338" spans="1:10" s="4" customFormat="1" x14ac:dyDescent="0.25">
      <c r="A2338" s="114"/>
      <c r="D2338" s="113"/>
      <c r="E2338" s="113"/>
      <c r="F2338" s="114"/>
      <c r="G2338" s="113"/>
      <c r="H2338" s="113"/>
      <c r="J2338" s="113"/>
    </row>
    <row r="2339" spans="1:10" s="4" customFormat="1" x14ac:dyDescent="0.25">
      <c r="A2339" s="114"/>
      <c r="D2339" s="113"/>
      <c r="E2339" s="113"/>
      <c r="F2339" s="114"/>
      <c r="G2339" s="113"/>
      <c r="H2339" s="113"/>
      <c r="J2339" s="113"/>
    </row>
    <row r="2340" spans="1:10" s="4" customFormat="1" x14ac:dyDescent="0.25">
      <c r="A2340" s="114"/>
      <c r="D2340" s="113"/>
      <c r="E2340" s="113"/>
      <c r="F2340" s="114"/>
      <c r="G2340" s="113"/>
      <c r="H2340" s="113"/>
      <c r="J2340" s="113"/>
    </row>
    <row r="2341" spans="1:10" s="4" customFormat="1" x14ac:dyDescent="0.25">
      <c r="A2341" s="114"/>
      <c r="D2341" s="113"/>
      <c r="E2341" s="113"/>
      <c r="F2341" s="114"/>
      <c r="G2341" s="113"/>
      <c r="H2341" s="113"/>
      <c r="J2341" s="113"/>
    </row>
    <row r="2342" spans="1:10" s="4" customFormat="1" x14ac:dyDescent="0.25">
      <c r="A2342" s="114"/>
      <c r="D2342" s="113"/>
      <c r="E2342" s="113"/>
      <c r="F2342" s="114"/>
      <c r="G2342" s="113"/>
      <c r="H2342" s="113"/>
      <c r="J2342" s="113"/>
    </row>
    <row r="2343" spans="1:10" s="4" customFormat="1" x14ac:dyDescent="0.25">
      <c r="A2343" s="114"/>
      <c r="D2343" s="113"/>
      <c r="E2343" s="113"/>
      <c r="F2343" s="114"/>
      <c r="G2343" s="113"/>
      <c r="H2343" s="113"/>
      <c r="J2343" s="113"/>
    </row>
    <row r="2344" spans="1:10" s="4" customFormat="1" x14ac:dyDescent="0.25">
      <c r="A2344" s="114"/>
      <c r="D2344" s="113"/>
      <c r="E2344" s="113"/>
      <c r="F2344" s="114"/>
      <c r="G2344" s="113"/>
      <c r="H2344" s="113"/>
      <c r="J2344" s="113"/>
    </row>
    <row r="2345" spans="1:10" s="4" customFormat="1" x14ac:dyDescent="0.25">
      <c r="A2345" s="114"/>
      <c r="D2345" s="113"/>
      <c r="E2345" s="113"/>
      <c r="F2345" s="114"/>
      <c r="G2345" s="113"/>
      <c r="H2345" s="113"/>
      <c r="J2345" s="113"/>
    </row>
    <row r="2346" spans="1:10" s="4" customFormat="1" x14ac:dyDescent="0.25">
      <c r="A2346" s="114"/>
      <c r="D2346" s="113"/>
      <c r="E2346" s="113"/>
      <c r="F2346" s="114"/>
      <c r="G2346" s="113"/>
      <c r="H2346" s="113"/>
      <c r="J2346" s="113"/>
    </row>
    <row r="2347" spans="1:10" s="4" customFormat="1" x14ac:dyDescent="0.25">
      <c r="A2347" s="114"/>
      <c r="D2347" s="113"/>
      <c r="E2347" s="113"/>
      <c r="F2347" s="114"/>
      <c r="G2347" s="113"/>
      <c r="H2347" s="113"/>
      <c r="J2347" s="113"/>
    </row>
    <row r="2348" spans="1:10" s="4" customFormat="1" x14ac:dyDescent="0.25">
      <c r="A2348" s="114"/>
      <c r="D2348" s="113"/>
      <c r="E2348" s="113"/>
      <c r="F2348" s="114"/>
      <c r="G2348" s="113"/>
      <c r="H2348" s="113"/>
      <c r="J2348" s="113"/>
    </row>
    <row r="2349" spans="1:10" s="4" customFormat="1" x14ac:dyDescent="0.25">
      <c r="A2349" s="114"/>
      <c r="D2349" s="113"/>
      <c r="E2349" s="113"/>
      <c r="F2349" s="114"/>
      <c r="G2349" s="113"/>
      <c r="H2349" s="113"/>
      <c r="J2349" s="113"/>
    </row>
    <row r="2350" spans="1:10" s="4" customFormat="1" x14ac:dyDescent="0.25">
      <c r="A2350" s="114"/>
      <c r="D2350" s="113"/>
      <c r="E2350" s="113"/>
      <c r="F2350" s="114"/>
      <c r="G2350" s="113"/>
      <c r="H2350" s="113"/>
      <c r="J2350" s="113"/>
    </row>
    <row r="2351" spans="1:10" s="4" customFormat="1" x14ac:dyDescent="0.25">
      <c r="A2351" s="114"/>
      <c r="D2351" s="113"/>
      <c r="E2351" s="113"/>
      <c r="F2351" s="114"/>
      <c r="G2351" s="113"/>
      <c r="H2351" s="113"/>
      <c r="J2351" s="113"/>
    </row>
    <row r="2352" spans="1:10" s="4" customFormat="1" x14ac:dyDescent="0.25">
      <c r="A2352" s="114"/>
      <c r="D2352" s="113"/>
      <c r="E2352" s="113"/>
      <c r="F2352" s="114"/>
      <c r="G2352" s="113"/>
      <c r="H2352" s="113"/>
      <c r="J2352" s="113"/>
    </row>
    <row r="2353" spans="1:10" s="4" customFormat="1" x14ac:dyDescent="0.25">
      <c r="A2353" s="114"/>
      <c r="D2353" s="113"/>
      <c r="E2353" s="113"/>
      <c r="F2353" s="114"/>
      <c r="G2353" s="113"/>
      <c r="H2353" s="113"/>
      <c r="J2353" s="113"/>
    </row>
    <row r="2354" spans="1:10" s="4" customFormat="1" x14ac:dyDescent="0.25">
      <c r="A2354" s="114"/>
      <c r="D2354" s="113"/>
      <c r="E2354" s="113"/>
      <c r="F2354" s="114"/>
      <c r="G2354" s="113"/>
      <c r="H2354" s="113"/>
      <c r="J2354" s="113"/>
    </row>
    <row r="2355" spans="1:10" s="4" customFormat="1" x14ac:dyDescent="0.25">
      <c r="A2355" s="114"/>
      <c r="D2355" s="113"/>
      <c r="E2355" s="113"/>
      <c r="F2355" s="114"/>
      <c r="G2355" s="113"/>
      <c r="H2355" s="113"/>
      <c r="J2355" s="113"/>
    </row>
    <row r="2356" spans="1:10" s="4" customFormat="1" x14ac:dyDescent="0.25">
      <c r="A2356" s="114"/>
      <c r="D2356" s="113"/>
      <c r="E2356" s="113"/>
      <c r="F2356" s="114"/>
      <c r="G2356" s="113"/>
      <c r="H2356" s="113"/>
      <c r="J2356" s="113"/>
    </row>
    <row r="2357" spans="1:10" s="4" customFormat="1" x14ac:dyDescent="0.25">
      <c r="A2357" s="114"/>
      <c r="D2357" s="113"/>
      <c r="E2357" s="113"/>
      <c r="F2357" s="114"/>
      <c r="G2357" s="113"/>
      <c r="H2357" s="113"/>
      <c r="J2357" s="113"/>
    </row>
    <row r="2358" spans="1:10" s="4" customFormat="1" x14ac:dyDescent="0.25">
      <c r="A2358" s="114"/>
      <c r="D2358" s="113"/>
      <c r="E2358" s="113"/>
      <c r="F2358" s="114"/>
      <c r="G2358" s="113"/>
      <c r="H2358" s="113"/>
      <c r="J2358" s="113"/>
    </row>
    <row r="2359" spans="1:10" s="4" customFormat="1" x14ac:dyDescent="0.25">
      <c r="A2359" s="114"/>
      <c r="D2359" s="113"/>
      <c r="E2359" s="113"/>
      <c r="F2359" s="114"/>
      <c r="G2359" s="113"/>
      <c r="H2359" s="113"/>
      <c r="J2359" s="113"/>
    </row>
    <row r="2360" spans="1:10" s="4" customFormat="1" x14ac:dyDescent="0.25">
      <c r="A2360" s="114"/>
      <c r="D2360" s="113"/>
      <c r="E2360" s="113"/>
      <c r="F2360" s="114"/>
      <c r="G2360" s="113"/>
      <c r="H2360" s="113"/>
      <c r="J2360" s="113"/>
    </row>
    <row r="2361" spans="1:10" s="4" customFormat="1" x14ac:dyDescent="0.25">
      <c r="A2361" s="114"/>
      <c r="D2361" s="113"/>
      <c r="E2361" s="113"/>
      <c r="F2361" s="114"/>
      <c r="G2361" s="113"/>
      <c r="H2361" s="113"/>
      <c r="J2361" s="113"/>
    </row>
    <row r="2362" spans="1:10" s="4" customFormat="1" x14ac:dyDescent="0.25">
      <c r="A2362" s="114"/>
      <c r="D2362" s="113"/>
      <c r="E2362" s="113"/>
      <c r="F2362" s="114"/>
      <c r="G2362" s="113"/>
      <c r="H2362" s="113"/>
      <c r="J2362" s="113"/>
    </row>
    <row r="2363" spans="1:10" s="4" customFormat="1" x14ac:dyDescent="0.25">
      <c r="A2363" s="114"/>
      <c r="D2363" s="113"/>
      <c r="E2363" s="113"/>
      <c r="F2363" s="114"/>
      <c r="G2363" s="113"/>
      <c r="H2363" s="113"/>
      <c r="J2363" s="113"/>
    </row>
    <row r="2364" spans="1:10" s="4" customFormat="1" x14ac:dyDescent="0.25">
      <c r="A2364" s="114"/>
      <c r="D2364" s="113"/>
      <c r="E2364" s="113"/>
      <c r="F2364" s="114"/>
      <c r="G2364" s="113"/>
      <c r="H2364" s="113"/>
      <c r="J2364" s="113"/>
    </row>
    <row r="2365" spans="1:10" s="4" customFormat="1" x14ac:dyDescent="0.25">
      <c r="A2365" s="114"/>
      <c r="D2365" s="113"/>
      <c r="E2365" s="113"/>
      <c r="F2365" s="114"/>
      <c r="G2365" s="113"/>
      <c r="H2365" s="113"/>
      <c r="J2365" s="113"/>
    </row>
    <row r="2366" spans="1:10" s="4" customFormat="1" x14ac:dyDescent="0.25">
      <c r="A2366" s="114"/>
      <c r="D2366" s="113"/>
      <c r="E2366" s="113"/>
      <c r="F2366" s="114"/>
      <c r="G2366" s="113"/>
      <c r="H2366" s="113"/>
      <c r="J2366" s="113"/>
    </row>
    <row r="2367" spans="1:10" s="4" customFormat="1" x14ac:dyDescent="0.25">
      <c r="A2367" s="114"/>
      <c r="D2367" s="113"/>
      <c r="E2367" s="113"/>
      <c r="F2367" s="114"/>
      <c r="G2367" s="113"/>
      <c r="H2367" s="113"/>
      <c r="J2367" s="113"/>
    </row>
    <row r="2368" spans="1:10" s="4" customFormat="1" x14ac:dyDescent="0.25">
      <c r="A2368" s="114"/>
      <c r="D2368" s="113"/>
      <c r="E2368" s="113"/>
      <c r="F2368" s="114"/>
      <c r="G2368" s="113"/>
      <c r="H2368" s="113"/>
      <c r="J2368" s="113"/>
    </row>
    <row r="2369" spans="1:10" s="4" customFormat="1" x14ac:dyDescent="0.25">
      <c r="A2369" s="114"/>
      <c r="D2369" s="113"/>
      <c r="E2369" s="113"/>
      <c r="F2369" s="114"/>
      <c r="G2369" s="113"/>
      <c r="H2369" s="113"/>
      <c r="J2369" s="113"/>
    </row>
    <row r="2370" spans="1:10" s="4" customFormat="1" x14ac:dyDescent="0.25">
      <c r="A2370" s="114"/>
      <c r="D2370" s="113"/>
      <c r="E2370" s="113"/>
      <c r="F2370" s="114"/>
      <c r="G2370" s="113"/>
      <c r="H2370" s="113"/>
      <c r="J2370" s="113"/>
    </row>
    <row r="2371" spans="1:10" s="4" customFormat="1" x14ac:dyDescent="0.25">
      <c r="A2371" s="114"/>
      <c r="D2371" s="113"/>
      <c r="E2371" s="113"/>
      <c r="F2371" s="114"/>
      <c r="G2371" s="113"/>
      <c r="H2371" s="113"/>
      <c r="J2371" s="113"/>
    </row>
    <row r="2372" spans="1:10" s="4" customFormat="1" x14ac:dyDescent="0.25">
      <c r="A2372" s="114"/>
      <c r="D2372" s="113"/>
      <c r="E2372" s="113"/>
      <c r="F2372" s="114"/>
      <c r="G2372" s="113"/>
      <c r="H2372" s="113"/>
      <c r="J2372" s="113"/>
    </row>
    <row r="2373" spans="1:10" s="4" customFormat="1" x14ac:dyDescent="0.25">
      <c r="A2373" s="114"/>
      <c r="D2373" s="113"/>
      <c r="E2373" s="113"/>
      <c r="F2373" s="114"/>
      <c r="G2373" s="113"/>
      <c r="H2373" s="113"/>
      <c r="J2373" s="113"/>
    </row>
    <row r="2374" spans="1:10" s="4" customFormat="1" x14ac:dyDescent="0.25">
      <c r="A2374" s="114"/>
      <c r="D2374" s="113"/>
      <c r="E2374" s="113"/>
      <c r="F2374" s="114"/>
      <c r="G2374" s="113"/>
      <c r="H2374" s="113"/>
      <c r="J2374" s="113"/>
    </row>
    <row r="2375" spans="1:10" s="4" customFormat="1" x14ac:dyDescent="0.25">
      <c r="A2375" s="114"/>
      <c r="D2375" s="113"/>
      <c r="E2375" s="113"/>
      <c r="F2375" s="114"/>
      <c r="G2375" s="113"/>
      <c r="H2375" s="113"/>
      <c r="J2375" s="113"/>
    </row>
    <row r="2376" spans="1:10" s="4" customFormat="1" x14ac:dyDescent="0.25">
      <c r="A2376" s="114"/>
      <c r="D2376" s="113"/>
      <c r="E2376" s="113"/>
      <c r="F2376" s="114"/>
      <c r="G2376" s="113"/>
      <c r="H2376" s="113"/>
      <c r="J2376" s="113"/>
    </row>
    <row r="2377" spans="1:10" s="4" customFormat="1" x14ac:dyDescent="0.25">
      <c r="A2377" s="114"/>
      <c r="D2377" s="113"/>
      <c r="E2377" s="113"/>
      <c r="F2377" s="114"/>
      <c r="G2377" s="113"/>
      <c r="H2377" s="113"/>
      <c r="J2377" s="113"/>
    </row>
    <row r="2378" spans="1:10" s="4" customFormat="1" x14ac:dyDescent="0.25">
      <c r="A2378" s="114"/>
      <c r="D2378" s="113"/>
      <c r="E2378" s="113"/>
      <c r="F2378" s="114"/>
      <c r="G2378" s="113"/>
      <c r="H2378" s="113"/>
      <c r="J2378" s="113"/>
    </row>
    <row r="2379" spans="1:10" s="4" customFormat="1" x14ac:dyDescent="0.25">
      <c r="A2379" s="114"/>
      <c r="D2379" s="113"/>
      <c r="E2379" s="113"/>
      <c r="F2379" s="114"/>
      <c r="G2379" s="113"/>
      <c r="H2379" s="113"/>
      <c r="J2379" s="113"/>
    </row>
    <row r="2380" spans="1:10" s="4" customFormat="1" x14ac:dyDescent="0.25">
      <c r="A2380" s="114"/>
      <c r="D2380" s="113"/>
      <c r="E2380" s="113"/>
      <c r="F2380" s="114"/>
      <c r="G2380" s="113"/>
      <c r="H2380" s="113"/>
      <c r="J2380" s="113"/>
    </row>
    <row r="2381" spans="1:10" s="4" customFormat="1" x14ac:dyDescent="0.25">
      <c r="A2381" s="114"/>
      <c r="D2381" s="113"/>
      <c r="E2381" s="113"/>
      <c r="F2381" s="114"/>
      <c r="G2381" s="113"/>
      <c r="H2381" s="113"/>
      <c r="J2381" s="113"/>
    </row>
    <row r="2382" spans="1:10" s="4" customFormat="1" x14ac:dyDescent="0.25">
      <c r="A2382" s="114"/>
      <c r="D2382" s="113"/>
      <c r="E2382" s="113"/>
      <c r="F2382" s="114"/>
      <c r="G2382" s="113"/>
      <c r="H2382" s="113"/>
      <c r="J2382" s="113"/>
    </row>
    <row r="2383" spans="1:10" s="4" customFormat="1" x14ac:dyDescent="0.25">
      <c r="A2383" s="114"/>
      <c r="D2383" s="113"/>
      <c r="E2383" s="113"/>
      <c r="F2383" s="114"/>
      <c r="G2383" s="113"/>
      <c r="H2383" s="113"/>
      <c r="J2383" s="113"/>
    </row>
    <row r="2384" spans="1:10" s="4" customFormat="1" x14ac:dyDescent="0.25">
      <c r="A2384" s="114"/>
      <c r="D2384" s="113"/>
      <c r="E2384" s="113"/>
      <c r="F2384" s="114"/>
      <c r="G2384" s="113"/>
      <c r="H2384" s="113"/>
      <c r="J2384" s="113"/>
    </row>
    <row r="2385" spans="1:10" s="4" customFormat="1" x14ac:dyDescent="0.25">
      <c r="A2385" s="114"/>
      <c r="D2385" s="113"/>
      <c r="E2385" s="113"/>
      <c r="F2385" s="114"/>
      <c r="G2385" s="113"/>
      <c r="H2385" s="113"/>
      <c r="J2385" s="113"/>
    </row>
    <row r="2386" spans="1:10" s="4" customFormat="1" x14ac:dyDescent="0.25">
      <c r="A2386" s="114"/>
      <c r="D2386" s="113"/>
      <c r="E2386" s="113"/>
      <c r="F2386" s="114"/>
      <c r="G2386" s="113"/>
      <c r="H2386" s="113"/>
      <c r="J2386" s="113"/>
    </row>
    <row r="2387" spans="1:10" s="4" customFormat="1" x14ac:dyDescent="0.25">
      <c r="A2387" s="114"/>
      <c r="D2387" s="113"/>
      <c r="E2387" s="113"/>
      <c r="F2387" s="114"/>
      <c r="G2387" s="113"/>
      <c r="H2387" s="113"/>
      <c r="J2387" s="113"/>
    </row>
    <row r="2388" spans="1:10" s="4" customFormat="1" x14ac:dyDescent="0.25">
      <c r="A2388" s="114"/>
      <c r="D2388" s="113"/>
      <c r="E2388" s="113"/>
      <c r="F2388" s="114"/>
      <c r="G2388" s="113"/>
      <c r="H2388" s="113"/>
      <c r="J2388" s="113"/>
    </row>
    <row r="2389" spans="1:10" s="4" customFormat="1" x14ac:dyDescent="0.25">
      <c r="A2389" s="114"/>
      <c r="D2389" s="113"/>
      <c r="E2389" s="113"/>
      <c r="F2389" s="114"/>
      <c r="G2389" s="113"/>
      <c r="H2389" s="113"/>
      <c r="J2389" s="113"/>
    </row>
    <row r="2390" spans="1:10" s="4" customFormat="1" x14ac:dyDescent="0.25">
      <c r="A2390" s="114"/>
      <c r="D2390" s="113"/>
      <c r="E2390" s="113"/>
      <c r="F2390" s="114"/>
      <c r="G2390" s="113"/>
      <c r="H2390" s="113"/>
      <c r="J2390" s="113"/>
    </row>
    <row r="2391" spans="1:10" s="4" customFormat="1" x14ac:dyDescent="0.25">
      <c r="A2391" s="114"/>
      <c r="D2391" s="113"/>
      <c r="E2391" s="113"/>
      <c r="F2391" s="114"/>
      <c r="G2391" s="113"/>
      <c r="H2391" s="113"/>
      <c r="J2391" s="113"/>
    </row>
    <row r="2392" spans="1:10" s="4" customFormat="1" x14ac:dyDescent="0.25">
      <c r="A2392" s="114"/>
      <c r="D2392" s="113"/>
      <c r="E2392" s="113"/>
      <c r="F2392" s="114"/>
      <c r="G2392" s="113"/>
      <c r="H2392" s="113"/>
      <c r="J2392" s="113"/>
    </row>
    <row r="2393" spans="1:10" s="4" customFormat="1" x14ac:dyDescent="0.25">
      <c r="A2393" s="114"/>
      <c r="D2393" s="113"/>
      <c r="E2393" s="113"/>
      <c r="F2393" s="114"/>
      <c r="G2393" s="113"/>
      <c r="H2393" s="113"/>
      <c r="J2393" s="113"/>
    </row>
    <row r="2394" spans="1:10" s="4" customFormat="1" x14ac:dyDescent="0.25">
      <c r="A2394" s="114"/>
      <c r="D2394" s="113"/>
      <c r="E2394" s="113"/>
      <c r="F2394" s="114"/>
      <c r="G2394" s="113"/>
      <c r="H2394" s="113"/>
      <c r="J2394" s="113"/>
    </row>
    <row r="2395" spans="1:10" s="4" customFormat="1" x14ac:dyDescent="0.25">
      <c r="A2395" s="114"/>
      <c r="D2395" s="113"/>
      <c r="E2395" s="113"/>
      <c r="F2395" s="114"/>
      <c r="G2395" s="113"/>
      <c r="H2395" s="113"/>
      <c r="J2395" s="113"/>
    </row>
    <row r="2396" spans="1:10" s="4" customFormat="1" x14ac:dyDescent="0.25">
      <c r="A2396" s="114"/>
      <c r="D2396" s="113"/>
      <c r="E2396" s="113"/>
      <c r="F2396" s="114"/>
      <c r="G2396" s="113"/>
      <c r="H2396" s="113"/>
      <c r="J2396" s="113"/>
    </row>
    <row r="2397" spans="1:10" s="4" customFormat="1" x14ac:dyDescent="0.25">
      <c r="A2397" s="114"/>
      <c r="D2397" s="113"/>
      <c r="E2397" s="113"/>
      <c r="F2397" s="114"/>
      <c r="G2397" s="113"/>
      <c r="H2397" s="113"/>
      <c r="J2397" s="113"/>
    </row>
    <row r="2398" spans="1:10" s="4" customFormat="1" x14ac:dyDescent="0.25">
      <c r="A2398" s="114"/>
      <c r="D2398" s="113"/>
      <c r="E2398" s="113"/>
      <c r="F2398" s="114"/>
      <c r="G2398" s="113"/>
      <c r="H2398" s="113"/>
      <c r="J2398" s="113"/>
    </row>
    <row r="2399" spans="1:10" s="4" customFormat="1" x14ac:dyDescent="0.25">
      <c r="A2399" s="114"/>
      <c r="D2399" s="113"/>
      <c r="E2399" s="113"/>
      <c r="F2399" s="114"/>
      <c r="G2399" s="113"/>
      <c r="H2399" s="113"/>
      <c r="J2399" s="113"/>
    </row>
    <row r="2400" spans="1:10" s="4" customFormat="1" x14ac:dyDescent="0.25">
      <c r="A2400" s="114"/>
      <c r="D2400" s="113"/>
      <c r="E2400" s="113"/>
      <c r="F2400" s="114"/>
      <c r="G2400" s="113"/>
      <c r="H2400" s="113"/>
      <c r="J2400" s="113"/>
    </row>
    <row r="2401" spans="1:10" s="4" customFormat="1" x14ac:dyDescent="0.25">
      <c r="A2401" s="114"/>
      <c r="D2401" s="113"/>
      <c r="E2401" s="113"/>
      <c r="F2401" s="114"/>
      <c r="G2401" s="113"/>
      <c r="H2401" s="113"/>
      <c r="J2401" s="113"/>
    </row>
    <row r="2402" spans="1:10" s="4" customFormat="1" x14ac:dyDescent="0.25">
      <c r="A2402" s="114"/>
      <c r="D2402" s="113"/>
      <c r="E2402" s="113"/>
      <c r="F2402" s="114"/>
      <c r="G2402" s="113"/>
      <c r="H2402" s="113"/>
      <c r="J2402" s="113"/>
    </row>
    <row r="2403" spans="1:10" s="4" customFormat="1" x14ac:dyDescent="0.25">
      <c r="A2403" s="114"/>
      <c r="D2403" s="113"/>
      <c r="E2403" s="113"/>
      <c r="F2403" s="114"/>
      <c r="G2403" s="113"/>
      <c r="H2403" s="113"/>
      <c r="J2403" s="113"/>
    </row>
    <row r="2404" spans="1:10" s="4" customFormat="1" x14ac:dyDescent="0.25">
      <c r="A2404" s="114"/>
      <c r="D2404" s="113"/>
      <c r="E2404" s="113"/>
      <c r="F2404" s="114"/>
      <c r="G2404" s="113"/>
      <c r="H2404" s="113"/>
      <c r="J2404" s="113"/>
    </row>
    <row r="2405" spans="1:10" s="4" customFormat="1" x14ac:dyDescent="0.25">
      <c r="A2405" s="114"/>
      <c r="D2405" s="113"/>
      <c r="E2405" s="113"/>
      <c r="F2405" s="114"/>
      <c r="G2405" s="113"/>
      <c r="H2405" s="113"/>
      <c r="J2405" s="113"/>
    </row>
    <row r="2406" spans="1:10" s="4" customFormat="1" x14ac:dyDescent="0.25">
      <c r="A2406" s="114"/>
      <c r="D2406" s="113"/>
      <c r="E2406" s="113"/>
      <c r="F2406" s="114"/>
      <c r="G2406" s="113"/>
      <c r="H2406" s="113"/>
      <c r="J2406" s="113"/>
    </row>
    <row r="2407" spans="1:10" s="4" customFormat="1" x14ac:dyDescent="0.25">
      <c r="A2407" s="114"/>
      <c r="D2407" s="113"/>
      <c r="E2407" s="113"/>
      <c r="F2407" s="114"/>
      <c r="G2407" s="113"/>
      <c r="H2407" s="113"/>
      <c r="J2407" s="113"/>
    </row>
    <row r="2408" spans="1:10" s="4" customFormat="1" x14ac:dyDescent="0.25">
      <c r="A2408" s="114"/>
      <c r="D2408" s="113"/>
      <c r="E2408" s="113"/>
      <c r="F2408" s="114"/>
      <c r="G2408" s="113"/>
      <c r="H2408" s="113"/>
      <c r="J2408" s="113"/>
    </row>
    <row r="2409" spans="1:10" s="4" customFormat="1" x14ac:dyDescent="0.25">
      <c r="A2409" s="114"/>
      <c r="D2409" s="113"/>
      <c r="E2409" s="113"/>
      <c r="F2409" s="114"/>
      <c r="G2409" s="113"/>
      <c r="H2409" s="113"/>
      <c r="J2409" s="113"/>
    </row>
    <row r="2410" spans="1:10" s="4" customFormat="1" x14ac:dyDescent="0.25">
      <c r="A2410" s="114"/>
      <c r="D2410" s="113"/>
      <c r="E2410" s="113"/>
      <c r="F2410" s="114"/>
      <c r="G2410" s="113"/>
      <c r="H2410" s="113"/>
      <c r="J2410" s="113"/>
    </row>
    <row r="2411" spans="1:10" s="4" customFormat="1" x14ac:dyDescent="0.25">
      <c r="A2411" s="114"/>
      <c r="D2411" s="113"/>
      <c r="E2411" s="113"/>
      <c r="F2411" s="114"/>
      <c r="G2411" s="113"/>
      <c r="H2411" s="113"/>
      <c r="J2411" s="113"/>
    </row>
    <row r="2412" spans="1:10" s="4" customFormat="1" x14ac:dyDescent="0.25">
      <c r="A2412" s="114"/>
      <c r="D2412" s="113"/>
      <c r="E2412" s="113"/>
      <c r="F2412" s="114"/>
      <c r="G2412" s="113"/>
      <c r="H2412" s="113"/>
      <c r="J2412" s="113"/>
    </row>
    <row r="2413" spans="1:10" s="4" customFormat="1" x14ac:dyDescent="0.25">
      <c r="A2413" s="114"/>
      <c r="D2413" s="113"/>
      <c r="E2413" s="113"/>
      <c r="F2413" s="114"/>
      <c r="G2413" s="113"/>
      <c r="H2413" s="113"/>
      <c r="J2413" s="113"/>
    </row>
    <row r="2414" spans="1:10" s="4" customFormat="1" x14ac:dyDescent="0.25">
      <c r="A2414" s="114"/>
      <c r="D2414" s="113"/>
      <c r="E2414" s="113"/>
      <c r="F2414" s="114"/>
      <c r="G2414" s="113"/>
      <c r="H2414" s="113"/>
      <c r="J2414" s="113"/>
    </row>
    <row r="2415" spans="1:10" s="4" customFormat="1" x14ac:dyDescent="0.25">
      <c r="A2415" s="114"/>
      <c r="D2415" s="113"/>
      <c r="E2415" s="113"/>
      <c r="F2415" s="114"/>
      <c r="G2415" s="113"/>
      <c r="H2415" s="113"/>
      <c r="J2415" s="113"/>
    </row>
    <row r="2416" spans="1:10" s="4" customFormat="1" x14ac:dyDescent="0.25">
      <c r="A2416" s="114"/>
      <c r="D2416" s="113"/>
      <c r="E2416" s="113"/>
      <c r="F2416" s="114"/>
      <c r="G2416" s="113"/>
      <c r="H2416" s="113"/>
      <c r="J2416" s="113"/>
    </row>
    <row r="2417" spans="1:10" s="4" customFormat="1" x14ac:dyDescent="0.25">
      <c r="A2417" s="114"/>
      <c r="D2417" s="113"/>
      <c r="E2417" s="113"/>
      <c r="F2417" s="114"/>
      <c r="G2417" s="113"/>
      <c r="H2417" s="113"/>
      <c r="J2417" s="113"/>
    </row>
    <row r="2418" spans="1:10" s="4" customFormat="1" x14ac:dyDescent="0.25">
      <c r="A2418" s="114"/>
      <c r="D2418" s="113"/>
      <c r="E2418" s="113"/>
      <c r="F2418" s="114"/>
      <c r="G2418" s="113"/>
      <c r="H2418" s="113"/>
      <c r="J2418" s="113"/>
    </row>
    <row r="2419" spans="1:10" s="4" customFormat="1" x14ac:dyDescent="0.25">
      <c r="A2419" s="114"/>
      <c r="D2419" s="113"/>
      <c r="E2419" s="113"/>
      <c r="F2419" s="114"/>
      <c r="G2419" s="113"/>
      <c r="H2419" s="113"/>
      <c r="J2419" s="113"/>
    </row>
    <row r="2420" spans="1:10" s="4" customFormat="1" x14ac:dyDescent="0.25">
      <c r="A2420" s="114"/>
      <c r="D2420" s="113"/>
      <c r="E2420" s="113"/>
      <c r="F2420" s="114"/>
      <c r="G2420" s="113"/>
      <c r="H2420" s="113"/>
      <c r="J2420" s="113"/>
    </row>
    <row r="2421" spans="1:10" s="4" customFormat="1" x14ac:dyDescent="0.25">
      <c r="A2421" s="114"/>
      <c r="D2421" s="113"/>
      <c r="E2421" s="113"/>
      <c r="F2421" s="114"/>
      <c r="G2421" s="113"/>
      <c r="H2421" s="113"/>
      <c r="J2421" s="113"/>
    </row>
    <row r="2422" spans="1:10" s="4" customFormat="1" x14ac:dyDescent="0.25">
      <c r="A2422" s="114"/>
      <c r="D2422" s="113"/>
      <c r="E2422" s="113"/>
      <c r="F2422" s="114"/>
      <c r="G2422" s="113"/>
      <c r="H2422" s="113"/>
      <c r="J2422" s="113"/>
    </row>
    <row r="2423" spans="1:10" s="4" customFormat="1" x14ac:dyDescent="0.25">
      <c r="A2423" s="114"/>
      <c r="D2423" s="113"/>
      <c r="E2423" s="113"/>
      <c r="F2423" s="114"/>
      <c r="G2423" s="113"/>
      <c r="H2423" s="113"/>
      <c r="J2423" s="113"/>
    </row>
    <row r="2424" spans="1:10" s="4" customFormat="1" x14ac:dyDescent="0.25">
      <c r="A2424" s="114"/>
      <c r="D2424" s="113"/>
      <c r="E2424" s="113"/>
      <c r="F2424" s="114"/>
      <c r="G2424" s="113"/>
      <c r="H2424" s="113"/>
      <c r="J2424" s="113"/>
    </row>
    <row r="2425" spans="1:10" s="4" customFormat="1" x14ac:dyDescent="0.25">
      <c r="A2425" s="114"/>
      <c r="D2425" s="113"/>
      <c r="E2425" s="113"/>
      <c r="F2425" s="114"/>
      <c r="G2425" s="113"/>
      <c r="H2425" s="113"/>
      <c r="J2425" s="113"/>
    </row>
    <row r="2426" spans="1:10" s="4" customFormat="1" x14ac:dyDescent="0.25">
      <c r="A2426" s="114"/>
      <c r="D2426" s="113"/>
      <c r="E2426" s="113"/>
      <c r="F2426" s="114"/>
      <c r="G2426" s="113"/>
      <c r="H2426" s="113"/>
      <c r="J2426" s="113"/>
    </row>
    <row r="2427" spans="1:10" s="4" customFormat="1" x14ac:dyDescent="0.25">
      <c r="A2427" s="114"/>
      <c r="D2427" s="113"/>
      <c r="E2427" s="113"/>
      <c r="F2427" s="114"/>
      <c r="G2427" s="113"/>
      <c r="H2427" s="113"/>
      <c r="J2427" s="113"/>
    </row>
    <row r="2428" spans="1:10" s="4" customFormat="1" x14ac:dyDescent="0.25">
      <c r="A2428" s="114"/>
      <c r="D2428" s="113"/>
      <c r="E2428" s="113"/>
      <c r="F2428" s="114"/>
      <c r="G2428" s="113"/>
      <c r="H2428" s="113"/>
      <c r="J2428" s="113"/>
    </row>
    <row r="2429" spans="1:10" s="4" customFormat="1" x14ac:dyDescent="0.25">
      <c r="A2429" s="114"/>
      <c r="D2429" s="113"/>
      <c r="E2429" s="113"/>
      <c r="F2429" s="114"/>
      <c r="G2429" s="113"/>
      <c r="H2429" s="113"/>
      <c r="J2429" s="113"/>
    </row>
    <row r="2430" spans="1:10" s="4" customFormat="1" x14ac:dyDescent="0.25">
      <c r="A2430" s="114"/>
      <c r="D2430" s="113"/>
      <c r="E2430" s="113"/>
      <c r="F2430" s="114"/>
      <c r="G2430" s="113"/>
      <c r="H2430" s="113"/>
      <c r="J2430" s="113"/>
    </row>
    <row r="2431" spans="1:10" s="4" customFormat="1" x14ac:dyDescent="0.25">
      <c r="A2431" s="114"/>
      <c r="D2431" s="113"/>
      <c r="E2431" s="113"/>
      <c r="F2431" s="114"/>
      <c r="G2431" s="113"/>
      <c r="H2431" s="113"/>
      <c r="J2431" s="113"/>
    </row>
    <row r="2432" spans="1:10" s="4" customFormat="1" x14ac:dyDescent="0.25">
      <c r="A2432" s="114"/>
      <c r="D2432" s="113"/>
      <c r="E2432" s="113"/>
      <c r="F2432" s="114"/>
      <c r="G2432" s="113"/>
      <c r="H2432" s="113"/>
      <c r="J2432" s="113"/>
    </row>
    <row r="2433" spans="1:10" s="4" customFormat="1" x14ac:dyDescent="0.25">
      <c r="A2433" s="114"/>
      <c r="D2433" s="113"/>
      <c r="E2433" s="113"/>
      <c r="F2433" s="114"/>
      <c r="G2433" s="113"/>
      <c r="H2433" s="113"/>
      <c r="J2433" s="113"/>
    </row>
    <row r="2434" spans="1:10" s="4" customFormat="1" x14ac:dyDescent="0.25">
      <c r="A2434" s="114"/>
      <c r="D2434" s="113"/>
      <c r="E2434" s="113"/>
      <c r="F2434" s="114"/>
      <c r="G2434" s="113"/>
      <c r="H2434" s="113"/>
      <c r="J2434" s="113"/>
    </row>
    <row r="2435" spans="1:10" s="4" customFormat="1" x14ac:dyDescent="0.25">
      <c r="A2435" s="114"/>
      <c r="D2435" s="113"/>
      <c r="E2435" s="113"/>
      <c r="F2435" s="114"/>
      <c r="G2435" s="113"/>
      <c r="H2435" s="113"/>
      <c r="J2435" s="113"/>
    </row>
    <row r="2436" spans="1:10" s="4" customFormat="1" x14ac:dyDescent="0.25">
      <c r="A2436" s="114"/>
      <c r="D2436" s="113"/>
      <c r="E2436" s="113"/>
      <c r="F2436" s="114"/>
      <c r="G2436" s="113"/>
      <c r="H2436" s="113"/>
      <c r="J2436" s="113"/>
    </row>
    <row r="2437" spans="1:10" s="4" customFormat="1" x14ac:dyDescent="0.25">
      <c r="A2437" s="114"/>
      <c r="D2437" s="113"/>
      <c r="E2437" s="113"/>
      <c r="F2437" s="114"/>
      <c r="G2437" s="113"/>
      <c r="H2437" s="113"/>
      <c r="J2437" s="113"/>
    </row>
    <row r="2438" spans="1:10" s="4" customFormat="1" x14ac:dyDescent="0.25">
      <c r="A2438" s="114"/>
      <c r="D2438" s="113"/>
      <c r="E2438" s="113"/>
      <c r="F2438" s="114"/>
      <c r="G2438" s="113"/>
      <c r="H2438" s="113"/>
      <c r="J2438" s="113"/>
    </row>
    <row r="2439" spans="1:10" s="4" customFormat="1" x14ac:dyDescent="0.25">
      <c r="A2439" s="114"/>
      <c r="D2439" s="113"/>
      <c r="E2439" s="113"/>
      <c r="F2439" s="114"/>
      <c r="G2439" s="113"/>
      <c r="H2439" s="113"/>
      <c r="J2439" s="113"/>
    </row>
    <row r="2440" spans="1:10" s="4" customFormat="1" x14ac:dyDescent="0.25">
      <c r="A2440" s="114"/>
      <c r="D2440" s="113"/>
      <c r="E2440" s="113"/>
      <c r="F2440" s="114"/>
      <c r="G2440" s="113"/>
      <c r="H2440" s="113"/>
      <c r="J2440" s="113"/>
    </row>
    <row r="2441" spans="1:10" s="4" customFormat="1" x14ac:dyDescent="0.25">
      <c r="A2441" s="114"/>
      <c r="D2441" s="113"/>
      <c r="E2441" s="113"/>
      <c r="F2441" s="114"/>
      <c r="G2441" s="113"/>
      <c r="H2441" s="113"/>
      <c r="J2441" s="113"/>
    </row>
    <row r="2442" spans="1:10" s="4" customFormat="1" x14ac:dyDescent="0.25">
      <c r="A2442" s="114"/>
      <c r="D2442" s="113"/>
      <c r="E2442" s="113"/>
      <c r="F2442" s="114"/>
      <c r="G2442" s="113"/>
      <c r="H2442" s="113"/>
      <c r="J2442" s="113"/>
    </row>
    <row r="2443" spans="1:10" s="4" customFormat="1" x14ac:dyDescent="0.25">
      <c r="A2443" s="114"/>
      <c r="D2443" s="113"/>
      <c r="E2443" s="113"/>
      <c r="F2443" s="114"/>
      <c r="G2443" s="113"/>
      <c r="H2443" s="113"/>
      <c r="J2443" s="113"/>
    </row>
    <row r="2444" spans="1:10" s="4" customFormat="1" x14ac:dyDescent="0.25">
      <c r="A2444" s="114"/>
      <c r="D2444" s="113"/>
      <c r="E2444" s="113"/>
      <c r="F2444" s="114"/>
      <c r="G2444" s="113"/>
      <c r="H2444" s="113"/>
      <c r="J2444" s="113"/>
    </row>
    <row r="2445" spans="1:10" s="4" customFormat="1" x14ac:dyDescent="0.25">
      <c r="A2445" s="114"/>
      <c r="D2445" s="113"/>
      <c r="E2445" s="113"/>
      <c r="F2445" s="114"/>
      <c r="G2445" s="113"/>
      <c r="H2445" s="113"/>
      <c r="J2445" s="113"/>
    </row>
    <row r="2446" spans="1:10" s="4" customFormat="1" x14ac:dyDescent="0.25">
      <c r="A2446" s="114"/>
      <c r="D2446" s="113"/>
      <c r="E2446" s="113"/>
      <c r="F2446" s="114"/>
      <c r="G2446" s="113"/>
      <c r="H2446" s="113"/>
      <c r="J2446" s="113"/>
    </row>
    <row r="2447" spans="1:10" s="4" customFormat="1" x14ac:dyDescent="0.25">
      <c r="A2447" s="114"/>
      <c r="D2447" s="113"/>
      <c r="E2447" s="113"/>
      <c r="F2447" s="114"/>
      <c r="G2447" s="113"/>
      <c r="H2447" s="113"/>
      <c r="J2447" s="113"/>
    </row>
    <row r="2448" spans="1:10" s="4" customFormat="1" x14ac:dyDescent="0.25">
      <c r="A2448" s="114"/>
      <c r="D2448" s="113"/>
      <c r="E2448" s="113"/>
      <c r="F2448" s="114"/>
      <c r="G2448" s="113"/>
      <c r="H2448" s="113"/>
      <c r="J2448" s="113"/>
    </row>
    <row r="2449" spans="1:10" s="4" customFormat="1" x14ac:dyDescent="0.25">
      <c r="A2449" s="114"/>
      <c r="D2449" s="113"/>
      <c r="E2449" s="113"/>
      <c r="F2449" s="114"/>
      <c r="G2449" s="113"/>
      <c r="H2449" s="113"/>
      <c r="J2449" s="113"/>
    </row>
    <row r="2450" spans="1:10" s="4" customFormat="1" x14ac:dyDescent="0.25">
      <c r="A2450" s="114"/>
      <c r="D2450" s="113"/>
      <c r="E2450" s="113"/>
      <c r="F2450" s="114"/>
      <c r="G2450" s="113"/>
      <c r="H2450" s="113"/>
      <c r="J2450" s="113"/>
    </row>
    <row r="2451" spans="1:10" s="4" customFormat="1" x14ac:dyDescent="0.25">
      <c r="A2451" s="114"/>
      <c r="D2451" s="113"/>
      <c r="E2451" s="113"/>
      <c r="F2451" s="114"/>
      <c r="G2451" s="113"/>
      <c r="H2451" s="113"/>
      <c r="J2451" s="113"/>
    </row>
    <row r="2452" spans="1:10" s="4" customFormat="1" x14ac:dyDescent="0.25">
      <c r="A2452" s="114"/>
      <c r="D2452" s="113"/>
      <c r="E2452" s="113"/>
      <c r="F2452" s="114"/>
      <c r="G2452" s="113"/>
      <c r="H2452" s="113"/>
      <c r="J2452" s="113"/>
    </row>
    <row r="2453" spans="1:10" s="4" customFormat="1" x14ac:dyDescent="0.25">
      <c r="A2453" s="114"/>
      <c r="D2453" s="113"/>
      <c r="E2453" s="113"/>
      <c r="F2453" s="114"/>
      <c r="G2453" s="113"/>
      <c r="H2453" s="113"/>
      <c r="J2453" s="113"/>
    </row>
    <row r="2454" spans="1:10" s="4" customFormat="1" x14ac:dyDescent="0.25">
      <c r="A2454" s="114"/>
      <c r="D2454" s="113"/>
      <c r="E2454" s="113"/>
      <c r="F2454" s="114"/>
      <c r="G2454" s="113"/>
      <c r="H2454" s="113"/>
      <c r="J2454" s="113"/>
    </row>
    <row r="2455" spans="1:10" s="4" customFormat="1" x14ac:dyDescent="0.25">
      <c r="A2455" s="114"/>
      <c r="D2455" s="113"/>
      <c r="E2455" s="113"/>
      <c r="F2455" s="114"/>
      <c r="G2455" s="113"/>
      <c r="H2455" s="113"/>
      <c r="J2455" s="113"/>
    </row>
    <row r="2456" spans="1:10" s="4" customFormat="1" x14ac:dyDescent="0.25">
      <c r="A2456" s="114"/>
      <c r="D2456" s="113"/>
      <c r="E2456" s="113"/>
      <c r="F2456" s="114"/>
      <c r="G2456" s="113"/>
      <c r="H2456" s="113"/>
      <c r="J2456" s="113"/>
    </row>
    <row r="2457" spans="1:10" s="4" customFormat="1" x14ac:dyDescent="0.25">
      <c r="A2457" s="114"/>
      <c r="D2457" s="113"/>
      <c r="E2457" s="113"/>
      <c r="F2457" s="114"/>
      <c r="G2457" s="113"/>
      <c r="H2457" s="113"/>
      <c r="J2457" s="113"/>
    </row>
    <row r="2458" spans="1:10" s="4" customFormat="1" x14ac:dyDescent="0.25">
      <c r="A2458" s="114"/>
      <c r="D2458" s="113"/>
      <c r="E2458" s="113"/>
      <c r="F2458" s="114"/>
      <c r="G2458" s="113"/>
      <c r="H2458" s="113"/>
      <c r="J2458" s="113"/>
    </row>
    <row r="2459" spans="1:10" s="4" customFormat="1" x14ac:dyDescent="0.25">
      <c r="A2459" s="114"/>
      <c r="D2459" s="113"/>
      <c r="E2459" s="113"/>
      <c r="F2459" s="114"/>
      <c r="G2459" s="113"/>
      <c r="H2459" s="113"/>
      <c r="J2459" s="113"/>
    </row>
    <row r="2460" spans="1:10" s="4" customFormat="1" x14ac:dyDescent="0.25">
      <c r="A2460" s="114"/>
      <c r="D2460" s="113"/>
      <c r="E2460" s="113"/>
      <c r="F2460" s="114"/>
      <c r="G2460" s="113"/>
      <c r="H2460" s="113"/>
      <c r="J2460" s="113"/>
    </row>
    <row r="2461" spans="1:10" s="4" customFormat="1" x14ac:dyDescent="0.25">
      <c r="A2461" s="114"/>
      <c r="D2461" s="113"/>
      <c r="E2461" s="113"/>
      <c r="F2461" s="114"/>
      <c r="G2461" s="113"/>
      <c r="H2461" s="113"/>
      <c r="J2461" s="113"/>
    </row>
    <row r="2462" spans="1:10" s="4" customFormat="1" x14ac:dyDescent="0.25">
      <c r="A2462" s="114"/>
      <c r="D2462" s="113"/>
      <c r="E2462" s="113"/>
      <c r="F2462" s="114"/>
      <c r="G2462" s="113"/>
      <c r="H2462" s="113"/>
      <c r="J2462" s="113"/>
    </row>
    <row r="2463" spans="1:10" s="4" customFormat="1" x14ac:dyDescent="0.25">
      <c r="A2463" s="114"/>
      <c r="D2463" s="113"/>
      <c r="E2463" s="113"/>
      <c r="F2463" s="114"/>
      <c r="G2463" s="113"/>
      <c r="H2463" s="113"/>
      <c r="J2463" s="113"/>
    </row>
    <row r="2464" spans="1:10" s="4" customFormat="1" x14ac:dyDescent="0.25">
      <c r="A2464" s="114"/>
      <c r="D2464" s="113"/>
      <c r="E2464" s="113"/>
      <c r="F2464" s="114"/>
      <c r="G2464" s="113"/>
      <c r="H2464" s="113"/>
      <c r="J2464" s="113"/>
    </row>
    <row r="2465" spans="1:10" s="4" customFormat="1" x14ac:dyDescent="0.25">
      <c r="A2465" s="114"/>
      <c r="D2465" s="113"/>
      <c r="E2465" s="113"/>
      <c r="F2465" s="114"/>
      <c r="G2465" s="113"/>
      <c r="H2465" s="113"/>
      <c r="J2465" s="113"/>
    </row>
    <row r="2466" spans="1:10" s="4" customFormat="1" x14ac:dyDescent="0.25">
      <c r="A2466" s="114"/>
      <c r="D2466" s="113"/>
      <c r="E2466" s="113"/>
      <c r="F2466" s="114"/>
      <c r="G2466" s="113"/>
      <c r="H2466" s="113"/>
      <c r="J2466" s="113"/>
    </row>
    <row r="2467" spans="1:10" s="4" customFormat="1" x14ac:dyDescent="0.25">
      <c r="A2467" s="114"/>
      <c r="D2467" s="113"/>
      <c r="E2467" s="113"/>
      <c r="F2467" s="114"/>
      <c r="G2467" s="113"/>
      <c r="H2467" s="113"/>
      <c r="J2467" s="113"/>
    </row>
    <row r="2468" spans="1:10" s="4" customFormat="1" x14ac:dyDescent="0.25">
      <c r="A2468" s="114"/>
      <c r="D2468" s="113"/>
      <c r="E2468" s="113"/>
      <c r="F2468" s="114"/>
      <c r="G2468" s="113"/>
      <c r="H2468" s="113"/>
      <c r="J2468" s="113"/>
    </row>
    <row r="2469" spans="1:10" s="4" customFormat="1" x14ac:dyDescent="0.25">
      <c r="A2469" s="114"/>
      <c r="D2469" s="113"/>
      <c r="E2469" s="113"/>
      <c r="F2469" s="114"/>
      <c r="G2469" s="113"/>
      <c r="H2469" s="113"/>
      <c r="J2469" s="113"/>
    </row>
    <row r="2470" spans="1:10" s="4" customFormat="1" x14ac:dyDescent="0.25">
      <c r="A2470" s="114"/>
      <c r="D2470" s="113"/>
      <c r="E2470" s="113"/>
      <c r="F2470" s="114"/>
      <c r="G2470" s="113"/>
      <c r="H2470" s="113"/>
      <c r="J2470" s="113"/>
    </row>
    <row r="2471" spans="1:10" s="4" customFormat="1" x14ac:dyDescent="0.25">
      <c r="A2471" s="114"/>
      <c r="D2471" s="113"/>
      <c r="E2471" s="113"/>
      <c r="F2471" s="114"/>
      <c r="G2471" s="113"/>
      <c r="H2471" s="113"/>
      <c r="J2471" s="113"/>
    </row>
    <row r="2472" spans="1:10" s="4" customFormat="1" x14ac:dyDescent="0.25">
      <c r="A2472" s="114"/>
      <c r="D2472" s="113"/>
      <c r="E2472" s="113"/>
      <c r="F2472" s="114"/>
      <c r="G2472" s="113"/>
      <c r="H2472" s="113"/>
      <c r="J2472" s="113"/>
    </row>
    <row r="2473" spans="1:10" s="4" customFormat="1" x14ac:dyDescent="0.25">
      <c r="A2473" s="114"/>
      <c r="D2473" s="113"/>
      <c r="E2473" s="113"/>
      <c r="F2473" s="114"/>
      <c r="G2473" s="113"/>
      <c r="H2473" s="113"/>
      <c r="J2473" s="113"/>
    </row>
    <row r="2474" spans="1:10" s="4" customFormat="1" x14ac:dyDescent="0.25">
      <c r="A2474" s="114"/>
      <c r="D2474" s="113"/>
      <c r="E2474" s="113"/>
      <c r="F2474" s="114"/>
      <c r="G2474" s="113"/>
      <c r="H2474" s="113"/>
      <c r="J2474" s="113"/>
    </row>
    <row r="2475" spans="1:10" s="4" customFormat="1" x14ac:dyDescent="0.25">
      <c r="A2475" s="114"/>
      <c r="D2475" s="113"/>
      <c r="E2475" s="113"/>
      <c r="F2475" s="114"/>
      <c r="G2475" s="113"/>
      <c r="H2475" s="113"/>
      <c r="J2475" s="113"/>
    </row>
    <row r="2476" spans="1:10" s="4" customFormat="1" x14ac:dyDescent="0.25">
      <c r="A2476" s="114"/>
      <c r="D2476" s="113"/>
      <c r="E2476" s="113"/>
      <c r="F2476" s="114"/>
      <c r="G2476" s="113"/>
      <c r="H2476" s="113"/>
      <c r="J2476" s="113"/>
    </row>
    <row r="2477" spans="1:10" s="4" customFormat="1" x14ac:dyDescent="0.25">
      <c r="A2477" s="114"/>
      <c r="D2477" s="113"/>
      <c r="E2477" s="113"/>
      <c r="F2477" s="114"/>
      <c r="G2477" s="113"/>
      <c r="H2477" s="113"/>
      <c r="J2477" s="113"/>
    </row>
    <row r="2478" spans="1:10" s="4" customFormat="1" x14ac:dyDescent="0.25">
      <c r="A2478" s="114"/>
      <c r="D2478" s="113"/>
      <c r="E2478" s="113"/>
      <c r="F2478" s="114"/>
      <c r="G2478" s="113"/>
      <c r="H2478" s="113"/>
      <c r="J2478" s="113"/>
    </row>
    <row r="2479" spans="1:10" s="4" customFormat="1" x14ac:dyDescent="0.25">
      <c r="A2479" s="114"/>
      <c r="D2479" s="113"/>
      <c r="E2479" s="113"/>
      <c r="F2479" s="114"/>
      <c r="G2479" s="113"/>
      <c r="H2479" s="113"/>
      <c r="J2479" s="113"/>
    </row>
    <row r="2480" spans="1:10" s="4" customFormat="1" x14ac:dyDescent="0.25">
      <c r="A2480" s="114"/>
      <c r="D2480" s="113"/>
      <c r="E2480" s="113"/>
      <c r="F2480" s="114"/>
      <c r="G2480" s="113"/>
      <c r="H2480" s="113"/>
      <c r="J2480" s="113"/>
    </row>
    <row r="2481" spans="1:10" s="4" customFormat="1" x14ac:dyDescent="0.25">
      <c r="A2481" s="114"/>
      <c r="D2481" s="113"/>
      <c r="E2481" s="113"/>
      <c r="F2481" s="114"/>
      <c r="G2481" s="113"/>
      <c r="H2481" s="113"/>
      <c r="J2481" s="113"/>
    </row>
    <row r="2482" spans="1:10" s="4" customFormat="1" x14ac:dyDescent="0.25">
      <c r="A2482" s="114"/>
      <c r="D2482" s="113"/>
      <c r="E2482" s="113"/>
      <c r="F2482" s="114"/>
      <c r="G2482" s="113"/>
      <c r="H2482" s="113"/>
      <c r="J2482" s="113"/>
    </row>
    <row r="2483" spans="1:10" s="4" customFormat="1" x14ac:dyDescent="0.25">
      <c r="A2483" s="114"/>
      <c r="D2483" s="113"/>
      <c r="E2483" s="113"/>
      <c r="F2483" s="114"/>
      <c r="G2483" s="113"/>
      <c r="H2483" s="113"/>
      <c r="J2483" s="113"/>
    </row>
    <row r="2484" spans="1:10" s="4" customFormat="1" x14ac:dyDescent="0.25">
      <c r="A2484" s="114"/>
      <c r="D2484" s="113"/>
      <c r="E2484" s="113"/>
      <c r="F2484" s="114"/>
      <c r="G2484" s="113"/>
      <c r="H2484" s="113"/>
      <c r="J2484" s="113"/>
    </row>
    <row r="2485" spans="1:10" s="4" customFormat="1" x14ac:dyDescent="0.25">
      <c r="A2485" s="114"/>
      <c r="D2485" s="113"/>
      <c r="E2485" s="113"/>
      <c r="F2485" s="114"/>
      <c r="G2485" s="113"/>
      <c r="H2485" s="113"/>
      <c r="J2485" s="113"/>
    </row>
    <row r="2486" spans="1:10" s="4" customFormat="1" x14ac:dyDescent="0.25">
      <c r="A2486" s="114"/>
      <c r="D2486" s="113"/>
      <c r="E2486" s="113"/>
      <c r="F2486" s="114"/>
      <c r="G2486" s="113"/>
      <c r="H2486" s="113"/>
      <c r="J2486" s="113"/>
    </row>
    <row r="2487" spans="1:10" s="4" customFormat="1" x14ac:dyDescent="0.25">
      <c r="A2487" s="114"/>
      <c r="D2487" s="113"/>
      <c r="E2487" s="113"/>
      <c r="F2487" s="114"/>
      <c r="G2487" s="113"/>
      <c r="H2487" s="113"/>
      <c r="J2487" s="113"/>
    </row>
    <row r="2488" spans="1:10" s="4" customFormat="1" x14ac:dyDescent="0.25">
      <c r="A2488" s="114"/>
      <c r="D2488" s="113"/>
      <c r="E2488" s="113"/>
      <c r="F2488" s="114"/>
      <c r="G2488" s="113"/>
      <c r="H2488" s="113"/>
      <c r="J2488" s="113"/>
    </row>
    <row r="2489" spans="1:10" s="4" customFormat="1" x14ac:dyDescent="0.25">
      <c r="A2489" s="114"/>
      <c r="D2489" s="113"/>
      <c r="E2489" s="113"/>
      <c r="F2489" s="114"/>
      <c r="G2489" s="113"/>
      <c r="H2489" s="113"/>
      <c r="J2489" s="113"/>
    </row>
    <row r="2490" spans="1:10" s="4" customFormat="1" x14ac:dyDescent="0.25">
      <c r="A2490" s="114"/>
      <c r="D2490" s="113"/>
      <c r="E2490" s="113"/>
      <c r="F2490" s="114"/>
      <c r="G2490" s="113"/>
      <c r="H2490" s="113"/>
      <c r="J2490" s="113"/>
    </row>
    <row r="2491" spans="1:10" s="4" customFormat="1" x14ac:dyDescent="0.25">
      <c r="A2491" s="114"/>
      <c r="D2491" s="113"/>
      <c r="E2491" s="113"/>
      <c r="F2491" s="114"/>
      <c r="G2491" s="113"/>
      <c r="H2491" s="113"/>
      <c r="J2491" s="113"/>
    </row>
    <row r="2492" spans="1:10" s="4" customFormat="1" x14ac:dyDescent="0.25">
      <c r="A2492" s="114"/>
      <c r="D2492" s="113"/>
      <c r="E2492" s="113"/>
      <c r="F2492" s="114"/>
      <c r="G2492" s="113"/>
      <c r="H2492" s="113"/>
      <c r="J2492" s="113"/>
    </row>
    <row r="2493" spans="1:10" s="4" customFormat="1" x14ac:dyDescent="0.25">
      <c r="A2493" s="114"/>
      <c r="D2493" s="113"/>
      <c r="E2493" s="113"/>
      <c r="F2493" s="114"/>
      <c r="G2493" s="113"/>
      <c r="H2493" s="113"/>
      <c r="J2493" s="113"/>
    </row>
    <row r="2494" spans="1:10" s="4" customFormat="1" x14ac:dyDescent="0.25">
      <c r="A2494" s="114"/>
      <c r="D2494" s="113"/>
      <c r="E2494" s="113"/>
      <c r="F2494" s="114"/>
      <c r="G2494" s="113"/>
      <c r="H2494" s="113"/>
      <c r="J2494" s="113"/>
    </row>
    <row r="2495" spans="1:10" s="4" customFormat="1" x14ac:dyDescent="0.25">
      <c r="A2495" s="114"/>
      <c r="D2495" s="113"/>
      <c r="E2495" s="113"/>
      <c r="F2495" s="114"/>
      <c r="G2495" s="113"/>
      <c r="H2495" s="113"/>
      <c r="J2495" s="113"/>
    </row>
    <row r="2496" spans="1:10" s="4" customFormat="1" x14ac:dyDescent="0.25">
      <c r="A2496" s="114"/>
      <c r="D2496" s="113"/>
      <c r="E2496" s="113"/>
      <c r="F2496" s="114"/>
      <c r="G2496" s="113"/>
      <c r="H2496" s="113"/>
      <c r="J2496" s="113"/>
    </row>
    <row r="2497" spans="1:10" s="4" customFormat="1" x14ac:dyDescent="0.25">
      <c r="A2497" s="114"/>
      <c r="D2497" s="113"/>
      <c r="E2497" s="113"/>
      <c r="F2497" s="114"/>
      <c r="G2497" s="113"/>
      <c r="H2497" s="113"/>
      <c r="J2497" s="113"/>
    </row>
    <row r="2498" spans="1:10" s="4" customFormat="1" x14ac:dyDescent="0.25">
      <c r="A2498" s="114"/>
      <c r="D2498" s="113"/>
      <c r="E2498" s="113"/>
      <c r="F2498" s="114"/>
      <c r="G2498" s="113"/>
      <c r="H2498" s="113"/>
      <c r="J2498" s="113"/>
    </row>
    <row r="2499" spans="1:10" s="4" customFormat="1" x14ac:dyDescent="0.25">
      <c r="A2499" s="114"/>
      <c r="D2499" s="113"/>
      <c r="E2499" s="113"/>
      <c r="F2499" s="114"/>
      <c r="G2499" s="113"/>
      <c r="H2499" s="113"/>
      <c r="J2499" s="113"/>
    </row>
    <row r="2500" spans="1:10" s="4" customFormat="1" x14ac:dyDescent="0.25">
      <c r="A2500" s="114"/>
      <c r="D2500" s="113"/>
      <c r="E2500" s="113"/>
      <c r="F2500" s="114"/>
      <c r="G2500" s="113"/>
      <c r="H2500" s="113"/>
      <c r="J2500" s="113"/>
    </row>
    <row r="2501" spans="1:10" s="4" customFormat="1" x14ac:dyDescent="0.25">
      <c r="A2501" s="114"/>
      <c r="D2501" s="113"/>
      <c r="E2501" s="113"/>
      <c r="F2501" s="114"/>
      <c r="G2501" s="113"/>
      <c r="H2501" s="113"/>
      <c r="J2501" s="113"/>
    </row>
    <row r="2502" spans="1:10" s="4" customFormat="1" x14ac:dyDescent="0.25">
      <c r="A2502" s="114"/>
      <c r="D2502" s="113"/>
      <c r="E2502" s="113"/>
      <c r="F2502" s="114"/>
      <c r="G2502" s="113"/>
      <c r="H2502" s="113"/>
      <c r="J2502" s="113"/>
    </row>
    <row r="2503" spans="1:10" s="4" customFormat="1" x14ac:dyDescent="0.25">
      <c r="A2503" s="114"/>
      <c r="D2503" s="113"/>
      <c r="E2503" s="113"/>
      <c r="F2503" s="114"/>
      <c r="G2503" s="113"/>
      <c r="H2503" s="113"/>
      <c r="J2503" s="113"/>
    </row>
    <row r="2504" spans="1:10" s="4" customFormat="1" x14ac:dyDescent="0.25">
      <c r="A2504" s="114"/>
      <c r="D2504" s="113"/>
      <c r="E2504" s="113"/>
      <c r="F2504" s="114"/>
      <c r="G2504" s="113"/>
      <c r="H2504" s="113"/>
      <c r="J2504" s="113"/>
    </row>
    <row r="2505" spans="1:10" s="4" customFormat="1" x14ac:dyDescent="0.25">
      <c r="A2505" s="114"/>
      <c r="D2505" s="113"/>
      <c r="E2505" s="113"/>
      <c r="F2505" s="114"/>
      <c r="G2505" s="113"/>
      <c r="H2505" s="113"/>
      <c r="J2505" s="113"/>
    </row>
    <row r="2506" spans="1:10" s="4" customFormat="1" x14ac:dyDescent="0.25">
      <c r="A2506" s="114"/>
      <c r="D2506" s="113"/>
      <c r="E2506" s="113"/>
      <c r="F2506" s="114"/>
      <c r="G2506" s="113"/>
      <c r="H2506" s="113"/>
      <c r="J2506" s="113"/>
    </row>
    <row r="2507" spans="1:10" s="4" customFormat="1" x14ac:dyDescent="0.25">
      <c r="A2507" s="114"/>
      <c r="D2507" s="113"/>
      <c r="E2507" s="113"/>
      <c r="F2507" s="114"/>
      <c r="G2507" s="113"/>
      <c r="H2507" s="113"/>
      <c r="J2507" s="113"/>
    </row>
    <row r="2508" spans="1:10" s="4" customFormat="1" x14ac:dyDescent="0.25">
      <c r="A2508" s="114"/>
      <c r="D2508" s="113"/>
      <c r="E2508" s="113"/>
      <c r="F2508" s="114"/>
      <c r="G2508" s="113"/>
      <c r="H2508" s="113"/>
      <c r="J2508" s="113"/>
    </row>
    <row r="2509" spans="1:10" s="4" customFormat="1" x14ac:dyDescent="0.25">
      <c r="A2509" s="114"/>
      <c r="D2509" s="113"/>
      <c r="E2509" s="113"/>
      <c r="F2509" s="114"/>
      <c r="G2509" s="113"/>
      <c r="H2509" s="113"/>
      <c r="J2509" s="113"/>
    </row>
    <row r="2510" spans="1:10" s="4" customFormat="1" x14ac:dyDescent="0.25">
      <c r="A2510" s="114"/>
      <c r="D2510" s="113"/>
      <c r="E2510" s="113"/>
      <c r="F2510" s="114"/>
      <c r="G2510" s="113"/>
      <c r="H2510" s="113"/>
      <c r="J2510" s="113"/>
    </row>
    <row r="2511" spans="1:10" s="4" customFormat="1" x14ac:dyDescent="0.25">
      <c r="A2511" s="114"/>
      <c r="D2511" s="113"/>
      <c r="E2511" s="113"/>
      <c r="F2511" s="114"/>
      <c r="G2511" s="113"/>
      <c r="H2511" s="113"/>
      <c r="J2511" s="113"/>
    </row>
    <row r="2512" spans="1:10" s="4" customFormat="1" x14ac:dyDescent="0.25">
      <c r="A2512" s="114"/>
      <c r="D2512" s="113"/>
      <c r="E2512" s="113"/>
      <c r="F2512" s="114"/>
      <c r="G2512" s="113"/>
      <c r="H2512" s="113"/>
      <c r="J2512" s="113"/>
    </row>
    <row r="2513" spans="1:10" s="4" customFormat="1" x14ac:dyDescent="0.25">
      <c r="A2513" s="114"/>
      <c r="D2513" s="113"/>
      <c r="E2513" s="113"/>
      <c r="F2513" s="114"/>
      <c r="G2513" s="113"/>
      <c r="H2513" s="113"/>
      <c r="J2513" s="113"/>
    </row>
    <row r="2514" spans="1:10" s="4" customFormat="1" x14ac:dyDescent="0.25">
      <c r="A2514" s="114"/>
      <c r="D2514" s="113"/>
      <c r="E2514" s="113"/>
      <c r="F2514" s="114"/>
      <c r="G2514" s="113"/>
      <c r="H2514" s="113"/>
      <c r="J2514" s="113"/>
    </row>
    <row r="2515" spans="1:10" s="4" customFormat="1" x14ac:dyDescent="0.25">
      <c r="A2515" s="114"/>
      <c r="D2515" s="113"/>
      <c r="E2515" s="113"/>
      <c r="F2515" s="114"/>
      <c r="G2515" s="113"/>
      <c r="H2515" s="113"/>
      <c r="J2515" s="113"/>
    </row>
    <row r="2516" spans="1:10" s="4" customFormat="1" x14ac:dyDescent="0.25">
      <c r="A2516" s="114"/>
      <c r="D2516" s="113"/>
      <c r="E2516" s="113"/>
      <c r="F2516" s="114"/>
      <c r="G2516" s="113"/>
      <c r="H2516" s="113"/>
      <c r="J2516" s="113"/>
    </row>
    <row r="2517" spans="1:10" s="4" customFormat="1" x14ac:dyDescent="0.25">
      <c r="A2517" s="114"/>
      <c r="D2517" s="113"/>
      <c r="E2517" s="113"/>
      <c r="F2517" s="114"/>
      <c r="G2517" s="113"/>
      <c r="H2517" s="113"/>
      <c r="J2517" s="113"/>
    </row>
    <row r="2518" spans="1:10" s="4" customFormat="1" x14ac:dyDescent="0.25">
      <c r="A2518" s="114"/>
      <c r="D2518" s="113"/>
      <c r="E2518" s="113"/>
      <c r="F2518" s="114"/>
      <c r="G2518" s="113"/>
      <c r="H2518" s="113"/>
      <c r="J2518" s="113"/>
    </row>
    <row r="2519" spans="1:10" s="4" customFormat="1" x14ac:dyDescent="0.25">
      <c r="A2519" s="114"/>
      <c r="D2519" s="113"/>
      <c r="E2519" s="113"/>
      <c r="F2519" s="114"/>
      <c r="G2519" s="113"/>
      <c r="H2519" s="113"/>
      <c r="J2519" s="113"/>
    </row>
    <row r="2520" spans="1:10" s="4" customFormat="1" x14ac:dyDescent="0.25">
      <c r="A2520" s="114"/>
      <c r="D2520" s="113"/>
      <c r="E2520" s="113"/>
      <c r="F2520" s="114"/>
      <c r="G2520" s="113"/>
      <c r="H2520" s="113"/>
      <c r="J2520" s="113"/>
    </row>
    <row r="2521" spans="1:10" s="4" customFormat="1" x14ac:dyDescent="0.25">
      <c r="A2521" s="114"/>
      <c r="D2521" s="113"/>
      <c r="E2521" s="113"/>
      <c r="F2521" s="114"/>
      <c r="G2521" s="113"/>
      <c r="H2521" s="113"/>
      <c r="J2521" s="113"/>
    </row>
    <row r="2522" spans="1:10" s="4" customFormat="1" x14ac:dyDescent="0.25">
      <c r="A2522" s="114"/>
      <c r="D2522" s="113"/>
      <c r="E2522" s="113"/>
      <c r="F2522" s="114"/>
      <c r="G2522" s="113"/>
      <c r="H2522" s="113"/>
      <c r="J2522" s="113"/>
    </row>
    <row r="2523" spans="1:10" s="4" customFormat="1" x14ac:dyDescent="0.25">
      <c r="A2523" s="114"/>
      <c r="D2523" s="113"/>
      <c r="E2523" s="113"/>
      <c r="F2523" s="114"/>
      <c r="G2523" s="113"/>
      <c r="H2523" s="113"/>
      <c r="J2523" s="113"/>
    </row>
    <row r="2524" spans="1:10" s="4" customFormat="1" x14ac:dyDescent="0.25">
      <c r="A2524" s="114"/>
      <c r="D2524" s="113"/>
      <c r="E2524" s="113"/>
      <c r="F2524" s="114"/>
      <c r="G2524" s="113"/>
      <c r="H2524" s="113"/>
      <c r="J2524" s="113"/>
    </row>
    <row r="2525" spans="1:10" s="4" customFormat="1" x14ac:dyDescent="0.25">
      <c r="A2525" s="114"/>
      <c r="D2525" s="113"/>
      <c r="E2525" s="113"/>
      <c r="F2525" s="114"/>
      <c r="G2525" s="113"/>
      <c r="H2525" s="113"/>
      <c r="J2525" s="113"/>
    </row>
    <row r="2526" spans="1:10" s="4" customFormat="1" x14ac:dyDescent="0.25">
      <c r="A2526" s="114"/>
      <c r="D2526" s="113"/>
      <c r="E2526" s="113"/>
      <c r="F2526" s="114"/>
      <c r="G2526" s="113"/>
      <c r="H2526" s="113"/>
      <c r="J2526" s="113"/>
    </row>
    <row r="2527" spans="1:10" s="4" customFormat="1" x14ac:dyDescent="0.25">
      <c r="A2527" s="114"/>
      <c r="D2527" s="113"/>
      <c r="E2527" s="113"/>
      <c r="F2527" s="114"/>
      <c r="G2527" s="113"/>
      <c r="H2527" s="113"/>
      <c r="J2527" s="113"/>
    </row>
    <row r="2528" spans="1:10" s="4" customFormat="1" x14ac:dyDescent="0.25">
      <c r="A2528" s="114"/>
      <c r="D2528" s="113"/>
      <c r="E2528" s="113"/>
      <c r="F2528" s="114"/>
      <c r="G2528" s="113"/>
      <c r="H2528" s="113"/>
      <c r="J2528" s="113"/>
    </row>
    <row r="2529" spans="1:10" s="4" customFormat="1" x14ac:dyDescent="0.25">
      <c r="A2529" s="114"/>
      <c r="D2529" s="113"/>
      <c r="E2529" s="113"/>
      <c r="F2529" s="114"/>
      <c r="G2529" s="113"/>
      <c r="H2529" s="113"/>
      <c r="J2529" s="113"/>
    </row>
    <row r="2530" spans="1:10" s="4" customFormat="1" x14ac:dyDescent="0.25">
      <c r="A2530" s="114"/>
      <c r="D2530" s="113"/>
      <c r="E2530" s="113"/>
      <c r="F2530" s="114"/>
      <c r="G2530" s="113"/>
      <c r="H2530" s="113"/>
      <c r="J2530" s="113"/>
    </row>
    <row r="2531" spans="1:10" s="4" customFormat="1" x14ac:dyDescent="0.25">
      <c r="A2531" s="114"/>
      <c r="D2531" s="113"/>
      <c r="E2531" s="113"/>
      <c r="F2531" s="114"/>
      <c r="G2531" s="113"/>
      <c r="H2531" s="113"/>
      <c r="J2531" s="113"/>
    </row>
    <row r="2532" spans="1:10" s="4" customFormat="1" x14ac:dyDescent="0.25">
      <c r="A2532" s="114"/>
      <c r="D2532" s="113"/>
      <c r="E2532" s="113"/>
      <c r="F2532" s="114"/>
      <c r="G2532" s="113"/>
      <c r="H2532" s="113"/>
      <c r="J2532" s="113"/>
    </row>
    <row r="2533" spans="1:10" s="4" customFormat="1" x14ac:dyDescent="0.25">
      <c r="A2533" s="114"/>
      <c r="D2533" s="113"/>
      <c r="E2533" s="113"/>
      <c r="F2533" s="114"/>
      <c r="G2533" s="113"/>
      <c r="H2533" s="113"/>
      <c r="J2533" s="113"/>
    </row>
    <row r="2534" spans="1:10" s="4" customFormat="1" x14ac:dyDescent="0.25">
      <c r="A2534" s="114"/>
      <c r="D2534" s="113"/>
      <c r="E2534" s="113"/>
      <c r="F2534" s="114"/>
      <c r="G2534" s="113"/>
      <c r="H2534" s="113"/>
      <c r="J2534" s="113"/>
    </row>
    <row r="2535" spans="1:10" s="4" customFormat="1" x14ac:dyDescent="0.25">
      <c r="A2535" s="114"/>
      <c r="D2535" s="113"/>
      <c r="E2535" s="113"/>
      <c r="F2535" s="114"/>
      <c r="G2535" s="113"/>
      <c r="H2535" s="113"/>
      <c r="J2535" s="113"/>
    </row>
    <row r="2536" spans="1:10" s="4" customFormat="1" x14ac:dyDescent="0.25">
      <c r="A2536" s="114"/>
      <c r="D2536" s="113"/>
      <c r="E2536" s="113"/>
      <c r="F2536" s="114"/>
      <c r="G2536" s="113"/>
      <c r="H2536" s="113"/>
      <c r="J2536" s="113"/>
    </row>
    <row r="2537" spans="1:10" s="4" customFormat="1" x14ac:dyDescent="0.25">
      <c r="A2537" s="114"/>
      <c r="D2537" s="113"/>
      <c r="E2537" s="113"/>
      <c r="F2537" s="114"/>
      <c r="G2537" s="113"/>
      <c r="H2537" s="113"/>
      <c r="J2537" s="113"/>
    </row>
    <row r="2538" spans="1:10" s="4" customFormat="1" x14ac:dyDescent="0.25">
      <c r="A2538" s="114"/>
      <c r="D2538" s="113"/>
      <c r="E2538" s="113"/>
      <c r="F2538" s="114"/>
      <c r="G2538" s="113"/>
      <c r="H2538" s="113"/>
      <c r="J2538" s="113"/>
    </row>
    <row r="2539" spans="1:10" s="4" customFormat="1" x14ac:dyDescent="0.25">
      <c r="A2539" s="114"/>
      <c r="D2539" s="113"/>
      <c r="E2539" s="113"/>
      <c r="F2539" s="114"/>
      <c r="G2539" s="113"/>
      <c r="H2539" s="113"/>
      <c r="J2539" s="113"/>
    </row>
    <row r="2540" spans="1:10" s="4" customFormat="1" x14ac:dyDescent="0.25">
      <c r="A2540" s="114"/>
      <c r="D2540" s="113"/>
      <c r="E2540" s="113"/>
      <c r="F2540" s="114"/>
      <c r="G2540" s="113"/>
      <c r="H2540" s="113"/>
      <c r="J2540" s="113"/>
    </row>
    <row r="2541" spans="1:10" s="4" customFormat="1" x14ac:dyDescent="0.25">
      <c r="A2541" s="114"/>
      <c r="D2541" s="113"/>
      <c r="E2541" s="113"/>
      <c r="F2541" s="114"/>
      <c r="G2541" s="113"/>
      <c r="H2541" s="113"/>
      <c r="J2541" s="113"/>
    </row>
    <row r="2542" spans="1:10" s="4" customFormat="1" x14ac:dyDescent="0.25">
      <c r="A2542" s="114"/>
      <c r="D2542" s="113"/>
      <c r="E2542" s="113"/>
      <c r="F2542" s="114"/>
      <c r="G2542" s="113"/>
      <c r="H2542" s="113"/>
      <c r="J2542" s="113"/>
    </row>
    <row r="2543" spans="1:10" s="4" customFormat="1" x14ac:dyDescent="0.25">
      <c r="A2543" s="114"/>
      <c r="D2543" s="113"/>
      <c r="E2543" s="113"/>
      <c r="F2543" s="114"/>
      <c r="G2543" s="113"/>
      <c r="H2543" s="113"/>
      <c r="J2543" s="113"/>
    </row>
    <row r="2544" spans="1:10" s="4" customFormat="1" x14ac:dyDescent="0.25">
      <c r="A2544" s="114"/>
      <c r="D2544" s="113"/>
      <c r="E2544" s="113"/>
      <c r="F2544" s="114"/>
      <c r="G2544" s="113"/>
      <c r="H2544" s="113"/>
      <c r="J2544" s="113"/>
    </row>
    <row r="2545" spans="1:10" s="4" customFormat="1" x14ac:dyDescent="0.25">
      <c r="A2545" s="114"/>
      <c r="D2545" s="113"/>
      <c r="E2545" s="113"/>
      <c r="F2545" s="114"/>
      <c r="G2545" s="113"/>
      <c r="H2545" s="113"/>
      <c r="J2545" s="113"/>
    </row>
    <row r="2546" spans="1:10" s="4" customFormat="1" x14ac:dyDescent="0.25">
      <c r="A2546" s="114"/>
      <c r="D2546" s="113"/>
      <c r="E2546" s="113"/>
      <c r="F2546" s="114"/>
      <c r="G2546" s="113"/>
      <c r="H2546" s="113"/>
      <c r="J2546" s="113"/>
    </row>
    <row r="2547" spans="1:10" s="4" customFormat="1" x14ac:dyDescent="0.25">
      <c r="A2547" s="114"/>
      <c r="D2547" s="113"/>
      <c r="E2547" s="113"/>
      <c r="F2547" s="114"/>
      <c r="G2547" s="113"/>
      <c r="H2547" s="113"/>
      <c r="J2547" s="113"/>
    </row>
    <row r="2548" spans="1:10" s="4" customFormat="1" x14ac:dyDescent="0.25">
      <c r="A2548" s="114"/>
      <c r="D2548" s="113"/>
      <c r="E2548" s="113"/>
      <c r="F2548" s="114"/>
      <c r="G2548" s="113"/>
      <c r="H2548" s="113"/>
      <c r="J2548" s="113"/>
    </row>
    <row r="2549" spans="1:10" s="4" customFormat="1" x14ac:dyDescent="0.25">
      <c r="A2549" s="114"/>
      <c r="D2549" s="113"/>
      <c r="E2549" s="113"/>
      <c r="F2549" s="114"/>
      <c r="G2549" s="113"/>
      <c r="H2549" s="113"/>
      <c r="J2549" s="113"/>
    </row>
    <row r="2550" spans="1:10" s="4" customFormat="1" x14ac:dyDescent="0.25">
      <c r="A2550" s="114"/>
      <c r="D2550" s="113"/>
      <c r="E2550" s="113"/>
      <c r="F2550" s="114"/>
      <c r="G2550" s="113"/>
      <c r="H2550" s="113"/>
      <c r="J2550" s="113"/>
    </row>
    <row r="2551" spans="1:10" s="4" customFormat="1" x14ac:dyDescent="0.25">
      <c r="A2551" s="114"/>
      <c r="D2551" s="113"/>
      <c r="E2551" s="113"/>
      <c r="F2551" s="114"/>
      <c r="G2551" s="113"/>
      <c r="H2551" s="113"/>
      <c r="J2551" s="113"/>
    </row>
    <row r="2552" spans="1:10" s="4" customFormat="1" x14ac:dyDescent="0.25">
      <c r="A2552" s="114"/>
      <c r="D2552" s="113"/>
      <c r="E2552" s="113"/>
      <c r="F2552" s="114"/>
      <c r="G2552" s="113"/>
      <c r="H2552" s="113"/>
      <c r="J2552" s="113"/>
    </row>
    <row r="2553" spans="1:10" s="4" customFormat="1" x14ac:dyDescent="0.25">
      <c r="A2553" s="114"/>
      <c r="D2553" s="113"/>
      <c r="E2553" s="113"/>
      <c r="F2553" s="114"/>
      <c r="G2553" s="113"/>
      <c r="H2553" s="113"/>
      <c r="J2553" s="113"/>
    </row>
    <row r="2554" spans="1:10" s="4" customFormat="1" x14ac:dyDescent="0.25">
      <c r="A2554" s="114"/>
      <c r="D2554" s="113"/>
      <c r="E2554" s="113"/>
      <c r="F2554" s="114"/>
      <c r="G2554" s="113"/>
      <c r="H2554" s="113"/>
      <c r="J2554" s="113"/>
    </row>
    <row r="2555" spans="1:10" s="4" customFormat="1" x14ac:dyDescent="0.25">
      <c r="A2555" s="114"/>
      <c r="D2555" s="113"/>
      <c r="E2555" s="113"/>
      <c r="F2555" s="114"/>
      <c r="G2555" s="113"/>
      <c r="H2555" s="113"/>
      <c r="J2555" s="113"/>
    </row>
    <row r="2556" spans="1:10" s="4" customFormat="1" x14ac:dyDescent="0.25">
      <c r="A2556" s="114"/>
      <c r="D2556" s="113"/>
      <c r="E2556" s="113"/>
      <c r="F2556" s="114"/>
      <c r="G2556" s="113"/>
      <c r="H2556" s="113"/>
      <c r="J2556" s="113"/>
    </row>
    <row r="2557" spans="1:10" s="4" customFormat="1" x14ac:dyDescent="0.25">
      <c r="A2557" s="114"/>
      <c r="D2557" s="113"/>
      <c r="E2557" s="113"/>
      <c r="F2557" s="114"/>
      <c r="G2557" s="113"/>
      <c r="H2557" s="113"/>
      <c r="J2557" s="113"/>
    </row>
    <row r="2558" spans="1:10" s="4" customFormat="1" x14ac:dyDescent="0.25">
      <c r="A2558" s="114"/>
      <c r="D2558" s="113"/>
      <c r="E2558" s="113"/>
      <c r="F2558" s="114"/>
      <c r="G2558" s="113"/>
      <c r="H2558" s="113"/>
      <c r="J2558" s="113"/>
    </row>
    <row r="2559" spans="1:10" s="4" customFormat="1" x14ac:dyDescent="0.25">
      <c r="A2559" s="114"/>
      <c r="D2559" s="113"/>
      <c r="E2559" s="113"/>
      <c r="F2559" s="114"/>
      <c r="G2559" s="113"/>
      <c r="H2559" s="113"/>
      <c r="J2559" s="113"/>
    </row>
    <row r="2560" spans="1:10" s="4" customFormat="1" x14ac:dyDescent="0.25">
      <c r="A2560" s="114"/>
      <c r="D2560" s="113"/>
      <c r="E2560" s="113"/>
      <c r="F2560" s="114"/>
      <c r="G2560" s="113"/>
      <c r="H2560" s="113"/>
      <c r="J2560" s="113"/>
    </row>
    <row r="2561" spans="1:10" s="4" customFormat="1" x14ac:dyDescent="0.25">
      <c r="A2561" s="114"/>
      <c r="D2561" s="113"/>
      <c r="E2561" s="113"/>
      <c r="F2561" s="114"/>
      <c r="G2561" s="113"/>
      <c r="H2561" s="113"/>
      <c r="J2561" s="113"/>
    </row>
    <row r="2562" spans="1:10" s="4" customFormat="1" x14ac:dyDescent="0.25">
      <c r="A2562" s="114"/>
      <c r="D2562" s="113"/>
      <c r="E2562" s="113"/>
      <c r="F2562" s="114"/>
      <c r="G2562" s="113"/>
      <c r="H2562" s="113"/>
      <c r="J2562" s="113"/>
    </row>
    <row r="2563" spans="1:10" s="4" customFormat="1" x14ac:dyDescent="0.25">
      <c r="A2563" s="114"/>
      <c r="D2563" s="113"/>
      <c r="E2563" s="113"/>
      <c r="F2563" s="114"/>
      <c r="G2563" s="113"/>
      <c r="H2563" s="113"/>
      <c r="J2563" s="113"/>
    </row>
    <row r="2564" spans="1:10" s="4" customFormat="1" x14ac:dyDescent="0.25">
      <c r="A2564" s="114"/>
      <c r="D2564" s="113"/>
      <c r="E2564" s="113"/>
      <c r="F2564" s="114"/>
      <c r="G2564" s="113"/>
      <c r="H2564" s="113"/>
      <c r="J2564" s="113"/>
    </row>
    <row r="2565" spans="1:10" s="4" customFormat="1" x14ac:dyDescent="0.25">
      <c r="A2565" s="114"/>
      <c r="D2565" s="113"/>
      <c r="E2565" s="113"/>
      <c r="F2565" s="114"/>
      <c r="G2565" s="113"/>
      <c r="H2565" s="113"/>
      <c r="J2565" s="113"/>
    </row>
    <row r="2566" spans="1:10" s="4" customFormat="1" x14ac:dyDescent="0.25">
      <c r="A2566" s="114"/>
      <c r="D2566" s="113"/>
      <c r="E2566" s="113"/>
      <c r="F2566" s="114"/>
      <c r="G2566" s="113"/>
      <c r="H2566" s="113"/>
      <c r="J2566" s="113"/>
    </row>
    <row r="2567" spans="1:10" s="4" customFormat="1" x14ac:dyDescent="0.25">
      <c r="A2567" s="114"/>
      <c r="D2567" s="113"/>
      <c r="E2567" s="113"/>
      <c r="F2567" s="114"/>
      <c r="G2567" s="113"/>
      <c r="H2567" s="113"/>
      <c r="J2567" s="113"/>
    </row>
    <row r="2568" spans="1:10" s="4" customFormat="1" x14ac:dyDescent="0.25">
      <c r="A2568" s="114"/>
      <c r="D2568" s="113"/>
      <c r="E2568" s="113"/>
      <c r="F2568" s="114"/>
      <c r="G2568" s="113"/>
      <c r="H2568" s="113"/>
      <c r="J2568" s="113"/>
    </row>
    <row r="2569" spans="1:10" s="4" customFormat="1" x14ac:dyDescent="0.25">
      <c r="A2569" s="114"/>
      <c r="D2569" s="113"/>
      <c r="E2569" s="113"/>
      <c r="F2569" s="114"/>
      <c r="G2569" s="113"/>
      <c r="H2569" s="113"/>
      <c r="J2569" s="113"/>
    </row>
    <row r="2570" spans="1:10" s="4" customFormat="1" x14ac:dyDescent="0.25">
      <c r="A2570" s="114"/>
      <c r="D2570" s="113"/>
      <c r="E2570" s="113"/>
      <c r="F2570" s="114"/>
      <c r="G2570" s="113"/>
      <c r="H2570" s="113"/>
      <c r="J2570" s="113"/>
    </row>
    <row r="2571" spans="1:10" s="4" customFormat="1" x14ac:dyDescent="0.25">
      <c r="A2571" s="114"/>
      <c r="D2571" s="113"/>
      <c r="E2571" s="113"/>
      <c r="F2571" s="114"/>
      <c r="G2571" s="113"/>
      <c r="H2571" s="113"/>
      <c r="J2571" s="113"/>
    </row>
    <row r="2572" spans="1:10" s="4" customFormat="1" x14ac:dyDescent="0.25">
      <c r="A2572" s="114"/>
      <c r="D2572" s="113"/>
      <c r="E2572" s="113"/>
      <c r="F2572" s="114"/>
      <c r="G2572" s="113"/>
      <c r="H2572" s="113"/>
      <c r="J2572" s="113"/>
    </row>
    <row r="2573" spans="1:10" s="4" customFormat="1" x14ac:dyDescent="0.25">
      <c r="A2573" s="114"/>
      <c r="D2573" s="113"/>
      <c r="E2573" s="113"/>
      <c r="F2573" s="114"/>
      <c r="G2573" s="113"/>
      <c r="H2573" s="113"/>
      <c r="J2573" s="113"/>
    </row>
    <row r="2574" spans="1:10" s="4" customFormat="1" x14ac:dyDescent="0.25">
      <c r="A2574" s="114"/>
      <c r="D2574" s="113"/>
      <c r="E2574" s="113"/>
      <c r="F2574" s="114"/>
      <c r="G2574" s="113"/>
      <c r="H2574" s="113"/>
      <c r="J2574" s="113"/>
    </row>
    <row r="2575" spans="1:10" s="4" customFormat="1" x14ac:dyDescent="0.25">
      <c r="A2575" s="114"/>
      <c r="D2575" s="113"/>
      <c r="E2575" s="113"/>
      <c r="F2575" s="114"/>
      <c r="G2575" s="113"/>
      <c r="H2575" s="113"/>
      <c r="J2575" s="113"/>
    </row>
    <row r="2576" spans="1:10" s="4" customFormat="1" x14ac:dyDescent="0.25">
      <c r="A2576" s="114"/>
      <c r="D2576" s="113"/>
      <c r="E2576" s="113"/>
      <c r="F2576" s="114"/>
      <c r="G2576" s="113"/>
      <c r="H2576" s="113"/>
      <c r="J2576" s="113"/>
    </row>
    <row r="2577" spans="1:10" s="4" customFormat="1" x14ac:dyDescent="0.25">
      <c r="A2577" s="114"/>
      <c r="D2577" s="113"/>
      <c r="E2577" s="113"/>
      <c r="F2577" s="114"/>
      <c r="G2577" s="113"/>
      <c r="H2577" s="113"/>
      <c r="J2577" s="113"/>
    </row>
    <row r="2578" spans="1:10" s="4" customFormat="1" x14ac:dyDescent="0.25">
      <c r="A2578" s="114"/>
      <c r="D2578" s="113"/>
      <c r="E2578" s="113"/>
      <c r="F2578" s="114"/>
      <c r="G2578" s="113"/>
      <c r="H2578" s="113"/>
      <c r="J2578" s="113"/>
    </row>
    <row r="2579" spans="1:10" s="4" customFormat="1" x14ac:dyDescent="0.25">
      <c r="A2579" s="114"/>
      <c r="D2579" s="113"/>
      <c r="E2579" s="113"/>
      <c r="F2579" s="114"/>
      <c r="G2579" s="113"/>
      <c r="H2579" s="113"/>
      <c r="J2579" s="113"/>
    </row>
    <row r="2580" spans="1:10" s="4" customFormat="1" x14ac:dyDescent="0.25">
      <c r="A2580" s="114"/>
      <c r="D2580" s="113"/>
      <c r="E2580" s="113"/>
      <c r="F2580" s="114"/>
      <c r="G2580" s="113"/>
      <c r="H2580" s="113"/>
      <c r="J2580" s="113"/>
    </row>
    <row r="2581" spans="1:10" s="4" customFormat="1" x14ac:dyDescent="0.25">
      <c r="A2581" s="114"/>
      <c r="D2581" s="113"/>
      <c r="E2581" s="113"/>
      <c r="F2581" s="114"/>
      <c r="G2581" s="113"/>
      <c r="H2581" s="113"/>
      <c r="J2581" s="113"/>
    </row>
    <row r="2582" spans="1:10" s="4" customFormat="1" x14ac:dyDescent="0.25">
      <c r="A2582" s="114"/>
      <c r="D2582" s="113"/>
      <c r="E2582" s="113"/>
      <c r="F2582" s="114"/>
      <c r="G2582" s="113"/>
      <c r="H2582" s="113"/>
      <c r="J2582" s="113"/>
    </row>
    <row r="2583" spans="1:10" s="4" customFormat="1" x14ac:dyDescent="0.25">
      <c r="A2583" s="114"/>
      <c r="D2583" s="113"/>
      <c r="E2583" s="113"/>
      <c r="F2583" s="114"/>
      <c r="G2583" s="113"/>
      <c r="H2583" s="113"/>
      <c r="J2583" s="113"/>
    </row>
    <row r="2584" spans="1:10" s="4" customFormat="1" x14ac:dyDescent="0.25">
      <c r="A2584" s="114"/>
      <c r="D2584" s="113"/>
      <c r="E2584" s="113"/>
      <c r="F2584" s="114"/>
      <c r="G2584" s="113"/>
      <c r="H2584" s="113"/>
      <c r="J2584" s="113"/>
    </row>
    <row r="2585" spans="1:10" s="4" customFormat="1" x14ac:dyDescent="0.25">
      <c r="A2585" s="114"/>
      <c r="D2585" s="113"/>
      <c r="E2585" s="113"/>
      <c r="F2585" s="114"/>
      <c r="G2585" s="113"/>
      <c r="H2585" s="113"/>
      <c r="J2585" s="113"/>
    </row>
    <row r="2586" spans="1:10" s="4" customFormat="1" x14ac:dyDescent="0.25">
      <c r="A2586" s="114"/>
      <c r="D2586" s="113"/>
      <c r="E2586" s="113"/>
      <c r="F2586" s="114"/>
      <c r="G2586" s="113"/>
      <c r="H2586" s="113"/>
      <c r="J2586" s="113"/>
    </row>
    <row r="2587" spans="1:10" s="4" customFormat="1" x14ac:dyDescent="0.25">
      <c r="A2587" s="114"/>
      <c r="D2587" s="113"/>
      <c r="E2587" s="113"/>
      <c r="F2587" s="114"/>
      <c r="G2587" s="113"/>
      <c r="H2587" s="113"/>
      <c r="J2587" s="113"/>
    </row>
    <row r="2588" spans="1:10" s="4" customFormat="1" x14ac:dyDescent="0.25">
      <c r="A2588" s="114"/>
      <c r="D2588" s="113"/>
      <c r="E2588" s="113"/>
      <c r="F2588" s="114"/>
      <c r="G2588" s="113"/>
      <c r="H2588" s="113"/>
      <c r="J2588" s="113"/>
    </row>
    <row r="2589" spans="1:10" s="4" customFormat="1" x14ac:dyDescent="0.25">
      <c r="A2589" s="114"/>
      <c r="D2589" s="113"/>
      <c r="E2589" s="113"/>
      <c r="F2589" s="114"/>
      <c r="G2589" s="113"/>
      <c r="H2589" s="113"/>
      <c r="J2589" s="113"/>
    </row>
    <row r="2590" spans="1:10" s="4" customFormat="1" x14ac:dyDescent="0.25">
      <c r="A2590" s="114"/>
      <c r="D2590" s="113"/>
      <c r="E2590" s="113"/>
      <c r="F2590" s="114"/>
      <c r="G2590" s="113"/>
      <c r="H2590" s="113"/>
      <c r="J2590" s="113"/>
    </row>
    <row r="2591" spans="1:10" s="4" customFormat="1" x14ac:dyDescent="0.25">
      <c r="A2591" s="114"/>
      <c r="D2591" s="113"/>
      <c r="E2591" s="113"/>
      <c r="F2591" s="114"/>
      <c r="G2591" s="113"/>
      <c r="H2591" s="113"/>
      <c r="J2591" s="113"/>
    </row>
    <row r="2592" spans="1:10" s="4" customFormat="1" x14ac:dyDescent="0.25">
      <c r="A2592" s="114"/>
      <c r="D2592" s="113"/>
      <c r="E2592" s="113"/>
      <c r="F2592" s="114"/>
      <c r="G2592" s="113"/>
      <c r="H2592" s="113"/>
      <c r="J2592" s="113"/>
    </row>
    <row r="2593" spans="1:10" s="4" customFormat="1" x14ac:dyDescent="0.25">
      <c r="A2593" s="114"/>
      <c r="D2593" s="113"/>
      <c r="E2593" s="113"/>
      <c r="F2593" s="114"/>
      <c r="G2593" s="113"/>
      <c r="H2593" s="113"/>
      <c r="J2593" s="113"/>
    </row>
    <row r="2594" spans="1:10" s="4" customFormat="1" x14ac:dyDescent="0.25">
      <c r="A2594" s="114"/>
      <c r="D2594" s="113"/>
      <c r="E2594" s="113"/>
      <c r="F2594" s="114"/>
      <c r="G2594" s="113"/>
      <c r="H2594" s="113"/>
      <c r="J2594" s="113"/>
    </row>
    <row r="2595" spans="1:10" s="4" customFormat="1" x14ac:dyDescent="0.25">
      <c r="A2595" s="114"/>
      <c r="D2595" s="113"/>
      <c r="E2595" s="113"/>
      <c r="F2595" s="114"/>
      <c r="G2595" s="113"/>
      <c r="H2595" s="113"/>
      <c r="J2595" s="113"/>
    </row>
    <row r="2596" spans="1:10" s="4" customFormat="1" x14ac:dyDescent="0.25">
      <c r="A2596" s="114"/>
      <c r="D2596" s="113"/>
      <c r="E2596" s="113"/>
      <c r="F2596" s="114"/>
      <c r="G2596" s="113"/>
      <c r="H2596" s="113"/>
      <c r="J2596" s="113"/>
    </row>
    <row r="2597" spans="1:10" s="4" customFormat="1" x14ac:dyDescent="0.25">
      <c r="A2597" s="114"/>
      <c r="D2597" s="113"/>
      <c r="E2597" s="113"/>
      <c r="F2597" s="114"/>
      <c r="G2597" s="113"/>
      <c r="H2597" s="113"/>
      <c r="J2597" s="113"/>
    </row>
    <row r="2598" spans="1:10" s="4" customFormat="1" x14ac:dyDescent="0.25">
      <c r="A2598" s="114"/>
      <c r="D2598" s="113"/>
      <c r="E2598" s="113"/>
      <c r="F2598" s="114"/>
      <c r="G2598" s="113"/>
      <c r="H2598" s="113"/>
      <c r="J2598" s="113"/>
    </row>
    <row r="2599" spans="1:10" s="4" customFormat="1" x14ac:dyDescent="0.25">
      <c r="A2599" s="114"/>
      <c r="D2599" s="113"/>
      <c r="E2599" s="113"/>
      <c r="F2599" s="114"/>
      <c r="G2599" s="113"/>
      <c r="H2599" s="113"/>
      <c r="J2599" s="113"/>
    </row>
    <row r="2600" spans="1:10" s="4" customFormat="1" x14ac:dyDescent="0.25">
      <c r="A2600" s="114"/>
      <c r="D2600" s="113"/>
      <c r="E2600" s="113"/>
      <c r="F2600" s="114"/>
      <c r="G2600" s="113"/>
      <c r="H2600" s="113"/>
      <c r="J2600" s="113"/>
    </row>
    <row r="2601" spans="1:10" s="4" customFormat="1" x14ac:dyDescent="0.25">
      <c r="A2601" s="114"/>
      <c r="D2601" s="113"/>
      <c r="E2601" s="113"/>
      <c r="F2601" s="114"/>
      <c r="G2601" s="113"/>
      <c r="H2601" s="113"/>
      <c r="J2601" s="113"/>
    </row>
    <row r="2602" spans="1:10" s="4" customFormat="1" x14ac:dyDescent="0.25">
      <c r="A2602" s="114"/>
      <c r="D2602" s="113"/>
      <c r="E2602" s="113"/>
      <c r="F2602" s="114"/>
      <c r="G2602" s="113"/>
      <c r="H2602" s="113"/>
      <c r="J2602" s="113"/>
    </row>
    <row r="2603" spans="1:10" s="4" customFormat="1" x14ac:dyDescent="0.25">
      <c r="A2603" s="114"/>
      <c r="D2603" s="113"/>
      <c r="E2603" s="113"/>
      <c r="F2603" s="114"/>
      <c r="G2603" s="113"/>
      <c r="H2603" s="113"/>
      <c r="J2603" s="113"/>
    </row>
    <row r="2604" spans="1:10" s="4" customFormat="1" x14ac:dyDescent="0.25">
      <c r="A2604" s="114"/>
      <c r="D2604" s="113"/>
      <c r="E2604" s="113"/>
      <c r="F2604" s="114"/>
      <c r="G2604" s="113"/>
      <c r="H2604" s="113"/>
      <c r="J2604" s="113"/>
    </row>
    <row r="2605" spans="1:10" s="4" customFormat="1" x14ac:dyDescent="0.25">
      <c r="A2605" s="114"/>
      <c r="D2605" s="113"/>
      <c r="E2605" s="113"/>
      <c r="F2605" s="114"/>
      <c r="G2605" s="113"/>
      <c r="H2605" s="113"/>
      <c r="J2605" s="113"/>
    </row>
    <row r="2606" spans="1:10" s="4" customFormat="1" x14ac:dyDescent="0.25">
      <c r="A2606" s="114"/>
      <c r="D2606" s="113"/>
      <c r="E2606" s="113"/>
      <c r="F2606" s="114"/>
      <c r="G2606" s="113"/>
      <c r="H2606" s="113"/>
      <c r="J2606" s="113"/>
    </row>
    <row r="2607" spans="1:10" s="4" customFormat="1" x14ac:dyDescent="0.25">
      <c r="A2607" s="114"/>
      <c r="D2607" s="113"/>
      <c r="E2607" s="113"/>
      <c r="F2607" s="114"/>
      <c r="G2607" s="113"/>
      <c r="H2607" s="113"/>
      <c r="J2607" s="113"/>
    </row>
    <row r="2608" spans="1:10" s="4" customFormat="1" x14ac:dyDescent="0.25">
      <c r="A2608" s="114"/>
      <c r="D2608" s="113"/>
      <c r="E2608" s="113"/>
      <c r="F2608" s="114"/>
      <c r="G2608" s="113"/>
      <c r="H2608" s="113"/>
      <c r="J2608" s="113"/>
    </row>
    <row r="2609" spans="1:10" s="4" customFormat="1" x14ac:dyDescent="0.25">
      <c r="A2609" s="114"/>
      <c r="D2609" s="113"/>
      <c r="E2609" s="113"/>
      <c r="F2609" s="114"/>
      <c r="G2609" s="113"/>
      <c r="H2609" s="113"/>
      <c r="J2609" s="113"/>
    </row>
    <row r="2610" spans="1:10" s="4" customFormat="1" x14ac:dyDescent="0.25">
      <c r="A2610" s="114"/>
      <c r="D2610" s="113"/>
      <c r="E2610" s="113"/>
      <c r="F2610" s="114"/>
      <c r="G2610" s="113"/>
      <c r="H2610" s="113"/>
      <c r="J2610" s="113"/>
    </row>
    <row r="2611" spans="1:10" s="4" customFormat="1" x14ac:dyDescent="0.25">
      <c r="A2611" s="114"/>
      <c r="D2611" s="113"/>
      <c r="E2611" s="113"/>
      <c r="F2611" s="114"/>
      <c r="G2611" s="113"/>
      <c r="H2611" s="113"/>
      <c r="J2611" s="113"/>
    </row>
    <row r="2612" spans="1:10" s="4" customFormat="1" x14ac:dyDescent="0.25">
      <c r="A2612" s="114"/>
      <c r="D2612" s="113"/>
      <c r="E2612" s="113"/>
      <c r="F2612" s="114"/>
      <c r="G2612" s="113"/>
      <c r="H2612" s="113"/>
      <c r="J2612" s="113"/>
    </row>
    <row r="2613" spans="1:10" s="4" customFormat="1" x14ac:dyDescent="0.25">
      <c r="A2613" s="114"/>
      <c r="D2613" s="113"/>
      <c r="E2613" s="113"/>
      <c r="F2613" s="114"/>
      <c r="G2613" s="113"/>
      <c r="H2613" s="113"/>
      <c r="J2613" s="113"/>
    </row>
    <row r="2614" spans="1:10" s="4" customFormat="1" x14ac:dyDescent="0.25">
      <c r="A2614" s="114"/>
      <c r="D2614" s="113"/>
      <c r="E2614" s="113"/>
      <c r="F2614" s="114"/>
      <c r="G2614" s="113"/>
      <c r="H2614" s="113"/>
      <c r="J2614" s="113"/>
    </row>
    <row r="2615" spans="1:10" s="4" customFormat="1" x14ac:dyDescent="0.25">
      <c r="A2615" s="114"/>
      <c r="D2615" s="113"/>
      <c r="E2615" s="113"/>
      <c r="F2615" s="114"/>
      <c r="G2615" s="113"/>
      <c r="H2615" s="113"/>
      <c r="J2615" s="113"/>
    </row>
    <row r="2616" spans="1:10" s="4" customFormat="1" x14ac:dyDescent="0.25">
      <c r="A2616" s="114"/>
      <c r="D2616" s="113"/>
      <c r="E2616" s="113"/>
      <c r="F2616" s="114"/>
      <c r="G2616" s="113"/>
      <c r="H2616" s="113"/>
      <c r="J2616" s="113"/>
    </row>
    <row r="2617" spans="1:10" s="4" customFormat="1" x14ac:dyDescent="0.25">
      <c r="A2617" s="114"/>
      <c r="D2617" s="113"/>
      <c r="E2617" s="113"/>
      <c r="F2617" s="114"/>
      <c r="G2617" s="113"/>
      <c r="H2617" s="113"/>
      <c r="J2617" s="113"/>
    </row>
    <row r="2618" spans="1:10" s="4" customFormat="1" x14ac:dyDescent="0.25">
      <c r="A2618" s="114"/>
      <c r="D2618" s="113"/>
      <c r="E2618" s="113"/>
      <c r="F2618" s="114"/>
      <c r="G2618" s="113"/>
      <c r="H2618" s="113"/>
      <c r="J2618" s="113"/>
    </row>
    <row r="2619" spans="1:10" s="4" customFormat="1" x14ac:dyDescent="0.25">
      <c r="A2619" s="114"/>
      <c r="D2619" s="113"/>
      <c r="E2619" s="113"/>
      <c r="F2619" s="114"/>
      <c r="G2619" s="113"/>
      <c r="H2619" s="113"/>
      <c r="J2619" s="113"/>
    </row>
    <row r="2620" spans="1:10" s="4" customFormat="1" x14ac:dyDescent="0.25">
      <c r="A2620" s="114"/>
      <c r="D2620" s="113"/>
      <c r="E2620" s="113"/>
      <c r="F2620" s="114"/>
      <c r="G2620" s="113"/>
      <c r="H2620" s="113"/>
      <c r="J2620" s="113"/>
    </row>
    <row r="2621" spans="1:10" s="4" customFormat="1" x14ac:dyDescent="0.25">
      <c r="A2621" s="114"/>
      <c r="D2621" s="113"/>
      <c r="E2621" s="113"/>
      <c r="F2621" s="114"/>
      <c r="G2621" s="113"/>
      <c r="H2621" s="113"/>
      <c r="J2621" s="113"/>
    </row>
    <row r="2622" spans="1:10" s="4" customFormat="1" x14ac:dyDescent="0.25">
      <c r="A2622" s="114"/>
      <c r="D2622" s="113"/>
      <c r="E2622" s="113"/>
      <c r="F2622" s="114"/>
      <c r="G2622" s="113"/>
      <c r="H2622" s="113"/>
      <c r="J2622" s="113"/>
    </row>
    <row r="2623" spans="1:10" s="4" customFormat="1" x14ac:dyDescent="0.25">
      <c r="A2623" s="114"/>
      <c r="D2623" s="113"/>
      <c r="E2623" s="113"/>
      <c r="F2623" s="114"/>
      <c r="G2623" s="113"/>
      <c r="H2623" s="113"/>
      <c r="J2623" s="113"/>
    </row>
    <row r="2624" spans="1:10" s="4" customFormat="1" x14ac:dyDescent="0.25">
      <c r="A2624" s="114"/>
      <c r="D2624" s="113"/>
      <c r="E2624" s="113"/>
      <c r="F2624" s="114"/>
      <c r="G2624" s="113"/>
      <c r="H2624" s="113"/>
      <c r="J2624" s="113"/>
    </row>
    <row r="2625" spans="1:10" s="4" customFormat="1" x14ac:dyDescent="0.25">
      <c r="A2625" s="114"/>
      <c r="D2625" s="113"/>
      <c r="E2625" s="113"/>
      <c r="F2625" s="114"/>
      <c r="G2625" s="113"/>
      <c r="H2625" s="113"/>
      <c r="J2625" s="113"/>
    </row>
    <row r="2626" spans="1:10" s="4" customFormat="1" x14ac:dyDescent="0.25">
      <c r="A2626" s="114"/>
      <c r="D2626" s="113"/>
      <c r="E2626" s="113"/>
      <c r="F2626" s="114"/>
      <c r="G2626" s="113"/>
      <c r="H2626" s="113"/>
      <c r="J2626" s="113"/>
    </row>
    <row r="2627" spans="1:10" s="4" customFormat="1" x14ac:dyDescent="0.25">
      <c r="A2627" s="114"/>
      <c r="D2627" s="113"/>
      <c r="E2627" s="113"/>
      <c r="F2627" s="114"/>
      <c r="G2627" s="113"/>
      <c r="H2627" s="113"/>
      <c r="J2627" s="113"/>
    </row>
    <row r="2628" spans="1:10" s="4" customFormat="1" x14ac:dyDescent="0.25">
      <c r="A2628" s="114"/>
      <c r="D2628" s="113"/>
      <c r="E2628" s="113"/>
      <c r="F2628" s="114"/>
      <c r="G2628" s="113"/>
      <c r="H2628" s="113"/>
      <c r="J2628" s="113"/>
    </row>
    <row r="2629" spans="1:10" s="4" customFormat="1" x14ac:dyDescent="0.25">
      <c r="A2629" s="114"/>
      <c r="D2629" s="113"/>
      <c r="E2629" s="113"/>
      <c r="F2629" s="114"/>
      <c r="G2629" s="113"/>
      <c r="H2629" s="113"/>
      <c r="J2629" s="113"/>
    </row>
    <row r="2630" spans="1:10" s="4" customFormat="1" x14ac:dyDescent="0.25">
      <c r="A2630" s="114"/>
      <c r="D2630" s="113"/>
      <c r="E2630" s="113"/>
      <c r="F2630" s="114"/>
      <c r="G2630" s="113"/>
      <c r="H2630" s="113"/>
      <c r="J2630" s="113"/>
    </row>
    <row r="2631" spans="1:10" s="4" customFormat="1" x14ac:dyDescent="0.25">
      <c r="A2631" s="114"/>
      <c r="D2631" s="113"/>
      <c r="E2631" s="113"/>
      <c r="F2631" s="114"/>
      <c r="G2631" s="113"/>
      <c r="H2631" s="113"/>
      <c r="J2631" s="113"/>
    </row>
    <row r="2632" spans="1:10" s="4" customFormat="1" x14ac:dyDescent="0.25">
      <c r="A2632" s="114"/>
      <c r="D2632" s="113"/>
      <c r="E2632" s="113"/>
      <c r="F2632" s="114"/>
      <c r="G2632" s="113"/>
      <c r="H2632" s="113"/>
      <c r="J2632" s="113"/>
    </row>
    <row r="2633" spans="1:10" s="4" customFormat="1" x14ac:dyDescent="0.25">
      <c r="A2633" s="114"/>
      <c r="D2633" s="113"/>
      <c r="E2633" s="113"/>
      <c r="F2633" s="114"/>
      <c r="G2633" s="113"/>
      <c r="H2633" s="113"/>
      <c r="J2633" s="113"/>
    </row>
    <row r="2634" spans="1:10" s="4" customFormat="1" x14ac:dyDescent="0.25">
      <c r="A2634" s="114"/>
      <c r="D2634" s="113"/>
      <c r="E2634" s="113"/>
      <c r="F2634" s="114"/>
      <c r="G2634" s="113"/>
      <c r="H2634" s="113"/>
      <c r="J2634" s="113"/>
    </row>
    <row r="2635" spans="1:10" s="4" customFormat="1" x14ac:dyDescent="0.25">
      <c r="A2635" s="114"/>
      <c r="D2635" s="113"/>
      <c r="E2635" s="113"/>
      <c r="F2635" s="114"/>
      <c r="G2635" s="113"/>
      <c r="H2635" s="113"/>
      <c r="J2635" s="113"/>
    </row>
    <row r="2636" spans="1:10" s="4" customFormat="1" x14ac:dyDescent="0.25">
      <c r="A2636" s="114"/>
      <c r="D2636" s="113"/>
      <c r="E2636" s="113"/>
      <c r="F2636" s="114"/>
      <c r="G2636" s="113"/>
      <c r="H2636" s="113"/>
      <c r="J2636" s="113"/>
    </row>
    <row r="2637" spans="1:10" s="4" customFormat="1" x14ac:dyDescent="0.25">
      <c r="A2637" s="114"/>
      <c r="D2637" s="113"/>
      <c r="E2637" s="113"/>
      <c r="F2637" s="114"/>
      <c r="G2637" s="113"/>
      <c r="H2637" s="113"/>
      <c r="J2637" s="113"/>
    </row>
    <row r="2638" spans="1:10" s="4" customFormat="1" x14ac:dyDescent="0.25">
      <c r="A2638" s="114"/>
      <c r="D2638" s="113"/>
      <c r="E2638" s="113"/>
      <c r="F2638" s="114"/>
      <c r="G2638" s="113"/>
      <c r="H2638" s="113"/>
      <c r="J2638" s="113"/>
    </row>
    <row r="2639" spans="1:10" s="4" customFormat="1" x14ac:dyDescent="0.25">
      <c r="A2639" s="114"/>
      <c r="D2639" s="113"/>
      <c r="E2639" s="113"/>
      <c r="F2639" s="114"/>
      <c r="G2639" s="113"/>
      <c r="H2639" s="113"/>
      <c r="J2639" s="113"/>
    </row>
    <row r="2640" spans="1:10" s="4" customFormat="1" x14ac:dyDescent="0.25">
      <c r="A2640" s="114"/>
      <c r="D2640" s="113"/>
      <c r="E2640" s="113"/>
      <c r="F2640" s="114"/>
      <c r="G2640" s="113"/>
      <c r="H2640" s="113"/>
      <c r="J2640" s="113"/>
    </row>
    <row r="2641" spans="1:10" s="4" customFormat="1" x14ac:dyDescent="0.25">
      <c r="A2641" s="114"/>
      <c r="D2641" s="113"/>
      <c r="E2641" s="113"/>
      <c r="F2641" s="114"/>
      <c r="G2641" s="113"/>
      <c r="H2641" s="113"/>
      <c r="J2641" s="113"/>
    </row>
    <row r="2642" spans="1:10" s="4" customFormat="1" x14ac:dyDescent="0.25">
      <c r="A2642" s="114"/>
      <c r="D2642" s="113"/>
      <c r="E2642" s="113"/>
      <c r="F2642" s="114"/>
      <c r="G2642" s="113"/>
      <c r="H2642" s="113"/>
      <c r="J2642" s="113"/>
    </row>
    <row r="2643" spans="1:10" s="4" customFormat="1" x14ac:dyDescent="0.25">
      <c r="A2643" s="114"/>
      <c r="D2643" s="113"/>
      <c r="E2643" s="113"/>
      <c r="F2643" s="114"/>
      <c r="G2643" s="113"/>
      <c r="H2643" s="113"/>
      <c r="J2643" s="113"/>
    </row>
    <row r="2644" spans="1:10" s="4" customFormat="1" x14ac:dyDescent="0.25">
      <c r="A2644" s="114"/>
      <c r="D2644" s="113"/>
      <c r="E2644" s="113"/>
      <c r="F2644" s="114"/>
      <c r="G2644" s="113"/>
      <c r="H2644" s="113"/>
      <c r="J2644" s="113"/>
    </row>
    <row r="2645" spans="1:10" s="4" customFormat="1" x14ac:dyDescent="0.25">
      <c r="A2645" s="114"/>
      <c r="D2645" s="113"/>
      <c r="E2645" s="113"/>
      <c r="F2645" s="114"/>
      <c r="G2645" s="113"/>
      <c r="H2645" s="113"/>
      <c r="J2645" s="113"/>
    </row>
    <row r="2646" spans="1:10" s="4" customFormat="1" x14ac:dyDescent="0.25">
      <c r="A2646" s="114"/>
      <c r="D2646" s="113"/>
      <c r="E2646" s="113"/>
      <c r="F2646" s="114"/>
      <c r="G2646" s="113"/>
      <c r="H2646" s="113"/>
      <c r="J2646" s="113"/>
    </row>
    <row r="2647" spans="1:10" s="4" customFormat="1" x14ac:dyDescent="0.25">
      <c r="A2647" s="114"/>
      <c r="D2647" s="113"/>
      <c r="E2647" s="113"/>
      <c r="F2647" s="114"/>
      <c r="G2647" s="113"/>
      <c r="H2647" s="113"/>
      <c r="J2647" s="113"/>
    </row>
    <row r="2648" spans="1:10" s="4" customFormat="1" x14ac:dyDescent="0.25">
      <c r="A2648" s="114"/>
      <c r="D2648" s="113"/>
      <c r="E2648" s="113"/>
      <c r="F2648" s="114"/>
      <c r="G2648" s="113"/>
      <c r="H2648" s="113"/>
      <c r="J2648" s="113"/>
    </row>
    <row r="2649" spans="1:10" s="4" customFormat="1" x14ac:dyDescent="0.25">
      <c r="A2649" s="114"/>
      <c r="D2649" s="113"/>
      <c r="E2649" s="113"/>
      <c r="F2649" s="114"/>
      <c r="G2649" s="113"/>
      <c r="H2649" s="113"/>
      <c r="J2649" s="113"/>
    </row>
    <row r="2650" spans="1:10" s="4" customFormat="1" x14ac:dyDescent="0.25">
      <c r="A2650" s="114"/>
      <c r="D2650" s="113"/>
      <c r="E2650" s="113"/>
      <c r="F2650" s="114"/>
      <c r="G2650" s="113"/>
      <c r="H2650" s="113"/>
      <c r="J2650" s="113"/>
    </row>
    <row r="2651" spans="1:10" s="4" customFormat="1" x14ac:dyDescent="0.25">
      <c r="A2651" s="114"/>
      <c r="D2651" s="113"/>
      <c r="E2651" s="113"/>
      <c r="F2651" s="114"/>
      <c r="G2651" s="113"/>
      <c r="H2651" s="113"/>
      <c r="J2651" s="113"/>
    </row>
    <row r="2652" spans="1:10" s="4" customFormat="1" x14ac:dyDescent="0.25">
      <c r="A2652" s="114"/>
      <c r="D2652" s="113"/>
      <c r="E2652" s="113"/>
      <c r="F2652" s="114"/>
      <c r="G2652" s="113"/>
      <c r="H2652" s="113"/>
      <c r="J2652" s="113"/>
    </row>
    <row r="2653" spans="1:10" s="4" customFormat="1" x14ac:dyDescent="0.25">
      <c r="A2653" s="114"/>
      <c r="D2653" s="113"/>
      <c r="E2653" s="113"/>
      <c r="F2653" s="114"/>
      <c r="G2653" s="113"/>
      <c r="H2653" s="113"/>
      <c r="J2653" s="113"/>
    </row>
    <row r="2654" spans="1:10" s="4" customFormat="1" x14ac:dyDescent="0.25">
      <c r="A2654" s="114"/>
      <c r="D2654" s="113"/>
      <c r="E2654" s="113"/>
      <c r="F2654" s="114"/>
      <c r="G2654" s="113"/>
      <c r="H2654" s="113"/>
      <c r="J2654" s="113"/>
    </row>
    <row r="2655" spans="1:10" s="4" customFormat="1" x14ac:dyDescent="0.25">
      <c r="A2655" s="114"/>
      <c r="D2655" s="113"/>
      <c r="E2655" s="113"/>
      <c r="F2655" s="114"/>
      <c r="G2655" s="113"/>
      <c r="H2655" s="113"/>
      <c r="J2655" s="113"/>
    </row>
    <row r="2656" spans="1:10" s="4" customFormat="1" x14ac:dyDescent="0.25">
      <c r="A2656" s="114"/>
      <c r="D2656" s="113"/>
      <c r="E2656" s="113"/>
      <c r="F2656" s="114"/>
      <c r="G2656" s="113"/>
      <c r="H2656" s="113"/>
      <c r="J2656" s="113"/>
    </row>
    <row r="2657" spans="1:10" s="4" customFormat="1" x14ac:dyDescent="0.25">
      <c r="A2657" s="114"/>
      <c r="D2657" s="113"/>
      <c r="E2657" s="113"/>
      <c r="F2657" s="114"/>
      <c r="G2657" s="113"/>
      <c r="H2657" s="113"/>
      <c r="J2657" s="113"/>
    </row>
    <row r="2658" spans="1:10" s="4" customFormat="1" x14ac:dyDescent="0.25">
      <c r="A2658" s="114"/>
      <c r="D2658" s="113"/>
      <c r="E2658" s="113"/>
      <c r="F2658" s="114"/>
      <c r="G2658" s="113"/>
      <c r="H2658" s="113"/>
      <c r="J2658" s="113"/>
    </row>
    <row r="2659" spans="1:10" s="4" customFormat="1" x14ac:dyDescent="0.25">
      <c r="A2659" s="114"/>
      <c r="D2659" s="113"/>
      <c r="E2659" s="113"/>
      <c r="F2659" s="114"/>
      <c r="G2659" s="113"/>
      <c r="H2659" s="113"/>
      <c r="J2659" s="113"/>
    </row>
    <row r="2660" spans="1:10" s="4" customFormat="1" x14ac:dyDescent="0.25">
      <c r="A2660" s="114"/>
      <c r="D2660" s="113"/>
      <c r="E2660" s="113"/>
      <c r="F2660" s="114"/>
      <c r="G2660" s="113"/>
      <c r="H2660" s="113"/>
      <c r="J2660" s="113"/>
    </row>
    <row r="2661" spans="1:10" s="4" customFormat="1" x14ac:dyDescent="0.25">
      <c r="A2661" s="114"/>
      <c r="D2661" s="113"/>
      <c r="E2661" s="113"/>
      <c r="F2661" s="114"/>
      <c r="G2661" s="113"/>
      <c r="H2661" s="113"/>
      <c r="J2661" s="113"/>
    </row>
    <row r="2662" spans="1:10" s="4" customFormat="1" x14ac:dyDescent="0.25">
      <c r="A2662" s="114"/>
      <c r="D2662" s="113"/>
      <c r="E2662" s="113"/>
      <c r="F2662" s="114"/>
      <c r="G2662" s="113"/>
      <c r="H2662" s="113"/>
      <c r="J2662" s="113"/>
    </row>
    <row r="2663" spans="1:10" s="4" customFormat="1" x14ac:dyDescent="0.25">
      <c r="A2663" s="114"/>
      <c r="D2663" s="113"/>
      <c r="E2663" s="113"/>
      <c r="F2663" s="114"/>
      <c r="G2663" s="113"/>
      <c r="H2663" s="113"/>
      <c r="J2663" s="113"/>
    </row>
    <row r="2664" spans="1:10" s="4" customFormat="1" x14ac:dyDescent="0.25">
      <c r="A2664" s="114"/>
      <c r="D2664" s="113"/>
      <c r="E2664" s="113"/>
      <c r="F2664" s="114"/>
      <c r="G2664" s="113"/>
      <c r="H2664" s="113"/>
      <c r="J2664" s="113"/>
    </row>
    <row r="2665" spans="1:10" s="4" customFormat="1" x14ac:dyDescent="0.25">
      <c r="A2665" s="114"/>
      <c r="D2665" s="113"/>
      <c r="E2665" s="113"/>
      <c r="F2665" s="114"/>
      <c r="G2665" s="113"/>
      <c r="H2665" s="113"/>
      <c r="J2665" s="113"/>
    </row>
    <row r="2666" spans="1:10" s="4" customFormat="1" x14ac:dyDescent="0.25">
      <c r="A2666" s="114"/>
      <c r="D2666" s="113"/>
      <c r="E2666" s="113"/>
      <c r="F2666" s="114"/>
      <c r="G2666" s="113"/>
      <c r="H2666" s="113"/>
      <c r="J2666" s="113"/>
    </row>
    <row r="2667" spans="1:10" s="4" customFormat="1" x14ac:dyDescent="0.25">
      <c r="A2667" s="114"/>
      <c r="D2667" s="113"/>
      <c r="E2667" s="113"/>
      <c r="F2667" s="114"/>
      <c r="G2667" s="113"/>
      <c r="H2667" s="113"/>
      <c r="J2667" s="113"/>
    </row>
    <row r="2668" spans="1:10" s="4" customFormat="1" x14ac:dyDescent="0.25">
      <c r="A2668" s="114"/>
      <c r="D2668" s="113"/>
      <c r="E2668" s="113"/>
      <c r="F2668" s="114"/>
      <c r="G2668" s="113"/>
      <c r="H2668" s="113"/>
      <c r="J2668" s="113"/>
    </row>
    <row r="2669" spans="1:10" s="4" customFormat="1" x14ac:dyDescent="0.25">
      <c r="A2669" s="114"/>
      <c r="D2669" s="113"/>
      <c r="E2669" s="113"/>
      <c r="F2669" s="114"/>
      <c r="G2669" s="113"/>
      <c r="H2669" s="113"/>
      <c r="J2669" s="113"/>
    </row>
    <row r="2670" spans="1:10" s="4" customFormat="1" x14ac:dyDescent="0.25">
      <c r="A2670" s="114"/>
      <c r="D2670" s="113"/>
      <c r="E2670" s="113"/>
      <c r="F2670" s="114"/>
      <c r="G2670" s="113"/>
      <c r="H2670" s="113"/>
      <c r="J2670" s="113"/>
    </row>
    <row r="2671" spans="1:10" s="4" customFormat="1" x14ac:dyDescent="0.25">
      <c r="A2671" s="114"/>
      <c r="D2671" s="113"/>
      <c r="E2671" s="113"/>
      <c r="F2671" s="114"/>
      <c r="G2671" s="113"/>
      <c r="H2671" s="113"/>
      <c r="J2671" s="113"/>
    </row>
    <row r="2672" spans="1:10" s="4" customFormat="1" x14ac:dyDescent="0.25">
      <c r="A2672" s="114"/>
      <c r="D2672" s="113"/>
      <c r="E2672" s="113"/>
      <c r="F2672" s="114"/>
      <c r="G2672" s="113"/>
      <c r="H2672" s="113"/>
      <c r="J2672" s="113"/>
    </row>
    <row r="2673" spans="1:10" s="4" customFormat="1" x14ac:dyDescent="0.25">
      <c r="A2673" s="114"/>
      <c r="D2673" s="113"/>
      <c r="E2673" s="113"/>
      <c r="F2673" s="114"/>
      <c r="G2673" s="113"/>
      <c r="H2673" s="113"/>
      <c r="J2673" s="113"/>
    </row>
    <row r="2674" spans="1:10" s="4" customFormat="1" x14ac:dyDescent="0.25">
      <c r="A2674" s="114"/>
      <c r="D2674" s="113"/>
      <c r="E2674" s="113"/>
      <c r="F2674" s="114"/>
      <c r="G2674" s="113"/>
      <c r="H2674" s="113"/>
      <c r="J2674" s="113"/>
    </row>
    <row r="2675" spans="1:10" s="4" customFormat="1" x14ac:dyDescent="0.25">
      <c r="A2675" s="114"/>
      <c r="D2675" s="113"/>
      <c r="E2675" s="113"/>
      <c r="F2675" s="114"/>
      <c r="G2675" s="113"/>
      <c r="H2675" s="113"/>
      <c r="J2675" s="113"/>
    </row>
    <row r="2676" spans="1:10" s="4" customFormat="1" x14ac:dyDescent="0.25">
      <c r="A2676" s="114"/>
      <c r="D2676" s="113"/>
      <c r="E2676" s="113"/>
      <c r="F2676" s="114"/>
      <c r="G2676" s="113"/>
      <c r="H2676" s="113"/>
      <c r="J2676" s="113"/>
    </row>
    <row r="2677" spans="1:10" s="4" customFormat="1" x14ac:dyDescent="0.25">
      <c r="A2677" s="114"/>
      <c r="D2677" s="113"/>
      <c r="E2677" s="113"/>
      <c r="F2677" s="114"/>
      <c r="G2677" s="113"/>
      <c r="H2677" s="113"/>
      <c r="J2677" s="113"/>
    </row>
    <row r="2678" spans="1:10" s="4" customFormat="1" x14ac:dyDescent="0.25">
      <c r="A2678" s="114"/>
      <c r="D2678" s="113"/>
      <c r="E2678" s="113"/>
      <c r="F2678" s="114"/>
      <c r="G2678" s="113"/>
      <c r="H2678" s="113"/>
      <c r="J2678" s="113"/>
    </row>
    <row r="2679" spans="1:10" s="4" customFormat="1" x14ac:dyDescent="0.25">
      <c r="A2679" s="114"/>
      <c r="D2679" s="113"/>
      <c r="E2679" s="113"/>
      <c r="F2679" s="114"/>
      <c r="G2679" s="113"/>
      <c r="H2679" s="113"/>
      <c r="J2679" s="113"/>
    </row>
    <row r="2680" spans="1:10" s="4" customFormat="1" x14ac:dyDescent="0.25">
      <c r="A2680" s="114"/>
      <c r="D2680" s="113"/>
      <c r="E2680" s="113"/>
      <c r="F2680" s="114"/>
      <c r="G2680" s="113"/>
      <c r="H2680" s="113"/>
      <c r="J2680" s="113"/>
    </row>
    <row r="2681" spans="1:10" s="4" customFormat="1" x14ac:dyDescent="0.25">
      <c r="A2681" s="114"/>
      <c r="D2681" s="113"/>
      <c r="E2681" s="113"/>
      <c r="F2681" s="114"/>
      <c r="G2681" s="113"/>
      <c r="H2681" s="113"/>
      <c r="J2681" s="113"/>
    </row>
    <row r="2682" spans="1:10" s="4" customFormat="1" x14ac:dyDescent="0.25">
      <c r="A2682" s="114"/>
      <c r="D2682" s="113"/>
      <c r="E2682" s="113"/>
      <c r="F2682" s="114"/>
      <c r="G2682" s="113"/>
      <c r="H2682" s="113"/>
      <c r="J2682" s="113"/>
    </row>
    <row r="2683" spans="1:10" s="4" customFormat="1" x14ac:dyDescent="0.25">
      <c r="A2683" s="114"/>
      <c r="D2683" s="113"/>
      <c r="E2683" s="113"/>
      <c r="F2683" s="114"/>
      <c r="G2683" s="113"/>
      <c r="H2683" s="113"/>
      <c r="J2683" s="113"/>
    </row>
    <row r="2684" spans="1:10" s="4" customFormat="1" x14ac:dyDescent="0.25">
      <c r="A2684" s="114"/>
      <c r="D2684" s="113"/>
      <c r="E2684" s="113"/>
      <c r="F2684" s="114"/>
      <c r="G2684" s="113"/>
      <c r="H2684" s="113"/>
      <c r="J2684" s="113"/>
    </row>
    <row r="2685" spans="1:10" s="4" customFormat="1" x14ac:dyDescent="0.25">
      <c r="A2685" s="114"/>
      <c r="D2685" s="113"/>
      <c r="E2685" s="113"/>
      <c r="F2685" s="114"/>
      <c r="G2685" s="113"/>
      <c r="H2685" s="113"/>
      <c r="J2685" s="113"/>
    </row>
    <row r="2686" spans="1:10" s="4" customFormat="1" x14ac:dyDescent="0.25">
      <c r="A2686" s="114"/>
      <c r="D2686" s="113"/>
      <c r="E2686" s="113"/>
      <c r="F2686" s="114"/>
      <c r="G2686" s="113"/>
      <c r="H2686" s="113"/>
      <c r="J2686" s="113"/>
    </row>
    <row r="2687" spans="1:10" s="4" customFormat="1" x14ac:dyDescent="0.25">
      <c r="A2687" s="114"/>
      <c r="D2687" s="113"/>
      <c r="E2687" s="113"/>
      <c r="F2687" s="114"/>
      <c r="G2687" s="113"/>
      <c r="H2687" s="113"/>
      <c r="J2687" s="113"/>
    </row>
    <row r="2688" spans="1:10" s="4" customFormat="1" x14ac:dyDescent="0.25">
      <c r="A2688" s="114"/>
      <c r="D2688" s="113"/>
      <c r="E2688" s="113"/>
      <c r="F2688" s="114"/>
      <c r="G2688" s="113"/>
      <c r="H2688" s="113"/>
      <c r="J2688" s="113"/>
    </row>
    <row r="2689" spans="1:10" s="4" customFormat="1" x14ac:dyDescent="0.25">
      <c r="A2689" s="114"/>
      <c r="D2689" s="113"/>
      <c r="E2689" s="113"/>
      <c r="F2689" s="114"/>
      <c r="G2689" s="113"/>
      <c r="H2689" s="113"/>
      <c r="J2689" s="113"/>
    </row>
    <row r="2690" spans="1:10" s="4" customFormat="1" x14ac:dyDescent="0.25">
      <c r="A2690" s="114"/>
      <c r="D2690" s="113"/>
      <c r="E2690" s="113"/>
      <c r="F2690" s="114"/>
      <c r="G2690" s="113"/>
      <c r="H2690" s="113"/>
      <c r="J2690" s="113"/>
    </row>
    <row r="2691" spans="1:10" s="4" customFormat="1" x14ac:dyDescent="0.25">
      <c r="A2691" s="114"/>
      <c r="D2691" s="113"/>
      <c r="E2691" s="113"/>
      <c r="F2691" s="114"/>
      <c r="G2691" s="113"/>
      <c r="H2691" s="113"/>
      <c r="J2691" s="113"/>
    </row>
    <row r="2692" spans="1:10" s="4" customFormat="1" x14ac:dyDescent="0.25">
      <c r="A2692" s="114"/>
      <c r="D2692" s="113"/>
      <c r="E2692" s="113"/>
      <c r="F2692" s="114"/>
      <c r="G2692" s="113"/>
      <c r="H2692" s="113"/>
      <c r="J2692" s="113"/>
    </row>
    <row r="2693" spans="1:10" s="4" customFormat="1" x14ac:dyDescent="0.25">
      <c r="A2693" s="114"/>
      <c r="D2693" s="113"/>
      <c r="E2693" s="113"/>
      <c r="F2693" s="114"/>
      <c r="G2693" s="113"/>
      <c r="H2693" s="113"/>
      <c r="J2693" s="113"/>
    </row>
    <row r="2694" spans="1:10" s="4" customFormat="1" x14ac:dyDescent="0.25">
      <c r="A2694" s="114"/>
      <c r="D2694" s="113"/>
      <c r="E2694" s="113"/>
      <c r="F2694" s="114"/>
      <c r="G2694" s="113"/>
      <c r="H2694" s="113"/>
      <c r="J2694" s="113"/>
    </row>
    <row r="2695" spans="1:10" s="4" customFormat="1" x14ac:dyDescent="0.25">
      <c r="A2695" s="114"/>
      <c r="D2695" s="113"/>
      <c r="E2695" s="113"/>
      <c r="F2695" s="114"/>
      <c r="G2695" s="113"/>
      <c r="H2695" s="113"/>
      <c r="J2695" s="113"/>
    </row>
    <row r="2696" spans="1:10" s="4" customFormat="1" x14ac:dyDescent="0.25">
      <c r="A2696" s="114"/>
      <c r="D2696" s="113"/>
      <c r="E2696" s="113"/>
      <c r="F2696" s="114"/>
      <c r="G2696" s="113"/>
      <c r="H2696" s="113"/>
      <c r="J2696" s="113"/>
    </row>
    <row r="2697" spans="1:10" s="4" customFormat="1" x14ac:dyDescent="0.25">
      <c r="A2697" s="114"/>
      <c r="D2697" s="113"/>
      <c r="E2697" s="113"/>
      <c r="F2697" s="114"/>
      <c r="G2697" s="113"/>
      <c r="H2697" s="113"/>
      <c r="J2697" s="113"/>
    </row>
    <row r="2698" spans="1:10" s="4" customFormat="1" x14ac:dyDescent="0.25">
      <c r="A2698" s="114"/>
      <c r="D2698" s="113"/>
      <c r="E2698" s="113"/>
      <c r="F2698" s="114"/>
      <c r="G2698" s="113"/>
      <c r="H2698" s="113"/>
      <c r="J2698" s="113"/>
    </row>
    <row r="2699" spans="1:10" s="4" customFormat="1" x14ac:dyDescent="0.25">
      <c r="A2699" s="114"/>
      <c r="D2699" s="113"/>
      <c r="E2699" s="113"/>
      <c r="F2699" s="114"/>
      <c r="G2699" s="113"/>
      <c r="H2699" s="113"/>
      <c r="J2699" s="113"/>
    </row>
    <row r="2700" spans="1:10" s="4" customFormat="1" x14ac:dyDescent="0.25">
      <c r="A2700" s="114"/>
      <c r="D2700" s="113"/>
      <c r="E2700" s="113"/>
      <c r="F2700" s="114"/>
      <c r="G2700" s="113"/>
      <c r="H2700" s="113"/>
      <c r="J2700" s="113"/>
    </row>
    <row r="2701" spans="1:10" s="4" customFormat="1" x14ac:dyDescent="0.25">
      <c r="A2701" s="114"/>
      <c r="D2701" s="113"/>
      <c r="E2701" s="113"/>
      <c r="F2701" s="114"/>
      <c r="G2701" s="113"/>
      <c r="H2701" s="113"/>
      <c r="J2701" s="113"/>
    </row>
    <row r="2702" spans="1:10" s="4" customFormat="1" x14ac:dyDescent="0.25">
      <c r="A2702" s="114"/>
      <c r="D2702" s="113"/>
      <c r="E2702" s="113"/>
      <c r="F2702" s="114"/>
      <c r="G2702" s="113"/>
      <c r="H2702" s="113"/>
      <c r="J2702" s="113"/>
    </row>
    <row r="2703" spans="1:10" s="4" customFormat="1" x14ac:dyDescent="0.25">
      <c r="A2703" s="114"/>
      <c r="D2703" s="113"/>
      <c r="E2703" s="113"/>
      <c r="F2703" s="114"/>
      <c r="G2703" s="113"/>
      <c r="H2703" s="113"/>
      <c r="J2703" s="113"/>
    </row>
    <row r="2704" spans="1:10" s="4" customFormat="1" x14ac:dyDescent="0.25">
      <c r="A2704" s="114"/>
      <c r="D2704" s="113"/>
      <c r="E2704" s="113"/>
      <c r="F2704" s="114"/>
      <c r="G2704" s="113"/>
      <c r="H2704" s="113"/>
      <c r="J2704" s="113"/>
    </row>
    <row r="2705" spans="1:10" s="4" customFormat="1" x14ac:dyDescent="0.25">
      <c r="A2705" s="114"/>
      <c r="D2705" s="113"/>
      <c r="E2705" s="113"/>
      <c r="F2705" s="114"/>
      <c r="G2705" s="113"/>
      <c r="H2705" s="113"/>
      <c r="J2705" s="113"/>
    </row>
    <row r="2706" spans="1:10" s="4" customFormat="1" x14ac:dyDescent="0.25">
      <c r="A2706" s="114"/>
      <c r="D2706" s="113"/>
      <c r="E2706" s="113"/>
      <c r="F2706" s="114"/>
      <c r="G2706" s="113"/>
      <c r="H2706" s="113"/>
      <c r="J2706" s="113"/>
    </row>
    <row r="2707" spans="1:10" s="4" customFormat="1" x14ac:dyDescent="0.25">
      <c r="A2707" s="114"/>
      <c r="D2707" s="113"/>
      <c r="E2707" s="113"/>
      <c r="F2707" s="114"/>
      <c r="G2707" s="113"/>
      <c r="H2707" s="113"/>
      <c r="J2707" s="113"/>
    </row>
    <row r="2708" spans="1:10" s="4" customFormat="1" x14ac:dyDescent="0.25">
      <c r="A2708" s="114"/>
      <c r="D2708" s="113"/>
      <c r="E2708" s="113"/>
      <c r="F2708" s="114"/>
      <c r="G2708" s="113"/>
      <c r="H2708" s="113"/>
      <c r="J2708" s="113"/>
    </row>
    <row r="2709" spans="1:10" s="4" customFormat="1" x14ac:dyDescent="0.25">
      <c r="A2709" s="114"/>
      <c r="D2709" s="113"/>
      <c r="E2709" s="113"/>
      <c r="F2709" s="114"/>
      <c r="G2709" s="113"/>
      <c r="H2709" s="113"/>
      <c r="J2709" s="113"/>
    </row>
    <row r="2710" spans="1:10" s="4" customFormat="1" x14ac:dyDescent="0.25">
      <c r="A2710" s="114"/>
      <c r="D2710" s="113"/>
      <c r="E2710" s="113"/>
      <c r="F2710" s="114"/>
      <c r="G2710" s="113"/>
      <c r="H2710" s="113"/>
      <c r="J2710" s="113"/>
    </row>
    <row r="2711" spans="1:10" s="4" customFormat="1" x14ac:dyDescent="0.25">
      <c r="A2711" s="114"/>
      <c r="D2711" s="113"/>
      <c r="E2711" s="113"/>
      <c r="F2711" s="114"/>
      <c r="G2711" s="113"/>
      <c r="H2711" s="113"/>
      <c r="J2711" s="113"/>
    </row>
    <row r="2712" spans="1:10" s="4" customFormat="1" x14ac:dyDescent="0.25">
      <c r="A2712" s="114"/>
      <c r="D2712" s="113"/>
      <c r="E2712" s="113"/>
      <c r="F2712" s="114"/>
      <c r="G2712" s="113"/>
      <c r="H2712" s="113"/>
      <c r="J2712" s="113"/>
    </row>
    <row r="2713" spans="1:10" s="4" customFormat="1" x14ac:dyDescent="0.25">
      <c r="A2713" s="114"/>
      <c r="D2713" s="113"/>
      <c r="E2713" s="113"/>
      <c r="F2713" s="114"/>
      <c r="G2713" s="113"/>
      <c r="H2713" s="113"/>
      <c r="J2713" s="113"/>
    </row>
    <row r="2714" spans="1:10" s="4" customFormat="1" x14ac:dyDescent="0.25">
      <c r="A2714" s="114"/>
      <c r="D2714" s="113"/>
      <c r="E2714" s="113"/>
      <c r="F2714" s="114"/>
      <c r="G2714" s="113"/>
      <c r="H2714" s="113"/>
      <c r="J2714" s="113"/>
    </row>
    <row r="2715" spans="1:10" s="4" customFormat="1" x14ac:dyDescent="0.25">
      <c r="A2715" s="114"/>
      <c r="D2715" s="113"/>
      <c r="E2715" s="113"/>
      <c r="F2715" s="114"/>
      <c r="G2715" s="113"/>
      <c r="H2715" s="113"/>
      <c r="J2715" s="113"/>
    </row>
    <row r="2716" spans="1:10" s="4" customFormat="1" x14ac:dyDescent="0.25">
      <c r="A2716" s="114"/>
      <c r="D2716" s="113"/>
      <c r="E2716" s="113"/>
      <c r="F2716" s="114"/>
      <c r="G2716" s="113"/>
      <c r="H2716" s="113"/>
      <c r="J2716" s="113"/>
    </row>
    <row r="2717" spans="1:10" s="4" customFormat="1" x14ac:dyDescent="0.25">
      <c r="A2717" s="114"/>
      <c r="D2717" s="113"/>
      <c r="E2717" s="113"/>
      <c r="F2717" s="114"/>
      <c r="G2717" s="113"/>
      <c r="H2717" s="113"/>
      <c r="J2717" s="113"/>
    </row>
    <row r="2718" spans="1:10" s="4" customFormat="1" x14ac:dyDescent="0.25">
      <c r="A2718" s="114"/>
      <c r="D2718" s="113"/>
      <c r="E2718" s="113"/>
      <c r="F2718" s="114"/>
      <c r="G2718" s="113"/>
      <c r="H2718" s="113"/>
      <c r="J2718" s="113"/>
    </row>
    <row r="2719" spans="1:10" s="4" customFormat="1" x14ac:dyDescent="0.25">
      <c r="A2719" s="114"/>
      <c r="D2719" s="113"/>
      <c r="E2719" s="113"/>
      <c r="F2719" s="114"/>
      <c r="G2719" s="113"/>
      <c r="H2719" s="113"/>
      <c r="J2719" s="113"/>
    </row>
    <row r="2720" spans="1:10" s="4" customFormat="1" x14ac:dyDescent="0.25">
      <c r="A2720" s="114"/>
      <c r="D2720" s="113"/>
      <c r="E2720" s="113"/>
      <c r="F2720" s="114"/>
      <c r="G2720" s="113"/>
      <c r="H2720" s="113"/>
      <c r="J2720" s="113"/>
    </row>
    <row r="2721" spans="1:10" s="4" customFormat="1" x14ac:dyDescent="0.25">
      <c r="A2721" s="114"/>
      <c r="D2721" s="113"/>
      <c r="E2721" s="113"/>
      <c r="F2721" s="114"/>
      <c r="G2721" s="113"/>
      <c r="H2721" s="113"/>
      <c r="J2721" s="113"/>
    </row>
    <row r="2722" spans="1:10" s="4" customFormat="1" x14ac:dyDescent="0.25">
      <c r="A2722" s="114"/>
      <c r="D2722" s="113"/>
      <c r="E2722" s="113"/>
      <c r="F2722" s="114"/>
      <c r="G2722" s="113"/>
      <c r="H2722" s="113"/>
      <c r="J2722" s="113"/>
    </row>
    <row r="2723" spans="1:10" s="4" customFormat="1" x14ac:dyDescent="0.25">
      <c r="A2723" s="114"/>
      <c r="D2723" s="113"/>
      <c r="E2723" s="113"/>
      <c r="F2723" s="114"/>
      <c r="G2723" s="113"/>
      <c r="H2723" s="113"/>
      <c r="J2723" s="113"/>
    </row>
    <row r="2724" spans="1:10" s="4" customFormat="1" x14ac:dyDescent="0.25">
      <c r="A2724" s="114"/>
      <c r="D2724" s="113"/>
      <c r="E2724" s="113"/>
      <c r="F2724" s="114"/>
      <c r="G2724" s="113"/>
      <c r="H2724" s="113"/>
      <c r="J2724" s="113"/>
    </row>
    <row r="2725" spans="1:10" s="4" customFormat="1" x14ac:dyDescent="0.25">
      <c r="A2725" s="114"/>
      <c r="D2725" s="113"/>
      <c r="E2725" s="113"/>
      <c r="F2725" s="114"/>
      <c r="G2725" s="113"/>
      <c r="H2725" s="113"/>
      <c r="J2725" s="113"/>
    </row>
    <row r="2726" spans="1:10" s="4" customFormat="1" x14ac:dyDescent="0.25">
      <c r="A2726" s="114"/>
      <c r="D2726" s="113"/>
      <c r="E2726" s="113"/>
      <c r="F2726" s="114"/>
      <c r="G2726" s="113"/>
      <c r="H2726" s="113"/>
      <c r="J2726" s="113"/>
    </row>
    <row r="2727" spans="1:10" s="4" customFormat="1" x14ac:dyDescent="0.25">
      <c r="A2727" s="114"/>
      <c r="D2727" s="113"/>
      <c r="E2727" s="113"/>
      <c r="F2727" s="114"/>
      <c r="G2727" s="113"/>
      <c r="H2727" s="113"/>
      <c r="J2727" s="113"/>
    </row>
    <row r="2728" spans="1:10" s="4" customFormat="1" x14ac:dyDescent="0.25">
      <c r="A2728" s="114"/>
      <c r="D2728" s="113"/>
      <c r="E2728" s="113"/>
      <c r="F2728" s="114"/>
      <c r="G2728" s="113"/>
      <c r="H2728" s="113"/>
      <c r="J2728" s="113"/>
    </row>
    <row r="2729" spans="1:10" s="4" customFormat="1" x14ac:dyDescent="0.25">
      <c r="A2729" s="114"/>
      <c r="D2729" s="113"/>
      <c r="E2729" s="113"/>
      <c r="F2729" s="114"/>
      <c r="G2729" s="113"/>
      <c r="H2729" s="113"/>
      <c r="J2729" s="113"/>
    </row>
    <row r="2730" spans="1:10" s="4" customFormat="1" x14ac:dyDescent="0.25">
      <c r="A2730" s="114"/>
      <c r="D2730" s="113"/>
      <c r="E2730" s="113"/>
      <c r="F2730" s="114"/>
      <c r="G2730" s="113"/>
      <c r="H2730" s="113"/>
      <c r="J2730" s="113"/>
    </row>
    <row r="2731" spans="1:10" s="4" customFormat="1" x14ac:dyDescent="0.25">
      <c r="A2731" s="114"/>
      <c r="D2731" s="113"/>
      <c r="E2731" s="113"/>
      <c r="F2731" s="114"/>
      <c r="G2731" s="113"/>
      <c r="H2731" s="113"/>
      <c r="J2731" s="113"/>
    </row>
    <row r="2732" spans="1:10" s="4" customFormat="1" x14ac:dyDescent="0.25">
      <c r="A2732" s="114"/>
      <c r="D2732" s="113"/>
      <c r="E2732" s="113"/>
      <c r="F2732" s="114"/>
      <c r="G2732" s="113"/>
      <c r="H2732" s="113"/>
      <c r="J2732" s="113"/>
    </row>
    <row r="2733" spans="1:10" s="4" customFormat="1" x14ac:dyDescent="0.25">
      <c r="A2733" s="114"/>
      <c r="D2733" s="113"/>
      <c r="E2733" s="113"/>
      <c r="F2733" s="114"/>
      <c r="G2733" s="113"/>
      <c r="H2733" s="113"/>
      <c r="J2733" s="113"/>
    </row>
    <row r="2734" spans="1:10" s="4" customFormat="1" x14ac:dyDescent="0.25">
      <c r="A2734" s="114"/>
      <c r="D2734" s="113"/>
      <c r="E2734" s="113"/>
      <c r="F2734" s="114"/>
      <c r="G2734" s="113"/>
      <c r="H2734" s="113"/>
      <c r="J2734" s="113"/>
    </row>
    <row r="2735" spans="1:10" s="4" customFormat="1" x14ac:dyDescent="0.25">
      <c r="A2735" s="114"/>
      <c r="D2735" s="113"/>
      <c r="E2735" s="113"/>
      <c r="F2735" s="114"/>
      <c r="G2735" s="113"/>
      <c r="H2735" s="113"/>
      <c r="J2735" s="113"/>
    </row>
    <row r="2736" spans="1:10" s="4" customFormat="1" x14ac:dyDescent="0.25">
      <c r="A2736" s="114"/>
      <c r="D2736" s="113"/>
      <c r="E2736" s="113"/>
      <c r="F2736" s="114"/>
      <c r="G2736" s="113"/>
      <c r="H2736" s="113"/>
      <c r="J2736" s="113"/>
    </row>
    <row r="2737" spans="1:10" s="4" customFormat="1" x14ac:dyDescent="0.25">
      <c r="A2737" s="114"/>
      <c r="D2737" s="113"/>
      <c r="E2737" s="113"/>
      <c r="F2737" s="114"/>
      <c r="G2737" s="113"/>
      <c r="H2737" s="113"/>
      <c r="J2737" s="113"/>
    </row>
    <row r="2738" spans="1:10" s="4" customFormat="1" x14ac:dyDescent="0.25">
      <c r="A2738" s="114"/>
      <c r="D2738" s="113"/>
      <c r="E2738" s="113"/>
      <c r="F2738" s="114"/>
      <c r="G2738" s="113"/>
      <c r="H2738" s="113"/>
      <c r="J2738" s="113"/>
    </row>
    <row r="2739" spans="1:10" s="4" customFormat="1" x14ac:dyDescent="0.25">
      <c r="A2739" s="114"/>
      <c r="D2739" s="113"/>
      <c r="E2739" s="113"/>
      <c r="F2739" s="114"/>
      <c r="G2739" s="113"/>
      <c r="H2739" s="113"/>
      <c r="J2739" s="113"/>
    </row>
    <row r="2740" spans="1:10" s="4" customFormat="1" x14ac:dyDescent="0.25">
      <c r="A2740" s="114"/>
      <c r="D2740" s="113"/>
      <c r="E2740" s="113"/>
      <c r="F2740" s="114"/>
      <c r="G2740" s="113"/>
      <c r="H2740" s="113"/>
      <c r="J2740" s="113"/>
    </row>
    <row r="2741" spans="1:10" s="4" customFormat="1" x14ac:dyDescent="0.25">
      <c r="A2741" s="114"/>
      <c r="D2741" s="113"/>
      <c r="E2741" s="113"/>
      <c r="F2741" s="114"/>
      <c r="G2741" s="113"/>
      <c r="H2741" s="113"/>
      <c r="J2741" s="113"/>
    </row>
    <row r="2742" spans="1:10" s="4" customFormat="1" x14ac:dyDescent="0.25">
      <c r="A2742" s="114"/>
      <c r="D2742" s="113"/>
      <c r="E2742" s="113"/>
      <c r="F2742" s="114"/>
      <c r="G2742" s="113"/>
      <c r="H2742" s="113"/>
      <c r="J2742" s="113"/>
    </row>
    <row r="2743" spans="1:10" s="4" customFormat="1" x14ac:dyDescent="0.25">
      <c r="A2743" s="114"/>
      <c r="D2743" s="113"/>
      <c r="E2743" s="113"/>
      <c r="F2743" s="114"/>
      <c r="G2743" s="113"/>
      <c r="H2743" s="113"/>
      <c r="J2743" s="113"/>
    </row>
    <row r="2744" spans="1:10" s="4" customFormat="1" x14ac:dyDescent="0.25">
      <c r="A2744" s="114"/>
      <c r="D2744" s="113"/>
      <c r="E2744" s="113"/>
      <c r="F2744" s="114"/>
      <c r="G2744" s="113"/>
      <c r="H2744" s="113"/>
      <c r="J2744" s="113"/>
    </row>
    <row r="2745" spans="1:10" s="4" customFormat="1" x14ac:dyDescent="0.25">
      <c r="A2745" s="114"/>
      <c r="D2745" s="113"/>
      <c r="E2745" s="113"/>
      <c r="F2745" s="114"/>
      <c r="G2745" s="113"/>
      <c r="H2745" s="113"/>
      <c r="J2745" s="113"/>
    </row>
    <row r="2746" spans="1:10" s="4" customFormat="1" x14ac:dyDescent="0.25">
      <c r="A2746" s="114"/>
      <c r="D2746" s="113"/>
      <c r="E2746" s="113"/>
      <c r="F2746" s="114"/>
      <c r="G2746" s="113"/>
      <c r="H2746" s="113"/>
      <c r="J2746" s="113"/>
    </row>
    <row r="2747" spans="1:10" s="4" customFormat="1" x14ac:dyDescent="0.25">
      <c r="A2747" s="114"/>
      <c r="D2747" s="113"/>
      <c r="E2747" s="113"/>
      <c r="F2747" s="114"/>
      <c r="G2747" s="113"/>
      <c r="H2747" s="113"/>
      <c r="J2747" s="113"/>
    </row>
    <row r="2748" spans="1:10" s="4" customFormat="1" x14ac:dyDescent="0.25">
      <c r="A2748" s="114"/>
      <c r="D2748" s="113"/>
      <c r="E2748" s="113"/>
      <c r="F2748" s="114"/>
      <c r="G2748" s="113"/>
      <c r="H2748" s="113"/>
      <c r="J2748" s="113"/>
    </row>
    <row r="2749" spans="1:10" s="4" customFormat="1" x14ac:dyDescent="0.25">
      <c r="A2749" s="114"/>
      <c r="D2749" s="113"/>
      <c r="E2749" s="113"/>
      <c r="F2749" s="114"/>
      <c r="G2749" s="113"/>
      <c r="H2749" s="113"/>
      <c r="J2749" s="113"/>
    </row>
    <row r="2750" spans="1:10" s="4" customFormat="1" x14ac:dyDescent="0.25">
      <c r="A2750" s="114"/>
      <c r="D2750" s="113"/>
      <c r="E2750" s="113"/>
      <c r="F2750" s="114"/>
      <c r="G2750" s="113"/>
      <c r="H2750" s="113"/>
      <c r="J2750" s="113"/>
    </row>
    <row r="2751" spans="1:10" s="4" customFormat="1" x14ac:dyDescent="0.25">
      <c r="A2751" s="114"/>
      <c r="D2751" s="113"/>
      <c r="E2751" s="113"/>
      <c r="F2751" s="114"/>
      <c r="G2751" s="113"/>
      <c r="H2751" s="113"/>
      <c r="J2751" s="113"/>
    </row>
    <row r="2752" spans="1:10" s="4" customFormat="1" x14ac:dyDescent="0.25">
      <c r="A2752" s="114"/>
      <c r="D2752" s="113"/>
      <c r="E2752" s="113"/>
      <c r="F2752" s="114"/>
      <c r="G2752" s="113"/>
      <c r="H2752" s="113"/>
      <c r="J2752" s="113"/>
    </row>
    <row r="2753" spans="1:10" s="4" customFormat="1" x14ac:dyDescent="0.25">
      <c r="A2753" s="114"/>
      <c r="D2753" s="113"/>
      <c r="E2753" s="113"/>
      <c r="F2753" s="114"/>
      <c r="G2753" s="113"/>
      <c r="H2753" s="113"/>
      <c r="J2753" s="113"/>
    </row>
    <row r="2754" spans="1:10" s="4" customFormat="1" x14ac:dyDescent="0.25">
      <c r="A2754" s="114"/>
      <c r="D2754" s="113"/>
      <c r="E2754" s="113"/>
      <c r="F2754" s="114"/>
      <c r="G2754" s="113"/>
      <c r="H2754" s="113"/>
      <c r="J2754" s="113"/>
    </row>
    <row r="2755" spans="1:10" s="4" customFormat="1" x14ac:dyDescent="0.25">
      <c r="A2755" s="114"/>
      <c r="D2755" s="113"/>
      <c r="E2755" s="113"/>
      <c r="F2755" s="114"/>
      <c r="G2755" s="113"/>
      <c r="H2755" s="113"/>
      <c r="J2755" s="113"/>
    </row>
    <row r="2756" spans="1:10" s="4" customFormat="1" x14ac:dyDescent="0.25">
      <c r="A2756" s="114"/>
      <c r="D2756" s="113"/>
      <c r="E2756" s="113"/>
      <c r="F2756" s="114"/>
      <c r="G2756" s="113"/>
      <c r="H2756" s="113"/>
      <c r="J2756" s="113"/>
    </row>
    <row r="2757" spans="1:10" s="4" customFormat="1" x14ac:dyDescent="0.25">
      <c r="A2757" s="114"/>
      <c r="D2757" s="113"/>
      <c r="E2757" s="113"/>
      <c r="F2757" s="114"/>
      <c r="G2757" s="113"/>
      <c r="H2757" s="113"/>
      <c r="J2757" s="113"/>
    </row>
    <row r="2758" spans="1:10" s="4" customFormat="1" x14ac:dyDescent="0.25">
      <c r="A2758" s="114"/>
      <c r="D2758" s="113"/>
      <c r="E2758" s="113"/>
      <c r="F2758" s="114"/>
      <c r="G2758" s="113"/>
      <c r="H2758" s="113"/>
      <c r="J2758" s="113"/>
    </row>
    <row r="2759" spans="1:10" s="4" customFormat="1" x14ac:dyDescent="0.25">
      <c r="A2759" s="114"/>
      <c r="D2759" s="113"/>
      <c r="E2759" s="113"/>
      <c r="F2759" s="114"/>
      <c r="G2759" s="113"/>
      <c r="H2759" s="113"/>
      <c r="J2759" s="113"/>
    </row>
    <row r="2760" spans="1:10" s="4" customFormat="1" x14ac:dyDescent="0.25">
      <c r="A2760" s="114"/>
      <c r="D2760" s="113"/>
      <c r="E2760" s="113"/>
      <c r="F2760" s="114"/>
      <c r="G2760" s="113"/>
      <c r="H2760" s="113"/>
      <c r="J2760" s="113"/>
    </row>
    <row r="2761" spans="1:10" s="4" customFormat="1" x14ac:dyDescent="0.25">
      <c r="A2761" s="114"/>
      <c r="D2761" s="113"/>
      <c r="E2761" s="113"/>
      <c r="F2761" s="114"/>
      <c r="G2761" s="113"/>
      <c r="H2761" s="113"/>
      <c r="J2761" s="113"/>
    </row>
  </sheetData>
  <sheetProtection sheet="1" objects="1" scenarios="1"/>
  <mergeCells count="1">
    <mergeCell ref="A1:J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B17" sqref="B17:B1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5" t="s">
        <v>9483</v>
      </c>
      <c r="B1" s="105" t="s">
        <v>9484</v>
      </c>
      <c r="C1" s="105" t="s">
        <v>9485</v>
      </c>
      <c r="D1" s="105" t="s">
        <v>9486</v>
      </c>
      <c r="E1" s="105" t="s">
        <v>9487</v>
      </c>
      <c r="F1" s="105" t="s">
        <v>9488</v>
      </c>
      <c r="G1" s="105" t="s">
        <v>9489</v>
      </c>
      <c r="H1" s="105" t="s">
        <v>9490</v>
      </c>
      <c r="I1" s="105" t="s">
        <v>9491</v>
      </c>
      <c r="J1" s="105" t="s">
        <v>9492</v>
      </c>
      <c r="K1" s="105" t="s">
        <v>9493</v>
      </c>
      <c r="L1" s="105" t="s">
        <v>9714</v>
      </c>
    </row>
    <row r="2" spans="1:12" x14ac:dyDescent="0.25">
      <c r="A2" s="106" t="s">
        <v>9494</v>
      </c>
      <c r="B2" s="105"/>
      <c r="C2" s="105" t="s">
        <v>9495</v>
      </c>
      <c r="D2" s="105"/>
      <c r="E2" s="105" t="s">
        <v>9496</v>
      </c>
      <c r="F2" s="105" t="s">
        <v>9497</v>
      </c>
      <c r="G2" s="105" t="s">
        <v>9498</v>
      </c>
      <c r="H2" s="105" t="s">
        <v>9499</v>
      </c>
      <c r="I2" s="105" t="s">
        <v>9500</v>
      </c>
      <c r="J2" s="106" t="s">
        <v>9494</v>
      </c>
      <c r="K2" s="105"/>
      <c r="L2" s="105" t="s">
        <v>9495</v>
      </c>
    </row>
    <row r="3" spans="1:12" x14ac:dyDescent="0.25">
      <c r="A3" s="106" t="s">
        <v>55</v>
      </c>
      <c r="B3" s="105" t="s">
        <v>9501</v>
      </c>
      <c r="C3" s="105" t="s">
        <v>9167</v>
      </c>
      <c r="D3" s="105">
        <v>1</v>
      </c>
      <c r="E3" s="105" t="s">
        <v>9502</v>
      </c>
      <c r="F3" s="105" t="s">
        <v>9503</v>
      </c>
      <c r="G3" s="105" t="s">
        <v>9504</v>
      </c>
      <c r="H3" s="105" t="s">
        <v>9505</v>
      </c>
      <c r="I3" s="105" t="s">
        <v>9506</v>
      </c>
      <c r="J3" s="106" t="s">
        <v>55</v>
      </c>
      <c r="K3" s="105" t="str">
        <f>CONCATENATE(Tabla1[[#This Row],[EQUIVALENCIA]],". ",Tabla1[[#This Row],[CAMUFLADO]])</f>
        <v>01. Pitón Gris</v>
      </c>
      <c r="L3" s="105" t="s">
        <v>9167</v>
      </c>
    </row>
    <row r="4" spans="1:12" x14ac:dyDescent="0.25">
      <c r="A4" s="106" t="s">
        <v>9507</v>
      </c>
      <c r="B4" s="105" t="s">
        <v>9508</v>
      </c>
      <c r="C4" s="105" t="s">
        <v>9509</v>
      </c>
      <c r="D4" s="105">
        <v>2</v>
      </c>
      <c r="E4" s="105" t="s">
        <v>9510</v>
      </c>
      <c r="F4" s="105"/>
      <c r="G4" s="105" t="s">
        <v>9511</v>
      </c>
      <c r="H4" s="105" t="s">
        <v>9512</v>
      </c>
      <c r="I4" s="105"/>
      <c r="J4" s="106" t="s">
        <v>9507</v>
      </c>
      <c r="K4" s="105" t="str">
        <f>CONCATENATE(Tabla1[[#This Row],[EQUIVALENCIA]],". ",Tabla1[[#This Row],[CAMUFLADO]])</f>
        <v>02. Pitón Beige</v>
      </c>
      <c r="L4" s="105" t="s">
        <v>9509</v>
      </c>
    </row>
    <row r="5" spans="1:12" x14ac:dyDescent="0.25">
      <c r="A5" s="106" t="s">
        <v>9513</v>
      </c>
      <c r="B5" s="105" t="s">
        <v>9514</v>
      </c>
      <c r="C5" s="105" t="s">
        <v>9515</v>
      </c>
      <c r="D5" s="105">
        <v>3</v>
      </c>
      <c r="E5" s="105"/>
      <c r="F5" s="105"/>
      <c r="G5" s="105"/>
      <c r="H5" s="105" t="s">
        <v>9516</v>
      </c>
      <c r="I5" s="105"/>
      <c r="J5" s="106" t="s">
        <v>9513</v>
      </c>
      <c r="K5" s="105" t="str">
        <f>CONCATENATE(Tabla1[[#This Row],[EQUIVALENCIA]],". ",Tabla1[[#This Row],[CAMUFLADO]])</f>
        <v>03. Beige</v>
      </c>
      <c r="L5" s="105" t="s">
        <v>9515</v>
      </c>
    </row>
    <row r="6" spans="1:12" x14ac:dyDescent="0.25">
      <c r="A6" s="106" t="s">
        <v>9517</v>
      </c>
      <c r="B6" s="105" t="s">
        <v>9518</v>
      </c>
      <c r="C6" s="105" t="s">
        <v>9519</v>
      </c>
      <c r="D6" s="105">
        <v>4</v>
      </c>
      <c r="E6" s="105"/>
      <c r="F6" s="105"/>
      <c r="G6" s="105"/>
      <c r="H6" s="105" t="s">
        <v>9520</v>
      </c>
      <c r="I6" s="105"/>
      <c r="J6" s="106" t="s">
        <v>9517</v>
      </c>
      <c r="K6" s="105" t="str">
        <f>CONCATENATE(Tabla1[[#This Row],[EQUIVALENCIA]],". ",Tabla1[[#This Row],[CAMUFLADO]])</f>
        <v>04. Woodland</v>
      </c>
      <c r="L6" s="105" t="s">
        <v>9519</v>
      </c>
    </row>
    <row r="7" spans="1:12" x14ac:dyDescent="0.25">
      <c r="A7" s="106" t="s">
        <v>9521</v>
      </c>
      <c r="B7" s="105" t="s">
        <v>9522</v>
      </c>
      <c r="C7" s="105" t="s">
        <v>9523</v>
      </c>
      <c r="D7" s="105">
        <v>5</v>
      </c>
      <c r="E7" s="105"/>
      <c r="F7" s="105"/>
      <c r="G7" s="105"/>
      <c r="H7" s="105" t="s">
        <v>9524</v>
      </c>
      <c r="I7" s="105"/>
      <c r="J7" s="106" t="s">
        <v>9521</v>
      </c>
      <c r="K7" s="105" t="str">
        <f>CONCATENATE(Tabla1[[#This Row],[EQUIVALENCIA]],". ",Tabla1[[#This Row],[CAMUFLADO]])</f>
        <v>05. Digital Desert</v>
      </c>
      <c r="L7" s="105" t="s">
        <v>9523</v>
      </c>
    </row>
    <row r="8" spans="1:12" x14ac:dyDescent="0.25">
      <c r="A8" s="106" t="s">
        <v>9525</v>
      </c>
      <c r="B8" s="105" t="s">
        <v>9526</v>
      </c>
      <c r="C8" s="105" t="s">
        <v>9527</v>
      </c>
      <c r="D8" s="105">
        <v>6</v>
      </c>
      <c r="E8" s="105"/>
      <c r="F8" s="105"/>
      <c r="G8" s="105"/>
      <c r="H8" s="105" t="s">
        <v>9528</v>
      </c>
      <c r="I8" s="105"/>
      <c r="J8" s="106" t="s">
        <v>9525</v>
      </c>
      <c r="K8" s="105" t="str">
        <f>CONCATENATE(Tabla1[[#This Row],[EQUIVALENCIA]],". ",Tabla1[[#This Row],[CAMUFLADO]])</f>
        <v>06. Verde</v>
      </c>
      <c r="L8" s="105" t="s">
        <v>9527</v>
      </c>
    </row>
    <row r="9" spans="1:12" x14ac:dyDescent="0.25">
      <c r="A9" s="106" t="s">
        <v>9529</v>
      </c>
      <c r="B9" s="105" t="s">
        <v>9530</v>
      </c>
      <c r="C9" s="105" t="s">
        <v>9531</v>
      </c>
      <c r="D9" s="105">
        <v>7</v>
      </c>
      <c r="E9" s="105"/>
      <c r="F9" s="105"/>
      <c r="G9" s="105"/>
      <c r="H9" s="105" t="s">
        <v>9532</v>
      </c>
      <c r="I9" s="105"/>
      <c r="J9" s="106" t="s">
        <v>9529</v>
      </c>
      <c r="K9" s="105" t="str">
        <f>CONCATENATE(Tabla1[[#This Row],[EQUIVALENCIA]],". ",Tabla1[[#This Row],[CAMUFLADO]])</f>
        <v>07. Acu</v>
      </c>
      <c r="L9" s="105" t="s">
        <v>9531</v>
      </c>
    </row>
    <row r="10" spans="1:12" x14ac:dyDescent="0.25">
      <c r="A10" s="106" t="s">
        <v>9533</v>
      </c>
      <c r="B10" s="105" t="s">
        <v>9534</v>
      </c>
      <c r="C10" s="105" t="s">
        <v>9535</v>
      </c>
      <c r="D10" s="105">
        <v>8</v>
      </c>
      <c r="E10" s="105"/>
      <c r="F10" s="105"/>
      <c r="G10" s="105"/>
      <c r="H10" s="105"/>
      <c r="I10" s="105"/>
      <c r="J10" s="106" t="s">
        <v>9533</v>
      </c>
      <c r="K10" s="105" t="str">
        <f>CONCATENATE(Tabla1[[#This Row],[EQUIVALENCIA]],". ",Tabla1[[#This Row],[CAMUFLADO]])</f>
        <v>08. Multicam</v>
      </c>
      <c r="L10" s="105" t="s">
        <v>9535</v>
      </c>
    </row>
    <row r="11" spans="1:12" x14ac:dyDescent="0.25">
      <c r="A11" s="106" t="s">
        <v>9536</v>
      </c>
      <c r="B11" s="105" t="s">
        <v>9537</v>
      </c>
      <c r="C11" s="105" t="s">
        <v>9538</v>
      </c>
      <c r="D11" s="105">
        <v>9</v>
      </c>
      <c r="E11" s="105"/>
      <c r="F11" s="105"/>
      <c r="G11" s="105"/>
      <c r="H11" s="105"/>
      <c r="I11" s="105"/>
      <c r="J11" s="106" t="s">
        <v>9536</v>
      </c>
      <c r="K11" s="105" t="str">
        <f>CONCATENATE(Tabla1[[#This Row],[EQUIVALENCIA]],". ",Tabla1[[#This Row],[CAMUFLADO]])</f>
        <v>09. Negro</v>
      </c>
      <c r="L11" s="105" t="s">
        <v>9538</v>
      </c>
    </row>
    <row r="12" spans="1:12" x14ac:dyDescent="0.25">
      <c r="A12" s="106" t="s">
        <v>60</v>
      </c>
      <c r="B12" s="105" t="s">
        <v>9539</v>
      </c>
      <c r="C12" s="105" t="s">
        <v>9540</v>
      </c>
      <c r="D12" s="105">
        <v>10</v>
      </c>
      <c r="E12" s="105"/>
      <c r="F12" s="105"/>
      <c r="G12" s="105"/>
      <c r="H12" s="105"/>
      <c r="I12" s="105"/>
      <c r="J12" s="106" t="s">
        <v>60</v>
      </c>
      <c r="K12" s="105" t="str">
        <f>CONCATENATE(Tabla1[[#This Row],[EQUIVALENCIA]],". ",Tabla1[[#This Row],[CAMUFLADO]])</f>
        <v>10. Tri Desert</v>
      </c>
      <c r="L12" s="105" t="s">
        <v>9540</v>
      </c>
    </row>
    <row r="13" spans="1:12" x14ac:dyDescent="0.25">
      <c r="A13" s="106" t="s">
        <v>9541</v>
      </c>
      <c r="B13" s="105" t="s">
        <v>9542</v>
      </c>
      <c r="C13" s="105" t="s">
        <v>9543</v>
      </c>
      <c r="D13" s="105">
        <v>11</v>
      </c>
      <c r="E13" s="105"/>
      <c r="F13" s="105"/>
      <c r="G13" s="105"/>
      <c r="H13" s="105"/>
      <c r="I13" s="105"/>
      <c r="J13" s="106" t="s">
        <v>9541</v>
      </c>
      <c r="K13" s="105" t="str">
        <f>CONCATENATE(Tabla1[[#This Row],[EQUIVALENCIA]],". ",Tabla1[[#This Row],[CAMUFLADO]])</f>
        <v>11. Digital Woodland</v>
      </c>
      <c r="L13" s="105" t="s">
        <v>9543</v>
      </c>
    </row>
    <row r="14" spans="1:12" x14ac:dyDescent="0.25">
      <c r="A14" s="106" t="s">
        <v>9544</v>
      </c>
      <c r="B14" s="105" t="s">
        <v>9545</v>
      </c>
      <c r="C14" s="105"/>
      <c r="D14" s="105">
        <v>12</v>
      </c>
      <c r="E14" s="105"/>
      <c r="F14" s="105"/>
      <c r="G14" s="105"/>
      <c r="H14" s="105"/>
      <c r="I14" s="105"/>
      <c r="J14" s="106" t="s">
        <v>9544</v>
      </c>
      <c r="K14" s="105" t="str">
        <f>CONCATENATE(Tabla1[[#This Row],[EQUIVALENCIA]],". ",Tabla1[[#This Row],[CAMUFLADO]])</f>
        <v>12. Pitón Verde</v>
      </c>
      <c r="L14" s="105" t="s">
        <v>9496</v>
      </c>
    </row>
    <row r="15" spans="1:12" x14ac:dyDescent="0.25">
      <c r="A15" s="106" t="s">
        <v>9546</v>
      </c>
      <c r="B15" s="105" t="s">
        <v>9547</v>
      </c>
      <c r="C15" s="105"/>
      <c r="D15" s="105">
        <v>13</v>
      </c>
      <c r="E15" s="105"/>
      <c r="F15" s="105"/>
      <c r="G15" s="105"/>
      <c r="H15" s="105"/>
      <c r="I15" s="105"/>
      <c r="J15" s="106" t="s">
        <v>9546</v>
      </c>
      <c r="K15" s="105" t="str">
        <f>CONCATENATE(Tabla1[[#This Row],[EQUIVALENCIA]],". ",Tabla1[[#This Row],[CAMUFLADO]])</f>
        <v>13. Gris</v>
      </c>
      <c r="L15" s="105" t="s">
        <v>9502</v>
      </c>
    </row>
    <row r="16" spans="1:12" x14ac:dyDescent="0.25">
      <c r="A16" s="106" t="s">
        <v>1473</v>
      </c>
      <c r="B16" s="105" t="s">
        <v>9548</v>
      </c>
      <c r="C16" s="105"/>
      <c r="D16" s="105">
        <v>14</v>
      </c>
      <c r="E16" s="105"/>
      <c r="F16" s="105"/>
      <c r="G16" s="105"/>
      <c r="H16" s="105"/>
      <c r="I16" s="105"/>
      <c r="J16" s="106" t="s">
        <v>1473</v>
      </c>
      <c r="K16" s="105" t="str">
        <f>CONCATENATE(Tabla1[[#This Row],[EQUIVALENCIA]],". ",Tabla1[[#This Row],[CAMUFLADO]])</f>
        <v>14. Real Tree</v>
      </c>
      <c r="L16" s="105" t="s">
        <v>9510</v>
      </c>
    </row>
    <row r="17" spans="1:12" x14ac:dyDescent="0.25">
      <c r="A17" s="106" t="s">
        <v>41</v>
      </c>
      <c r="B17" s="105" t="s">
        <v>9549</v>
      </c>
      <c r="C17" s="105"/>
      <c r="D17" s="105">
        <v>15</v>
      </c>
      <c r="E17" s="105"/>
      <c r="F17" s="105"/>
      <c r="G17" s="105"/>
      <c r="H17" s="105"/>
      <c r="I17" s="105"/>
      <c r="J17" s="106" t="s">
        <v>41</v>
      </c>
      <c r="K17" s="105" t="str">
        <f>CONCATENATE(Tabla1[[#This Row],[EQUIVALENCIA]],". ",Tabla1[[#This Row],[CAMUFLADO]])</f>
        <v>15. Digital Tiger Woodland</v>
      </c>
      <c r="L17" s="105" t="s">
        <v>9497</v>
      </c>
    </row>
    <row r="18" spans="1:12" x14ac:dyDescent="0.25">
      <c r="A18" s="106" t="s">
        <v>76</v>
      </c>
      <c r="B18" s="105" t="s">
        <v>9550</v>
      </c>
      <c r="C18" s="105"/>
      <c r="D18" s="105">
        <v>16</v>
      </c>
      <c r="E18" s="105"/>
      <c r="F18" s="105"/>
      <c r="G18" s="105"/>
      <c r="H18" s="105"/>
      <c r="I18" s="105"/>
      <c r="J18" s="106" t="s">
        <v>76</v>
      </c>
      <c r="K18" s="105" t="str">
        <f>CONCATENATE(Tabla1[[#This Row],[EQUIVALENCIA]],". ",Tabla1[[#This Row],[CAMUFLADO]])</f>
        <v>16. Digital Fuerza Aérea</v>
      </c>
      <c r="L18" s="105" t="s">
        <v>9503</v>
      </c>
    </row>
    <row r="19" spans="1:12" x14ac:dyDescent="0.25">
      <c r="A19" s="106" t="s">
        <v>15</v>
      </c>
      <c r="B19" s="105" t="s">
        <v>9551</v>
      </c>
      <c r="C19" s="105"/>
      <c r="D19" s="105">
        <v>17</v>
      </c>
      <c r="E19" s="105"/>
      <c r="F19" s="105"/>
      <c r="G19" s="105"/>
      <c r="H19" s="105"/>
      <c r="I19" s="105"/>
      <c r="J19" s="106" t="s">
        <v>15</v>
      </c>
      <c r="K19" s="105" t="str">
        <f>CONCATENATE(Tabla1[[#This Row],[EQUIVALENCIA]],". ",Tabla1[[#This Row],[CAMUFLADO]])</f>
        <v>17. Digital Naval</v>
      </c>
      <c r="L19" s="105" t="s">
        <v>9498</v>
      </c>
    </row>
    <row r="20" spans="1:12" x14ac:dyDescent="0.25">
      <c r="A20" s="106" t="s">
        <v>11</v>
      </c>
      <c r="B20" s="105" t="s">
        <v>9552</v>
      </c>
      <c r="C20" s="105"/>
      <c r="D20" s="105">
        <v>18</v>
      </c>
      <c r="E20" s="105"/>
      <c r="F20" s="105"/>
      <c r="G20" s="105"/>
      <c r="H20" s="105"/>
      <c r="I20" s="105"/>
      <c r="J20" s="106" t="s">
        <v>11</v>
      </c>
      <c r="K20" s="105" t="str">
        <f>CONCATENATE(Tabla1[[#This Row],[EQUIVALENCIA]],". ",Tabla1[[#This Row],[CAMUFLADO]])</f>
        <v>18. Azul</v>
      </c>
      <c r="L20" s="105" t="s">
        <v>9504</v>
      </c>
    </row>
    <row r="21" spans="1:12" x14ac:dyDescent="0.25">
      <c r="A21" s="106" t="s">
        <v>83</v>
      </c>
      <c r="B21" s="105" t="s">
        <v>9553</v>
      </c>
      <c r="C21" s="105"/>
      <c r="D21" s="105">
        <v>19</v>
      </c>
      <c r="E21" s="105"/>
      <c r="F21" s="105"/>
      <c r="G21" s="105"/>
      <c r="H21" s="105"/>
      <c r="I21" s="105"/>
      <c r="J21" s="106" t="s">
        <v>83</v>
      </c>
      <c r="K21" s="105" t="str">
        <f>CONCATENATE(Tabla1[[#This Row],[EQUIVALENCIA]],". ",Tabla1[[#This Row],[CAMUFLADO]])</f>
        <v>19. Camuflado</v>
      </c>
      <c r="L21" s="105" t="s">
        <v>9511</v>
      </c>
    </row>
    <row r="22" spans="1:12" x14ac:dyDescent="0.25">
      <c r="A22" s="106" t="s">
        <v>89</v>
      </c>
      <c r="B22" s="105" t="s">
        <v>9554</v>
      </c>
      <c r="C22" s="105"/>
      <c r="D22" s="105">
        <v>20</v>
      </c>
      <c r="E22" s="105"/>
      <c r="F22" s="105"/>
      <c r="G22" s="105"/>
      <c r="H22" s="105"/>
      <c r="I22" s="105"/>
      <c r="J22" s="106" t="s">
        <v>89</v>
      </c>
      <c r="K22" s="105" t="str">
        <f>CONCATENATE(Tabla1[[#This Row],[EQUIVALENCIA]],". ",Tabla1[[#This Row],[CAMUFLADO]])</f>
        <v>20. Blanco</v>
      </c>
      <c r="L22" s="105" t="s">
        <v>9499</v>
      </c>
    </row>
    <row r="23" spans="1:12" x14ac:dyDescent="0.25">
      <c r="A23" s="106" t="s">
        <v>193</v>
      </c>
      <c r="B23" s="105" t="s">
        <v>9555</v>
      </c>
      <c r="C23" s="105"/>
      <c r="D23" s="105">
        <v>21</v>
      </c>
      <c r="E23" s="105"/>
      <c r="F23" s="105"/>
      <c r="G23" s="105"/>
      <c r="H23" s="105"/>
      <c r="I23" s="105"/>
      <c r="J23" s="106" t="s">
        <v>193</v>
      </c>
      <c r="K23" s="105" t="str">
        <f>CONCATENATE(Tabla1[[#This Row],[EQUIVALENCIA]],". ",Tabla1[[#This Row],[CAMUFLADO]])</f>
        <v>21. Multicam Negro</v>
      </c>
      <c r="L23" s="105" t="s">
        <v>9505</v>
      </c>
    </row>
    <row r="24" spans="1:12" x14ac:dyDescent="0.25">
      <c r="A24" s="106" t="s">
        <v>866</v>
      </c>
      <c r="B24" s="105" t="s">
        <v>9556</v>
      </c>
      <c r="C24" s="105"/>
      <c r="D24" s="105">
        <v>22</v>
      </c>
      <c r="E24" s="105"/>
      <c r="F24" s="105"/>
      <c r="G24" s="105"/>
      <c r="H24" s="105"/>
      <c r="I24" s="105"/>
      <c r="J24" s="106" t="s">
        <v>866</v>
      </c>
      <c r="K24" s="105" t="str">
        <f>CONCATENATE(Tabla1[[#This Row],[EQUIVALENCIA]],". ",Tabla1[[#This Row],[CAMUFLADO]])</f>
        <v>22. Rojo</v>
      </c>
      <c r="L24" s="105" t="s">
        <v>9512</v>
      </c>
    </row>
    <row r="25" spans="1:12" x14ac:dyDescent="0.25">
      <c r="A25" s="106" t="s">
        <v>9557</v>
      </c>
      <c r="B25" s="105" t="s">
        <v>9558</v>
      </c>
      <c r="C25" s="105"/>
      <c r="D25" s="105">
        <v>23</v>
      </c>
      <c r="E25" s="105"/>
      <c r="F25" s="105"/>
      <c r="G25" s="105"/>
      <c r="H25" s="105"/>
      <c r="I25" s="105"/>
      <c r="J25" s="106" t="s">
        <v>9557</v>
      </c>
      <c r="K25" s="105" t="str">
        <f>CONCATENATE(Tabla1[[#This Row],[EQUIVALENCIA]],". ",Tabla1[[#This Row],[CAMUFLADO]])</f>
        <v>23. Digital Ruso</v>
      </c>
      <c r="L25" s="105" t="s">
        <v>9516</v>
      </c>
    </row>
    <row r="26" spans="1:12" x14ac:dyDescent="0.25">
      <c r="A26" s="106" t="s">
        <v>9559</v>
      </c>
      <c r="B26" s="105"/>
      <c r="C26" s="105"/>
      <c r="D26" s="105">
        <v>24</v>
      </c>
      <c r="E26" s="105"/>
      <c r="F26" s="105"/>
      <c r="G26" s="105"/>
      <c r="H26" s="105"/>
      <c r="I26" s="105"/>
      <c r="J26" s="106" t="s">
        <v>9559</v>
      </c>
      <c r="K26" s="105"/>
      <c r="L26" s="105" t="s">
        <v>9520</v>
      </c>
    </row>
    <row r="27" spans="1:12" x14ac:dyDescent="0.25">
      <c r="A27" s="106" t="s">
        <v>9560</v>
      </c>
      <c r="B27" s="105"/>
      <c r="C27" s="105"/>
      <c r="D27" s="105">
        <v>25</v>
      </c>
      <c r="E27" s="105"/>
      <c r="F27" s="105"/>
      <c r="G27" s="105"/>
      <c r="H27" s="105"/>
      <c r="I27" s="105"/>
      <c r="J27" s="106" t="s">
        <v>9560</v>
      </c>
      <c r="K27" s="105"/>
      <c r="L27" s="105" t="s">
        <v>9524</v>
      </c>
    </row>
    <row r="28" spans="1:12" x14ac:dyDescent="0.25">
      <c r="A28" s="106" t="s">
        <v>9561</v>
      </c>
      <c r="B28" s="105"/>
      <c r="C28" s="105"/>
      <c r="D28" s="105">
        <v>26</v>
      </c>
      <c r="E28" s="105"/>
      <c r="F28" s="105"/>
      <c r="G28" s="105"/>
      <c r="H28" s="105"/>
      <c r="I28" s="105"/>
      <c r="J28" s="106" t="s">
        <v>9561</v>
      </c>
      <c r="K28" s="105"/>
      <c r="L28" s="105" t="s">
        <v>9528</v>
      </c>
    </row>
    <row r="29" spans="1:12" x14ac:dyDescent="0.25">
      <c r="A29" s="106" t="s">
        <v>9562</v>
      </c>
      <c r="B29" s="105"/>
      <c r="C29" s="105"/>
      <c r="D29" s="105">
        <v>27</v>
      </c>
      <c r="E29" s="105"/>
      <c r="F29" s="105"/>
      <c r="G29" s="105"/>
      <c r="H29" s="105"/>
      <c r="I29" s="105"/>
      <c r="J29" s="106" t="s">
        <v>9562</v>
      </c>
      <c r="K29" s="105"/>
      <c r="L29" s="105" t="s">
        <v>9532</v>
      </c>
    </row>
    <row r="30" spans="1:12" x14ac:dyDescent="0.25">
      <c r="A30" s="106" t="s">
        <v>9563</v>
      </c>
      <c r="B30" s="105"/>
      <c r="C30" s="105"/>
      <c r="D30" s="105">
        <v>28</v>
      </c>
      <c r="E30" s="105"/>
      <c r="F30" s="105"/>
      <c r="G30" s="105"/>
      <c r="H30" s="105"/>
      <c r="I30" s="105"/>
      <c r="J30" s="106" t="s">
        <v>9563</v>
      </c>
      <c r="K30" s="105"/>
      <c r="L30" s="105" t="s">
        <v>9500</v>
      </c>
    </row>
    <row r="31" spans="1:12" x14ac:dyDescent="0.25">
      <c r="A31" s="106" t="s">
        <v>9564</v>
      </c>
      <c r="B31" s="105"/>
      <c r="C31" s="105"/>
      <c r="D31" s="105">
        <v>29</v>
      </c>
      <c r="E31" s="105"/>
      <c r="F31" s="105"/>
      <c r="G31" s="105"/>
      <c r="H31" s="105"/>
      <c r="I31" s="105"/>
      <c r="J31" s="106" t="s">
        <v>9564</v>
      </c>
      <c r="K31" s="105"/>
      <c r="L31" s="105" t="s">
        <v>9506</v>
      </c>
    </row>
    <row r="32" spans="1:12" x14ac:dyDescent="0.25">
      <c r="A32" s="106" t="s">
        <v>9565</v>
      </c>
      <c r="B32" s="105"/>
      <c r="C32" s="105"/>
      <c r="D32" s="105">
        <v>30</v>
      </c>
      <c r="E32" s="105"/>
      <c r="F32" s="105"/>
      <c r="G32" s="105"/>
      <c r="H32" s="105"/>
      <c r="I32" s="105"/>
      <c r="J32" s="106" t="s">
        <v>9565</v>
      </c>
      <c r="K32" s="105"/>
      <c r="L32" s="105">
        <v>1</v>
      </c>
    </row>
    <row r="33" spans="1:12" x14ac:dyDescent="0.25">
      <c r="A33" s="106" t="s">
        <v>9566</v>
      </c>
      <c r="B33" s="105"/>
      <c r="C33" s="105"/>
      <c r="D33" s="105">
        <v>31</v>
      </c>
      <c r="E33" s="105"/>
      <c r="F33" s="105"/>
      <c r="G33" s="105"/>
      <c r="H33" s="105"/>
      <c r="I33" s="105"/>
      <c r="J33" s="106" t="s">
        <v>9566</v>
      </c>
      <c r="K33" s="105"/>
      <c r="L33" s="105">
        <v>2</v>
      </c>
    </row>
    <row r="34" spans="1:12" x14ac:dyDescent="0.25">
      <c r="A34" s="106" t="s">
        <v>9567</v>
      </c>
      <c r="B34" s="105"/>
      <c r="C34" s="105"/>
      <c r="D34" s="105">
        <v>32</v>
      </c>
      <c r="E34" s="105"/>
      <c r="F34" s="105"/>
      <c r="G34" s="105"/>
      <c r="H34" s="105"/>
      <c r="I34" s="105"/>
      <c r="J34" s="106" t="s">
        <v>9567</v>
      </c>
      <c r="K34" s="105"/>
      <c r="L34" s="105">
        <v>3</v>
      </c>
    </row>
    <row r="35" spans="1:12" x14ac:dyDescent="0.25">
      <c r="A35" s="106" t="s">
        <v>9568</v>
      </c>
      <c r="B35" s="105"/>
      <c r="C35" s="105"/>
      <c r="D35" s="105">
        <v>33</v>
      </c>
      <c r="E35" s="105"/>
      <c r="F35" s="105"/>
      <c r="G35" s="105"/>
      <c r="H35" s="105"/>
      <c r="I35" s="105"/>
      <c r="J35" s="106" t="s">
        <v>9568</v>
      </c>
      <c r="K35" s="105"/>
      <c r="L35" s="105">
        <v>4</v>
      </c>
    </row>
    <row r="36" spans="1:12" x14ac:dyDescent="0.25">
      <c r="A36" s="106" t="s">
        <v>9569</v>
      </c>
      <c r="B36" s="105"/>
      <c r="C36" s="105"/>
      <c r="D36" s="105">
        <v>34</v>
      </c>
      <c r="E36" s="105"/>
      <c r="F36" s="105"/>
      <c r="G36" s="105"/>
      <c r="H36" s="105"/>
      <c r="I36" s="105"/>
      <c r="J36" s="106" t="s">
        <v>9569</v>
      </c>
      <c r="K36" s="105"/>
      <c r="L36" s="105">
        <v>5</v>
      </c>
    </row>
    <row r="37" spans="1:12" x14ac:dyDescent="0.25">
      <c r="A37" s="106" t="s">
        <v>9570</v>
      </c>
      <c r="B37" s="105"/>
      <c r="C37" s="105"/>
      <c r="D37" s="105">
        <v>35</v>
      </c>
      <c r="E37" s="105"/>
      <c r="F37" s="105"/>
      <c r="G37" s="105"/>
      <c r="H37" s="105"/>
      <c r="I37" s="105"/>
      <c r="J37" s="106" t="s">
        <v>9570</v>
      </c>
      <c r="K37" s="105"/>
      <c r="L37" s="105">
        <v>6</v>
      </c>
    </row>
    <row r="38" spans="1:12" x14ac:dyDescent="0.25">
      <c r="A38" s="106" t="s">
        <v>9571</v>
      </c>
      <c r="B38" s="105"/>
      <c r="C38" s="105"/>
      <c r="D38" s="105">
        <v>36</v>
      </c>
      <c r="E38" s="105"/>
      <c r="F38" s="105"/>
      <c r="G38" s="105"/>
      <c r="H38" s="105"/>
      <c r="I38" s="105"/>
      <c r="J38" s="106" t="s">
        <v>9571</v>
      </c>
      <c r="K38" s="105"/>
      <c r="L38" s="105">
        <v>7</v>
      </c>
    </row>
    <row r="39" spans="1:12" x14ac:dyDescent="0.25">
      <c r="A39" s="106" t="s">
        <v>9572</v>
      </c>
      <c r="B39" s="105"/>
      <c r="C39" s="105"/>
      <c r="D39" s="105">
        <v>37</v>
      </c>
      <c r="E39" s="105"/>
      <c r="F39" s="105"/>
      <c r="G39" s="105"/>
      <c r="H39" s="105"/>
      <c r="I39" s="105"/>
      <c r="J39" s="106" t="s">
        <v>9572</v>
      </c>
      <c r="K39" s="105"/>
      <c r="L39" s="105">
        <v>8</v>
      </c>
    </row>
    <row r="40" spans="1:12" x14ac:dyDescent="0.25">
      <c r="A40" s="106" t="s">
        <v>9573</v>
      </c>
      <c r="B40" s="105"/>
      <c r="C40" s="105"/>
      <c r="D40" s="105">
        <v>38</v>
      </c>
      <c r="E40" s="105"/>
      <c r="F40" s="105"/>
      <c r="G40" s="105"/>
      <c r="H40" s="105"/>
      <c r="I40" s="105"/>
      <c r="J40" s="106" t="s">
        <v>9573</v>
      </c>
      <c r="K40" s="105"/>
      <c r="L40" s="105">
        <v>9</v>
      </c>
    </row>
    <row r="41" spans="1:12" x14ac:dyDescent="0.25">
      <c r="A41" s="106" t="s">
        <v>9574</v>
      </c>
      <c r="B41" s="105"/>
      <c r="C41" s="105"/>
      <c r="D41" s="105">
        <v>39</v>
      </c>
      <c r="E41" s="105"/>
      <c r="F41" s="105"/>
      <c r="G41" s="105"/>
      <c r="H41" s="105"/>
      <c r="I41" s="105"/>
      <c r="J41" s="106" t="s">
        <v>9574</v>
      </c>
      <c r="K41" s="105"/>
      <c r="L41" s="105">
        <v>10</v>
      </c>
    </row>
    <row r="42" spans="1:12" x14ac:dyDescent="0.25">
      <c r="A42" s="106" t="s">
        <v>9575</v>
      </c>
      <c r="B42" s="105"/>
      <c r="C42" s="105"/>
      <c r="D42" s="105">
        <v>40</v>
      </c>
      <c r="E42" s="105"/>
      <c r="F42" s="105"/>
      <c r="G42" s="105"/>
      <c r="H42" s="105"/>
      <c r="I42" s="105"/>
      <c r="J42" s="106" t="s">
        <v>9575</v>
      </c>
      <c r="K42" s="105"/>
      <c r="L42" s="105">
        <v>11</v>
      </c>
    </row>
    <row r="43" spans="1:12" x14ac:dyDescent="0.25">
      <c r="A43" s="106" t="s">
        <v>9576</v>
      </c>
      <c r="B43" s="105"/>
      <c r="C43" s="105"/>
      <c r="D43" s="105">
        <v>41</v>
      </c>
      <c r="E43" s="105"/>
      <c r="F43" s="105"/>
      <c r="G43" s="105"/>
      <c r="H43" s="105"/>
      <c r="I43" s="105"/>
      <c r="J43" s="106" t="s">
        <v>9576</v>
      </c>
      <c r="K43" s="105"/>
      <c r="L43" s="105">
        <v>12</v>
      </c>
    </row>
    <row r="44" spans="1:12" x14ac:dyDescent="0.25">
      <c r="A44" s="106" t="s">
        <v>9577</v>
      </c>
      <c r="B44" s="105"/>
      <c r="C44" s="105"/>
      <c r="D44" s="105">
        <v>42</v>
      </c>
      <c r="E44" s="105"/>
      <c r="F44" s="105"/>
      <c r="G44" s="105"/>
      <c r="H44" s="105"/>
      <c r="I44" s="105"/>
      <c r="J44" s="106" t="s">
        <v>9577</v>
      </c>
      <c r="K44" s="105"/>
      <c r="L44" s="105">
        <v>13</v>
      </c>
    </row>
    <row r="45" spans="1:12" x14ac:dyDescent="0.25">
      <c r="A45" s="106" t="s">
        <v>9578</v>
      </c>
      <c r="B45" s="105"/>
      <c r="C45" s="105"/>
      <c r="D45" s="105">
        <v>43</v>
      </c>
      <c r="E45" s="105"/>
      <c r="F45" s="105"/>
      <c r="G45" s="105"/>
      <c r="H45" s="105"/>
      <c r="I45" s="105"/>
      <c r="J45" s="106" t="s">
        <v>9578</v>
      </c>
      <c r="K45" s="105"/>
      <c r="L45" s="105">
        <v>14</v>
      </c>
    </row>
    <row r="46" spans="1:12" x14ac:dyDescent="0.25">
      <c r="A46" s="106" t="s">
        <v>9579</v>
      </c>
      <c r="B46" s="105"/>
      <c r="C46" s="105"/>
      <c r="D46" s="105">
        <v>44</v>
      </c>
      <c r="E46" s="105"/>
      <c r="F46" s="105"/>
      <c r="G46" s="105"/>
      <c r="H46" s="105"/>
      <c r="I46" s="105"/>
      <c r="J46" s="106" t="s">
        <v>9579</v>
      </c>
      <c r="K46" s="105"/>
      <c r="L46" s="105">
        <v>15</v>
      </c>
    </row>
    <row r="47" spans="1:12" x14ac:dyDescent="0.25">
      <c r="A47" s="106" t="s">
        <v>9580</v>
      </c>
      <c r="B47" s="105"/>
      <c r="C47" s="105"/>
      <c r="D47" s="105">
        <v>45</v>
      </c>
      <c r="E47" s="105"/>
      <c r="F47" s="105"/>
      <c r="G47" s="105"/>
      <c r="H47" s="105"/>
      <c r="I47" s="105"/>
      <c r="J47" s="106" t="s">
        <v>9580</v>
      </c>
      <c r="K47" s="105"/>
      <c r="L47" s="105">
        <v>16</v>
      </c>
    </row>
    <row r="48" spans="1:12" x14ac:dyDescent="0.25">
      <c r="A48" s="106" t="s">
        <v>9581</v>
      </c>
      <c r="B48" s="105"/>
      <c r="C48" s="105"/>
      <c r="D48" s="105">
        <v>46</v>
      </c>
      <c r="E48" s="105"/>
      <c r="F48" s="105"/>
      <c r="G48" s="105"/>
      <c r="H48" s="105"/>
      <c r="I48" s="105"/>
      <c r="J48" s="106" t="s">
        <v>9581</v>
      </c>
      <c r="K48" s="105"/>
      <c r="L48" s="105">
        <v>17</v>
      </c>
    </row>
    <row r="49" spans="1:12" x14ac:dyDescent="0.25">
      <c r="A49" s="106" t="s">
        <v>9582</v>
      </c>
      <c r="B49" s="105"/>
      <c r="C49" s="105"/>
      <c r="D49" s="105">
        <v>47</v>
      </c>
      <c r="E49" s="105"/>
      <c r="F49" s="105"/>
      <c r="G49" s="105"/>
      <c r="H49" s="105"/>
      <c r="I49" s="105"/>
      <c r="J49" s="106" t="s">
        <v>9582</v>
      </c>
      <c r="K49" s="105"/>
      <c r="L49" s="105">
        <v>18</v>
      </c>
    </row>
    <row r="50" spans="1:12" x14ac:dyDescent="0.25">
      <c r="A50" s="106" t="s">
        <v>9583</v>
      </c>
      <c r="B50" s="105"/>
      <c r="C50" s="105"/>
      <c r="D50" s="105">
        <v>48</v>
      </c>
      <c r="E50" s="105"/>
      <c r="F50" s="105"/>
      <c r="G50" s="105"/>
      <c r="H50" s="105"/>
      <c r="I50" s="105"/>
      <c r="J50" s="106" t="s">
        <v>9583</v>
      </c>
      <c r="K50" s="105"/>
      <c r="L50" s="105">
        <v>19</v>
      </c>
    </row>
    <row r="51" spans="1:12" x14ac:dyDescent="0.25">
      <c r="A51" s="106" t="s">
        <v>9584</v>
      </c>
      <c r="B51" s="105"/>
      <c r="C51" s="105"/>
      <c r="D51" s="105">
        <v>49</v>
      </c>
      <c r="E51" s="105"/>
      <c r="F51" s="105"/>
      <c r="G51" s="105"/>
      <c r="H51" s="105"/>
      <c r="I51" s="105"/>
      <c r="J51" s="106" t="s">
        <v>9584</v>
      </c>
      <c r="K51" s="105"/>
      <c r="L51" s="105">
        <v>20</v>
      </c>
    </row>
    <row r="52" spans="1:12" x14ac:dyDescent="0.25">
      <c r="A52" s="106" t="s">
        <v>9585</v>
      </c>
      <c r="B52" s="105"/>
      <c r="C52" s="105"/>
      <c r="D52" s="105">
        <v>50</v>
      </c>
      <c r="E52" s="105"/>
      <c r="F52" s="105"/>
      <c r="G52" s="105"/>
      <c r="H52" s="105"/>
      <c r="I52" s="105"/>
      <c r="J52" s="106" t="s">
        <v>9585</v>
      </c>
      <c r="K52" s="105"/>
      <c r="L52" s="105">
        <v>21</v>
      </c>
    </row>
    <row r="53" spans="1:12" x14ac:dyDescent="0.25">
      <c r="A53" s="106" t="s">
        <v>9586</v>
      </c>
      <c r="B53" s="105"/>
      <c r="C53" s="105"/>
      <c r="D53" s="105">
        <v>51</v>
      </c>
      <c r="E53" s="105"/>
      <c r="F53" s="105"/>
      <c r="G53" s="105"/>
      <c r="H53" s="105"/>
      <c r="I53" s="105"/>
      <c r="J53" s="106" t="s">
        <v>9586</v>
      </c>
      <c r="K53" s="105"/>
      <c r="L53" s="105">
        <v>22</v>
      </c>
    </row>
    <row r="54" spans="1:12" x14ac:dyDescent="0.25">
      <c r="A54" s="106" t="s">
        <v>9587</v>
      </c>
      <c r="B54" s="105"/>
      <c r="C54" s="105"/>
      <c r="D54" s="105">
        <v>52</v>
      </c>
      <c r="E54" s="105"/>
      <c r="F54" s="105"/>
      <c r="G54" s="105"/>
      <c r="H54" s="105"/>
      <c r="I54" s="105"/>
      <c r="J54" s="106" t="s">
        <v>9587</v>
      </c>
      <c r="K54" s="105"/>
      <c r="L54" s="105">
        <v>23</v>
      </c>
    </row>
    <row r="55" spans="1:12" x14ac:dyDescent="0.25">
      <c r="A55" s="106" t="s">
        <v>9588</v>
      </c>
      <c r="B55" s="105"/>
      <c r="C55" s="105"/>
      <c r="D55" s="105">
        <v>53</v>
      </c>
      <c r="E55" s="105"/>
      <c r="F55" s="105"/>
      <c r="G55" s="105"/>
      <c r="H55" s="105"/>
      <c r="I55" s="105"/>
      <c r="J55" s="106" t="s">
        <v>9588</v>
      </c>
      <c r="K55" s="105"/>
      <c r="L55" s="105">
        <v>24</v>
      </c>
    </row>
    <row r="56" spans="1:12" x14ac:dyDescent="0.25">
      <c r="A56" s="106" t="s">
        <v>9589</v>
      </c>
      <c r="B56" s="105"/>
      <c r="C56" s="105"/>
      <c r="D56" s="105">
        <v>54</v>
      </c>
      <c r="E56" s="105"/>
      <c r="F56" s="105"/>
      <c r="G56" s="105"/>
      <c r="H56" s="105"/>
      <c r="I56" s="105"/>
      <c r="J56" s="106" t="s">
        <v>9589</v>
      </c>
      <c r="K56" s="105"/>
      <c r="L56" s="105">
        <v>25</v>
      </c>
    </row>
    <row r="57" spans="1:12" x14ac:dyDescent="0.25">
      <c r="A57" s="106" t="s">
        <v>9590</v>
      </c>
      <c r="B57" s="105"/>
      <c r="C57" s="105"/>
      <c r="D57" s="105">
        <v>55</v>
      </c>
      <c r="E57" s="105"/>
      <c r="F57" s="105"/>
      <c r="G57" s="105"/>
      <c r="H57" s="105"/>
      <c r="I57" s="105"/>
      <c r="J57" s="106" t="s">
        <v>9590</v>
      </c>
      <c r="K57" s="105"/>
      <c r="L57" s="105">
        <v>26</v>
      </c>
    </row>
    <row r="58" spans="1:12" x14ac:dyDescent="0.25">
      <c r="A58" s="106" t="s">
        <v>9591</v>
      </c>
      <c r="B58" s="105"/>
      <c r="C58" s="105"/>
      <c r="D58" s="105">
        <v>56</v>
      </c>
      <c r="E58" s="105"/>
      <c r="F58" s="105"/>
      <c r="G58" s="105"/>
      <c r="H58" s="105"/>
      <c r="I58" s="105"/>
      <c r="J58" s="106" t="s">
        <v>9591</v>
      </c>
      <c r="K58" s="105"/>
      <c r="L58" s="105">
        <v>27</v>
      </c>
    </row>
    <row r="59" spans="1:12" x14ac:dyDescent="0.25">
      <c r="A59" s="106" t="s">
        <v>9592</v>
      </c>
      <c r="B59" s="105"/>
      <c r="C59" s="105"/>
      <c r="D59" s="105">
        <v>57</v>
      </c>
      <c r="E59" s="105"/>
      <c r="F59" s="105"/>
      <c r="G59" s="105"/>
      <c r="H59" s="105"/>
      <c r="I59" s="105"/>
      <c r="J59" s="106" t="s">
        <v>9592</v>
      </c>
      <c r="K59" s="105"/>
      <c r="L59" s="105">
        <v>28</v>
      </c>
    </row>
    <row r="60" spans="1:12" x14ac:dyDescent="0.25">
      <c r="A60" s="106" t="s">
        <v>9593</v>
      </c>
      <c r="B60" s="105"/>
      <c r="C60" s="105"/>
      <c r="D60" s="105">
        <v>58</v>
      </c>
      <c r="E60" s="105"/>
      <c r="F60" s="105"/>
      <c r="G60" s="105"/>
      <c r="H60" s="105"/>
      <c r="I60" s="105"/>
      <c r="J60" s="106" t="s">
        <v>9593</v>
      </c>
      <c r="K60" s="105"/>
      <c r="L60" s="105">
        <v>29</v>
      </c>
    </row>
    <row r="61" spans="1:12" x14ac:dyDescent="0.25">
      <c r="A61" s="106" t="s">
        <v>9594</v>
      </c>
      <c r="B61" s="105"/>
      <c r="C61" s="105"/>
      <c r="D61" s="105">
        <v>59</v>
      </c>
      <c r="E61" s="105"/>
      <c r="F61" s="105"/>
      <c r="G61" s="105"/>
      <c r="H61" s="105"/>
      <c r="I61" s="105"/>
      <c r="J61" s="106" t="s">
        <v>9594</v>
      </c>
      <c r="K61" s="105"/>
      <c r="L61" s="105">
        <v>30</v>
      </c>
    </row>
    <row r="62" spans="1:12" x14ac:dyDescent="0.25">
      <c r="A62" s="106" t="s">
        <v>9595</v>
      </c>
      <c r="B62" s="105"/>
      <c r="C62" s="105"/>
      <c r="D62" s="105">
        <v>60</v>
      </c>
      <c r="E62" s="105"/>
      <c r="F62" s="105"/>
      <c r="G62" s="105"/>
      <c r="H62" s="105"/>
      <c r="I62" s="105"/>
      <c r="J62" s="106" t="s">
        <v>9595</v>
      </c>
      <c r="K62" s="105"/>
      <c r="L62" s="105">
        <v>31</v>
      </c>
    </row>
    <row r="63" spans="1:12" x14ac:dyDescent="0.25">
      <c r="A63" s="106" t="s">
        <v>9596</v>
      </c>
      <c r="B63" s="105"/>
      <c r="C63" s="105"/>
      <c r="D63" s="105">
        <v>61</v>
      </c>
      <c r="E63" s="105"/>
      <c r="F63" s="105"/>
      <c r="G63" s="105"/>
      <c r="H63" s="105"/>
      <c r="I63" s="105"/>
      <c r="J63" s="106" t="s">
        <v>9596</v>
      </c>
      <c r="K63" s="105"/>
      <c r="L63" s="105">
        <v>32</v>
      </c>
    </row>
    <row r="64" spans="1:12" x14ac:dyDescent="0.25">
      <c r="A64" s="106" t="s">
        <v>9597</v>
      </c>
      <c r="B64" s="105"/>
      <c r="C64" s="105"/>
      <c r="D64" s="105">
        <v>62</v>
      </c>
      <c r="E64" s="105"/>
      <c r="F64" s="105"/>
      <c r="G64" s="105"/>
      <c r="H64" s="105"/>
      <c r="I64" s="105"/>
      <c r="J64" s="106" t="s">
        <v>9597</v>
      </c>
      <c r="K64" s="105"/>
      <c r="L64" s="105">
        <v>33</v>
      </c>
    </row>
    <row r="65" spans="1:12" x14ac:dyDescent="0.25">
      <c r="A65" s="106" t="s">
        <v>9598</v>
      </c>
      <c r="B65" s="105"/>
      <c r="C65" s="105"/>
      <c r="D65" s="105">
        <v>63</v>
      </c>
      <c r="E65" s="105"/>
      <c r="F65" s="105"/>
      <c r="G65" s="105"/>
      <c r="H65" s="105"/>
      <c r="I65" s="105"/>
      <c r="J65" s="106" t="s">
        <v>9598</v>
      </c>
      <c r="K65" s="105"/>
      <c r="L65" s="105">
        <v>34</v>
      </c>
    </row>
    <row r="66" spans="1:12" x14ac:dyDescent="0.25">
      <c r="A66" s="106" t="s">
        <v>9599</v>
      </c>
      <c r="B66" s="105"/>
      <c r="C66" s="105"/>
      <c r="D66" s="105">
        <v>64</v>
      </c>
      <c r="E66" s="105"/>
      <c r="F66" s="105"/>
      <c r="G66" s="105"/>
      <c r="H66" s="105"/>
      <c r="I66" s="105"/>
      <c r="J66" s="106" t="s">
        <v>9599</v>
      </c>
      <c r="K66" s="105"/>
      <c r="L66" s="105">
        <v>35</v>
      </c>
    </row>
    <row r="67" spans="1:12" x14ac:dyDescent="0.25">
      <c r="A67" s="106" t="s">
        <v>9600</v>
      </c>
      <c r="B67" s="105"/>
      <c r="C67" s="105"/>
      <c r="D67" s="105">
        <v>65</v>
      </c>
      <c r="E67" s="105"/>
      <c r="F67" s="105"/>
      <c r="G67" s="105"/>
      <c r="H67" s="105"/>
      <c r="I67" s="105"/>
      <c r="J67" s="106" t="s">
        <v>9600</v>
      </c>
      <c r="K67" s="105"/>
      <c r="L67" s="105">
        <v>36</v>
      </c>
    </row>
    <row r="68" spans="1:12" x14ac:dyDescent="0.25">
      <c r="A68" s="106" t="s">
        <v>9601</v>
      </c>
      <c r="B68" s="105"/>
      <c r="C68" s="105"/>
      <c r="D68" s="105">
        <v>66</v>
      </c>
      <c r="E68" s="105"/>
      <c r="F68" s="105"/>
      <c r="G68" s="105"/>
      <c r="H68" s="105"/>
      <c r="I68" s="105"/>
      <c r="J68" s="106" t="s">
        <v>9601</v>
      </c>
      <c r="K68" s="105"/>
      <c r="L68" s="105">
        <v>37</v>
      </c>
    </row>
    <row r="69" spans="1:12" x14ac:dyDescent="0.25">
      <c r="A69" s="106" t="s">
        <v>9602</v>
      </c>
      <c r="B69" s="105"/>
      <c r="C69" s="105"/>
      <c r="D69" s="105">
        <v>67</v>
      </c>
      <c r="E69" s="105"/>
      <c r="F69" s="105"/>
      <c r="G69" s="105"/>
      <c r="H69" s="105"/>
      <c r="I69" s="105"/>
      <c r="J69" s="106" t="s">
        <v>9602</v>
      </c>
      <c r="K69" s="105"/>
      <c r="L69" s="105">
        <v>38</v>
      </c>
    </row>
    <row r="70" spans="1:12" x14ac:dyDescent="0.25">
      <c r="A70" s="106" t="s">
        <v>9603</v>
      </c>
      <c r="B70" s="105"/>
      <c r="C70" s="105"/>
      <c r="D70" s="105">
        <v>68</v>
      </c>
      <c r="E70" s="105"/>
      <c r="F70" s="105"/>
      <c r="G70" s="105"/>
      <c r="H70" s="105"/>
      <c r="I70" s="105"/>
      <c r="J70" s="106" t="s">
        <v>9603</v>
      </c>
      <c r="K70" s="105"/>
      <c r="L70" s="105">
        <v>39</v>
      </c>
    </row>
    <row r="71" spans="1:12" x14ac:dyDescent="0.25">
      <c r="A71" s="106" t="s">
        <v>9604</v>
      </c>
      <c r="B71" s="105"/>
      <c r="C71" s="105"/>
      <c r="D71" s="105">
        <v>69</v>
      </c>
      <c r="E71" s="105"/>
      <c r="F71" s="105"/>
      <c r="G71" s="105"/>
      <c r="H71" s="105"/>
      <c r="I71" s="105"/>
      <c r="J71" s="106" t="s">
        <v>9604</v>
      </c>
      <c r="K71" s="105"/>
      <c r="L71" s="105">
        <v>40</v>
      </c>
    </row>
    <row r="72" spans="1:12" x14ac:dyDescent="0.25">
      <c r="A72" s="106" t="s">
        <v>9605</v>
      </c>
      <c r="B72" s="105"/>
      <c r="C72" s="105"/>
      <c r="D72" s="105">
        <v>70</v>
      </c>
      <c r="E72" s="105"/>
      <c r="F72" s="105"/>
      <c r="G72" s="105"/>
      <c r="H72" s="105"/>
      <c r="I72" s="105"/>
      <c r="J72" s="106" t="s">
        <v>9605</v>
      </c>
      <c r="K72" s="105"/>
      <c r="L72" s="105">
        <v>41</v>
      </c>
    </row>
    <row r="73" spans="1:12" x14ac:dyDescent="0.25">
      <c r="A73" s="106" t="s">
        <v>9606</v>
      </c>
      <c r="B73" s="105"/>
      <c r="C73" s="105"/>
      <c r="D73" s="105">
        <v>71</v>
      </c>
      <c r="E73" s="105"/>
      <c r="F73" s="105"/>
      <c r="G73" s="105"/>
      <c r="H73" s="105"/>
      <c r="I73" s="105"/>
      <c r="J73" s="106" t="s">
        <v>9606</v>
      </c>
      <c r="K73" s="105"/>
      <c r="L73" s="105">
        <v>42</v>
      </c>
    </row>
    <row r="74" spans="1:12" x14ac:dyDescent="0.25">
      <c r="A74" s="106" t="s">
        <v>9607</v>
      </c>
      <c r="B74" s="105"/>
      <c r="C74" s="105"/>
      <c r="D74" s="105">
        <v>72</v>
      </c>
      <c r="E74" s="105"/>
      <c r="F74" s="105"/>
      <c r="G74" s="105"/>
      <c r="H74" s="105"/>
      <c r="I74" s="105"/>
      <c r="J74" s="106" t="s">
        <v>9607</v>
      </c>
      <c r="K74" s="105"/>
      <c r="L74" s="105">
        <v>43</v>
      </c>
    </row>
    <row r="75" spans="1:12" x14ac:dyDescent="0.25">
      <c r="A75" s="106" t="s">
        <v>9608</v>
      </c>
      <c r="B75" s="105"/>
      <c r="C75" s="105"/>
      <c r="D75" s="105">
        <v>73</v>
      </c>
      <c r="E75" s="105"/>
      <c r="F75" s="105"/>
      <c r="G75" s="105"/>
      <c r="H75" s="105"/>
      <c r="I75" s="105"/>
      <c r="J75" s="106" t="s">
        <v>9608</v>
      </c>
      <c r="K75" s="105"/>
      <c r="L75" s="105">
        <v>44</v>
      </c>
    </row>
    <row r="76" spans="1:12" x14ac:dyDescent="0.25">
      <c r="A76" s="106" t="s">
        <v>9609</v>
      </c>
      <c r="B76" s="105"/>
      <c r="C76" s="105"/>
      <c r="D76" s="105">
        <v>74</v>
      </c>
      <c r="E76" s="105"/>
      <c r="F76" s="105"/>
      <c r="G76" s="105"/>
      <c r="H76" s="105"/>
      <c r="I76" s="105"/>
      <c r="J76" s="106" t="s">
        <v>9609</v>
      </c>
      <c r="K76" s="105"/>
      <c r="L76" s="105">
        <v>45</v>
      </c>
    </row>
    <row r="77" spans="1:12" x14ac:dyDescent="0.25">
      <c r="A77" s="106" t="s">
        <v>9610</v>
      </c>
      <c r="B77" s="105"/>
      <c r="C77" s="105"/>
      <c r="D77" s="105">
        <v>75</v>
      </c>
      <c r="E77" s="105"/>
      <c r="F77" s="105"/>
      <c r="G77" s="105"/>
      <c r="H77" s="105"/>
      <c r="I77" s="105"/>
      <c r="J77" s="106" t="s">
        <v>9610</v>
      </c>
      <c r="K77" s="105"/>
      <c r="L77" s="105">
        <v>46</v>
      </c>
    </row>
    <row r="78" spans="1:12" x14ac:dyDescent="0.25">
      <c r="A78" s="106" t="s">
        <v>9611</v>
      </c>
      <c r="B78" s="105"/>
      <c r="C78" s="105"/>
      <c r="D78" s="105">
        <v>76</v>
      </c>
      <c r="E78" s="105"/>
      <c r="F78" s="105"/>
      <c r="G78" s="105"/>
      <c r="H78" s="105"/>
      <c r="I78" s="105"/>
      <c r="J78" s="106" t="s">
        <v>9611</v>
      </c>
      <c r="K78" s="105"/>
      <c r="L78" s="105">
        <v>47</v>
      </c>
    </row>
    <row r="79" spans="1:12" x14ac:dyDescent="0.25">
      <c r="A79" s="106" t="s">
        <v>9612</v>
      </c>
      <c r="B79" s="105"/>
      <c r="C79" s="105"/>
      <c r="D79" s="105">
        <v>77</v>
      </c>
      <c r="E79" s="105"/>
      <c r="F79" s="105"/>
      <c r="G79" s="105"/>
      <c r="H79" s="105"/>
      <c r="I79" s="105"/>
      <c r="J79" s="106" t="s">
        <v>9612</v>
      </c>
      <c r="K79" s="105"/>
      <c r="L79" s="105">
        <v>48</v>
      </c>
    </row>
    <row r="80" spans="1:12" x14ac:dyDescent="0.25">
      <c r="A80" s="106" t="s">
        <v>9613</v>
      </c>
      <c r="B80" s="105"/>
      <c r="C80" s="105"/>
      <c r="D80" s="105">
        <v>78</v>
      </c>
      <c r="E80" s="105"/>
      <c r="F80" s="105"/>
      <c r="G80" s="105"/>
      <c r="H80" s="105"/>
      <c r="I80" s="105"/>
      <c r="J80" s="106" t="s">
        <v>9613</v>
      </c>
      <c r="K80" s="105"/>
      <c r="L80" s="105">
        <v>49</v>
      </c>
    </row>
    <row r="81" spans="1:12" x14ac:dyDescent="0.25">
      <c r="A81" s="106" t="s">
        <v>9614</v>
      </c>
      <c r="B81" s="105"/>
      <c r="C81" s="105"/>
      <c r="D81" s="105">
        <v>79</v>
      </c>
      <c r="E81" s="105"/>
      <c r="F81" s="105"/>
      <c r="G81" s="105"/>
      <c r="H81" s="105"/>
      <c r="I81" s="105"/>
      <c r="J81" s="106" t="s">
        <v>9614</v>
      </c>
      <c r="K81" s="105"/>
      <c r="L81" s="105">
        <v>50</v>
      </c>
    </row>
    <row r="82" spans="1:12" x14ac:dyDescent="0.25">
      <c r="A82" s="106" t="s">
        <v>9615</v>
      </c>
      <c r="B82" s="105"/>
      <c r="C82" s="105"/>
      <c r="D82" s="105">
        <v>80</v>
      </c>
      <c r="E82" s="105"/>
      <c r="F82" s="105"/>
      <c r="G82" s="105"/>
      <c r="H82" s="105"/>
      <c r="I82" s="105"/>
      <c r="J82" s="106" t="s">
        <v>9615</v>
      </c>
      <c r="K82" s="105"/>
      <c r="L82" s="105">
        <v>51</v>
      </c>
    </row>
    <row r="83" spans="1:12" x14ac:dyDescent="0.25">
      <c r="A83" s="106" t="s">
        <v>9616</v>
      </c>
      <c r="B83" s="105"/>
      <c r="C83" s="105"/>
      <c r="D83" s="105">
        <v>81</v>
      </c>
      <c r="E83" s="105"/>
      <c r="F83" s="105"/>
      <c r="G83" s="105"/>
      <c r="H83" s="105"/>
      <c r="I83" s="105"/>
      <c r="J83" s="106" t="s">
        <v>9616</v>
      </c>
      <c r="K83" s="105"/>
      <c r="L83" s="105">
        <v>52</v>
      </c>
    </row>
    <row r="84" spans="1:12" x14ac:dyDescent="0.25">
      <c r="A84" s="106" t="s">
        <v>9617</v>
      </c>
      <c r="B84" s="105"/>
      <c r="C84" s="105"/>
      <c r="D84" s="105">
        <v>82</v>
      </c>
      <c r="E84" s="105"/>
      <c r="F84" s="105"/>
      <c r="G84" s="105"/>
      <c r="H84" s="105"/>
      <c r="I84" s="105"/>
      <c r="J84" s="106" t="s">
        <v>9617</v>
      </c>
      <c r="K84" s="105"/>
      <c r="L84" s="105">
        <v>53</v>
      </c>
    </row>
    <row r="85" spans="1:12" x14ac:dyDescent="0.25">
      <c r="A85" s="106" t="s">
        <v>9618</v>
      </c>
      <c r="B85" s="105"/>
      <c r="C85" s="105"/>
      <c r="D85" s="105">
        <v>83</v>
      </c>
      <c r="E85" s="105"/>
      <c r="F85" s="105"/>
      <c r="G85" s="105"/>
      <c r="H85" s="105"/>
      <c r="I85" s="105"/>
      <c r="J85" s="106" t="s">
        <v>9618</v>
      </c>
      <c r="K85" s="105"/>
      <c r="L85" s="105">
        <v>54</v>
      </c>
    </row>
    <row r="86" spans="1:12" x14ac:dyDescent="0.25">
      <c r="A86" s="106" t="s">
        <v>9619</v>
      </c>
      <c r="B86" s="105"/>
      <c r="C86" s="105"/>
      <c r="D86" s="105">
        <v>84</v>
      </c>
      <c r="E86" s="105"/>
      <c r="F86" s="105"/>
      <c r="G86" s="105"/>
      <c r="H86" s="105"/>
      <c r="I86" s="105"/>
      <c r="J86" s="106" t="s">
        <v>9619</v>
      </c>
      <c r="K86" s="105"/>
      <c r="L86" s="105">
        <v>55</v>
      </c>
    </row>
    <row r="87" spans="1:12" x14ac:dyDescent="0.25">
      <c r="A87" s="106" t="s">
        <v>9620</v>
      </c>
      <c r="B87" s="105"/>
      <c r="C87" s="105"/>
      <c r="D87" s="105">
        <v>85</v>
      </c>
      <c r="E87" s="105"/>
      <c r="F87" s="105"/>
      <c r="G87" s="105"/>
      <c r="H87" s="105"/>
      <c r="I87" s="105"/>
      <c r="J87" s="106" t="s">
        <v>9620</v>
      </c>
      <c r="K87" s="105"/>
      <c r="L87" s="105">
        <v>56</v>
      </c>
    </row>
    <row r="88" spans="1:12" x14ac:dyDescent="0.25">
      <c r="A88" s="106" t="s">
        <v>9621</v>
      </c>
      <c r="B88" s="105"/>
      <c r="C88" s="105"/>
      <c r="D88" s="105">
        <v>86</v>
      </c>
      <c r="E88" s="105"/>
      <c r="F88" s="105"/>
      <c r="G88" s="105"/>
      <c r="H88" s="105"/>
      <c r="I88" s="105"/>
      <c r="J88" s="106" t="s">
        <v>9621</v>
      </c>
      <c r="K88" s="105"/>
      <c r="L88" s="105">
        <v>57</v>
      </c>
    </row>
    <row r="89" spans="1:12" x14ac:dyDescent="0.25">
      <c r="A89" s="106" t="s">
        <v>7390</v>
      </c>
      <c r="B89" s="105"/>
      <c r="C89" s="105"/>
      <c r="D89" s="105">
        <v>87</v>
      </c>
      <c r="E89" s="105"/>
      <c r="F89" s="105"/>
      <c r="G89" s="105"/>
      <c r="H89" s="105"/>
      <c r="I89" s="105"/>
      <c r="J89" s="106" t="s">
        <v>7390</v>
      </c>
      <c r="K89" s="105"/>
      <c r="L89" s="105">
        <v>58</v>
      </c>
    </row>
    <row r="90" spans="1:12" x14ac:dyDescent="0.25">
      <c r="A90" s="106" t="s">
        <v>9622</v>
      </c>
      <c r="B90" s="105"/>
      <c r="C90" s="105"/>
      <c r="D90" s="105">
        <v>88</v>
      </c>
      <c r="E90" s="105"/>
      <c r="F90" s="105"/>
      <c r="G90" s="105"/>
      <c r="H90" s="105"/>
      <c r="I90" s="105"/>
      <c r="J90" s="106" t="s">
        <v>9622</v>
      </c>
      <c r="K90" s="105"/>
      <c r="L90" s="105">
        <v>59</v>
      </c>
    </row>
    <row r="91" spans="1:12" x14ac:dyDescent="0.25">
      <c r="A91" s="106" t="s">
        <v>9623</v>
      </c>
      <c r="B91" s="105"/>
      <c r="C91" s="105"/>
      <c r="D91" s="105">
        <v>89</v>
      </c>
      <c r="E91" s="105"/>
      <c r="F91" s="105"/>
      <c r="G91" s="105"/>
      <c r="H91" s="105"/>
      <c r="I91" s="105"/>
      <c r="J91" s="106" t="s">
        <v>9623</v>
      </c>
      <c r="K91" s="105"/>
      <c r="L91" s="105">
        <v>60</v>
      </c>
    </row>
    <row r="92" spans="1:12" x14ac:dyDescent="0.25">
      <c r="A92" s="106" t="s">
        <v>9624</v>
      </c>
      <c r="B92" s="105"/>
      <c r="C92" s="105"/>
      <c r="D92" s="105">
        <v>90</v>
      </c>
      <c r="E92" s="105"/>
      <c r="F92" s="105"/>
      <c r="G92" s="105"/>
      <c r="H92" s="105"/>
      <c r="I92" s="105"/>
      <c r="J92" s="106" t="s">
        <v>9624</v>
      </c>
      <c r="K92" s="105"/>
      <c r="L92" s="105">
        <v>61</v>
      </c>
    </row>
    <row r="93" spans="1:12" x14ac:dyDescent="0.25">
      <c r="A93" s="106" t="s">
        <v>9625</v>
      </c>
      <c r="B93" s="105"/>
      <c r="C93" s="105"/>
      <c r="D93" s="105">
        <v>91</v>
      </c>
      <c r="E93" s="105"/>
      <c r="F93" s="105"/>
      <c r="G93" s="105"/>
      <c r="H93" s="105"/>
      <c r="I93" s="105"/>
      <c r="J93" s="106" t="s">
        <v>9625</v>
      </c>
      <c r="K93" s="105"/>
      <c r="L93" s="105">
        <v>62</v>
      </c>
    </row>
    <row r="94" spans="1:12" x14ac:dyDescent="0.25">
      <c r="A94" s="106" t="s">
        <v>9626</v>
      </c>
      <c r="B94" s="105"/>
      <c r="C94" s="105"/>
      <c r="D94" s="105">
        <v>92</v>
      </c>
      <c r="E94" s="105"/>
      <c r="F94" s="105"/>
      <c r="G94" s="105"/>
      <c r="H94" s="105"/>
      <c r="I94" s="105"/>
      <c r="J94" s="106" t="s">
        <v>9626</v>
      </c>
      <c r="K94" s="105"/>
      <c r="L94" s="105">
        <v>63</v>
      </c>
    </row>
    <row r="95" spans="1:12" x14ac:dyDescent="0.25">
      <c r="A95" s="106" t="s">
        <v>9627</v>
      </c>
      <c r="B95" s="105"/>
      <c r="C95" s="105"/>
      <c r="D95" s="105">
        <v>93</v>
      </c>
      <c r="E95" s="105"/>
      <c r="F95" s="105"/>
      <c r="G95" s="105"/>
      <c r="H95" s="105"/>
      <c r="I95" s="105"/>
      <c r="J95" s="106" t="s">
        <v>9627</v>
      </c>
      <c r="K95" s="105"/>
      <c r="L95" s="105">
        <v>64</v>
      </c>
    </row>
    <row r="96" spans="1:12" x14ac:dyDescent="0.25">
      <c r="A96" s="106" t="s">
        <v>9628</v>
      </c>
      <c r="B96" s="105"/>
      <c r="C96" s="105"/>
      <c r="D96" s="105">
        <v>94</v>
      </c>
      <c r="E96" s="105"/>
      <c r="F96" s="105"/>
      <c r="G96" s="105"/>
      <c r="H96" s="105"/>
      <c r="I96" s="105"/>
      <c r="J96" s="106" t="s">
        <v>9628</v>
      </c>
      <c r="K96" s="105"/>
      <c r="L96" s="105">
        <v>65</v>
      </c>
    </row>
    <row r="97" spans="1:12" x14ac:dyDescent="0.25">
      <c r="A97" s="106" t="s">
        <v>9629</v>
      </c>
      <c r="B97" s="105"/>
      <c r="C97" s="105"/>
      <c r="D97" s="105">
        <v>95</v>
      </c>
      <c r="E97" s="105"/>
      <c r="F97" s="105"/>
      <c r="G97" s="105"/>
      <c r="H97" s="105"/>
      <c r="I97" s="105"/>
      <c r="J97" s="106" t="s">
        <v>9629</v>
      </c>
      <c r="K97" s="105"/>
      <c r="L97" s="105">
        <v>66</v>
      </c>
    </row>
    <row r="98" spans="1:12" x14ac:dyDescent="0.25">
      <c r="A98" s="106" t="s">
        <v>9630</v>
      </c>
      <c r="B98" s="105"/>
      <c r="C98" s="105"/>
      <c r="D98" s="105">
        <v>96</v>
      </c>
      <c r="E98" s="105"/>
      <c r="F98" s="105"/>
      <c r="G98" s="105"/>
      <c r="H98" s="105"/>
      <c r="I98" s="105"/>
      <c r="J98" s="106" t="s">
        <v>9630</v>
      </c>
      <c r="K98" s="105"/>
      <c r="L98" s="105">
        <v>67</v>
      </c>
    </row>
    <row r="99" spans="1:12" x14ac:dyDescent="0.25">
      <c r="A99" s="106" t="s">
        <v>9631</v>
      </c>
      <c r="B99" s="105"/>
      <c r="C99" s="105"/>
      <c r="D99" s="105">
        <v>97</v>
      </c>
      <c r="E99" s="105"/>
      <c r="F99" s="105"/>
      <c r="G99" s="105"/>
      <c r="H99" s="105"/>
      <c r="I99" s="105"/>
      <c r="J99" s="106" t="s">
        <v>9631</v>
      </c>
      <c r="K99" s="105"/>
      <c r="L99" s="105">
        <v>68</v>
      </c>
    </row>
    <row r="100" spans="1:12" x14ac:dyDescent="0.25">
      <c r="A100" s="106" t="s">
        <v>9632</v>
      </c>
      <c r="B100" s="105"/>
      <c r="C100" s="105"/>
      <c r="D100" s="105">
        <v>98</v>
      </c>
      <c r="E100" s="105"/>
      <c r="F100" s="105"/>
      <c r="G100" s="105"/>
      <c r="H100" s="105"/>
      <c r="I100" s="105"/>
      <c r="J100" s="106" t="s">
        <v>9632</v>
      </c>
      <c r="K100" s="105"/>
      <c r="L100" s="105">
        <v>69</v>
      </c>
    </row>
    <row r="101" spans="1:12" x14ac:dyDescent="0.25">
      <c r="A101" s="106" t="s">
        <v>9633</v>
      </c>
      <c r="B101" s="105"/>
      <c r="C101" s="105"/>
      <c r="D101" s="105">
        <v>99</v>
      </c>
      <c r="E101" s="105"/>
      <c r="F101" s="105"/>
      <c r="G101" s="105"/>
      <c r="H101" s="105"/>
      <c r="I101" s="105"/>
      <c r="J101" s="106" t="s">
        <v>9633</v>
      </c>
      <c r="K101" s="105"/>
      <c r="L101" s="105">
        <v>70</v>
      </c>
    </row>
    <row r="102" spans="1:12" x14ac:dyDescent="0.25">
      <c r="A102" s="106" t="s">
        <v>63</v>
      </c>
      <c r="B102" s="105"/>
      <c r="C102" s="105"/>
      <c r="D102" s="105">
        <v>100</v>
      </c>
      <c r="E102" s="105"/>
      <c r="F102" s="105"/>
      <c r="G102" s="105"/>
      <c r="H102" s="105"/>
      <c r="I102" s="105"/>
      <c r="J102" s="106" t="s">
        <v>63</v>
      </c>
      <c r="K102" s="105"/>
      <c r="L102" s="105">
        <v>71</v>
      </c>
    </row>
    <row r="103" spans="1:12" x14ac:dyDescent="0.25">
      <c r="A103" s="106" t="s">
        <v>9634</v>
      </c>
      <c r="B103" s="105"/>
      <c r="C103" s="105"/>
      <c r="D103" s="105">
        <v>101</v>
      </c>
      <c r="E103" s="105"/>
      <c r="F103" s="105"/>
      <c r="G103" s="105"/>
      <c r="H103" s="105"/>
      <c r="I103" s="105"/>
      <c r="J103" s="106" t="s">
        <v>9634</v>
      </c>
      <c r="K103" s="105"/>
      <c r="L103" s="105">
        <v>72</v>
      </c>
    </row>
    <row r="104" spans="1:12" x14ac:dyDescent="0.25">
      <c r="A104" s="106" t="s">
        <v>9635</v>
      </c>
      <c r="B104" s="105"/>
      <c r="C104" s="105"/>
      <c r="D104" s="105">
        <v>102</v>
      </c>
      <c r="E104" s="105"/>
      <c r="F104" s="105"/>
      <c r="G104" s="105"/>
      <c r="H104" s="105"/>
      <c r="I104" s="105"/>
      <c r="J104" s="106" t="s">
        <v>9635</v>
      </c>
      <c r="K104" s="105"/>
      <c r="L104" s="105">
        <v>73</v>
      </c>
    </row>
    <row r="105" spans="1:12" x14ac:dyDescent="0.25">
      <c r="A105" s="106" t="s">
        <v>9636</v>
      </c>
      <c r="B105" s="105"/>
      <c r="C105" s="105"/>
      <c r="D105" s="105">
        <v>103</v>
      </c>
      <c r="E105" s="105"/>
      <c r="F105" s="105"/>
      <c r="G105" s="105"/>
      <c r="H105" s="105"/>
      <c r="I105" s="105"/>
      <c r="J105" s="106" t="s">
        <v>9636</v>
      </c>
      <c r="K105" s="105"/>
      <c r="L105" s="105">
        <v>74</v>
      </c>
    </row>
    <row r="106" spans="1:12" x14ac:dyDescent="0.25">
      <c r="A106" s="106" t="s">
        <v>9637</v>
      </c>
      <c r="B106" s="105"/>
      <c r="C106" s="105"/>
      <c r="D106" s="105">
        <v>104</v>
      </c>
      <c r="E106" s="105"/>
      <c r="F106" s="105"/>
      <c r="G106" s="105"/>
      <c r="H106" s="105"/>
      <c r="I106" s="105"/>
      <c r="J106" s="106" t="s">
        <v>9637</v>
      </c>
      <c r="K106" s="105"/>
      <c r="L106" s="105">
        <v>75</v>
      </c>
    </row>
    <row r="107" spans="1:12" x14ac:dyDescent="0.25">
      <c r="A107" s="106" t="s">
        <v>9638</v>
      </c>
      <c r="B107" s="105"/>
      <c r="C107" s="105"/>
      <c r="D107" s="105">
        <v>105</v>
      </c>
      <c r="E107" s="105"/>
      <c r="F107" s="105"/>
      <c r="G107" s="105"/>
      <c r="H107" s="105"/>
      <c r="I107" s="105"/>
      <c r="J107" s="106" t="s">
        <v>9638</v>
      </c>
      <c r="K107" s="105"/>
      <c r="L107" s="105">
        <v>76</v>
      </c>
    </row>
    <row r="108" spans="1:12" x14ac:dyDescent="0.25">
      <c r="A108" s="106" t="s">
        <v>9639</v>
      </c>
      <c r="B108" s="105"/>
      <c r="C108" s="105"/>
      <c r="D108" s="105">
        <v>106</v>
      </c>
      <c r="E108" s="105"/>
      <c r="F108" s="105"/>
      <c r="G108" s="105"/>
      <c r="H108" s="105"/>
      <c r="I108" s="105"/>
      <c r="J108" s="106" t="s">
        <v>9639</v>
      </c>
      <c r="K108" s="105"/>
      <c r="L108" s="105">
        <v>77</v>
      </c>
    </row>
    <row r="109" spans="1:12" x14ac:dyDescent="0.25">
      <c r="A109" s="106" t="s">
        <v>9640</v>
      </c>
      <c r="B109" s="105"/>
      <c r="C109" s="105"/>
      <c r="D109" s="105">
        <v>107</v>
      </c>
      <c r="E109" s="105"/>
      <c r="F109" s="105"/>
      <c r="G109" s="105"/>
      <c r="H109" s="105"/>
      <c r="I109" s="105"/>
      <c r="J109" s="106" t="s">
        <v>9640</v>
      </c>
      <c r="K109" s="105"/>
      <c r="L109" s="105">
        <v>78</v>
      </c>
    </row>
    <row r="110" spans="1:12" x14ac:dyDescent="0.25">
      <c r="A110" s="106" t="s">
        <v>9641</v>
      </c>
      <c r="B110" s="105"/>
      <c r="C110" s="105"/>
      <c r="D110" s="105">
        <v>108</v>
      </c>
      <c r="E110" s="105"/>
      <c r="F110" s="105"/>
      <c r="G110" s="105"/>
      <c r="H110" s="105"/>
      <c r="I110" s="105"/>
      <c r="J110" s="106" t="s">
        <v>9641</v>
      </c>
      <c r="K110" s="105"/>
      <c r="L110" s="105">
        <v>79</v>
      </c>
    </row>
    <row r="111" spans="1:12" x14ac:dyDescent="0.25">
      <c r="A111" s="106" t="s">
        <v>9642</v>
      </c>
      <c r="B111" s="105"/>
      <c r="C111" s="105"/>
      <c r="D111" s="105">
        <v>109</v>
      </c>
      <c r="E111" s="105"/>
      <c r="F111" s="105"/>
      <c r="G111" s="105"/>
      <c r="H111" s="105"/>
      <c r="I111" s="105"/>
      <c r="J111" s="106" t="s">
        <v>9642</v>
      </c>
      <c r="K111" s="105"/>
      <c r="L111" s="105">
        <v>80</v>
      </c>
    </row>
    <row r="112" spans="1:12" x14ac:dyDescent="0.25">
      <c r="A112" s="106" t="s">
        <v>9643</v>
      </c>
      <c r="B112" s="105"/>
      <c r="C112" s="105"/>
      <c r="D112" s="105">
        <v>110</v>
      </c>
      <c r="E112" s="105"/>
      <c r="F112" s="105"/>
      <c r="G112" s="105"/>
      <c r="H112" s="105"/>
      <c r="I112" s="105"/>
      <c r="J112" s="106" t="s">
        <v>9643</v>
      </c>
      <c r="K112" s="105"/>
      <c r="L112" s="105">
        <v>81</v>
      </c>
    </row>
    <row r="113" spans="1:12" x14ac:dyDescent="0.25">
      <c r="A113" s="106" t="s">
        <v>9644</v>
      </c>
      <c r="B113" s="105"/>
      <c r="C113" s="105"/>
      <c r="D113" s="105">
        <v>111</v>
      </c>
      <c r="E113" s="105"/>
      <c r="F113" s="105"/>
      <c r="G113" s="105"/>
      <c r="H113" s="105"/>
      <c r="I113" s="105"/>
      <c r="J113" s="106" t="s">
        <v>9644</v>
      </c>
      <c r="K113" s="105"/>
      <c r="L113" s="105">
        <v>82</v>
      </c>
    </row>
    <row r="114" spans="1:12" x14ac:dyDescent="0.25">
      <c r="A114" s="106" t="s">
        <v>9645</v>
      </c>
      <c r="B114" s="105"/>
      <c r="C114" s="105"/>
      <c r="D114" s="105">
        <v>112</v>
      </c>
      <c r="E114" s="105"/>
      <c r="F114" s="105"/>
      <c r="G114" s="105"/>
      <c r="H114" s="105"/>
      <c r="I114" s="105"/>
      <c r="J114" s="106" t="s">
        <v>9645</v>
      </c>
      <c r="K114" s="105"/>
      <c r="L114" s="105">
        <v>83</v>
      </c>
    </row>
    <row r="115" spans="1:12" x14ac:dyDescent="0.25">
      <c r="A115" s="106" t="s">
        <v>9646</v>
      </c>
      <c r="B115" s="105"/>
      <c r="C115" s="105"/>
      <c r="D115" s="105">
        <v>113</v>
      </c>
      <c r="E115" s="105"/>
      <c r="F115" s="105"/>
      <c r="G115" s="105"/>
      <c r="H115" s="105"/>
      <c r="I115" s="105"/>
      <c r="J115" s="106" t="s">
        <v>9646</v>
      </c>
      <c r="K115" s="105"/>
      <c r="L115" s="105">
        <v>84</v>
      </c>
    </row>
    <row r="116" spans="1:12" x14ac:dyDescent="0.25">
      <c r="A116" s="106" t="s">
        <v>9647</v>
      </c>
      <c r="B116" s="105"/>
      <c r="C116" s="105"/>
      <c r="D116" s="105">
        <v>114</v>
      </c>
      <c r="E116" s="105"/>
      <c r="F116" s="105"/>
      <c r="G116" s="105"/>
      <c r="H116" s="105"/>
      <c r="I116" s="105"/>
      <c r="J116" s="106" t="s">
        <v>9647</v>
      </c>
      <c r="K116" s="105"/>
      <c r="L116" s="105">
        <v>85</v>
      </c>
    </row>
    <row r="117" spans="1:12" x14ac:dyDescent="0.25">
      <c r="A117" s="106" t="s">
        <v>9648</v>
      </c>
      <c r="B117" s="105"/>
      <c r="C117" s="105"/>
      <c r="D117" s="105">
        <v>115</v>
      </c>
      <c r="E117" s="105"/>
      <c r="F117" s="105"/>
      <c r="G117" s="105"/>
      <c r="H117" s="105"/>
      <c r="I117" s="105"/>
      <c r="J117" s="106" t="s">
        <v>9648</v>
      </c>
      <c r="K117" s="105"/>
      <c r="L117" s="105">
        <v>86</v>
      </c>
    </row>
    <row r="118" spans="1:12" x14ac:dyDescent="0.25">
      <c r="A118" s="106" t="s">
        <v>9649</v>
      </c>
      <c r="B118" s="105"/>
      <c r="C118" s="105"/>
      <c r="D118" s="105">
        <v>116</v>
      </c>
      <c r="E118" s="105"/>
      <c r="F118" s="105"/>
      <c r="G118" s="105"/>
      <c r="H118" s="105"/>
      <c r="I118" s="105"/>
      <c r="J118" s="106" t="s">
        <v>9649</v>
      </c>
      <c r="K118" s="105"/>
      <c r="L118" s="105">
        <v>87</v>
      </c>
    </row>
    <row r="119" spans="1:12" x14ac:dyDescent="0.25">
      <c r="A119" s="106" t="s">
        <v>9650</v>
      </c>
      <c r="B119" s="105"/>
      <c r="C119" s="105"/>
      <c r="D119" s="105">
        <v>117</v>
      </c>
      <c r="E119" s="105"/>
      <c r="F119" s="105"/>
      <c r="G119" s="105"/>
      <c r="H119" s="105"/>
      <c r="I119" s="105"/>
      <c r="J119" s="106" t="s">
        <v>9650</v>
      </c>
      <c r="K119" s="105"/>
      <c r="L119" s="105">
        <v>88</v>
      </c>
    </row>
    <row r="120" spans="1:12" x14ac:dyDescent="0.25">
      <c r="A120" s="106" t="s">
        <v>9651</v>
      </c>
      <c r="B120" s="105"/>
      <c r="C120" s="105"/>
      <c r="D120" s="105">
        <v>118</v>
      </c>
      <c r="E120" s="105"/>
      <c r="F120" s="105"/>
      <c r="G120" s="105"/>
      <c r="H120" s="105"/>
      <c r="I120" s="105"/>
      <c r="J120" s="106" t="s">
        <v>9651</v>
      </c>
      <c r="K120" s="105"/>
      <c r="L120" s="105">
        <v>89</v>
      </c>
    </row>
    <row r="121" spans="1:12" x14ac:dyDescent="0.25">
      <c r="A121" s="106" t="s">
        <v>9652</v>
      </c>
      <c r="B121" s="105"/>
      <c r="C121" s="105"/>
      <c r="D121" s="105">
        <v>119</v>
      </c>
      <c r="E121" s="105"/>
      <c r="F121" s="105"/>
      <c r="G121" s="105"/>
      <c r="H121" s="105"/>
      <c r="I121" s="105"/>
      <c r="J121" s="106" t="s">
        <v>9652</v>
      </c>
      <c r="K121" s="105"/>
      <c r="L121" s="105">
        <v>90</v>
      </c>
    </row>
    <row r="122" spans="1:12" x14ac:dyDescent="0.25">
      <c r="A122" s="106" t="s">
        <v>9653</v>
      </c>
      <c r="B122" s="105"/>
      <c r="C122" s="105"/>
      <c r="D122" s="105">
        <v>120</v>
      </c>
      <c r="E122" s="105"/>
      <c r="F122" s="105"/>
      <c r="G122" s="105"/>
      <c r="H122" s="105"/>
      <c r="I122" s="105"/>
      <c r="J122" s="106" t="s">
        <v>9653</v>
      </c>
      <c r="K122" s="105"/>
      <c r="L122" s="105">
        <v>91</v>
      </c>
    </row>
    <row r="123" spans="1:12" x14ac:dyDescent="0.25">
      <c r="A123" s="106" t="s">
        <v>9654</v>
      </c>
      <c r="B123" s="105"/>
      <c r="C123" s="105"/>
      <c r="D123" s="105">
        <v>121</v>
      </c>
      <c r="E123" s="105"/>
      <c r="F123" s="105"/>
      <c r="G123" s="105"/>
      <c r="H123" s="105"/>
      <c r="I123" s="105"/>
      <c r="J123" s="106" t="s">
        <v>9654</v>
      </c>
      <c r="K123" s="105"/>
      <c r="L123" s="105">
        <v>92</v>
      </c>
    </row>
    <row r="124" spans="1:12" x14ac:dyDescent="0.25">
      <c r="A124" s="106" t="s">
        <v>9655</v>
      </c>
      <c r="B124" s="105"/>
      <c r="C124" s="105"/>
      <c r="D124" s="105">
        <v>122</v>
      </c>
      <c r="E124" s="105"/>
      <c r="F124" s="105"/>
      <c r="G124" s="105"/>
      <c r="H124" s="105"/>
      <c r="I124" s="105"/>
      <c r="J124" s="106" t="s">
        <v>9655</v>
      </c>
      <c r="K124" s="105"/>
      <c r="L124" s="105">
        <v>93</v>
      </c>
    </row>
    <row r="125" spans="1:12" x14ac:dyDescent="0.25">
      <c r="A125" s="106" t="s">
        <v>9656</v>
      </c>
      <c r="B125" s="105"/>
      <c r="C125" s="105"/>
      <c r="D125" s="105">
        <v>123</v>
      </c>
      <c r="E125" s="105"/>
      <c r="F125" s="105"/>
      <c r="G125" s="105"/>
      <c r="H125" s="105"/>
      <c r="I125" s="105"/>
      <c r="J125" s="106" t="s">
        <v>9656</v>
      </c>
      <c r="K125" s="105"/>
      <c r="L125" s="105">
        <v>94</v>
      </c>
    </row>
    <row r="126" spans="1:12" x14ac:dyDescent="0.25">
      <c r="A126" s="106" t="s">
        <v>9657</v>
      </c>
      <c r="B126" s="105"/>
      <c r="C126" s="105"/>
      <c r="D126" s="105">
        <v>124</v>
      </c>
      <c r="E126" s="105"/>
      <c r="F126" s="105"/>
      <c r="G126" s="105"/>
      <c r="H126" s="105"/>
      <c r="I126" s="105"/>
      <c r="J126" s="106" t="s">
        <v>9657</v>
      </c>
      <c r="K126" s="105"/>
      <c r="L126" s="105">
        <v>95</v>
      </c>
    </row>
    <row r="127" spans="1:12" x14ac:dyDescent="0.25">
      <c r="A127" s="106" t="s">
        <v>9658</v>
      </c>
      <c r="B127" s="105"/>
      <c r="C127" s="105"/>
      <c r="D127" s="105">
        <v>125</v>
      </c>
      <c r="E127" s="105"/>
      <c r="F127" s="105"/>
      <c r="G127" s="105"/>
      <c r="H127" s="105"/>
      <c r="I127" s="105"/>
      <c r="J127" s="106" t="s">
        <v>9658</v>
      </c>
      <c r="K127" s="105"/>
      <c r="L127" s="105">
        <v>96</v>
      </c>
    </row>
    <row r="128" spans="1:12" x14ac:dyDescent="0.25">
      <c r="A128" s="106" t="s">
        <v>9659</v>
      </c>
      <c r="B128" s="105"/>
      <c r="C128" s="105"/>
      <c r="D128" s="105">
        <v>126</v>
      </c>
      <c r="E128" s="105"/>
      <c r="F128" s="105"/>
      <c r="G128" s="105"/>
      <c r="H128" s="105"/>
      <c r="I128" s="105"/>
      <c r="J128" s="106" t="s">
        <v>9659</v>
      </c>
      <c r="K128" s="105"/>
      <c r="L128" s="105">
        <v>97</v>
      </c>
    </row>
    <row r="129" spans="1:12" x14ac:dyDescent="0.25">
      <c r="A129" s="106" t="s">
        <v>9660</v>
      </c>
      <c r="B129" s="105"/>
      <c r="C129" s="105"/>
      <c r="D129" s="105">
        <v>127</v>
      </c>
      <c r="E129" s="105"/>
      <c r="F129" s="105"/>
      <c r="G129" s="105"/>
      <c r="H129" s="105"/>
      <c r="I129" s="105"/>
      <c r="J129" s="106" t="s">
        <v>9660</v>
      </c>
      <c r="K129" s="105"/>
      <c r="L129" s="105">
        <v>98</v>
      </c>
    </row>
    <row r="130" spans="1:12" x14ac:dyDescent="0.25">
      <c r="A130" s="106" t="s">
        <v>9661</v>
      </c>
      <c r="B130" s="105"/>
      <c r="C130" s="105"/>
      <c r="D130" s="105">
        <v>128</v>
      </c>
      <c r="E130" s="105"/>
      <c r="F130" s="105"/>
      <c r="G130" s="105"/>
      <c r="H130" s="105"/>
      <c r="I130" s="105"/>
      <c r="J130" s="106" t="s">
        <v>9661</v>
      </c>
      <c r="K130" s="105"/>
      <c r="L130" s="105">
        <v>99</v>
      </c>
    </row>
    <row r="131" spans="1:12" x14ac:dyDescent="0.25">
      <c r="A131" s="106" t="s">
        <v>9662</v>
      </c>
      <c r="B131" s="105"/>
      <c r="C131" s="105"/>
      <c r="D131" s="105">
        <v>129</v>
      </c>
      <c r="E131" s="105"/>
      <c r="F131" s="105"/>
      <c r="G131" s="105"/>
      <c r="H131" s="105"/>
      <c r="I131" s="105"/>
      <c r="J131" s="106" t="s">
        <v>9662</v>
      </c>
      <c r="K131" s="105"/>
      <c r="L131" s="105">
        <v>100</v>
      </c>
    </row>
    <row r="132" spans="1:12" x14ac:dyDescent="0.25">
      <c r="A132" s="106" t="s">
        <v>9663</v>
      </c>
      <c r="B132" s="105"/>
      <c r="C132" s="105"/>
      <c r="D132" s="105">
        <v>130</v>
      </c>
      <c r="E132" s="105"/>
      <c r="F132" s="105"/>
      <c r="G132" s="105"/>
      <c r="H132" s="105"/>
      <c r="I132" s="105"/>
      <c r="J132" s="106" t="s">
        <v>9663</v>
      </c>
      <c r="K132" s="105"/>
      <c r="L132" s="105">
        <v>101</v>
      </c>
    </row>
    <row r="133" spans="1:12" x14ac:dyDescent="0.25">
      <c r="A133" s="106" t="s">
        <v>9664</v>
      </c>
      <c r="B133" s="105"/>
      <c r="C133" s="105"/>
      <c r="D133" s="105">
        <v>131</v>
      </c>
      <c r="E133" s="105"/>
      <c r="F133" s="105"/>
      <c r="G133" s="105"/>
      <c r="H133" s="105"/>
      <c r="I133" s="105"/>
      <c r="J133" s="106" t="s">
        <v>9664</v>
      </c>
      <c r="K133" s="105"/>
      <c r="L133" s="105">
        <v>102</v>
      </c>
    </row>
    <row r="134" spans="1:12" x14ac:dyDescent="0.25">
      <c r="A134" s="106" t="s">
        <v>9665</v>
      </c>
      <c r="B134" s="105"/>
      <c r="C134" s="105"/>
      <c r="D134" s="105">
        <v>132</v>
      </c>
      <c r="E134" s="105"/>
      <c r="F134" s="105"/>
      <c r="G134" s="105"/>
      <c r="H134" s="105"/>
      <c r="I134" s="105"/>
      <c r="J134" s="106" t="s">
        <v>9665</v>
      </c>
      <c r="K134" s="105"/>
      <c r="L134" s="105">
        <v>103</v>
      </c>
    </row>
    <row r="135" spans="1:12" x14ac:dyDescent="0.25">
      <c r="A135" s="106" t="s">
        <v>9666</v>
      </c>
      <c r="B135" s="105"/>
      <c r="C135" s="105"/>
      <c r="D135" s="105">
        <v>133</v>
      </c>
      <c r="E135" s="105"/>
      <c r="F135" s="105"/>
      <c r="G135" s="105"/>
      <c r="H135" s="105"/>
      <c r="I135" s="105"/>
      <c r="J135" s="106" t="s">
        <v>9666</v>
      </c>
      <c r="K135" s="105"/>
      <c r="L135" s="105">
        <v>104</v>
      </c>
    </row>
    <row r="136" spans="1:12" x14ac:dyDescent="0.25">
      <c r="A136" s="106" t="s">
        <v>9667</v>
      </c>
      <c r="B136" s="105"/>
      <c r="C136" s="105"/>
      <c r="D136" s="105">
        <v>134</v>
      </c>
      <c r="E136" s="105"/>
      <c r="F136" s="105"/>
      <c r="G136" s="105"/>
      <c r="H136" s="105"/>
      <c r="I136" s="105"/>
      <c r="J136" s="106" t="s">
        <v>9667</v>
      </c>
      <c r="K136" s="105"/>
      <c r="L136" s="105">
        <v>105</v>
      </c>
    </row>
    <row r="137" spans="1:12" x14ac:dyDescent="0.25">
      <c r="A137" s="106" t="s">
        <v>9668</v>
      </c>
      <c r="B137" s="105"/>
      <c r="C137" s="105"/>
      <c r="D137" s="105">
        <v>135</v>
      </c>
      <c r="E137" s="105"/>
      <c r="F137" s="105"/>
      <c r="G137" s="105"/>
      <c r="H137" s="105"/>
      <c r="I137" s="105"/>
      <c r="J137" s="106" t="s">
        <v>9668</v>
      </c>
      <c r="K137" s="105"/>
      <c r="L137" s="105">
        <v>106</v>
      </c>
    </row>
    <row r="138" spans="1:12" x14ac:dyDescent="0.25">
      <c r="A138" s="106" t="s">
        <v>9669</v>
      </c>
      <c r="B138" s="105"/>
      <c r="C138" s="105"/>
      <c r="D138" s="105">
        <v>136</v>
      </c>
      <c r="E138" s="105"/>
      <c r="F138" s="105"/>
      <c r="G138" s="105"/>
      <c r="H138" s="105"/>
      <c r="I138" s="105"/>
      <c r="J138" s="106" t="s">
        <v>9669</v>
      </c>
      <c r="K138" s="105"/>
      <c r="L138" s="105">
        <v>107</v>
      </c>
    </row>
    <row r="139" spans="1:12" x14ac:dyDescent="0.25">
      <c r="A139" s="106" t="s">
        <v>9670</v>
      </c>
      <c r="B139" s="105"/>
      <c r="C139" s="105"/>
      <c r="D139" s="105">
        <v>137</v>
      </c>
      <c r="E139" s="105"/>
      <c r="F139" s="105"/>
      <c r="G139" s="105"/>
      <c r="H139" s="105"/>
      <c r="I139" s="105"/>
      <c r="J139" s="106" t="s">
        <v>9670</v>
      </c>
      <c r="K139" s="105"/>
      <c r="L139" s="105">
        <v>108</v>
      </c>
    </row>
    <row r="140" spans="1:12" x14ac:dyDescent="0.25">
      <c r="A140" s="106" t="s">
        <v>9671</v>
      </c>
      <c r="B140" s="105"/>
      <c r="C140" s="105"/>
      <c r="D140" s="105">
        <v>138</v>
      </c>
      <c r="E140" s="105"/>
      <c r="F140" s="105"/>
      <c r="G140" s="105"/>
      <c r="H140" s="105"/>
      <c r="I140" s="105"/>
      <c r="J140" s="106" t="s">
        <v>9671</v>
      </c>
      <c r="K140" s="105"/>
      <c r="L140" s="105">
        <v>109</v>
      </c>
    </row>
    <row r="141" spans="1:12" x14ac:dyDescent="0.25">
      <c r="A141" s="106" t="s">
        <v>9672</v>
      </c>
      <c r="B141" s="105"/>
      <c r="C141" s="105"/>
      <c r="D141" s="105">
        <v>139</v>
      </c>
      <c r="E141" s="105"/>
      <c r="F141" s="105"/>
      <c r="G141" s="105"/>
      <c r="H141" s="105"/>
      <c r="I141" s="105"/>
      <c r="J141" s="106" t="s">
        <v>9672</v>
      </c>
      <c r="K141" s="105"/>
      <c r="L141" s="105">
        <v>110</v>
      </c>
    </row>
    <row r="142" spans="1:12" x14ac:dyDescent="0.25">
      <c r="A142" s="106" t="s">
        <v>9673</v>
      </c>
      <c r="B142" s="105"/>
      <c r="C142" s="105"/>
      <c r="D142" s="105">
        <v>140</v>
      </c>
      <c r="E142" s="105"/>
      <c r="F142" s="105"/>
      <c r="G142" s="105"/>
      <c r="H142" s="105"/>
      <c r="I142" s="105"/>
      <c r="J142" s="106" t="s">
        <v>9673</v>
      </c>
      <c r="K142" s="105"/>
      <c r="L142" s="105">
        <v>111</v>
      </c>
    </row>
    <row r="143" spans="1:12" x14ac:dyDescent="0.25">
      <c r="A143" s="106" t="s">
        <v>9674</v>
      </c>
      <c r="B143" s="105"/>
      <c r="C143" s="105"/>
      <c r="D143" s="105">
        <v>141</v>
      </c>
      <c r="E143" s="105"/>
      <c r="F143" s="105"/>
      <c r="G143" s="105"/>
      <c r="H143" s="105"/>
      <c r="I143" s="105"/>
      <c r="J143" s="106" t="s">
        <v>9674</v>
      </c>
      <c r="K143" s="105"/>
      <c r="L143" s="105">
        <v>112</v>
      </c>
    </row>
    <row r="144" spans="1:12" x14ac:dyDescent="0.25">
      <c r="A144" s="106" t="s">
        <v>9675</v>
      </c>
      <c r="B144" s="105"/>
      <c r="C144" s="105"/>
      <c r="D144" s="105">
        <v>142</v>
      </c>
      <c r="E144" s="105"/>
      <c r="F144" s="105"/>
      <c r="G144" s="105"/>
      <c r="H144" s="105"/>
      <c r="I144" s="105"/>
      <c r="J144" s="106" t="s">
        <v>9675</v>
      </c>
      <c r="K144" s="105"/>
      <c r="L144" s="105">
        <v>113</v>
      </c>
    </row>
    <row r="145" spans="1:12" x14ac:dyDescent="0.25">
      <c r="A145" s="106" t="s">
        <v>9676</v>
      </c>
      <c r="B145" s="105"/>
      <c r="C145" s="105"/>
      <c r="D145" s="105">
        <v>143</v>
      </c>
      <c r="E145" s="105"/>
      <c r="F145" s="105"/>
      <c r="G145" s="105"/>
      <c r="H145" s="105"/>
      <c r="I145" s="105"/>
      <c r="J145" s="106" t="s">
        <v>9676</v>
      </c>
      <c r="K145" s="105"/>
      <c r="L145" s="105">
        <v>114</v>
      </c>
    </row>
    <row r="146" spans="1:12" x14ac:dyDescent="0.25">
      <c r="A146" s="106" t="s">
        <v>9677</v>
      </c>
      <c r="B146" s="105"/>
      <c r="C146" s="105"/>
      <c r="D146" s="105">
        <v>144</v>
      </c>
      <c r="E146" s="105"/>
      <c r="F146" s="105"/>
      <c r="G146" s="105"/>
      <c r="H146" s="105"/>
      <c r="I146" s="105"/>
      <c r="J146" s="106" t="s">
        <v>9677</v>
      </c>
      <c r="K146" s="105"/>
      <c r="L146" s="105">
        <v>115</v>
      </c>
    </row>
    <row r="147" spans="1:12" x14ac:dyDescent="0.25">
      <c r="A147" s="106" t="s">
        <v>9678</v>
      </c>
      <c r="B147" s="105"/>
      <c r="C147" s="105"/>
      <c r="D147" s="105">
        <v>145</v>
      </c>
      <c r="E147" s="105"/>
      <c r="F147" s="105"/>
      <c r="G147" s="105"/>
      <c r="H147" s="105"/>
      <c r="I147" s="105"/>
      <c r="J147" s="106" t="s">
        <v>9678</v>
      </c>
      <c r="K147" s="105"/>
      <c r="L147" s="105">
        <v>116</v>
      </c>
    </row>
    <row r="148" spans="1:12" x14ac:dyDescent="0.25">
      <c r="A148" s="106" t="s">
        <v>9679</v>
      </c>
      <c r="B148" s="105"/>
      <c r="C148" s="105"/>
      <c r="D148" s="105">
        <v>146</v>
      </c>
      <c r="E148" s="105"/>
      <c r="F148" s="105"/>
      <c r="G148" s="105"/>
      <c r="H148" s="105"/>
      <c r="I148" s="105"/>
      <c r="J148" s="106" t="s">
        <v>9679</v>
      </c>
      <c r="K148" s="105"/>
      <c r="L148" s="105">
        <v>117</v>
      </c>
    </row>
    <row r="149" spans="1:12" x14ac:dyDescent="0.25">
      <c r="A149" s="106" t="s">
        <v>9680</v>
      </c>
      <c r="B149" s="105"/>
      <c r="C149" s="105"/>
      <c r="D149" s="105">
        <v>147</v>
      </c>
      <c r="E149" s="105"/>
      <c r="F149" s="105"/>
      <c r="G149" s="105"/>
      <c r="H149" s="105"/>
      <c r="I149" s="105"/>
      <c r="J149" s="106" t="s">
        <v>9680</v>
      </c>
      <c r="K149" s="105"/>
      <c r="L149" s="105">
        <v>118</v>
      </c>
    </row>
    <row r="150" spans="1:12" x14ac:dyDescent="0.25">
      <c r="A150" s="106" t="s">
        <v>9681</v>
      </c>
      <c r="B150" s="105"/>
      <c r="C150" s="105"/>
      <c r="D150" s="105">
        <v>148</v>
      </c>
      <c r="E150" s="105"/>
      <c r="F150" s="105"/>
      <c r="G150" s="105"/>
      <c r="H150" s="105"/>
      <c r="I150" s="105"/>
      <c r="J150" s="106" t="s">
        <v>9681</v>
      </c>
      <c r="K150" s="105"/>
      <c r="L150" s="105">
        <v>119</v>
      </c>
    </row>
    <row r="151" spans="1:12" x14ac:dyDescent="0.25">
      <c r="A151" s="106" t="s">
        <v>9682</v>
      </c>
      <c r="B151" s="105"/>
      <c r="C151" s="105"/>
      <c r="D151" s="105">
        <v>149</v>
      </c>
      <c r="E151" s="105"/>
      <c r="F151" s="105"/>
      <c r="G151" s="105"/>
      <c r="H151" s="105"/>
      <c r="I151" s="105"/>
      <c r="J151" s="106" t="s">
        <v>9682</v>
      </c>
      <c r="K151" s="105"/>
      <c r="L151" s="105">
        <v>120</v>
      </c>
    </row>
    <row r="152" spans="1:12" x14ac:dyDescent="0.25">
      <c r="A152" s="106" t="s">
        <v>9683</v>
      </c>
      <c r="B152" s="105"/>
      <c r="C152" s="105"/>
      <c r="D152" s="105">
        <v>150</v>
      </c>
      <c r="E152" s="105"/>
      <c r="F152" s="105"/>
      <c r="G152" s="105"/>
      <c r="H152" s="105"/>
      <c r="I152" s="105"/>
      <c r="J152" s="106" t="s">
        <v>9683</v>
      </c>
      <c r="K152" s="105"/>
      <c r="L152" s="105">
        <v>121</v>
      </c>
    </row>
    <row r="153" spans="1:12" x14ac:dyDescent="0.25">
      <c r="A153" s="106" t="s">
        <v>9684</v>
      </c>
      <c r="B153" s="105"/>
      <c r="C153" s="105"/>
      <c r="D153" s="105">
        <v>151</v>
      </c>
      <c r="E153" s="105"/>
      <c r="F153" s="105"/>
      <c r="G153" s="105"/>
      <c r="H153" s="105"/>
      <c r="I153" s="105"/>
      <c r="J153" s="106" t="s">
        <v>9684</v>
      </c>
      <c r="K153" s="105"/>
      <c r="L153" s="105">
        <v>122</v>
      </c>
    </row>
    <row r="154" spans="1:12" x14ac:dyDescent="0.25">
      <c r="A154" s="106" t="s">
        <v>9685</v>
      </c>
      <c r="B154" s="105"/>
      <c r="C154" s="105"/>
      <c r="D154" s="105">
        <v>152</v>
      </c>
      <c r="E154" s="105"/>
      <c r="F154" s="105"/>
      <c r="G154" s="105"/>
      <c r="H154" s="105"/>
      <c r="I154" s="105"/>
      <c r="J154" s="106" t="s">
        <v>9685</v>
      </c>
      <c r="K154" s="105"/>
      <c r="L154" s="105">
        <v>123</v>
      </c>
    </row>
    <row r="155" spans="1:12" x14ac:dyDescent="0.25">
      <c r="A155" s="106" t="s">
        <v>9686</v>
      </c>
      <c r="B155" s="105"/>
      <c r="C155" s="105"/>
      <c r="D155" s="105">
        <v>153</v>
      </c>
      <c r="E155" s="105"/>
      <c r="F155" s="105"/>
      <c r="G155" s="105"/>
      <c r="H155" s="105"/>
      <c r="I155" s="105"/>
      <c r="J155" s="106" t="s">
        <v>9686</v>
      </c>
      <c r="K155" s="105"/>
      <c r="L155" s="105">
        <v>124</v>
      </c>
    </row>
    <row r="156" spans="1:12" x14ac:dyDescent="0.25">
      <c r="A156" s="106" t="s">
        <v>9687</v>
      </c>
      <c r="B156" s="105"/>
      <c r="C156" s="105"/>
      <c r="D156" s="105">
        <v>154</v>
      </c>
      <c r="E156" s="105"/>
      <c r="F156" s="105"/>
      <c r="G156" s="105"/>
      <c r="H156" s="105"/>
      <c r="I156" s="105"/>
      <c r="J156" s="106" t="s">
        <v>9687</v>
      </c>
      <c r="K156" s="105"/>
      <c r="L156" s="105">
        <v>125</v>
      </c>
    </row>
    <row r="157" spans="1:12" x14ac:dyDescent="0.25">
      <c r="A157" s="106" t="s">
        <v>9688</v>
      </c>
      <c r="B157" s="105"/>
      <c r="C157" s="105"/>
      <c r="D157" s="105">
        <v>155</v>
      </c>
      <c r="E157" s="105"/>
      <c r="F157" s="105"/>
      <c r="G157" s="105"/>
      <c r="H157" s="105"/>
      <c r="I157" s="105"/>
      <c r="J157" s="106" t="s">
        <v>9688</v>
      </c>
      <c r="K157" s="105"/>
      <c r="L157" s="105">
        <v>126</v>
      </c>
    </row>
    <row r="158" spans="1:12" x14ac:dyDescent="0.25">
      <c r="A158" s="106" t="s">
        <v>9689</v>
      </c>
      <c r="B158" s="105"/>
      <c r="C158" s="105"/>
      <c r="D158" s="105">
        <v>156</v>
      </c>
      <c r="E158" s="105"/>
      <c r="F158" s="105"/>
      <c r="G158" s="105"/>
      <c r="H158" s="105"/>
      <c r="I158" s="105"/>
      <c r="J158" s="106" t="s">
        <v>9689</v>
      </c>
      <c r="K158" s="105"/>
      <c r="L158" s="105">
        <v>127</v>
      </c>
    </row>
    <row r="159" spans="1:12" x14ac:dyDescent="0.25">
      <c r="A159" s="106" t="s">
        <v>9690</v>
      </c>
      <c r="B159" s="105"/>
      <c r="C159" s="105"/>
      <c r="D159" s="105">
        <v>157</v>
      </c>
      <c r="E159" s="105"/>
      <c r="F159" s="105"/>
      <c r="G159" s="105"/>
      <c r="H159" s="105"/>
      <c r="I159" s="105"/>
      <c r="J159" s="106" t="s">
        <v>9690</v>
      </c>
      <c r="K159" s="105"/>
      <c r="L159" s="105">
        <v>128</v>
      </c>
    </row>
    <row r="160" spans="1:12" x14ac:dyDescent="0.25">
      <c r="A160" s="106" t="s">
        <v>9691</v>
      </c>
      <c r="B160" s="105"/>
      <c r="C160" s="105"/>
      <c r="D160" s="105">
        <v>158</v>
      </c>
      <c r="E160" s="105"/>
      <c r="F160" s="105"/>
      <c r="G160" s="105"/>
      <c r="H160" s="105"/>
      <c r="I160" s="105"/>
      <c r="J160" s="106" t="s">
        <v>9691</v>
      </c>
      <c r="K160" s="105"/>
      <c r="L160" s="105">
        <v>129</v>
      </c>
    </row>
    <row r="161" spans="1:12" x14ac:dyDescent="0.25">
      <c r="A161" s="106" t="s">
        <v>9692</v>
      </c>
      <c r="B161" s="105"/>
      <c r="C161" s="105"/>
      <c r="D161" s="105">
        <v>159</v>
      </c>
      <c r="E161" s="105"/>
      <c r="F161" s="105"/>
      <c r="G161" s="105"/>
      <c r="H161" s="105"/>
      <c r="I161" s="105"/>
      <c r="J161" s="106" t="s">
        <v>9692</v>
      </c>
      <c r="K161" s="105"/>
      <c r="L161" s="105">
        <v>130</v>
      </c>
    </row>
    <row r="162" spans="1:12" x14ac:dyDescent="0.25">
      <c r="A162" s="106" t="s">
        <v>9693</v>
      </c>
      <c r="B162" s="105"/>
      <c r="C162" s="105"/>
      <c r="D162" s="105">
        <v>160</v>
      </c>
      <c r="E162" s="105"/>
      <c r="F162" s="105"/>
      <c r="G162" s="105"/>
      <c r="H162" s="105"/>
      <c r="I162" s="105"/>
      <c r="J162" s="106" t="s">
        <v>9693</v>
      </c>
      <c r="K162" s="105"/>
      <c r="L162" s="105">
        <v>131</v>
      </c>
    </row>
    <row r="163" spans="1:12" x14ac:dyDescent="0.25">
      <c r="A163" s="106" t="s">
        <v>9694</v>
      </c>
      <c r="B163" s="105"/>
      <c r="C163" s="105"/>
      <c r="D163" s="105">
        <v>161</v>
      </c>
      <c r="E163" s="105"/>
      <c r="F163" s="105"/>
      <c r="G163" s="105"/>
      <c r="H163" s="105"/>
      <c r="I163" s="105"/>
      <c r="J163" s="106" t="s">
        <v>9694</v>
      </c>
      <c r="K163" s="105"/>
      <c r="L163" s="105">
        <v>132</v>
      </c>
    </row>
    <row r="164" spans="1:12" x14ac:dyDescent="0.25">
      <c r="A164" s="106" t="s">
        <v>9695</v>
      </c>
      <c r="B164" s="105"/>
      <c r="C164" s="105"/>
      <c r="D164" s="105">
        <v>162</v>
      </c>
      <c r="E164" s="105"/>
      <c r="F164" s="105"/>
      <c r="G164" s="105"/>
      <c r="H164" s="105"/>
      <c r="I164" s="105"/>
      <c r="J164" s="106" t="s">
        <v>9695</v>
      </c>
      <c r="K164" s="105"/>
      <c r="L164" s="105">
        <v>133</v>
      </c>
    </row>
    <row r="165" spans="1:12" x14ac:dyDescent="0.25">
      <c r="A165" s="106" t="s">
        <v>9696</v>
      </c>
      <c r="B165" s="105"/>
      <c r="C165" s="105"/>
      <c r="D165" s="105">
        <v>163</v>
      </c>
      <c r="E165" s="105"/>
      <c r="F165" s="105"/>
      <c r="G165" s="105"/>
      <c r="H165" s="105"/>
      <c r="I165" s="105"/>
      <c r="J165" s="106" t="s">
        <v>9696</v>
      </c>
      <c r="K165" s="105"/>
      <c r="L165" s="105">
        <v>134</v>
      </c>
    </row>
    <row r="166" spans="1:12" x14ac:dyDescent="0.25">
      <c r="A166" s="106" t="s">
        <v>9697</v>
      </c>
      <c r="B166" s="105"/>
      <c r="C166" s="105"/>
      <c r="D166" s="105">
        <v>164</v>
      </c>
      <c r="E166" s="105"/>
      <c r="F166" s="105"/>
      <c r="G166" s="105"/>
      <c r="H166" s="105"/>
      <c r="I166" s="105"/>
      <c r="J166" s="106" t="s">
        <v>9697</v>
      </c>
      <c r="K166" s="105"/>
      <c r="L166" s="105">
        <v>135</v>
      </c>
    </row>
    <row r="167" spans="1:12" x14ac:dyDescent="0.25">
      <c r="A167" s="106" t="s">
        <v>9698</v>
      </c>
      <c r="B167" s="105"/>
      <c r="C167" s="105"/>
      <c r="D167" s="105">
        <v>165</v>
      </c>
      <c r="E167" s="105"/>
      <c r="F167" s="105"/>
      <c r="G167" s="105"/>
      <c r="H167" s="105"/>
      <c r="I167" s="105"/>
      <c r="J167" s="106" t="s">
        <v>9698</v>
      </c>
      <c r="K167" s="105"/>
      <c r="L167" s="105">
        <v>136</v>
      </c>
    </row>
    <row r="168" spans="1:12" x14ac:dyDescent="0.25">
      <c r="A168" s="106" t="s">
        <v>9699</v>
      </c>
      <c r="B168" s="105"/>
      <c r="C168" s="105"/>
      <c r="D168" s="105">
        <v>166</v>
      </c>
      <c r="E168" s="105"/>
      <c r="F168" s="105"/>
      <c r="G168" s="105"/>
      <c r="H168" s="105"/>
      <c r="I168" s="105"/>
      <c r="J168" s="106" t="s">
        <v>9699</v>
      </c>
      <c r="K168" s="105"/>
      <c r="L168" s="105">
        <v>137</v>
      </c>
    </row>
    <row r="169" spans="1:12" x14ac:dyDescent="0.25">
      <c r="A169" s="106" t="s">
        <v>9700</v>
      </c>
      <c r="B169" s="105"/>
      <c r="C169" s="105"/>
      <c r="D169" s="105">
        <v>167</v>
      </c>
      <c r="E169" s="105"/>
      <c r="F169" s="105"/>
      <c r="G169" s="105"/>
      <c r="H169" s="105"/>
      <c r="I169" s="105"/>
      <c r="J169" s="106" t="s">
        <v>9700</v>
      </c>
      <c r="K169" s="105"/>
      <c r="L169" s="105">
        <v>138</v>
      </c>
    </row>
    <row r="170" spans="1:12" x14ac:dyDescent="0.25">
      <c r="A170" s="106" t="s">
        <v>9701</v>
      </c>
      <c r="B170" s="105"/>
      <c r="C170" s="105"/>
      <c r="D170" s="105">
        <v>168</v>
      </c>
      <c r="E170" s="105"/>
      <c r="F170" s="105"/>
      <c r="G170" s="105"/>
      <c r="H170" s="105"/>
      <c r="I170" s="105"/>
      <c r="J170" s="106" t="s">
        <v>9701</v>
      </c>
      <c r="K170" s="105"/>
      <c r="L170" s="105">
        <v>139</v>
      </c>
    </row>
    <row r="171" spans="1:12" x14ac:dyDescent="0.25">
      <c r="A171" s="106" t="s">
        <v>9702</v>
      </c>
      <c r="B171" s="105"/>
      <c r="C171" s="105"/>
      <c r="D171" s="105">
        <v>169</v>
      </c>
      <c r="E171" s="105"/>
      <c r="F171" s="105"/>
      <c r="G171" s="105"/>
      <c r="H171" s="105"/>
      <c r="I171" s="105"/>
      <c r="J171" s="106" t="s">
        <v>9702</v>
      </c>
      <c r="K171" s="105"/>
      <c r="L171" s="105">
        <v>140</v>
      </c>
    </row>
    <row r="172" spans="1:12" x14ac:dyDescent="0.25">
      <c r="A172" s="106" t="s">
        <v>9703</v>
      </c>
      <c r="B172" s="105"/>
      <c r="C172" s="105"/>
      <c r="D172" s="105">
        <v>170</v>
      </c>
      <c r="E172" s="105"/>
      <c r="F172" s="105"/>
      <c r="G172" s="105"/>
      <c r="H172" s="105"/>
      <c r="I172" s="105"/>
      <c r="J172" s="106" t="s">
        <v>9703</v>
      </c>
      <c r="K172" s="105"/>
      <c r="L172" s="105">
        <v>141</v>
      </c>
    </row>
    <row r="173" spans="1:12" x14ac:dyDescent="0.25">
      <c r="A173" s="106" t="s">
        <v>9704</v>
      </c>
      <c r="B173" s="105"/>
      <c r="C173" s="105"/>
      <c r="D173" s="105">
        <v>171</v>
      </c>
      <c r="E173" s="105"/>
      <c r="F173" s="105"/>
      <c r="G173" s="105"/>
      <c r="H173" s="105"/>
      <c r="I173" s="105"/>
      <c r="J173" s="106" t="s">
        <v>9704</v>
      </c>
      <c r="K173" s="105"/>
      <c r="L173" s="105">
        <v>142</v>
      </c>
    </row>
    <row r="174" spans="1:12" x14ac:dyDescent="0.25">
      <c r="A174" s="106" t="s">
        <v>9705</v>
      </c>
      <c r="B174" s="105"/>
      <c r="C174" s="105"/>
      <c r="D174" s="105">
        <v>172</v>
      </c>
      <c r="E174" s="105"/>
      <c r="F174" s="105"/>
      <c r="G174" s="105"/>
      <c r="H174" s="105"/>
      <c r="I174" s="105"/>
      <c r="J174" s="106" t="s">
        <v>9705</v>
      </c>
      <c r="K174" s="105"/>
      <c r="L174" s="105">
        <v>143</v>
      </c>
    </row>
    <row r="175" spans="1:12" x14ac:dyDescent="0.25">
      <c r="A175" s="106" t="s">
        <v>9706</v>
      </c>
      <c r="B175" s="105"/>
      <c r="C175" s="105"/>
      <c r="D175" s="105">
        <v>173</v>
      </c>
      <c r="E175" s="105"/>
      <c r="F175" s="105"/>
      <c r="G175" s="105"/>
      <c r="H175" s="105"/>
      <c r="I175" s="105"/>
      <c r="J175" s="106" t="s">
        <v>9706</v>
      </c>
      <c r="K175" s="105"/>
      <c r="L175" s="105">
        <v>144</v>
      </c>
    </row>
    <row r="176" spans="1:12" x14ac:dyDescent="0.25">
      <c r="A176" s="106" t="s">
        <v>9707</v>
      </c>
      <c r="B176" s="105"/>
      <c r="C176" s="105"/>
      <c r="D176" s="105">
        <v>174</v>
      </c>
      <c r="E176" s="105"/>
      <c r="F176" s="105"/>
      <c r="G176" s="105"/>
      <c r="H176" s="105"/>
      <c r="I176" s="105"/>
      <c r="J176" s="106" t="s">
        <v>9707</v>
      </c>
      <c r="K176" s="105"/>
      <c r="L176" s="105">
        <v>145</v>
      </c>
    </row>
    <row r="177" spans="1:12" x14ac:dyDescent="0.25">
      <c r="A177" s="106" t="s">
        <v>9708</v>
      </c>
      <c r="B177" s="105"/>
      <c r="C177" s="105"/>
      <c r="D177" s="105">
        <v>175</v>
      </c>
      <c r="E177" s="105"/>
      <c r="F177" s="105"/>
      <c r="G177" s="105"/>
      <c r="H177" s="105"/>
      <c r="I177" s="105"/>
      <c r="J177" s="106" t="s">
        <v>9708</v>
      </c>
      <c r="K177" s="105"/>
      <c r="L177" s="105">
        <v>146</v>
      </c>
    </row>
    <row r="178" spans="1:12" x14ac:dyDescent="0.25">
      <c r="A178" s="106" t="s">
        <v>9709</v>
      </c>
      <c r="B178" s="105"/>
      <c r="C178" s="105"/>
      <c r="D178" s="105">
        <v>176</v>
      </c>
      <c r="E178" s="105"/>
      <c r="F178" s="105"/>
      <c r="G178" s="105"/>
      <c r="H178" s="105"/>
      <c r="I178" s="105"/>
      <c r="J178" s="106" t="s">
        <v>9709</v>
      </c>
      <c r="K178" s="105"/>
      <c r="L178" s="105">
        <v>147</v>
      </c>
    </row>
    <row r="179" spans="1:12" x14ac:dyDescent="0.25">
      <c r="A179" s="106" t="s">
        <v>9710</v>
      </c>
      <c r="B179" s="105"/>
      <c r="C179" s="105"/>
      <c r="D179" s="105">
        <v>177</v>
      </c>
      <c r="E179" s="105"/>
      <c r="F179" s="105"/>
      <c r="G179" s="105"/>
      <c r="H179" s="105"/>
      <c r="I179" s="105"/>
      <c r="J179" s="106" t="s">
        <v>9710</v>
      </c>
      <c r="K179" s="105"/>
      <c r="L179" s="105">
        <v>148</v>
      </c>
    </row>
    <row r="180" spans="1:12" x14ac:dyDescent="0.25">
      <c r="A180" s="106" t="s">
        <v>9711</v>
      </c>
      <c r="B180" s="105"/>
      <c r="C180" s="105"/>
      <c r="D180" s="105">
        <v>178</v>
      </c>
      <c r="E180" s="105"/>
      <c r="F180" s="105"/>
      <c r="G180" s="105"/>
      <c r="H180" s="105"/>
      <c r="I180" s="105"/>
      <c r="J180" s="106" t="s">
        <v>9711</v>
      </c>
      <c r="K180" s="105"/>
      <c r="L180" s="105">
        <v>149</v>
      </c>
    </row>
    <row r="181" spans="1:12" x14ac:dyDescent="0.25">
      <c r="A181" s="106" t="s">
        <v>9712</v>
      </c>
      <c r="B181" s="105"/>
      <c r="C181" s="105"/>
      <c r="D181" s="105">
        <v>179</v>
      </c>
      <c r="E181" s="105"/>
      <c r="F181" s="105"/>
      <c r="G181" s="105"/>
      <c r="H181" s="105"/>
      <c r="I181" s="105"/>
      <c r="J181" s="106" t="s">
        <v>9712</v>
      </c>
      <c r="K181" s="105"/>
      <c r="L181" s="105">
        <v>150</v>
      </c>
    </row>
    <row r="182" spans="1:12" x14ac:dyDescent="0.25">
      <c r="A182" s="106" t="s">
        <v>9713</v>
      </c>
      <c r="B182" s="105"/>
      <c r="C182" s="105"/>
      <c r="D182" s="105">
        <v>180</v>
      </c>
      <c r="E182" s="105"/>
      <c r="F182" s="105"/>
      <c r="G182" s="105"/>
      <c r="H182" s="105"/>
      <c r="I182" s="105"/>
      <c r="J182" s="106" t="s">
        <v>9713</v>
      </c>
      <c r="K182" s="105"/>
      <c r="L182" s="105">
        <v>151</v>
      </c>
    </row>
    <row r="183" spans="1:12" x14ac:dyDescent="0.25">
      <c r="A183" s="105"/>
      <c r="B183" s="105"/>
      <c r="C183" s="105"/>
      <c r="D183" s="105"/>
      <c r="E183" s="105"/>
      <c r="F183" s="105"/>
      <c r="G183" s="105"/>
      <c r="H183" s="105"/>
      <c r="I183" s="105"/>
      <c r="J183" s="107"/>
      <c r="K183" s="107" t="str">
        <f>CONCATENATE(Tabla1[[#This Row],[EQUIVALENCIA]],". ",Tabla1[[#This Row],[CAMUFLADO]])</f>
        <v xml:space="preserve">. </v>
      </c>
      <c r="L183" s="105">
        <v>152</v>
      </c>
    </row>
    <row r="184" spans="1:12" x14ac:dyDescent="0.25">
      <c r="A184" s="105"/>
      <c r="B184" s="105"/>
      <c r="C184" s="105"/>
      <c r="D184" s="105"/>
      <c r="E184" s="105"/>
      <c r="F184" s="105"/>
      <c r="G184" s="105"/>
      <c r="H184" s="105"/>
      <c r="I184" s="105"/>
      <c r="J184" s="107"/>
      <c r="K184" s="107" t="str">
        <f>CONCATENATE(Tabla1[[#This Row],[EQUIVALENCIA]],". ",Tabla1[[#This Row],[CAMUFLADO]])</f>
        <v xml:space="preserve">. </v>
      </c>
      <c r="L184" s="105">
        <v>153</v>
      </c>
    </row>
    <row r="185" spans="1:12" x14ac:dyDescent="0.25">
      <c r="A185" s="105"/>
      <c r="B185" s="105"/>
      <c r="C185" s="105"/>
      <c r="D185" s="105"/>
      <c r="E185" s="105"/>
      <c r="F185" s="105"/>
      <c r="G185" s="105"/>
      <c r="H185" s="105"/>
      <c r="I185" s="105"/>
      <c r="J185" s="107"/>
      <c r="K185" s="107" t="str">
        <f>CONCATENATE(Tabla1[[#This Row],[EQUIVALENCIA]],". ",Tabla1[[#This Row],[CAMUFLADO]])</f>
        <v xml:space="preserve">. </v>
      </c>
      <c r="L185" s="105">
        <v>154</v>
      </c>
    </row>
    <row r="186" spans="1:12" x14ac:dyDescent="0.25">
      <c r="A186" s="105"/>
      <c r="B186" s="105"/>
      <c r="C186" s="105"/>
      <c r="D186" s="105"/>
      <c r="E186" s="105"/>
      <c r="F186" s="105"/>
      <c r="G186" s="105"/>
      <c r="H186" s="105"/>
      <c r="I186" s="105"/>
      <c r="J186" s="107"/>
      <c r="K186" s="107" t="str">
        <f>CONCATENATE(Tabla1[[#This Row],[EQUIVALENCIA]],". ",Tabla1[[#This Row],[CAMUFLADO]])</f>
        <v xml:space="preserve">. </v>
      </c>
      <c r="L186" s="105">
        <v>155</v>
      </c>
    </row>
    <row r="187" spans="1:12" x14ac:dyDescent="0.25">
      <c r="A187" s="105"/>
      <c r="B187" s="105"/>
      <c r="C187" s="105"/>
      <c r="D187" s="105"/>
      <c r="E187" s="105"/>
      <c r="F187" s="105"/>
      <c r="G187" s="105"/>
      <c r="H187" s="105"/>
      <c r="I187" s="105"/>
      <c r="J187" s="107"/>
      <c r="K187" s="107" t="str">
        <f>CONCATENATE(Tabla1[[#This Row],[EQUIVALENCIA]],". ",Tabla1[[#This Row],[CAMUFLADO]])</f>
        <v xml:space="preserve">. </v>
      </c>
      <c r="L187" s="105">
        <v>156</v>
      </c>
    </row>
    <row r="188" spans="1:12" x14ac:dyDescent="0.25">
      <c r="A188" s="105"/>
      <c r="B188" s="105"/>
      <c r="C188" s="105"/>
      <c r="D188" s="105"/>
      <c r="E188" s="105"/>
      <c r="F188" s="105"/>
      <c r="G188" s="105"/>
      <c r="H188" s="105"/>
      <c r="I188" s="105"/>
      <c r="J188" s="107"/>
      <c r="K188" s="107" t="str">
        <f>CONCATENATE(Tabla1[[#This Row],[EQUIVALENCIA]],". ",Tabla1[[#This Row],[CAMUFLADO]])</f>
        <v xml:space="preserve">. </v>
      </c>
      <c r="L188" s="105">
        <v>157</v>
      </c>
    </row>
    <row r="189" spans="1:12" x14ac:dyDescent="0.25">
      <c r="A189" s="105"/>
      <c r="B189" s="105"/>
      <c r="C189" s="105"/>
      <c r="D189" s="105"/>
      <c r="E189" s="105"/>
      <c r="F189" s="105"/>
      <c r="G189" s="105"/>
      <c r="H189" s="105"/>
      <c r="I189" s="105"/>
      <c r="J189" s="107"/>
      <c r="K189" s="107" t="str">
        <f>CONCATENATE(Tabla1[[#This Row],[EQUIVALENCIA]],". ",Tabla1[[#This Row],[CAMUFLADO]])</f>
        <v xml:space="preserve">. </v>
      </c>
      <c r="L189" s="105">
        <v>158</v>
      </c>
    </row>
    <row r="190" spans="1:12" x14ac:dyDescent="0.25">
      <c r="A190" s="105"/>
      <c r="B190" s="105"/>
      <c r="C190" s="105"/>
      <c r="D190" s="105"/>
      <c r="E190" s="105"/>
      <c r="F190" s="105"/>
      <c r="G190" s="105"/>
      <c r="H190" s="105"/>
      <c r="I190" s="105"/>
      <c r="J190" s="107"/>
      <c r="K190" s="107" t="str">
        <f>CONCATENATE(Tabla1[[#This Row],[EQUIVALENCIA]],". ",Tabla1[[#This Row],[CAMUFLADO]])</f>
        <v xml:space="preserve">. </v>
      </c>
      <c r="L190" s="105">
        <v>159</v>
      </c>
    </row>
    <row r="191" spans="1:12" x14ac:dyDescent="0.25">
      <c r="A191" s="105"/>
      <c r="B191" s="105"/>
      <c r="C191" s="105"/>
      <c r="D191" s="105"/>
      <c r="E191" s="105"/>
      <c r="F191" s="105"/>
      <c r="G191" s="105"/>
      <c r="H191" s="105"/>
      <c r="I191" s="105"/>
      <c r="J191" s="107"/>
      <c r="K191" s="107" t="str">
        <f>CONCATENATE(Tabla1[[#This Row],[EQUIVALENCIA]],". ",Tabla1[[#This Row],[CAMUFLADO]])</f>
        <v xml:space="preserve">. </v>
      </c>
      <c r="L191" s="105">
        <v>160</v>
      </c>
    </row>
    <row r="192" spans="1:12" x14ac:dyDescent="0.25">
      <c r="A192" s="105"/>
      <c r="B192" s="105"/>
      <c r="C192" s="105"/>
      <c r="D192" s="105"/>
      <c r="E192" s="105"/>
      <c r="F192" s="105"/>
      <c r="G192" s="105"/>
      <c r="H192" s="105"/>
      <c r="I192" s="105"/>
      <c r="J192" s="107"/>
      <c r="K192" s="107" t="str">
        <f>CONCATENATE(Tabla1[[#This Row],[EQUIVALENCIA]],". ",Tabla1[[#This Row],[CAMUFLADO]])</f>
        <v xml:space="preserve">. </v>
      </c>
      <c r="L192" s="105">
        <v>161</v>
      </c>
    </row>
    <row r="193" spans="1:12" x14ac:dyDescent="0.25">
      <c r="A193" s="105"/>
      <c r="B193" s="105"/>
      <c r="C193" s="105"/>
      <c r="D193" s="105"/>
      <c r="E193" s="105"/>
      <c r="F193" s="105"/>
      <c r="G193" s="105"/>
      <c r="H193" s="105"/>
      <c r="I193" s="105"/>
      <c r="J193" s="107"/>
      <c r="K193" s="107" t="str">
        <f>CONCATENATE(Tabla1[[#This Row],[EQUIVALENCIA]],". ",Tabla1[[#This Row],[CAMUFLADO]])</f>
        <v xml:space="preserve">. </v>
      </c>
      <c r="L193" s="105">
        <v>162</v>
      </c>
    </row>
    <row r="194" spans="1:12" x14ac:dyDescent="0.25">
      <c r="A194" s="105"/>
      <c r="B194" s="105"/>
      <c r="C194" s="105"/>
      <c r="D194" s="105"/>
      <c r="E194" s="105"/>
      <c r="F194" s="105"/>
      <c r="G194" s="105"/>
      <c r="H194" s="105"/>
      <c r="I194" s="105"/>
      <c r="J194" s="107"/>
      <c r="K194" s="107" t="str">
        <f>CONCATENATE(Tabla1[[#This Row],[EQUIVALENCIA]],". ",Tabla1[[#This Row],[CAMUFLADO]])</f>
        <v xml:space="preserve">. </v>
      </c>
      <c r="L194" s="105">
        <v>163</v>
      </c>
    </row>
    <row r="195" spans="1:12" x14ac:dyDescent="0.25">
      <c r="A195" s="105"/>
      <c r="B195" s="105"/>
      <c r="C195" s="105"/>
      <c r="D195" s="105"/>
      <c r="E195" s="105"/>
      <c r="F195" s="105"/>
      <c r="G195" s="105"/>
      <c r="H195" s="105"/>
      <c r="I195" s="105"/>
      <c r="J195" s="107"/>
      <c r="K195" s="107" t="str">
        <f>CONCATENATE(Tabla1[[#This Row],[EQUIVALENCIA]],". ",Tabla1[[#This Row],[CAMUFLADO]])</f>
        <v xml:space="preserve">. </v>
      </c>
      <c r="L195" s="105">
        <v>164</v>
      </c>
    </row>
    <row r="196" spans="1:12" x14ac:dyDescent="0.25">
      <c r="A196" s="105"/>
      <c r="B196" s="105"/>
      <c r="C196" s="105"/>
      <c r="D196" s="105"/>
      <c r="E196" s="105"/>
      <c r="F196" s="105"/>
      <c r="G196" s="105"/>
      <c r="H196" s="105"/>
      <c r="I196" s="105"/>
      <c r="J196" s="107"/>
      <c r="K196" s="107" t="str">
        <f>CONCATENATE(Tabla1[[#This Row],[EQUIVALENCIA]],". ",Tabla1[[#This Row],[CAMUFLADO]])</f>
        <v xml:space="preserve">. </v>
      </c>
      <c r="L196" s="105">
        <v>165</v>
      </c>
    </row>
    <row r="197" spans="1:12" x14ac:dyDescent="0.25">
      <c r="A197" s="105"/>
      <c r="B197" s="105"/>
      <c r="C197" s="105"/>
      <c r="D197" s="105"/>
      <c r="E197" s="105"/>
      <c r="F197" s="105"/>
      <c r="G197" s="105"/>
      <c r="H197" s="105"/>
      <c r="I197" s="105"/>
      <c r="J197" s="107"/>
      <c r="K197" s="107" t="str">
        <f>CONCATENATE(Tabla1[[#This Row],[EQUIVALENCIA]],". ",Tabla1[[#This Row],[CAMUFLADO]])</f>
        <v xml:space="preserve">. </v>
      </c>
      <c r="L197" s="105">
        <v>166</v>
      </c>
    </row>
    <row r="198" spans="1:12" x14ac:dyDescent="0.25">
      <c r="A198" s="105"/>
      <c r="B198" s="105"/>
      <c r="C198" s="105"/>
      <c r="D198" s="105"/>
      <c r="E198" s="105"/>
      <c r="F198" s="105"/>
      <c r="G198" s="105"/>
      <c r="H198" s="105"/>
      <c r="I198" s="105"/>
      <c r="J198" s="107"/>
      <c r="K198" s="107" t="str">
        <f>CONCATENATE(Tabla1[[#This Row],[EQUIVALENCIA]],". ",Tabla1[[#This Row],[CAMUFLADO]])</f>
        <v xml:space="preserve">. </v>
      </c>
      <c r="L198" s="105">
        <v>167</v>
      </c>
    </row>
    <row r="199" spans="1:12" x14ac:dyDescent="0.25">
      <c r="A199" s="105"/>
      <c r="B199" s="105"/>
      <c r="C199" s="105"/>
      <c r="D199" s="105"/>
      <c r="E199" s="105"/>
      <c r="F199" s="105"/>
      <c r="G199" s="105"/>
      <c r="H199" s="105"/>
      <c r="I199" s="105"/>
      <c r="J199" s="107"/>
      <c r="K199" s="107" t="str">
        <f>CONCATENATE(Tabla1[[#This Row],[EQUIVALENCIA]],". ",Tabla1[[#This Row],[CAMUFLADO]])</f>
        <v xml:space="preserve">. </v>
      </c>
      <c r="L199" s="105">
        <v>168</v>
      </c>
    </row>
    <row r="200" spans="1:12" x14ac:dyDescent="0.25">
      <c r="A200" s="105"/>
      <c r="B200" s="105"/>
      <c r="C200" s="105"/>
      <c r="D200" s="105"/>
      <c r="E200" s="105"/>
      <c r="F200" s="105"/>
      <c r="G200" s="105"/>
      <c r="H200" s="105"/>
      <c r="I200" s="105"/>
      <c r="J200" s="107"/>
      <c r="K200" s="107" t="str">
        <f>CONCATENATE(Tabla1[[#This Row],[EQUIVALENCIA]],". ",Tabla1[[#This Row],[CAMUFLADO]])</f>
        <v xml:space="preserve">. </v>
      </c>
      <c r="L200" s="105">
        <v>169</v>
      </c>
    </row>
    <row r="201" spans="1:12" x14ac:dyDescent="0.25">
      <c r="A201" s="105"/>
      <c r="B201" s="105"/>
      <c r="C201" s="105"/>
      <c r="D201" s="105"/>
      <c r="E201" s="105"/>
      <c r="F201" s="105"/>
      <c r="G201" s="105"/>
      <c r="H201" s="105"/>
      <c r="I201" s="105"/>
      <c r="J201" s="107"/>
      <c r="K201" s="107" t="str">
        <f>CONCATENATE(Tabla1[[#This Row],[EQUIVALENCIA]],". ",Tabla1[[#This Row],[CAMUFLADO]])</f>
        <v xml:space="preserve">. </v>
      </c>
      <c r="L201" s="105">
        <v>170</v>
      </c>
    </row>
    <row r="202" spans="1:12" x14ac:dyDescent="0.25">
      <c r="A202" s="105"/>
      <c r="B202" s="105"/>
      <c r="C202" s="105"/>
      <c r="D202" s="105"/>
      <c r="E202" s="105"/>
      <c r="F202" s="105"/>
      <c r="G202" s="105"/>
      <c r="H202" s="105"/>
      <c r="I202" s="105"/>
      <c r="J202" s="107"/>
      <c r="K202" s="107" t="str">
        <f>CONCATENATE(Tabla1[[#This Row],[EQUIVALENCIA]],". ",Tabla1[[#This Row],[CAMUFLADO]])</f>
        <v xml:space="preserve">. </v>
      </c>
      <c r="L202" s="105">
        <v>171</v>
      </c>
    </row>
    <row r="203" spans="1:12" x14ac:dyDescent="0.25">
      <c r="A203" s="105"/>
      <c r="B203" s="105"/>
      <c r="C203" s="105"/>
      <c r="D203" s="105"/>
      <c r="E203" s="105"/>
      <c r="F203" s="105"/>
      <c r="G203" s="105"/>
      <c r="H203" s="105"/>
      <c r="I203" s="105"/>
      <c r="J203" s="107"/>
      <c r="K203" s="107" t="str">
        <f>CONCATENATE(Tabla1[[#This Row],[EQUIVALENCIA]],". ",Tabla1[[#This Row],[CAMUFLADO]])</f>
        <v xml:space="preserve">. </v>
      </c>
      <c r="L203" s="105">
        <v>172</v>
      </c>
    </row>
    <row r="204" spans="1:12" x14ac:dyDescent="0.25">
      <c r="A204" s="105"/>
      <c r="B204" s="105"/>
      <c r="C204" s="105"/>
      <c r="D204" s="105"/>
      <c r="E204" s="105"/>
      <c r="F204" s="105"/>
      <c r="G204" s="105"/>
      <c r="H204" s="105"/>
      <c r="I204" s="105"/>
      <c r="J204" s="107"/>
      <c r="K204" s="107" t="str">
        <f>CONCATENATE(Tabla1[[#This Row],[EQUIVALENCIA]],". ",Tabla1[[#This Row],[CAMUFLADO]])</f>
        <v xml:space="preserve">. </v>
      </c>
      <c r="L204" s="105">
        <v>173</v>
      </c>
    </row>
    <row r="205" spans="1:12" x14ac:dyDescent="0.25">
      <c r="A205" s="105"/>
      <c r="B205" s="105"/>
      <c r="C205" s="105"/>
      <c r="D205" s="105"/>
      <c r="E205" s="105"/>
      <c r="F205" s="105"/>
      <c r="G205" s="105"/>
      <c r="H205" s="105"/>
      <c r="I205" s="105"/>
      <c r="J205" s="107"/>
      <c r="K205" s="107" t="str">
        <f>CONCATENATE(Tabla1[[#This Row],[EQUIVALENCIA]],". ",Tabla1[[#This Row],[CAMUFLADO]])</f>
        <v xml:space="preserve">. </v>
      </c>
      <c r="L205" s="105">
        <v>174</v>
      </c>
    </row>
    <row r="206" spans="1:12" x14ac:dyDescent="0.25">
      <c r="A206" s="105"/>
      <c r="B206" s="105"/>
      <c r="C206" s="105"/>
      <c r="D206" s="105"/>
      <c r="E206" s="105"/>
      <c r="F206" s="105"/>
      <c r="G206" s="105"/>
      <c r="H206" s="105"/>
      <c r="I206" s="105"/>
      <c r="J206" s="107"/>
      <c r="K206" s="107" t="str">
        <f>CONCATENATE(Tabla1[[#This Row],[EQUIVALENCIA]],". ",Tabla1[[#This Row],[CAMUFLADO]])</f>
        <v xml:space="preserve">. </v>
      </c>
      <c r="L206" s="105">
        <v>175</v>
      </c>
    </row>
    <row r="207" spans="1:12" x14ac:dyDescent="0.25">
      <c r="A207" s="105"/>
      <c r="B207" s="105"/>
      <c r="C207" s="105"/>
      <c r="D207" s="105"/>
      <c r="E207" s="105"/>
      <c r="F207" s="105"/>
      <c r="G207" s="105"/>
      <c r="H207" s="105"/>
      <c r="I207" s="105"/>
      <c r="J207" s="107"/>
      <c r="K207" s="107" t="str">
        <f>CONCATENATE(Tabla1[[#This Row],[EQUIVALENCIA]],". ",Tabla1[[#This Row],[CAMUFLADO]])</f>
        <v xml:space="preserve">. </v>
      </c>
      <c r="L207" s="105">
        <v>176</v>
      </c>
    </row>
    <row r="208" spans="1:12" x14ac:dyDescent="0.25">
      <c r="A208" s="105"/>
      <c r="B208" s="105"/>
      <c r="C208" s="105"/>
      <c r="D208" s="105"/>
      <c r="E208" s="105"/>
      <c r="F208" s="105"/>
      <c r="G208" s="105"/>
      <c r="H208" s="105"/>
      <c r="I208" s="105"/>
      <c r="J208" s="107"/>
      <c r="K208" s="107" t="str">
        <f>CONCATENATE(Tabla1[[#This Row],[EQUIVALENCIA]],". ",Tabla1[[#This Row],[CAMUFLADO]])</f>
        <v xml:space="preserve">. </v>
      </c>
      <c r="L208" s="105">
        <v>177</v>
      </c>
    </row>
    <row r="209" spans="1:12" x14ac:dyDescent="0.25">
      <c r="A209" s="105"/>
      <c r="B209" s="105"/>
      <c r="C209" s="105"/>
      <c r="D209" s="105"/>
      <c r="E209" s="105"/>
      <c r="F209" s="105"/>
      <c r="G209" s="105"/>
      <c r="H209" s="105"/>
      <c r="I209" s="105"/>
      <c r="J209" s="107"/>
      <c r="K209" s="107" t="str">
        <f>CONCATENATE(Tabla1[[#This Row],[EQUIVALENCIA]],". ",Tabla1[[#This Row],[CAMUFLADO]])</f>
        <v xml:space="preserve">. </v>
      </c>
      <c r="L209" s="105">
        <v>178</v>
      </c>
    </row>
    <row r="210" spans="1:12" x14ac:dyDescent="0.25">
      <c r="A210" s="105"/>
      <c r="B210" s="105"/>
      <c r="C210" s="105"/>
      <c r="D210" s="105"/>
      <c r="E210" s="105"/>
      <c r="F210" s="105"/>
      <c r="G210" s="105"/>
      <c r="H210" s="105"/>
      <c r="I210" s="105"/>
      <c r="J210" s="107"/>
      <c r="K210" s="107" t="str">
        <f>CONCATENATE(Tabla1[[#This Row],[EQUIVALENCIA]],". ",Tabla1[[#This Row],[CAMUFLADO]])</f>
        <v xml:space="preserve">. </v>
      </c>
      <c r="L210" s="105">
        <v>179</v>
      </c>
    </row>
    <row r="211" spans="1:12" x14ac:dyDescent="0.25">
      <c r="A211" s="105"/>
      <c r="B211" s="105"/>
      <c r="C211" s="105"/>
      <c r="D211" s="105"/>
      <c r="E211" s="105"/>
      <c r="F211" s="105"/>
      <c r="G211" s="105"/>
      <c r="H211" s="105"/>
      <c r="I211" s="105"/>
      <c r="J211" s="107"/>
      <c r="K211" s="107" t="str">
        <f>CONCATENATE(Tabla1[[#This Row],[EQUIVALENCIA]],". ",Tabla1[[#This Row],[CAMUFLADO]])</f>
        <v xml:space="preserve">. </v>
      </c>
      <c r="L211" s="105">
        <v>180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/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1" t="s">
        <v>9725</v>
      </c>
      <c r="B1" s="102" t="s">
        <v>9730</v>
      </c>
      <c r="C1" s="102" t="s">
        <v>9754</v>
      </c>
    </row>
    <row r="2" spans="1:3" x14ac:dyDescent="0.25">
      <c r="A2" s="103" t="s">
        <v>9726</v>
      </c>
      <c r="B2" s="103" t="s">
        <v>9731</v>
      </c>
      <c r="C2" s="103" t="s">
        <v>15354</v>
      </c>
    </row>
    <row r="3" spans="1:3" x14ac:dyDescent="0.25">
      <c r="A3" s="104" t="s">
        <v>9729</v>
      </c>
      <c r="B3" s="104" t="s">
        <v>15350</v>
      </c>
      <c r="C3" s="104" t="s">
        <v>15355</v>
      </c>
    </row>
    <row r="4" spans="1:3" x14ac:dyDescent="0.25">
      <c r="A4" s="103" t="s">
        <v>9727</v>
      </c>
      <c r="B4" s="103" t="s">
        <v>9732</v>
      </c>
      <c r="C4" s="103" t="s">
        <v>15356</v>
      </c>
    </row>
    <row r="5" spans="1:3" x14ac:dyDescent="0.25">
      <c r="A5" s="104" t="s">
        <v>9728</v>
      </c>
      <c r="B5" s="104" t="s">
        <v>9733</v>
      </c>
      <c r="C5" s="104"/>
    </row>
    <row r="6" spans="1:3" x14ac:dyDescent="0.25">
      <c r="A6" s="103"/>
      <c r="B6" s="103" t="s">
        <v>9734</v>
      </c>
      <c r="C6" s="103"/>
    </row>
    <row r="7" spans="1:3" x14ac:dyDescent="0.25">
      <c r="A7" s="104"/>
      <c r="B7" s="104" t="s">
        <v>9735</v>
      </c>
      <c r="C7" s="104"/>
    </row>
    <row r="8" spans="1:3" x14ac:dyDescent="0.25">
      <c r="A8" s="103"/>
      <c r="B8" s="103" t="s">
        <v>9736</v>
      </c>
      <c r="C8" s="103"/>
    </row>
    <row r="9" spans="1:3" x14ac:dyDescent="0.25">
      <c r="A9" s="104"/>
      <c r="B9" s="104" t="s">
        <v>9737</v>
      </c>
      <c r="C9" s="104"/>
    </row>
    <row r="10" spans="1:3" x14ac:dyDescent="0.25">
      <c r="A10" s="103"/>
      <c r="B10" s="103" t="s">
        <v>9738</v>
      </c>
      <c r="C10" s="103"/>
    </row>
    <row r="11" spans="1:3" x14ac:dyDescent="0.25">
      <c r="A11" s="104"/>
      <c r="B11" s="104" t="s">
        <v>9739</v>
      </c>
      <c r="C11" s="104"/>
    </row>
    <row r="12" spans="1:3" x14ac:dyDescent="0.25">
      <c r="A12" s="103"/>
      <c r="B12" s="103" t="s">
        <v>9740</v>
      </c>
      <c r="C12" s="103"/>
    </row>
    <row r="13" spans="1:3" x14ac:dyDescent="0.25">
      <c r="A13" s="104"/>
      <c r="B13" s="104" t="s">
        <v>9741</v>
      </c>
      <c r="C13" s="104"/>
    </row>
    <row r="14" spans="1:3" x14ac:dyDescent="0.25">
      <c r="A14" s="103"/>
      <c r="B14" s="103" t="s">
        <v>9742</v>
      </c>
      <c r="C14" s="103"/>
    </row>
    <row r="15" spans="1:3" x14ac:dyDescent="0.25">
      <c r="A15" s="104"/>
      <c r="B15" s="104" t="s">
        <v>9743</v>
      </c>
      <c r="C15" s="104"/>
    </row>
    <row r="16" spans="1:3" x14ac:dyDescent="0.25">
      <c r="A16" s="103"/>
      <c r="B16" s="103" t="s">
        <v>9744</v>
      </c>
      <c r="C16" s="103"/>
    </row>
    <row r="17" spans="1:3" x14ac:dyDescent="0.25">
      <c r="A17" s="104"/>
      <c r="B17" s="104" t="s">
        <v>9745</v>
      </c>
      <c r="C17" s="104"/>
    </row>
    <row r="18" spans="1:3" x14ac:dyDescent="0.25">
      <c r="A18" s="103"/>
      <c r="B18" s="103" t="s">
        <v>9746</v>
      </c>
      <c r="C18" s="103"/>
    </row>
    <row r="19" spans="1:3" x14ac:dyDescent="0.25">
      <c r="A19" s="104"/>
      <c r="B19" s="104" t="s">
        <v>9747</v>
      </c>
      <c r="C19" s="104"/>
    </row>
    <row r="20" spans="1:3" x14ac:dyDescent="0.25">
      <c r="A20" s="103"/>
      <c r="B20" s="103" t="s">
        <v>9748</v>
      </c>
      <c r="C20" s="103"/>
    </row>
    <row r="21" spans="1:3" x14ac:dyDescent="0.25">
      <c r="A21" s="104"/>
      <c r="B21" s="104" t="s">
        <v>9749</v>
      </c>
      <c r="C21" s="104"/>
    </row>
    <row r="22" spans="1:3" x14ac:dyDescent="0.25">
      <c r="A22" s="103"/>
      <c r="B22" s="103" t="s">
        <v>9750</v>
      </c>
      <c r="C22" s="103"/>
    </row>
    <row r="23" spans="1:3" x14ac:dyDescent="0.25">
      <c r="A23" s="104"/>
      <c r="B23" s="104" t="s">
        <v>9751</v>
      </c>
      <c r="C23" s="104"/>
    </row>
    <row r="24" spans="1:3" x14ac:dyDescent="0.25">
      <c r="A24" s="103"/>
      <c r="B24" s="103" t="s">
        <v>9753</v>
      </c>
      <c r="C24" s="103"/>
    </row>
    <row r="25" spans="1:3" x14ac:dyDescent="0.25">
      <c r="A25" s="104"/>
      <c r="B25" s="104" t="s">
        <v>9752</v>
      </c>
      <c r="C25" s="104"/>
    </row>
  </sheetData>
  <sheetProtection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A25" sqref="A25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5" t="s">
        <v>15326</v>
      </c>
      <c r="B2" s="35" t="s">
        <v>15327</v>
      </c>
    </row>
    <row r="3" spans="1:2" x14ac:dyDescent="0.25">
      <c r="A3" s="36" t="s">
        <v>15328</v>
      </c>
      <c r="B3" s="37">
        <v>20355</v>
      </c>
    </row>
    <row r="4" spans="1:2" x14ac:dyDescent="0.25">
      <c r="A4" s="36" t="s">
        <v>15329</v>
      </c>
      <c r="B4" s="37" t="s">
        <v>15330</v>
      </c>
    </row>
    <row r="5" spans="1:2" x14ac:dyDescent="0.25">
      <c r="A5" s="36" t="s">
        <v>15331</v>
      </c>
      <c r="B5" s="38">
        <v>30535195869</v>
      </c>
    </row>
    <row r="6" spans="1:2" x14ac:dyDescent="0.25">
      <c r="A6" s="36" t="s">
        <v>9759</v>
      </c>
      <c r="B6" s="37" t="s">
        <v>15332</v>
      </c>
    </row>
    <row r="7" spans="1:2" x14ac:dyDescent="0.25">
      <c r="A7" s="36" t="s">
        <v>15333</v>
      </c>
      <c r="B7" s="37">
        <v>1665</v>
      </c>
    </row>
    <row r="8" spans="1:2" x14ac:dyDescent="0.25">
      <c r="A8" s="36" t="s">
        <v>15334</v>
      </c>
      <c r="B8" s="37" t="s">
        <v>9742</v>
      </c>
    </row>
    <row r="9" spans="1:2" x14ac:dyDescent="0.25">
      <c r="A9" s="36" t="s">
        <v>9718</v>
      </c>
      <c r="B9" s="37" t="s">
        <v>9742</v>
      </c>
    </row>
    <row r="10" spans="1:2" x14ac:dyDescent="0.25">
      <c r="A10" s="36" t="s">
        <v>15335</v>
      </c>
      <c r="B10" s="39">
        <v>5500</v>
      </c>
    </row>
    <row r="11" spans="1:2" x14ac:dyDescent="0.25">
      <c r="A11" s="36" t="s">
        <v>15336</v>
      </c>
      <c r="B11" s="40" t="s">
        <v>15337</v>
      </c>
    </row>
    <row r="12" spans="1:2" x14ac:dyDescent="0.25">
      <c r="A12" s="36" t="s">
        <v>15338</v>
      </c>
      <c r="B12" s="39" t="s">
        <v>15339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6000"/>
  <sheetViews>
    <sheetView topLeftCell="A4507" workbookViewId="0">
      <selection activeCell="C4521" sqref="C4521"/>
    </sheetView>
  </sheetViews>
  <sheetFormatPr baseColWidth="10" defaultRowHeight="15" x14ac:dyDescent="0.25"/>
  <sheetData>
    <row r="1" spans="1:6" x14ac:dyDescent="0.25">
      <c r="A1" s="108" t="s">
        <v>0</v>
      </c>
      <c r="B1" s="108" t="s">
        <v>1</v>
      </c>
      <c r="C1" s="108" t="s">
        <v>2</v>
      </c>
      <c r="D1" s="108" t="s">
        <v>3</v>
      </c>
      <c r="E1" s="108" t="s">
        <v>4</v>
      </c>
      <c r="F1" s="108" t="s">
        <v>5</v>
      </c>
    </row>
    <row r="2" spans="1:6" x14ac:dyDescent="0.25">
      <c r="A2" s="105" t="str">
        <f>IF(B2&lt;&gt;"",IFERROR(B2*1,""),"")</f>
        <v/>
      </c>
      <c r="B2" s="105" t="s">
        <v>9168</v>
      </c>
      <c r="C2" s="105" t="s">
        <v>8</v>
      </c>
      <c r="D2" s="105">
        <v>0</v>
      </c>
      <c r="E2" s="105">
        <v>0</v>
      </c>
      <c r="F2" s="105">
        <v>0</v>
      </c>
    </row>
    <row r="3" spans="1:6" x14ac:dyDescent="0.25">
      <c r="A3" s="105">
        <f t="shared" ref="A3:A66" si="0">IF(B3&lt;&gt;"",IFERROR(B3*1,""),"")</f>
        <v>8520745</v>
      </c>
      <c r="B3" s="105" t="s">
        <v>9169</v>
      </c>
      <c r="C3" s="105" t="s">
        <v>8</v>
      </c>
      <c r="D3" s="105">
        <v>0</v>
      </c>
      <c r="E3" s="105">
        <v>0</v>
      </c>
      <c r="F3" s="105">
        <v>0</v>
      </c>
    </row>
    <row r="4" spans="1:6" x14ac:dyDescent="0.25">
      <c r="A4" s="105" t="str">
        <f t="shared" si="0"/>
        <v/>
      </c>
      <c r="B4" s="105" t="s">
        <v>6</v>
      </c>
      <c r="C4" s="105" t="s">
        <v>7</v>
      </c>
      <c r="D4" s="105">
        <v>0</v>
      </c>
      <c r="E4" s="105">
        <v>0</v>
      </c>
      <c r="F4" s="105">
        <v>0</v>
      </c>
    </row>
    <row r="5" spans="1:6" x14ac:dyDescent="0.25">
      <c r="A5" s="105" t="str">
        <f t="shared" si="0"/>
        <v/>
      </c>
      <c r="B5" s="105" t="s">
        <v>9</v>
      </c>
      <c r="C5" s="105" t="s">
        <v>9170</v>
      </c>
      <c r="D5" s="105">
        <v>0</v>
      </c>
      <c r="E5" s="105">
        <v>0</v>
      </c>
      <c r="F5" s="105">
        <v>0</v>
      </c>
    </row>
    <row r="6" spans="1:6" x14ac:dyDescent="0.25">
      <c r="A6" s="105" t="str">
        <f t="shared" si="0"/>
        <v/>
      </c>
      <c r="B6" s="105" t="s">
        <v>10</v>
      </c>
      <c r="C6" s="105" t="s">
        <v>8</v>
      </c>
      <c r="D6" s="105">
        <v>0</v>
      </c>
      <c r="E6" s="105">
        <v>0</v>
      </c>
      <c r="F6" s="105">
        <v>0</v>
      </c>
    </row>
    <row r="7" spans="1:6" x14ac:dyDescent="0.25">
      <c r="A7" s="105" t="str">
        <f t="shared" si="0"/>
        <v/>
      </c>
      <c r="B7" s="105" t="s">
        <v>12</v>
      </c>
      <c r="C7" s="105" t="s">
        <v>8</v>
      </c>
      <c r="D7" s="105">
        <v>0</v>
      </c>
      <c r="E7" s="105">
        <v>0</v>
      </c>
      <c r="F7" s="105">
        <v>0</v>
      </c>
    </row>
    <row r="8" spans="1:6" x14ac:dyDescent="0.25">
      <c r="A8" s="105" t="str">
        <f t="shared" si="0"/>
        <v/>
      </c>
      <c r="B8" s="105" t="s">
        <v>13</v>
      </c>
      <c r="C8" s="105" t="s">
        <v>8</v>
      </c>
      <c r="D8" s="105">
        <v>0</v>
      </c>
      <c r="E8" s="105">
        <v>0</v>
      </c>
      <c r="F8" s="105">
        <v>0</v>
      </c>
    </row>
    <row r="9" spans="1:6" x14ac:dyDescent="0.25">
      <c r="A9" s="105" t="str">
        <f t="shared" si="0"/>
        <v/>
      </c>
      <c r="B9" s="105" t="s">
        <v>14</v>
      </c>
      <c r="C9" s="105" t="s">
        <v>8</v>
      </c>
      <c r="D9" s="105">
        <v>0</v>
      </c>
      <c r="E9" s="105">
        <v>0</v>
      </c>
      <c r="F9" s="105">
        <v>0</v>
      </c>
    </row>
    <row r="10" spans="1:6" x14ac:dyDescent="0.25">
      <c r="A10" s="105" t="str">
        <f t="shared" si="0"/>
        <v/>
      </c>
      <c r="B10" s="105" t="s">
        <v>16</v>
      </c>
      <c r="C10" s="105" t="s">
        <v>8</v>
      </c>
      <c r="D10" s="105">
        <v>0</v>
      </c>
      <c r="E10" s="105">
        <v>0</v>
      </c>
      <c r="F10" s="105">
        <v>0</v>
      </c>
    </row>
    <row r="11" spans="1:6" x14ac:dyDescent="0.25">
      <c r="A11" s="105" t="str">
        <f t="shared" si="0"/>
        <v/>
      </c>
      <c r="B11" s="105" t="s">
        <v>17</v>
      </c>
      <c r="C11" s="105" t="s">
        <v>8</v>
      </c>
      <c r="D11" s="105">
        <v>0</v>
      </c>
      <c r="E11" s="105">
        <v>0</v>
      </c>
      <c r="F11" s="105">
        <v>0</v>
      </c>
    </row>
    <row r="12" spans="1:6" x14ac:dyDescent="0.25">
      <c r="A12" s="105" t="str">
        <f t="shared" si="0"/>
        <v/>
      </c>
      <c r="B12" s="105" t="s">
        <v>18</v>
      </c>
      <c r="C12" s="105" t="s">
        <v>8</v>
      </c>
      <c r="D12" s="105">
        <v>0</v>
      </c>
      <c r="E12" s="105">
        <v>0</v>
      </c>
      <c r="F12" s="105">
        <v>0</v>
      </c>
    </row>
    <row r="13" spans="1:6" x14ac:dyDescent="0.25">
      <c r="A13" s="105" t="str">
        <f t="shared" si="0"/>
        <v/>
      </c>
      <c r="B13" s="105" t="s">
        <v>19</v>
      </c>
      <c r="C13" s="105" t="s">
        <v>8</v>
      </c>
      <c r="D13" s="105">
        <v>0</v>
      </c>
      <c r="E13" s="105">
        <v>0</v>
      </c>
      <c r="F13" s="105">
        <v>0</v>
      </c>
    </row>
    <row r="14" spans="1:6" x14ac:dyDescent="0.25">
      <c r="A14" s="105" t="str">
        <f t="shared" si="0"/>
        <v/>
      </c>
      <c r="B14" s="105" t="s">
        <v>20</v>
      </c>
      <c r="C14" s="105" t="s">
        <v>8</v>
      </c>
      <c r="D14" s="105">
        <v>0</v>
      </c>
      <c r="E14" s="105">
        <v>0</v>
      </c>
      <c r="F14" s="105">
        <v>0</v>
      </c>
    </row>
    <row r="15" spans="1:6" x14ac:dyDescent="0.25">
      <c r="A15" s="105" t="str">
        <f t="shared" si="0"/>
        <v/>
      </c>
      <c r="B15" s="105" t="s">
        <v>21</v>
      </c>
      <c r="C15" s="105" t="s">
        <v>8</v>
      </c>
      <c r="D15" s="105">
        <v>0</v>
      </c>
      <c r="E15" s="105">
        <v>0</v>
      </c>
      <c r="F15" s="105">
        <v>0</v>
      </c>
    </row>
    <row r="16" spans="1:6" x14ac:dyDescent="0.25">
      <c r="A16" s="105" t="str">
        <f t="shared" si="0"/>
        <v/>
      </c>
      <c r="B16" s="105" t="s">
        <v>22</v>
      </c>
      <c r="C16" s="105" t="s">
        <v>23</v>
      </c>
      <c r="D16" s="105">
        <v>0</v>
      </c>
      <c r="E16" s="105">
        <v>0</v>
      </c>
      <c r="F16" s="105">
        <v>0</v>
      </c>
    </row>
    <row r="17" spans="1:6" x14ac:dyDescent="0.25">
      <c r="A17" s="105" t="str">
        <f t="shared" si="0"/>
        <v/>
      </c>
      <c r="B17" s="105" t="s">
        <v>24</v>
      </c>
      <c r="C17" s="105" t="s">
        <v>8</v>
      </c>
      <c r="D17" s="105">
        <v>0</v>
      </c>
      <c r="E17" s="105">
        <v>0</v>
      </c>
      <c r="F17" s="105">
        <v>0</v>
      </c>
    </row>
    <row r="18" spans="1:6" x14ac:dyDescent="0.25">
      <c r="A18" s="105" t="str">
        <f t="shared" si="0"/>
        <v/>
      </c>
      <c r="B18" s="105" t="s">
        <v>25</v>
      </c>
      <c r="C18" s="105" t="s">
        <v>8</v>
      </c>
      <c r="D18" s="105">
        <v>0</v>
      </c>
      <c r="E18" s="105">
        <v>0</v>
      </c>
      <c r="F18" s="105">
        <v>0</v>
      </c>
    </row>
    <row r="19" spans="1:6" x14ac:dyDescent="0.25">
      <c r="A19" s="105" t="str">
        <f t="shared" si="0"/>
        <v/>
      </c>
      <c r="B19" s="105" t="s">
        <v>26</v>
      </c>
      <c r="C19" s="105" t="s">
        <v>8</v>
      </c>
      <c r="D19" s="105">
        <v>0</v>
      </c>
      <c r="E19" s="105">
        <v>0</v>
      </c>
      <c r="F19" s="105">
        <v>0</v>
      </c>
    </row>
    <row r="20" spans="1:6" x14ac:dyDescent="0.25">
      <c r="A20" s="105" t="str">
        <f t="shared" si="0"/>
        <v/>
      </c>
      <c r="B20" s="105" t="s">
        <v>27</v>
      </c>
      <c r="C20" s="105" t="s">
        <v>8</v>
      </c>
      <c r="D20" s="105">
        <v>0</v>
      </c>
      <c r="E20" s="105">
        <v>0</v>
      </c>
      <c r="F20" s="105">
        <v>0</v>
      </c>
    </row>
    <row r="21" spans="1:6" x14ac:dyDescent="0.25">
      <c r="A21" s="105" t="str">
        <f t="shared" si="0"/>
        <v/>
      </c>
      <c r="B21" s="105" t="s">
        <v>28</v>
      </c>
      <c r="C21" s="105" t="s">
        <v>8</v>
      </c>
      <c r="D21" s="105">
        <v>0</v>
      </c>
      <c r="E21" s="105">
        <v>0</v>
      </c>
      <c r="F21" s="105">
        <v>0</v>
      </c>
    </row>
    <row r="22" spans="1:6" x14ac:dyDescent="0.25">
      <c r="A22" s="105" t="str">
        <f t="shared" si="0"/>
        <v/>
      </c>
      <c r="B22" s="105" t="s">
        <v>29</v>
      </c>
      <c r="C22" s="105" t="s">
        <v>8</v>
      </c>
      <c r="D22" s="105">
        <v>0</v>
      </c>
      <c r="E22" s="105">
        <v>0</v>
      </c>
      <c r="F22" s="105">
        <v>0</v>
      </c>
    </row>
    <row r="23" spans="1:6" x14ac:dyDescent="0.25">
      <c r="A23" s="105" t="str">
        <f t="shared" si="0"/>
        <v/>
      </c>
      <c r="B23" s="105" t="s">
        <v>30</v>
      </c>
      <c r="C23" s="105" t="s">
        <v>8</v>
      </c>
      <c r="D23" s="105">
        <v>0</v>
      </c>
      <c r="E23" s="105">
        <v>0</v>
      </c>
      <c r="F23" s="105">
        <v>0</v>
      </c>
    </row>
    <row r="24" spans="1:6" x14ac:dyDescent="0.25">
      <c r="A24" s="105">
        <f t="shared" si="0"/>
        <v>120</v>
      </c>
      <c r="B24" s="105" t="s">
        <v>31</v>
      </c>
      <c r="C24" s="105" t="s">
        <v>32</v>
      </c>
      <c r="D24" s="105">
        <v>0</v>
      </c>
      <c r="E24" s="105">
        <v>0</v>
      </c>
      <c r="F24" s="105">
        <v>0</v>
      </c>
    </row>
    <row r="25" spans="1:6" x14ac:dyDescent="0.25">
      <c r="A25" s="105" t="str">
        <f t="shared" si="0"/>
        <v/>
      </c>
      <c r="B25" s="105" t="s">
        <v>33</v>
      </c>
      <c r="C25" s="105" t="s">
        <v>8</v>
      </c>
      <c r="D25" s="105">
        <v>0</v>
      </c>
      <c r="E25" s="105">
        <v>0</v>
      </c>
      <c r="F25" s="105">
        <v>0</v>
      </c>
    </row>
    <row r="26" spans="1:6" x14ac:dyDescent="0.25">
      <c r="A26" s="105">
        <f t="shared" si="0"/>
        <v>123</v>
      </c>
      <c r="B26" s="105" t="s">
        <v>34</v>
      </c>
      <c r="C26" s="105" t="s">
        <v>35</v>
      </c>
      <c r="D26" s="105">
        <v>0</v>
      </c>
      <c r="E26" s="105">
        <v>0</v>
      </c>
      <c r="F26" s="105">
        <v>0</v>
      </c>
    </row>
    <row r="27" spans="1:6" x14ac:dyDescent="0.25">
      <c r="A27" s="105" t="str">
        <f t="shared" si="0"/>
        <v/>
      </c>
      <c r="B27" s="105" t="s">
        <v>36</v>
      </c>
      <c r="C27" s="105" t="s">
        <v>8</v>
      </c>
      <c r="D27" s="105">
        <v>0</v>
      </c>
      <c r="E27" s="105">
        <v>0</v>
      </c>
      <c r="F27" s="105">
        <v>0</v>
      </c>
    </row>
    <row r="28" spans="1:6" x14ac:dyDescent="0.25">
      <c r="A28" s="105">
        <f t="shared" si="0"/>
        <v>124</v>
      </c>
      <c r="B28" s="105" t="s">
        <v>37</v>
      </c>
      <c r="C28" s="105" t="s">
        <v>38</v>
      </c>
      <c r="D28" s="105">
        <v>0</v>
      </c>
      <c r="E28" s="105">
        <v>0</v>
      </c>
      <c r="F28" s="105">
        <v>0</v>
      </c>
    </row>
    <row r="29" spans="1:6" x14ac:dyDescent="0.25">
      <c r="A29" s="105">
        <f t="shared" si="0"/>
        <v>125</v>
      </c>
      <c r="B29" s="105" t="s">
        <v>39</v>
      </c>
      <c r="C29" s="105" t="s">
        <v>40</v>
      </c>
      <c r="D29" s="105">
        <v>0</v>
      </c>
      <c r="E29" s="105">
        <v>0</v>
      </c>
      <c r="F29" s="105">
        <v>0</v>
      </c>
    </row>
    <row r="30" spans="1:6" x14ac:dyDescent="0.25">
      <c r="A30" s="105" t="str">
        <f t="shared" si="0"/>
        <v/>
      </c>
      <c r="B30" s="105" t="s">
        <v>42</v>
      </c>
      <c r="C30" s="105" t="s">
        <v>8</v>
      </c>
      <c r="D30" s="105">
        <v>0</v>
      </c>
      <c r="E30" s="105">
        <v>0</v>
      </c>
      <c r="F30" s="105">
        <v>0</v>
      </c>
    </row>
    <row r="31" spans="1:6" x14ac:dyDescent="0.25">
      <c r="A31" s="105">
        <f t="shared" si="0"/>
        <v>126</v>
      </c>
      <c r="B31" s="105" t="s">
        <v>43</v>
      </c>
      <c r="C31" s="105" t="s">
        <v>44</v>
      </c>
      <c r="D31" s="105">
        <v>0</v>
      </c>
      <c r="E31" s="105">
        <v>0</v>
      </c>
      <c r="F31" s="105">
        <v>0</v>
      </c>
    </row>
    <row r="32" spans="1:6" x14ac:dyDescent="0.25">
      <c r="A32" s="105" t="str">
        <f t="shared" si="0"/>
        <v/>
      </c>
      <c r="B32" s="105" t="s">
        <v>45</v>
      </c>
      <c r="C32" s="105" t="s">
        <v>8</v>
      </c>
      <c r="D32" s="105">
        <v>0</v>
      </c>
      <c r="E32" s="105">
        <v>0</v>
      </c>
      <c r="F32" s="105">
        <v>0</v>
      </c>
    </row>
    <row r="33" spans="1:6" x14ac:dyDescent="0.25">
      <c r="A33" s="105">
        <f t="shared" si="0"/>
        <v>127</v>
      </c>
      <c r="B33" s="105" t="s">
        <v>46</v>
      </c>
      <c r="C33" s="105" t="s">
        <v>47</v>
      </c>
      <c r="D33" s="105">
        <v>0</v>
      </c>
      <c r="E33" s="105">
        <v>0</v>
      </c>
      <c r="F33" s="105">
        <v>0</v>
      </c>
    </row>
    <row r="34" spans="1:6" x14ac:dyDescent="0.25">
      <c r="A34" s="105" t="str">
        <f t="shared" si="0"/>
        <v/>
      </c>
      <c r="B34" s="105" t="s">
        <v>48</v>
      </c>
      <c r="C34" s="105" t="s">
        <v>8</v>
      </c>
      <c r="D34" s="105">
        <v>0</v>
      </c>
      <c r="E34" s="105">
        <v>0</v>
      </c>
      <c r="F34" s="105">
        <v>0</v>
      </c>
    </row>
    <row r="35" spans="1:6" x14ac:dyDescent="0.25">
      <c r="A35" s="105">
        <f t="shared" si="0"/>
        <v>128</v>
      </c>
      <c r="B35" s="105" t="s">
        <v>49</v>
      </c>
      <c r="C35" s="105" t="s">
        <v>50</v>
      </c>
      <c r="D35" s="105">
        <v>0</v>
      </c>
      <c r="E35" s="105">
        <v>0</v>
      </c>
      <c r="F35" s="105">
        <v>0</v>
      </c>
    </row>
    <row r="36" spans="1:6" x14ac:dyDescent="0.25">
      <c r="A36" s="105" t="str">
        <f t="shared" si="0"/>
        <v/>
      </c>
      <c r="B36" s="105" t="s">
        <v>51</v>
      </c>
      <c r="C36" s="105" t="s">
        <v>8</v>
      </c>
      <c r="D36" s="105">
        <v>0</v>
      </c>
      <c r="E36" s="105">
        <v>0</v>
      </c>
      <c r="F36" s="105">
        <v>0</v>
      </c>
    </row>
    <row r="37" spans="1:6" x14ac:dyDescent="0.25">
      <c r="A37" s="105">
        <f t="shared" si="0"/>
        <v>129</v>
      </c>
      <c r="B37" s="105" t="s">
        <v>52</v>
      </c>
      <c r="C37" s="105" t="s">
        <v>53</v>
      </c>
      <c r="D37" s="105">
        <v>0</v>
      </c>
      <c r="E37" s="105">
        <v>0</v>
      </c>
      <c r="F37" s="105">
        <v>0</v>
      </c>
    </row>
    <row r="38" spans="1:6" x14ac:dyDescent="0.25">
      <c r="A38" s="105" t="str">
        <f t="shared" si="0"/>
        <v/>
      </c>
      <c r="B38" s="105" t="s">
        <v>54</v>
      </c>
      <c r="C38" s="105" t="s">
        <v>8</v>
      </c>
      <c r="D38" s="105">
        <v>0</v>
      </c>
      <c r="E38" s="105">
        <v>0</v>
      </c>
      <c r="F38" s="105">
        <v>0</v>
      </c>
    </row>
    <row r="39" spans="1:6" x14ac:dyDescent="0.25">
      <c r="A39" s="105">
        <f t="shared" si="0"/>
        <v>1</v>
      </c>
      <c r="B39" s="105" t="s">
        <v>55</v>
      </c>
      <c r="C39" s="105" t="s">
        <v>56</v>
      </c>
      <c r="D39" s="105">
        <v>0</v>
      </c>
      <c r="E39" s="105">
        <v>0</v>
      </c>
      <c r="F39" s="105">
        <v>0</v>
      </c>
    </row>
    <row r="40" spans="1:6" x14ac:dyDescent="0.25">
      <c r="A40" s="105">
        <f t="shared" si="0"/>
        <v>1</v>
      </c>
      <c r="B40" s="105" t="s">
        <v>57</v>
      </c>
      <c r="C40" s="105" t="s">
        <v>58</v>
      </c>
      <c r="D40" s="105">
        <v>0</v>
      </c>
      <c r="E40" s="105">
        <v>0</v>
      </c>
      <c r="F40" s="105">
        <v>0</v>
      </c>
    </row>
    <row r="41" spans="1:6" x14ac:dyDescent="0.25">
      <c r="A41" s="105" t="str">
        <f t="shared" si="0"/>
        <v/>
      </c>
      <c r="B41" s="105" t="s">
        <v>59</v>
      </c>
      <c r="C41" s="105" t="s">
        <v>8</v>
      </c>
      <c r="D41" s="105">
        <v>0</v>
      </c>
      <c r="E41" s="105">
        <v>0</v>
      </c>
      <c r="F41" s="105">
        <v>0</v>
      </c>
    </row>
    <row r="42" spans="1:6" x14ac:dyDescent="0.25">
      <c r="A42" s="105">
        <f t="shared" si="0"/>
        <v>10</v>
      </c>
      <c r="B42" s="105" t="s">
        <v>60</v>
      </c>
      <c r="C42" s="105" t="s">
        <v>61</v>
      </c>
      <c r="D42" s="105">
        <v>0</v>
      </c>
      <c r="E42" s="105">
        <v>0</v>
      </c>
      <c r="F42" s="105">
        <v>0</v>
      </c>
    </row>
    <row r="43" spans="1:6" x14ac:dyDescent="0.25">
      <c r="A43" s="105" t="str">
        <f t="shared" si="0"/>
        <v/>
      </c>
      <c r="B43" s="105" t="s">
        <v>62</v>
      </c>
      <c r="C43" s="105" t="s">
        <v>8</v>
      </c>
      <c r="D43" s="105">
        <v>0</v>
      </c>
      <c r="E43" s="105">
        <v>0</v>
      </c>
      <c r="F43" s="105">
        <v>0</v>
      </c>
    </row>
    <row r="44" spans="1:6" x14ac:dyDescent="0.25">
      <c r="A44" s="105">
        <f t="shared" si="0"/>
        <v>100</v>
      </c>
      <c r="B44" s="105" t="s">
        <v>63</v>
      </c>
      <c r="C44" s="105" t="s">
        <v>64</v>
      </c>
      <c r="D44" s="105">
        <v>0</v>
      </c>
      <c r="E44" s="105">
        <v>0</v>
      </c>
      <c r="F44" s="105">
        <v>0</v>
      </c>
    </row>
    <row r="45" spans="1:6" x14ac:dyDescent="0.25">
      <c r="A45" s="105" t="str">
        <f t="shared" si="0"/>
        <v/>
      </c>
      <c r="B45" s="105" t="s">
        <v>65</v>
      </c>
      <c r="C45" s="105" t="s">
        <v>8</v>
      </c>
      <c r="D45" s="105">
        <v>0</v>
      </c>
      <c r="E45" s="105">
        <v>0</v>
      </c>
      <c r="F45" s="105">
        <v>0</v>
      </c>
    </row>
    <row r="46" spans="1:6" x14ac:dyDescent="0.25">
      <c r="A46" s="105">
        <f t="shared" si="0"/>
        <v>1000040</v>
      </c>
      <c r="B46" s="105" t="s">
        <v>66</v>
      </c>
      <c r="C46" s="105" t="s">
        <v>67</v>
      </c>
      <c r="D46" s="105">
        <v>0</v>
      </c>
      <c r="E46" s="105">
        <v>0</v>
      </c>
      <c r="F46" s="105">
        <v>0</v>
      </c>
    </row>
    <row r="47" spans="1:6" x14ac:dyDescent="0.25">
      <c r="A47" s="105" t="str">
        <f t="shared" si="0"/>
        <v/>
      </c>
      <c r="B47" s="105" t="s">
        <v>68</v>
      </c>
      <c r="C47" s="105" t="s">
        <v>8</v>
      </c>
      <c r="D47" s="105">
        <v>0</v>
      </c>
      <c r="E47" s="105">
        <v>0</v>
      </c>
      <c r="F47" s="105">
        <v>0</v>
      </c>
    </row>
    <row r="48" spans="1:6" x14ac:dyDescent="0.25">
      <c r="A48" s="105">
        <f t="shared" si="0"/>
        <v>1000195</v>
      </c>
      <c r="B48" s="105" t="s">
        <v>69</v>
      </c>
      <c r="C48" s="105" t="s">
        <v>70</v>
      </c>
      <c r="D48" s="105">
        <v>0</v>
      </c>
      <c r="E48" s="105">
        <v>0</v>
      </c>
      <c r="F48" s="105">
        <v>0</v>
      </c>
    </row>
    <row r="49" spans="1:6" x14ac:dyDescent="0.25">
      <c r="A49" s="105" t="str">
        <f t="shared" si="0"/>
        <v/>
      </c>
      <c r="B49" s="105" t="s">
        <v>71</v>
      </c>
      <c r="C49" s="105" t="s">
        <v>8</v>
      </c>
      <c r="D49" s="105">
        <v>0</v>
      </c>
      <c r="E49" s="105">
        <v>0</v>
      </c>
      <c r="F49" s="105">
        <v>0</v>
      </c>
    </row>
    <row r="50" spans="1:6" x14ac:dyDescent="0.25">
      <c r="A50" s="105">
        <f t="shared" si="0"/>
        <v>1000198</v>
      </c>
      <c r="B50" s="105" t="s">
        <v>72</v>
      </c>
      <c r="C50" s="105" t="s">
        <v>73</v>
      </c>
      <c r="D50" s="105">
        <v>0</v>
      </c>
      <c r="E50" s="105">
        <v>0</v>
      </c>
      <c r="F50" s="105">
        <v>0</v>
      </c>
    </row>
    <row r="51" spans="1:6" x14ac:dyDescent="0.25">
      <c r="A51" s="105">
        <f t="shared" si="0"/>
        <v>1000256</v>
      </c>
      <c r="B51" s="105" t="s">
        <v>74</v>
      </c>
      <c r="C51" s="105" t="s">
        <v>75</v>
      </c>
      <c r="D51" s="105">
        <v>0</v>
      </c>
      <c r="E51" s="105">
        <v>0</v>
      </c>
      <c r="F51" s="105">
        <v>0</v>
      </c>
    </row>
    <row r="52" spans="1:6" x14ac:dyDescent="0.25">
      <c r="A52" s="105" t="str">
        <f t="shared" si="0"/>
        <v/>
      </c>
      <c r="B52" s="105" t="s">
        <v>77</v>
      </c>
      <c r="C52" s="105" t="s">
        <v>8</v>
      </c>
      <c r="D52" s="105">
        <v>0</v>
      </c>
      <c r="E52" s="105">
        <v>0</v>
      </c>
      <c r="F52" s="105">
        <v>0</v>
      </c>
    </row>
    <row r="53" spans="1:6" x14ac:dyDescent="0.25">
      <c r="A53" s="105">
        <f t="shared" si="0"/>
        <v>1000257</v>
      </c>
      <c r="B53" s="105" t="s">
        <v>78</v>
      </c>
      <c r="C53" s="105" t="s">
        <v>79</v>
      </c>
      <c r="D53" s="105">
        <v>0</v>
      </c>
      <c r="E53" s="105">
        <v>0</v>
      </c>
      <c r="F53" s="105">
        <v>0</v>
      </c>
    </row>
    <row r="54" spans="1:6" x14ac:dyDescent="0.25">
      <c r="A54" s="105" t="str">
        <f t="shared" si="0"/>
        <v/>
      </c>
      <c r="B54" s="105" t="s">
        <v>80</v>
      </c>
      <c r="C54" s="105" t="s">
        <v>8</v>
      </c>
      <c r="D54" s="105">
        <v>0</v>
      </c>
      <c r="E54" s="105">
        <v>0</v>
      </c>
      <c r="F54" s="105">
        <v>0</v>
      </c>
    </row>
    <row r="55" spans="1:6" x14ac:dyDescent="0.25">
      <c r="A55" s="105">
        <f t="shared" si="0"/>
        <v>1000798</v>
      </c>
      <c r="B55" s="105" t="s">
        <v>81</v>
      </c>
      <c r="C55" s="105" t="s">
        <v>82</v>
      </c>
      <c r="D55" s="105">
        <v>0</v>
      </c>
      <c r="E55" s="105">
        <v>0</v>
      </c>
      <c r="F55" s="105">
        <v>0</v>
      </c>
    </row>
    <row r="56" spans="1:6" x14ac:dyDescent="0.25">
      <c r="A56" s="105" t="str">
        <f t="shared" si="0"/>
        <v/>
      </c>
      <c r="B56" s="105" t="s">
        <v>84</v>
      </c>
      <c r="C56" s="105" t="s">
        <v>8</v>
      </c>
      <c r="D56" s="105">
        <v>0</v>
      </c>
      <c r="E56" s="105">
        <v>0</v>
      </c>
      <c r="F56" s="105">
        <v>0</v>
      </c>
    </row>
    <row r="57" spans="1:6" x14ac:dyDescent="0.25">
      <c r="A57" s="105">
        <f t="shared" si="0"/>
        <v>1000799</v>
      </c>
      <c r="B57" s="105" t="s">
        <v>85</v>
      </c>
      <c r="C57" s="105" t="s">
        <v>86</v>
      </c>
      <c r="D57" s="105">
        <v>265</v>
      </c>
      <c r="E57" s="105">
        <v>159</v>
      </c>
      <c r="F57" s="105">
        <v>0</v>
      </c>
    </row>
    <row r="58" spans="1:6" x14ac:dyDescent="0.25">
      <c r="A58" s="105">
        <f t="shared" si="0"/>
        <v>1000800</v>
      </c>
      <c r="B58" s="105" t="s">
        <v>87</v>
      </c>
      <c r="C58" s="105" t="s">
        <v>88</v>
      </c>
      <c r="D58" s="105">
        <v>0</v>
      </c>
      <c r="E58" s="105">
        <v>0</v>
      </c>
      <c r="F58" s="105">
        <v>20</v>
      </c>
    </row>
    <row r="59" spans="1:6" x14ac:dyDescent="0.25">
      <c r="A59" s="105">
        <f t="shared" si="0"/>
        <v>1000802</v>
      </c>
      <c r="B59" s="105" t="s">
        <v>90</v>
      </c>
      <c r="C59" s="105" t="s">
        <v>91</v>
      </c>
      <c r="D59" s="105">
        <v>265</v>
      </c>
      <c r="E59" s="105">
        <v>159</v>
      </c>
      <c r="F59" s="105">
        <v>0</v>
      </c>
    </row>
    <row r="60" spans="1:6" x14ac:dyDescent="0.25">
      <c r="A60" s="105">
        <f t="shared" si="0"/>
        <v>1000803</v>
      </c>
      <c r="B60" s="105" t="s">
        <v>92</v>
      </c>
      <c r="C60" s="105" t="s">
        <v>93</v>
      </c>
      <c r="D60" s="105">
        <v>265</v>
      </c>
      <c r="E60" s="105">
        <v>159</v>
      </c>
      <c r="F60" s="105">
        <v>0</v>
      </c>
    </row>
    <row r="61" spans="1:6" x14ac:dyDescent="0.25">
      <c r="A61" s="105">
        <f t="shared" si="0"/>
        <v>1000808</v>
      </c>
      <c r="B61" s="105" t="s">
        <v>94</v>
      </c>
      <c r="C61" s="105" t="s">
        <v>95</v>
      </c>
      <c r="D61" s="105">
        <v>265</v>
      </c>
      <c r="E61" s="105">
        <v>159</v>
      </c>
      <c r="F61" s="105">
        <v>0</v>
      </c>
    </row>
    <row r="62" spans="1:6" x14ac:dyDescent="0.25">
      <c r="A62" s="105" t="str">
        <f t="shared" si="0"/>
        <v/>
      </c>
      <c r="B62" s="105" t="s">
        <v>96</v>
      </c>
      <c r="C62" s="105" t="s">
        <v>8</v>
      </c>
      <c r="D62" s="105">
        <v>0</v>
      </c>
      <c r="E62" s="105">
        <v>0</v>
      </c>
      <c r="F62" s="105">
        <v>0</v>
      </c>
    </row>
    <row r="63" spans="1:6" x14ac:dyDescent="0.25">
      <c r="A63" s="105">
        <f t="shared" si="0"/>
        <v>1000809</v>
      </c>
      <c r="B63" s="105" t="s">
        <v>97</v>
      </c>
      <c r="C63" s="105" t="s">
        <v>98</v>
      </c>
      <c r="D63" s="105">
        <v>0</v>
      </c>
      <c r="E63" s="105">
        <v>0</v>
      </c>
      <c r="F63" s="105">
        <v>0</v>
      </c>
    </row>
    <row r="64" spans="1:6" x14ac:dyDescent="0.25">
      <c r="A64" s="105">
        <f t="shared" si="0"/>
        <v>1000810</v>
      </c>
      <c r="B64" s="105" t="s">
        <v>99</v>
      </c>
      <c r="C64" s="105" t="s">
        <v>100</v>
      </c>
      <c r="D64" s="105">
        <v>861.08</v>
      </c>
      <c r="E64" s="105">
        <v>516.65</v>
      </c>
      <c r="F64" s="105">
        <v>0</v>
      </c>
    </row>
    <row r="65" spans="1:6" x14ac:dyDescent="0.25">
      <c r="A65" s="105">
        <f t="shared" si="0"/>
        <v>1000811</v>
      </c>
      <c r="B65" s="105" t="s">
        <v>101</v>
      </c>
      <c r="C65" s="105" t="s">
        <v>102</v>
      </c>
      <c r="D65" s="105">
        <v>265</v>
      </c>
      <c r="E65" s="105">
        <v>159</v>
      </c>
      <c r="F65" s="105">
        <v>0</v>
      </c>
    </row>
    <row r="66" spans="1:6" x14ac:dyDescent="0.25">
      <c r="A66" s="105" t="str">
        <f t="shared" si="0"/>
        <v/>
      </c>
      <c r="B66" s="105" t="s">
        <v>103</v>
      </c>
      <c r="C66" s="105" t="s">
        <v>8</v>
      </c>
      <c r="D66" s="105">
        <v>0</v>
      </c>
      <c r="E66" s="105">
        <v>0</v>
      </c>
      <c r="F66" s="105">
        <v>0</v>
      </c>
    </row>
    <row r="67" spans="1:6" x14ac:dyDescent="0.25">
      <c r="A67" s="105">
        <f t="shared" ref="A67:A130" si="1">IF(B67&lt;&gt;"",IFERROR(B67*1,""),"")</f>
        <v>1000888</v>
      </c>
      <c r="B67" s="105" t="s">
        <v>104</v>
      </c>
      <c r="C67" s="105" t="s">
        <v>105</v>
      </c>
      <c r="D67" s="105">
        <v>0</v>
      </c>
      <c r="E67" s="105">
        <v>0</v>
      </c>
      <c r="F67" s="105">
        <v>0</v>
      </c>
    </row>
    <row r="68" spans="1:6" x14ac:dyDescent="0.25">
      <c r="A68" s="105" t="str">
        <f t="shared" si="1"/>
        <v/>
      </c>
      <c r="B68" s="105" t="s">
        <v>106</v>
      </c>
      <c r="C68" s="105" t="s">
        <v>8</v>
      </c>
      <c r="D68" s="105">
        <v>0</v>
      </c>
      <c r="E68" s="105">
        <v>0</v>
      </c>
      <c r="F68" s="105">
        <v>0</v>
      </c>
    </row>
    <row r="69" spans="1:6" x14ac:dyDescent="0.25">
      <c r="A69" s="105">
        <f t="shared" si="1"/>
        <v>1000950</v>
      </c>
      <c r="B69" s="105" t="s">
        <v>107</v>
      </c>
      <c r="C69" s="105" t="s">
        <v>108</v>
      </c>
      <c r="D69" s="105">
        <v>0</v>
      </c>
      <c r="E69" s="105">
        <v>0</v>
      </c>
      <c r="F69" s="105">
        <v>0</v>
      </c>
    </row>
    <row r="70" spans="1:6" x14ac:dyDescent="0.25">
      <c r="A70" s="105" t="str">
        <f t="shared" si="1"/>
        <v/>
      </c>
      <c r="B70" s="105" t="s">
        <v>109</v>
      </c>
      <c r="C70" s="105" t="s">
        <v>8</v>
      </c>
      <c r="D70" s="105">
        <v>0</v>
      </c>
      <c r="E70" s="105">
        <v>0</v>
      </c>
      <c r="F70" s="105">
        <v>0</v>
      </c>
    </row>
    <row r="71" spans="1:6" x14ac:dyDescent="0.25">
      <c r="A71" s="105">
        <f t="shared" si="1"/>
        <v>1000960</v>
      </c>
      <c r="B71" s="105" t="s">
        <v>110</v>
      </c>
      <c r="C71" s="105" t="s">
        <v>111</v>
      </c>
      <c r="D71" s="105">
        <v>0</v>
      </c>
      <c r="E71" s="105">
        <v>0</v>
      </c>
      <c r="F71" s="105">
        <v>0</v>
      </c>
    </row>
    <row r="72" spans="1:6" x14ac:dyDescent="0.25">
      <c r="A72" s="105" t="str">
        <f t="shared" si="1"/>
        <v/>
      </c>
      <c r="B72" s="105" t="s">
        <v>112</v>
      </c>
      <c r="C72" s="105" t="s">
        <v>8</v>
      </c>
      <c r="D72" s="105">
        <v>0</v>
      </c>
      <c r="E72" s="105">
        <v>0</v>
      </c>
      <c r="F72" s="105">
        <v>0</v>
      </c>
    </row>
    <row r="73" spans="1:6" x14ac:dyDescent="0.25">
      <c r="A73" s="105">
        <f t="shared" si="1"/>
        <v>1000970</v>
      </c>
      <c r="B73" s="105" t="s">
        <v>113</v>
      </c>
      <c r="C73" s="105" t="s">
        <v>114</v>
      </c>
      <c r="D73" s="105">
        <v>0</v>
      </c>
      <c r="E73" s="105">
        <v>0</v>
      </c>
      <c r="F73" s="105">
        <v>0</v>
      </c>
    </row>
    <row r="74" spans="1:6" x14ac:dyDescent="0.25">
      <c r="A74" s="105" t="str">
        <f t="shared" si="1"/>
        <v/>
      </c>
      <c r="B74" s="105" t="s">
        <v>115</v>
      </c>
      <c r="C74" s="105" t="s">
        <v>8</v>
      </c>
      <c r="D74" s="105">
        <v>0</v>
      </c>
      <c r="E74" s="105">
        <v>0</v>
      </c>
      <c r="F74" s="105">
        <v>0</v>
      </c>
    </row>
    <row r="75" spans="1:6" x14ac:dyDescent="0.25">
      <c r="A75" s="105">
        <f t="shared" si="1"/>
        <v>1000984</v>
      </c>
      <c r="B75" s="105" t="s">
        <v>116</v>
      </c>
      <c r="C75" s="105" t="s">
        <v>117</v>
      </c>
      <c r="D75" s="105">
        <v>0</v>
      </c>
      <c r="E75" s="105">
        <v>0</v>
      </c>
      <c r="F75" s="105">
        <v>0</v>
      </c>
    </row>
    <row r="76" spans="1:6" x14ac:dyDescent="0.25">
      <c r="A76" s="105" t="str">
        <f t="shared" si="1"/>
        <v/>
      </c>
      <c r="B76" s="105" t="s">
        <v>118</v>
      </c>
      <c r="C76" s="105" t="s">
        <v>8</v>
      </c>
      <c r="D76" s="105">
        <v>0</v>
      </c>
      <c r="E76" s="105">
        <v>0</v>
      </c>
      <c r="F76" s="105">
        <v>0</v>
      </c>
    </row>
    <row r="77" spans="1:6" x14ac:dyDescent="0.25">
      <c r="A77" s="105">
        <f t="shared" si="1"/>
        <v>1000985</v>
      </c>
      <c r="B77" s="105" t="s">
        <v>119</v>
      </c>
      <c r="C77" s="105" t="s">
        <v>120</v>
      </c>
      <c r="D77" s="105">
        <v>0</v>
      </c>
      <c r="E77" s="105">
        <v>0</v>
      </c>
      <c r="F77" s="105">
        <v>0</v>
      </c>
    </row>
    <row r="78" spans="1:6" x14ac:dyDescent="0.25">
      <c r="A78" s="105" t="str">
        <f t="shared" si="1"/>
        <v/>
      </c>
      <c r="B78" s="105" t="s">
        <v>121</v>
      </c>
      <c r="C78" s="105" t="s">
        <v>8</v>
      </c>
      <c r="D78" s="105">
        <v>0</v>
      </c>
      <c r="E78" s="105">
        <v>0</v>
      </c>
      <c r="F78" s="105">
        <v>0</v>
      </c>
    </row>
    <row r="79" spans="1:6" x14ac:dyDescent="0.25">
      <c r="A79" s="105">
        <f t="shared" si="1"/>
        <v>1000988</v>
      </c>
      <c r="B79" s="105" t="s">
        <v>122</v>
      </c>
      <c r="C79" s="105" t="s">
        <v>123</v>
      </c>
      <c r="D79" s="105">
        <v>0</v>
      </c>
      <c r="E79" s="105">
        <v>0</v>
      </c>
      <c r="F79" s="105">
        <v>0</v>
      </c>
    </row>
    <row r="80" spans="1:6" x14ac:dyDescent="0.25">
      <c r="A80" s="105" t="str">
        <f t="shared" si="1"/>
        <v/>
      </c>
      <c r="B80" s="105" t="s">
        <v>124</v>
      </c>
      <c r="C80" s="105" t="s">
        <v>125</v>
      </c>
      <c r="D80" s="105">
        <v>934.35</v>
      </c>
      <c r="E80" s="105">
        <v>560.61</v>
      </c>
      <c r="F80" s="105">
        <v>0</v>
      </c>
    </row>
    <row r="81" spans="1:6" x14ac:dyDescent="0.25">
      <c r="A81" s="105" t="str">
        <f t="shared" si="1"/>
        <v/>
      </c>
      <c r="B81" s="105" t="s">
        <v>126</v>
      </c>
      <c r="C81" s="105" t="s">
        <v>8</v>
      </c>
      <c r="D81" s="105">
        <v>0</v>
      </c>
      <c r="E81" s="105">
        <v>0</v>
      </c>
      <c r="F81" s="105">
        <v>0</v>
      </c>
    </row>
    <row r="82" spans="1:6" x14ac:dyDescent="0.25">
      <c r="A82" s="105" t="str">
        <f t="shared" si="1"/>
        <v/>
      </c>
      <c r="B82" s="105" t="s">
        <v>127</v>
      </c>
      <c r="C82" s="105" t="s">
        <v>128</v>
      </c>
      <c r="D82" s="105">
        <v>982.96</v>
      </c>
      <c r="E82" s="105">
        <v>589.78</v>
      </c>
      <c r="F82" s="105">
        <v>0</v>
      </c>
    </row>
    <row r="83" spans="1:6" x14ac:dyDescent="0.25">
      <c r="A83" s="105" t="str">
        <f t="shared" si="1"/>
        <v/>
      </c>
      <c r="B83" s="105" t="s">
        <v>129</v>
      </c>
      <c r="C83" s="105" t="s">
        <v>130</v>
      </c>
      <c r="D83" s="105">
        <v>0</v>
      </c>
      <c r="E83" s="105">
        <v>0</v>
      </c>
      <c r="F83" s="105">
        <v>0</v>
      </c>
    </row>
    <row r="84" spans="1:6" x14ac:dyDescent="0.25">
      <c r="A84" s="105" t="str">
        <f t="shared" si="1"/>
        <v/>
      </c>
      <c r="B84" s="105" t="s">
        <v>131</v>
      </c>
      <c r="C84" s="105" t="s">
        <v>132</v>
      </c>
      <c r="D84" s="105">
        <v>0</v>
      </c>
      <c r="E84" s="105">
        <v>0</v>
      </c>
      <c r="F84" s="105">
        <v>0</v>
      </c>
    </row>
    <row r="85" spans="1:6" x14ac:dyDescent="0.25">
      <c r="A85" s="105" t="str">
        <f t="shared" si="1"/>
        <v/>
      </c>
      <c r="B85" s="105" t="s">
        <v>133</v>
      </c>
      <c r="C85" s="105" t="s">
        <v>134</v>
      </c>
      <c r="D85" s="105">
        <v>0</v>
      </c>
      <c r="E85" s="105">
        <v>0</v>
      </c>
      <c r="F85" s="105">
        <v>0</v>
      </c>
    </row>
    <row r="86" spans="1:6" x14ac:dyDescent="0.25">
      <c r="A86" s="105" t="str">
        <f t="shared" si="1"/>
        <v/>
      </c>
      <c r="B86" s="105" t="s">
        <v>135</v>
      </c>
      <c r="C86" s="105" t="s">
        <v>8</v>
      </c>
      <c r="D86" s="105">
        <v>0</v>
      </c>
      <c r="E86" s="105">
        <v>0</v>
      </c>
      <c r="F86" s="105">
        <v>0</v>
      </c>
    </row>
    <row r="87" spans="1:6" x14ac:dyDescent="0.25">
      <c r="A87" s="105" t="str">
        <f t="shared" si="1"/>
        <v/>
      </c>
      <c r="B87" s="105" t="s">
        <v>136</v>
      </c>
      <c r="C87" s="105" t="s">
        <v>137</v>
      </c>
      <c r="D87" s="105">
        <v>0</v>
      </c>
      <c r="E87" s="105">
        <v>0</v>
      </c>
      <c r="F87" s="105">
        <v>0</v>
      </c>
    </row>
    <row r="88" spans="1:6" x14ac:dyDescent="0.25">
      <c r="A88" s="105" t="str">
        <f t="shared" si="1"/>
        <v/>
      </c>
      <c r="B88" s="105" t="s">
        <v>138</v>
      </c>
      <c r="C88" s="105" t="s">
        <v>132</v>
      </c>
      <c r="D88" s="105">
        <v>0</v>
      </c>
      <c r="E88" s="105">
        <v>0</v>
      </c>
      <c r="F88" s="105">
        <v>0</v>
      </c>
    </row>
    <row r="89" spans="1:6" x14ac:dyDescent="0.25">
      <c r="A89" s="105" t="str">
        <f t="shared" si="1"/>
        <v/>
      </c>
      <c r="B89" s="105" t="s">
        <v>139</v>
      </c>
      <c r="C89" s="105" t="s">
        <v>8</v>
      </c>
      <c r="D89" s="105">
        <v>0</v>
      </c>
      <c r="E89" s="105">
        <v>0</v>
      </c>
      <c r="F89" s="105">
        <v>0</v>
      </c>
    </row>
    <row r="90" spans="1:6" x14ac:dyDescent="0.25">
      <c r="A90" s="105" t="str">
        <f t="shared" si="1"/>
        <v/>
      </c>
      <c r="B90" s="105" t="s">
        <v>140</v>
      </c>
      <c r="C90" s="105" t="s">
        <v>141</v>
      </c>
      <c r="D90" s="105">
        <v>0</v>
      </c>
      <c r="E90" s="105">
        <v>0</v>
      </c>
      <c r="F90" s="105">
        <v>0</v>
      </c>
    </row>
    <row r="91" spans="1:6" x14ac:dyDescent="0.25">
      <c r="A91" s="105" t="str">
        <f t="shared" si="1"/>
        <v/>
      </c>
      <c r="B91" s="105" t="s">
        <v>142</v>
      </c>
      <c r="C91" s="105" t="s">
        <v>9171</v>
      </c>
      <c r="D91" s="105">
        <v>268.41000000000003</v>
      </c>
      <c r="E91" s="105">
        <v>161.05000000000001</v>
      </c>
      <c r="F91" s="105">
        <v>0</v>
      </c>
    </row>
    <row r="92" spans="1:6" x14ac:dyDescent="0.25">
      <c r="A92" s="105" t="str">
        <f t="shared" si="1"/>
        <v/>
      </c>
      <c r="B92" s="105" t="s">
        <v>143</v>
      </c>
      <c r="C92" s="105" t="s">
        <v>8</v>
      </c>
      <c r="D92" s="105">
        <v>0</v>
      </c>
      <c r="E92" s="105">
        <v>0</v>
      </c>
      <c r="F92" s="105">
        <v>0</v>
      </c>
    </row>
    <row r="93" spans="1:6" x14ac:dyDescent="0.25">
      <c r="A93" s="105" t="str">
        <f t="shared" si="1"/>
        <v/>
      </c>
      <c r="B93" s="105" t="s">
        <v>144</v>
      </c>
      <c r="C93" s="105" t="s">
        <v>145</v>
      </c>
      <c r="D93" s="105">
        <v>0</v>
      </c>
      <c r="E93" s="105">
        <v>0</v>
      </c>
      <c r="F93" s="105">
        <v>0</v>
      </c>
    </row>
    <row r="94" spans="1:6" x14ac:dyDescent="0.25">
      <c r="A94" s="105" t="str">
        <f t="shared" si="1"/>
        <v/>
      </c>
      <c r="B94" s="105" t="s">
        <v>146</v>
      </c>
      <c r="C94" s="105" t="s">
        <v>147</v>
      </c>
      <c r="D94" s="105">
        <v>416.73</v>
      </c>
      <c r="E94" s="105">
        <v>250.04</v>
      </c>
      <c r="F94" s="105">
        <v>0</v>
      </c>
    </row>
    <row r="95" spans="1:6" x14ac:dyDescent="0.25">
      <c r="A95" s="105">
        <f t="shared" si="1"/>
        <v>1110000</v>
      </c>
      <c r="B95" s="105" t="s">
        <v>148</v>
      </c>
      <c r="C95" s="105" t="s">
        <v>149</v>
      </c>
      <c r="D95" s="105">
        <v>0</v>
      </c>
      <c r="E95" s="105">
        <v>0</v>
      </c>
      <c r="F95" s="105">
        <v>0</v>
      </c>
    </row>
    <row r="96" spans="1:6" x14ac:dyDescent="0.25">
      <c r="A96" s="105">
        <f t="shared" si="1"/>
        <v>1120000</v>
      </c>
      <c r="B96" s="105" t="s">
        <v>151</v>
      </c>
      <c r="C96" s="105" t="s">
        <v>8</v>
      </c>
      <c r="D96" s="105">
        <v>0</v>
      </c>
      <c r="E96" s="105">
        <v>0</v>
      </c>
      <c r="F96" s="105">
        <v>0</v>
      </c>
    </row>
    <row r="97" spans="1:6" x14ac:dyDescent="0.25">
      <c r="A97" s="105" t="str">
        <f t="shared" si="1"/>
        <v/>
      </c>
      <c r="B97" s="105" t="s">
        <v>9172</v>
      </c>
      <c r="C97" s="105" t="s">
        <v>8</v>
      </c>
      <c r="D97" s="105">
        <v>0</v>
      </c>
      <c r="E97" s="105">
        <v>0</v>
      </c>
      <c r="F97" s="105">
        <v>0</v>
      </c>
    </row>
    <row r="98" spans="1:6" x14ac:dyDescent="0.25">
      <c r="A98" s="105">
        <f t="shared" si="1"/>
        <v>1120001</v>
      </c>
      <c r="B98" s="105" t="s">
        <v>152</v>
      </c>
      <c r="C98" s="105" t="s">
        <v>153</v>
      </c>
      <c r="D98" s="105">
        <v>6254</v>
      </c>
      <c r="E98" s="105">
        <v>3752.4</v>
      </c>
      <c r="F98" s="105">
        <v>17</v>
      </c>
    </row>
    <row r="99" spans="1:6" x14ac:dyDescent="0.25">
      <c r="A99" s="105">
        <f t="shared" si="1"/>
        <v>1120002</v>
      </c>
      <c r="B99" s="105" t="s">
        <v>154</v>
      </c>
      <c r="C99" s="105" t="s">
        <v>155</v>
      </c>
      <c r="D99" s="105">
        <v>6466</v>
      </c>
      <c r="E99" s="105">
        <v>3879.6</v>
      </c>
      <c r="F99" s="105">
        <v>37</v>
      </c>
    </row>
    <row r="100" spans="1:6" x14ac:dyDescent="0.25">
      <c r="A100" s="105">
        <f t="shared" si="1"/>
        <v>1120003</v>
      </c>
      <c r="B100" s="105" t="s">
        <v>156</v>
      </c>
      <c r="C100" s="105" t="s">
        <v>157</v>
      </c>
      <c r="D100" s="105">
        <v>7102</v>
      </c>
      <c r="E100" s="105">
        <v>4261.2</v>
      </c>
      <c r="F100" s="105">
        <v>208</v>
      </c>
    </row>
    <row r="101" spans="1:6" x14ac:dyDescent="0.25">
      <c r="A101" s="105">
        <f t="shared" si="1"/>
        <v>1120004</v>
      </c>
      <c r="B101" s="105" t="s">
        <v>158</v>
      </c>
      <c r="C101" s="105" t="s">
        <v>159</v>
      </c>
      <c r="D101" s="105">
        <v>7314</v>
      </c>
      <c r="E101" s="105">
        <v>4388.3999999999996</v>
      </c>
      <c r="F101" s="105">
        <v>138</v>
      </c>
    </row>
    <row r="102" spans="1:6" x14ac:dyDescent="0.25">
      <c r="A102" s="105">
        <f t="shared" si="1"/>
        <v>1120005</v>
      </c>
      <c r="B102" s="105" t="s">
        <v>160</v>
      </c>
      <c r="C102" s="105" t="s">
        <v>161</v>
      </c>
      <c r="D102" s="105">
        <v>7526</v>
      </c>
      <c r="E102" s="105">
        <v>4515.6000000000004</v>
      </c>
      <c r="F102" s="105">
        <v>29</v>
      </c>
    </row>
    <row r="103" spans="1:6" x14ac:dyDescent="0.25">
      <c r="A103" s="105">
        <f t="shared" si="1"/>
        <v>1120006</v>
      </c>
      <c r="B103" s="105" t="s">
        <v>162</v>
      </c>
      <c r="C103" s="105" t="s">
        <v>163</v>
      </c>
      <c r="D103" s="105">
        <v>7738</v>
      </c>
      <c r="E103" s="105">
        <v>4642.8</v>
      </c>
      <c r="F103" s="105">
        <v>11</v>
      </c>
    </row>
    <row r="104" spans="1:6" x14ac:dyDescent="0.25">
      <c r="A104" s="105">
        <f t="shared" si="1"/>
        <v>1120007</v>
      </c>
      <c r="B104" s="105" t="s">
        <v>164</v>
      </c>
      <c r="C104" s="105" t="s">
        <v>165</v>
      </c>
      <c r="D104" s="105">
        <v>6678</v>
      </c>
      <c r="E104" s="105">
        <v>4006.8</v>
      </c>
      <c r="F104" s="105">
        <v>0</v>
      </c>
    </row>
    <row r="105" spans="1:6" x14ac:dyDescent="0.25">
      <c r="A105" s="105" t="str">
        <f t="shared" si="1"/>
        <v/>
      </c>
      <c r="B105" s="105" t="s">
        <v>166</v>
      </c>
      <c r="C105" s="105" t="s">
        <v>8</v>
      </c>
      <c r="D105" s="105">
        <v>0</v>
      </c>
      <c r="E105" s="105">
        <v>0</v>
      </c>
      <c r="F105" s="105">
        <v>0</v>
      </c>
    </row>
    <row r="106" spans="1:6" x14ac:dyDescent="0.25">
      <c r="A106" s="105">
        <f t="shared" si="1"/>
        <v>1120008</v>
      </c>
      <c r="B106" s="105" t="s">
        <v>167</v>
      </c>
      <c r="C106" s="105" t="s">
        <v>168</v>
      </c>
      <c r="D106" s="105">
        <v>6890</v>
      </c>
      <c r="E106" s="105">
        <v>4134</v>
      </c>
      <c r="F106" s="105">
        <v>0</v>
      </c>
    </row>
    <row r="107" spans="1:6" x14ac:dyDescent="0.25">
      <c r="A107" s="105">
        <f t="shared" si="1"/>
        <v>1120009</v>
      </c>
      <c r="B107" s="105" t="s">
        <v>169</v>
      </c>
      <c r="C107" s="105" t="s">
        <v>170</v>
      </c>
      <c r="D107" s="105">
        <v>1.25</v>
      </c>
      <c r="E107" s="105">
        <v>0.75</v>
      </c>
      <c r="F107" s="105">
        <v>0</v>
      </c>
    </row>
    <row r="108" spans="1:6" x14ac:dyDescent="0.25">
      <c r="A108" s="105">
        <f t="shared" si="1"/>
        <v>1120010</v>
      </c>
      <c r="B108" s="105" t="s">
        <v>171</v>
      </c>
      <c r="C108" s="105" t="s">
        <v>172</v>
      </c>
      <c r="D108" s="105">
        <v>1.25</v>
      </c>
      <c r="E108" s="105">
        <v>0.75</v>
      </c>
      <c r="F108" s="105">
        <v>0</v>
      </c>
    </row>
    <row r="109" spans="1:6" x14ac:dyDescent="0.25">
      <c r="A109" s="105" t="str">
        <f t="shared" si="1"/>
        <v/>
      </c>
      <c r="B109" s="105" t="s">
        <v>173</v>
      </c>
      <c r="C109" s="105" t="s">
        <v>8</v>
      </c>
      <c r="D109" s="105">
        <v>0</v>
      </c>
      <c r="E109" s="105">
        <v>0</v>
      </c>
      <c r="F109" s="105">
        <v>0</v>
      </c>
    </row>
    <row r="110" spans="1:6" x14ac:dyDescent="0.25">
      <c r="A110" s="105">
        <f t="shared" si="1"/>
        <v>1120011</v>
      </c>
      <c r="B110" s="105" t="s">
        <v>174</v>
      </c>
      <c r="C110" s="105" t="s">
        <v>9173</v>
      </c>
      <c r="D110" s="105">
        <v>6890</v>
      </c>
      <c r="E110" s="105">
        <v>4134</v>
      </c>
      <c r="F110" s="105">
        <v>17</v>
      </c>
    </row>
    <row r="111" spans="1:6" x14ac:dyDescent="0.25">
      <c r="A111" s="105">
        <f t="shared" si="1"/>
        <v>1120012</v>
      </c>
      <c r="B111" s="105" t="s">
        <v>175</v>
      </c>
      <c r="C111" s="105" t="s">
        <v>9174</v>
      </c>
      <c r="D111" s="105">
        <v>6890</v>
      </c>
      <c r="E111" s="105">
        <v>4134</v>
      </c>
      <c r="F111" s="105">
        <v>0</v>
      </c>
    </row>
    <row r="112" spans="1:6" x14ac:dyDescent="0.25">
      <c r="A112" s="105" t="str">
        <f t="shared" si="1"/>
        <v/>
      </c>
      <c r="B112" s="105" t="s">
        <v>176</v>
      </c>
      <c r="C112" s="105" t="s">
        <v>8</v>
      </c>
      <c r="D112" s="105">
        <v>0</v>
      </c>
      <c r="E112" s="105">
        <v>0</v>
      </c>
      <c r="F112" s="105">
        <v>0</v>
      </c>
    </row>
    <row r="113" spans="1:6" x14ac:dyDescent="0.25">
      <c r="A113" s="105">
        <f t="shared" si="1"/>
        <v>1120013</v>
      </c>
      <c r="B113" s="105" t="s">
        <v>177</v>
      </c>
      <c r="C113" s="105" t="s">
        <v>178</v>
      </c>
      <c r="D113" s="105">
        <v>7950</v>
      </c>
      <c r="E113" s="105">
        <v>4770</v>
      </c>
      <c r="F113" s="105">
        <v>0</v>
      </c>
    </row>
    <row r="114" spans="1:6" x14ac:dyDescent="0.25">
      <c r="A114" s="105" t="str">
        <f t="shared" si="1"/>
        <v/>
      </c>
      <c r="B114" s="105" t="s">
        <v>179</v>
      </c>
      <c r="C114" s="105" t="s">
        <v>8</v>
      </c>
      <c r="D114" s="105">
        <v>0</v>
      </c>
      <c r="E114" s="105">
        <v>0</v>
      </c>
      <c r="F114" s="105">
        <v>0</v>
      </c>
    </row>
    <row r="115" spans="1:6" x14ac:dyDescent="0.25">
      <c r="A115" s="105">
        <f t="shared" si="1"/>
        <v>1120014</v>
      </c>
      <c r="B115" s="105" t="s">
        <v>180</v>
      </c>
      <c r="C115" s="105" t="s">
        <v>181</v>
      </c>
      <c r="D115" s="105">
        <v>0</v>
      </c>
      <c r="E115" s="105">
        <v>0</v>
      </c>
      <c r="F115" s="105">
        <v>0</v>
      </c>
    </row>
    <row r="116" spans="1:6" x14ac:dyDescent="0.25">
      <c r="A116" s="105" t="str">
        <f t="shared" si="1"/>
        <v/>
      </c>
      <c r="B116" s="105" t="s">
        <v>182</v>
      </c>
      <c r="C116" s="105" t="s">
        <v>8</v>
      </c>
      <c r="D116" s="105">
        <v>0</v>
      </c>
      <c r="E116" s="105">
        <v>0</v>
      </c>
      <c r="F116" s="105">
        <v>0</v>
      </c>
    </row>
    <row r="117" spans="1:6" x14ac:dyDescent="0.25">
      <c r="A117" s="105">
        <f t="shared" si="1"/>
        <v>1120015</v>
      </c>
      <c r="B117" s="105" t="s">
        <v>183</v>
      </c>
      <c r="C117" s="105" t="s">
        <v>184</v>
      </c>
      <c r="D117" s="105">
        <v>0</v>
      </c>
      <c r="E117" s="105">
        <v>0</v>
      </c>
      <c r="F117" s="105">
        <v>0</v>
      </c>
    </row>
    <row r="118" spans="1:6" x14ac:dyDescent="0.25">
      <c r="A118" s="105" t="str">
        <f t="shared" si="1"/>
        <v/>
      </c>
      <c r="B118" s="105" t="s">
        <v>185</v>
      </c>
      <c r="C118" s="105" t="s">
        <v>8</v>
      </c>
      <c r="D118" s="105">
        <v>0</v>
      </c>
      <c r="E118" s="105">
        <v>0</v>
      </c>
      <c r="F118" s="105">
        <v>0</v>
      </c>
    </row>
    <row r="119" spans="1:6" x14ac:dyDescent="0.25">
      <c r="A119" s="105">
        <f t="shared" si="1"/>
        <v>1120016</v>
      </c>
      <c r="B119" s="105" t="s">
        <v>186</v>
      </c>
      <c r="C119" s="105" t="s">
        <v>187</v>
      </c>
      <c r="D119" s="105">
        <v>0</v>
      </c>
      <c r="E119" s="105">
        <v>0</v>
      </c>
      <c r="F119" s="105">
        <v>0</v>
      </c>
    </row>
    <row r="120" spans="1:6" x14ac:dyDescent="0.25">
      <c r="A120" s="105" t="str">
        <f t="shared" si="1"/>
        <v/>
      </c>
      <c r="B120" s="105" t="s">
        <v>188</v>
      </c>
      <c r="C120" s="105" t="s">
        <v>8</v>
      </c>
      <c r="D120" s="105">
        <v>0</v>
      </c>
      <c r="E120" s="105">
        <v>0</v>
      </c>
      <c r="F120" s="105">
        <v>0</v>
      </c>
    </row>
    <row r="121" spans="1:6" x14ac:dyDescent="0.25">
      <c r="A121" s="105">
        <f t="shared" si="1"/>
        <v>1120017</v>
      </c>
      <c r="B121" s="105" t="s">
        <v>189</v>
      </c>
      <c r="C121" s="105" t="s">
        <v>190</v>
      </c>
      <c r="D121" s="105">
        <v>0</v>
      </c>
      <c r="E121" s="105">
        <v>0</v>
      </c>
      <c r="F121" s="105">
        <v>0</v>
      </c>
    </row>
    <row r="122" spans="1:6" x14ac:dyDescent="0.25">
      <c r="A122" s="105">
        <f t="shared" si="1"/>
        <v>1120020</v>
      </c>
      <c r="B122" s="105" t="s">
        <v>191</v>
      </c>
      <c r="C122" s="105" t="s">
        <v>192</v>
      </c>
      <c r="D122" s="105">
        <v>0</v>
      </c>
      <c r="E122" s="105">
        <v>0</v>
      </c>
      <c r="F122" s="105">
        <v>0</v>
      </c>
    </row>
    <row r="123" spans="1:6" x14ac:dyDescent="0.25">
      <c r="A123" s="105" t="str">
        <f t="shared" si="1"/>
        <v/>
      </c>
      <c r="B123" s="105" t="s">
        <v>194</v>
      </c>
      <c r="C123" s="105" t="s">
        <v>8</v>
      </c>
      <c r="D123" s="105">
        <v>0</v>
      </c>
      <c r="E123" s="105">
        <v>0</v>
      </c>
      <c r="F123" s="105">
        <v>0</v>
      </c>
    </row>
    <row r="124" spans="1:6" x14ac:dyDescent="0.25">
      <c r="A124" s="105">
        <f t="shared" si="1"/>
        <v>1120024</v>
      </c>
      <c r="B124" s="105" t="s">
        <v>195</v>
      </c>
      <c r="C124" s="105" t="s">
        <v>196</v>
      </c>
      <c r="D124" s="105">
        <v>0</v>
      </c>
      <c r="E124" s="105">
        <v>0</v>
      </c>
      <c r="F124" s="105">
        <v>0</v>
      </c>
    </row>
    <row r="125" spans="1:6" x14ac:dyDescent="0.25">
      <c r="A125" s="105" t="str">
        <f t="shared" si="1"/>
        <v/>
      </c>
      <c r="B125" s="105" t="s">
        <v>197</v>
      </c>
      <c r="C125" s="105" t="s">
        <v>8</v>
      </c>
      <c r="D125" s="105">
        <v>0</v>
      </c>
      <c r="E125" s="105">
        <v>0</v>
      </c>
      <c r="F125" s="105">
        <v>0</v>
      </c>
    </row>
    <row r="126" spans="1:6" x14ac:dyDescent="0.25">
      <c r="A126" s="105">
        <f t="shared" si="1"/>
        <v>1120025</v>
      </c>
      <c r="B126" s="105" t="s">
        <v>198</v>
      </c>
      <c r="C126" s="105" t="s">
        <v>199</v>
      </c>
      <c r="D126" s="105">
        <v>0</v>
      </c>
      <c r="E126" s="105">
        <v>0</v>
      </c>
      <c r="F126" s="105">
        <v>0</v>
      </c>
    </row>
    <row r="127" spans="1:6" x14ac:dyDescent="0.25">
      <c r="A127" s="105">
        <f t="shared" si="1"/>
        <v>1120030</v>
      </c>
      <c r="B127" s="105" t="s">
        <v>9175</v>
      </c>
      <c r="C127" s="105" t="s">
        <v>9176</v>
      </c>
      <c r="D127" s="105">
        <v>0</v>
      </c>
      <c r="E127" s="105">
        <v>0</v>
      </c>
      <c r="F127" s="105">
        <v>0</v>
      </c>
    </row>
    <row r="128" spans="1:6" x14ac:dyDescent="0.25">
      <c r="A128" s="105">
        <f t="shared" si="1"/>
        <v>1120031</v>
      </c>
      <c r="B128" s="105" t="s">
        <v>9177</v>
      </c>
      <c r="C128" s="105" t="s">
        <v>9178</v>
      </c>
      <c r="D128" s="105">
        <v>0</v>
      </c>
      <c r="E128" s="105">
        <v>0</v>
      </c>
      <c r="F128" s="105">
        <v>0</v>
      </c>
    </row>
    <row r="129" spans="1:6" x14ac:dyDescent="0.25">
      <c r="A129" s="105">
        <f t="shared" si="1"/>
        <v>1120032</v>
      </c>
      <c r="B129" s="105" t="s">
        <v>9179</v>
      </c>
      <c r="C129" s="105" t="s">
        <v>9180</v>
      </c>
      <c r="D129" s="105">
        <v>0</v>
      </c>
      <c r="E129" s="105">
        <v>0</v>
      </c>
      <c r="F129" s="105">
        <v>0</v>
      </c>
    </row>
    <row r="130" spans="1:6" x14ac:dyDescent="0.25">
      <c r="A130" s="105">
        <f t="shared" si="1"/>
        <v>1120050</v>
      </c>
      <c r="B130" s="105" t="s">
        <v>200</v>
      </c>
      <c r="C130" s="105" t="s">
        <v>201</v>
      </c>
      <c r="D130" s="105">
        <v>12900</v>
      </c>
      <c r="E130" s="105">
        <v>7740</v>
      </c>
      <c r="F130" s="105">
        <v>0</v>
      </c>
    </row>
    <row r="131" spans="1:6" x14ac:dyDescent="0.25">
      <c r="A131" s="105" t="str">
        <f t="shared" ref="A131:A194" si="2">IF(B131&lt;&gt;"",IFERROR(B131*1,""),"")</f>
        <v/>
      </c>
      <c r="B131" s="105" t="s">
        <v>202</v>
      </c>
      <c r="C131" s="105" t="s">
        <v>8</v>
      </c>
      <c r="D131" s="105">
        <v>0</v>
      </c>
      <c r="E131" s="105">
        <v>0</v>
      </c>
      <c r="F131" s="105">
        <v>0</v>
      </c>
    </row>
    <row r="132" spans="1:6" x14ac:dyDescent="0.25">
      <c r="A132" s="105">
        <f t="shared" si="2"/>
        <v>1120051</v>
      </c>
      <c r="B132" s="105" t="s">
        <v>203</v>
      </c>
      <c r="C132" s="105" t="s">
        <v>204</v>
      </c>
      <c r="D132" s="105">
        <v>13400</v>
      </c>
      <c r="E132" s="105">
        <v>8040</v>
      </c>
      <c r="F132" s="105">
        <v>0</v>
      </c>
    </row>
    <row r="133" spans="1:6" x14ac:dyDescent="0.25">
      <c r="A133" s="105" t="str">
        <f t="shared" si="2"/>
        <v/>
      </c>
      <c r="B133" s="105" t="s">
        <v>205</v>
      </c>
      <c r="C133" s="105" t="s">
        <v>8</v>
      </c>
      <c r="D133" s="105">
        <v>0</v>
      </c>
      <c r="E133" s="105">
        <v>0</v>
      </c>
      <c r="F133" s="105">
        <v>0</v>
      </c>
    </row>
    <row r="134" spans="1:6" x14ac:dyDescent="0.25">
      <c r="A134" s="105">
        <f t="shared" si="2"/>
        <v>1120052</v>
      </c>
      <c r="B134" s="105" t="s">
        <v>206</v>
      </c>
      <c r="C134" s="105" t="s">
        <v>207</v>
      </c>
      <c r="D134" s="105">
        <v>13900</v>
      </c>
      <c r="E134" s="105">
        <v>8340</v>
      </c>
      <c r="F134" s="105">
        <v>0</v>
      </c>
    </row>
    <row r="135" spans="1:6" x14ac:dyDescent="0.25">
      <c r="A135" s="105" t="str">
        <f t="shared" si="2"/>
        <v/>
      </c>
      <c r="B135" s="105" t="s">
        <v>208</v>
      </c>
      <c r="C135" s="105" t="s">
        <v>8</v>
      </c>
      <c r="D135" s="105">
        <v>0</v>
      </c>
      <c r="E135" s="105">
        <v>0</v>
      </c>
      <c r="F135" s="105">
        <v>0</v>
      </c>
    </row>
    <row r="136" spans="1:6" x14ac:dyDescent="0.25">
      <c r="A136" s="105">
        <f t="shared" si="2"/>
        <v>1120053</v>
      </c>
      <c r="B136" s="105" t="s">
        <v>209</v>
      </c>
      <c r="C136" s="105" t="s">
        <v>210</v>
      </c>
      <c r="D136" s="105">
        <v>14400</v>
      </c>
      <c r="E136" s="105">
        <v>8640</v>
      </c>
      <c r="F136" s="105">
        <v>0</v>
      </c>
    </row>
    <row r="137" spans="1:6" x14ac:dyDescent="0.25">
      <c r="A137" s="105" t="str">
        <f t="shared" si="2"/>
        <v/>
      </c>
      <c r="B137" s="105" t="s">
        <v>211</v>
      </c>
      <c r="C137" s="105" t="s">
        <v>8</v>
      </c>
      <c r="D137" s="105">
        <v>0</v>
      </c>
      <c r="E137" s="105">
        <v>0</v>
      </c>
      <c r="F137" s="105">
        <v>0</v>
      </c>
    </row>
    <row r="138" spans="1:6" x14ac:dyDescent="0.25">
      <c r="A138" s="105">
        <f t="shared" si="2"/>
        <v>1120055</v>
      </c>
      <c r="B138" s="105" t="s">
        <v>212</v>
      </c>
      <c r="C138" s="105" t="s">
        <v>213</v>
      </c>
      <c r="D138" s="105">
        <v>8798</v>
      </c>
      <c r="E138" s="105">
        <v>5278.8</v>
      </c>
      <c r="F138" s="105">
        <v>17</v>
      </c>
    </row>
    <row r="139" spans="1:6" x14ac:dyDescent="0.25">
      <c r="A139" s="105">
        <f t="shared" si="2"/>
        <v>1120056</v>
      </c>
      <c r="B139" s="105" t="s">
        <v>214</v>
      </c>
      <c r="C139" s="105" t="s">
        <v>215</v>
      </c>
      <c r="D139" s="105">
        <v>9010</v>
      </c>
      <c r="E139" s="105">
        <v>5406</v>
      </c>
      <c r="F139" s="105">
        <v>10</v>
      </c>
    </row>
    <row r="140" spans="1:6" x14ac:dyDescent="0.25">
      <c r="A140" s="105" t="str">
        <f t="shared" si="2"/>
        <v/>
      </c>
      <c r="B140" s="105" t="s">
        <v>216</v>
      </c>
      <c r="C140" s="105" t="s">
        <v>8</v>
      </c>
      <c r="D140" s="105">
        <v>0</v>
      </c>
      <c r="E140" s="105">
        <v>0</v>
      </c>
      <c r="F140" s="105">
        <v>0</v>
      </c>
    </row>
    <row r="141" spans="1:6" x14ac:dyDescent="0.25">
      <c r="A141" s="105">
        <f t="shared" si="2"/>
        <v>1120057</v>
      </c>
      <c r="B141" s="105" t="s">
        <v>217</v>
      </c>
      <c r="C141" s="105" t="s">
        <v>218</v>
      </c>
      <c r="D141" s="105">
        <v>9222</v>
      </c>
      <c r="E141" s="105">
        <v>5533.2</v>
      </c>
      <c r="F141" s="105">
        <v>0</v>
      </c>
    </row>
    <row r="142" spans="1:6" x14ac:dyDescent="0.25">
      <c r="A142" s="105" t="str">
        <f t="shared" si="2"/>
        <v/>
      </c>
      <c r="B142" s="105" t="s">
        <v>219</v>
      </c>
      <c r="C142" s="105" t="s">
        <v>8</v>
      </c>
      <c r="D142" s="105">
        <v>0</v>
      </c>
      <c r="E142" s="105">
        <v>0</v>
      </c>
      <c r="F142" s="105">
        <v>0</v>
      </c>
    </row>
    <row r="143" spans="1:6" x14ac:dyDescent="0.25">
      <c r="A143" s="105">
        <f t="shared" si="2"/>
        <v>1120058</v>
      </c>
      <c r="B143" s="105" t="s">
        <v>220</v>
      </c>
      <c r="C143" s="105" t="s">
        <v>221</v>
      </c>
      <c r="D143" s="105">
        <v>9434</v>
      </c>
      <c r="E143" s="105">
        <v>5660.4</v>
      </c>
      <c r="F143" s="105">
        <v>0</v>
      </c>
    </row>
    <row r="144" spans="1:6" x14ac:dyDescent="0.25">
      <c r="A144" s="105">
        <f t="shared" si="2"/>
        <v>1120060</v>
      </c>
      <c r="B144" s="105" t="s">
        <v>222</v>
      </c>
      <c r="C144" s="105" t="s">
        <v>223</v>
      </c>
      <c r="D144" s="105">
        <v>8798</v>
      </c>
      <c r="E144" s="105">
        <v>5278.8</v>
      </c>
      <c r="F144" s="105">
        <v>1</v>
      </c>
    </row>
    <row r="145" spans="1:6" x14ac:dyDescent="0.25">
      <c r="A145" s="105">
        <f t="shared" si="2"/>
        <v>1120061</v>
      </c>
      <c r="B145" s="105" t="s">
        <v>224</v>
      </c>
      <c r="C145" s="105" t="s">
        <v>225</v>
      </c>
      <c r="D145" s="105">
        <v>9010</v>
      </c>
      <c r="E145" s="105">
        <v>5406</v>
      </c>
      <c r="F145" s="105">
        <v>15</v>
      </c>
    </row>
    <row r="146" spans="1:6" x14ac:dyDescent="0.25">
      <c r="A146" s="105">
        <f t="shared" si="2"/>
        <v>1120062</v>
      </c>
      <c r="B146" s="105" t="s">
        <v>226</v>
      </c>
      <c r="C146" s="105" t="s">
        <v>227</v>
      </c>
      <c r="D146" s="105">
        <v>9222</v>
      </c>
      <c r="E146" s="105">
        <v>5533.2</v>
      </c>
      <c r="F146" s="105">
        <v>0</v>
      </c>
    </row>
    <row r="147" spans="1:6" x14ac:dyDescent="0.25">
      <c r="A147" s="105" t="str">
        <f t="shared" si="2"/>
        <v/>
      </c>
      <c r="B147" s="105" t="s">
        <v>228</v>
      </c>
      <c r="C147" s="105" t="s">
        <v>8</v>
      </c>
      <c r="D147" s="105">
        <v>0</v>
      </c>
      <c r="E147" s="105">
        <v>0</v>
      </c>
      <c r="F147" s="105">
        <v>0</v>
      </c>
    </row>
    <row r="148" spans="1:6" x14ac:dyDescent="0.25">
      <c r="A148" s="105">
        <f t="shared" si="2"/>
        <v>1120063</v>
      </c>
      <c r="B148" s="105" t="s">
        <v>229</v>
      </c>
      <c r="C148" s="105" t="s">
        <v>230</v>
      </c>
      <c r="D148" s="105">
        <v>9434</v>
      </c>
      <c r="E148" s="105">
        <v>5660.4</v>
      </c>
      <c r="F148" s="105">
        <v>0</v>
      </c>
    </row>
    <row r="149" spans="1:6" x14ac:dyDescent="0.25">
      <c r="A149" s="105" t="str">
        <f t="shared" si="2"/>
        <v/>
      </c>
      <c r="B149" s="105" t="s">
        <v>231</v>
      </c>
      <c r="C149" s="105" t="s">
        <v>8</v>
      </c>
      <c r="D149" s="105">
        <v>0</v>
      </c>
      <c r="E149" s="105">
        <v>0</v>
      </c>
      <c r="F149" s="105">
        <v>0</v>
      </c>
    </row>
    <row r="150" spans="1:6" x14ac:dyDescent="0.25">
      <c r="A150" s="105">
        <f t="shared" si="2"/>
        <v>1120064</v>
      </c>
      <c r="B150" s="105" t="s">
        <v>232</v>
      </c>
      <c r="C150" s="105" t="s">
        <v>233</v>
      </c>
      <c r="D150" s="105">
        <v>0</v>
      </c>
      <c r="E150" s="105">
        <v>0</v>
      </c>
      <c r="F150" s="105">
        <v>0</v>
      </c>
    </row>
    <row r="151" spans="1:6" x14ac:dyDescent="0.25">
      <c r="A151" s="105" t="str">
        <f t="shared" si="2"/>
        <v/>
      </c>
      <c r="B151" s="105" t="s">
        <v>234</v>
      </c>
      <c r="C151" s="105" t="s">
        <v>8</v>
      </c>
      <c r="D151" s="105">
        <v>0</v>
      </c>
      <c r="E151" s="105">
        <v>0</v>
      </c>
      <c r="F151" s="105">
        <v>0</v>
      </c>
    </row>
    <row r="152" spans="1:6" x14ac:dyDescent="0.25">
      <c r="A152" s="105">
        <f t="shared" si="2"/>
        <v>1120065</v>
      </c>
      <c r="B152" s="105" t="s">
        <v>235</v>
      </c>
      <c r="C152" s="105" t="s">
        <v>236</v>
      </c>
      <c r="D152" s="105">
        <v>0</v>
      </c>
      <c r="E152" s="105">
        <v>0</v>
      </c>
      <c r="F152" s="105">
        <v>0</v>
      </c>
    </row>
    <row r="153" spans="1:6" x14ac:dyDescent="0.25">
      <c r="A153" s="105" t="str">
        <f t="shared" si="2"/>
        <v/>
      </c>
      <c r="B153" s="105" t="s">
        <v>237</v>
      </c>
      <c r="C153" s="105" t="s">
        <v>8</v>
      </c>
      <c r="D153" s="105">
        <v>0</v>
      </c>
      <c r="E153" s="105">
        <v>0</v>
      </c>
      <c r="F153" s="105">
        <v>0</v>
      </c>
    </row>
    <row r="154" spans="1:6" x14ac:dyDescent="0.25">
      <c r="A154" s="105">
        <f t="shared" si="2"/>
        <v>1120066</v>
      </c>
      <c r="B154" s="105" t="s">
        <v>238</v>
      </c>
      <c r="C154" s="105" t="s">
        <v>239</v>
      </c>
      <c r="D154" s="105">
        <v>0</v>
      </c>
      <c r="E154" s="105">
        <v>0</v>
      </c>
      <c r="F154" s="105">
        <v>0</v>
      </c>
    </row>
    <row r="155" spans="1:6" x14ac:dyDescent="0.25">
      <c r="A155" s="105" t="str">
        <f t="shared" si="2"/>
        <v/>
      </c>
      <c r="B155" s="105" t="s">
        <v>240</v>
      </c>
      <c r="C155" s="105" t="s">
        <v>8</v>
      </c>
      <c r="D155" s="105">
        <v>0</v>
      </c>
      <c r="E155" s="105">
        <v>0</v>
      </c>
      <c r="F155" s="105">
        <v>0</v>
      </c>
    </row>
    <row r="156" spans="1:6" x14ac:dyDescent="0.25">
      <c r="A156" s="105">
        <f t="shared" si="2"/>
        <v>1120067</v>
      </c>
      <c r="B156" s="105" t="s">
        <v>241</v>
      </c>
      <c r="C156" s="105" t="s">
        <v>242</v>
      </c>
      <c r="D156" s="105">
        <v>0</v>
      </c>
      <c r="E156" s="105">
        <v>0</v>
      </c>
      <c r="F156" s="105">
        <v>0</v>
      </c>
    </row>
    <row r="157" spans="1:6" x14ac:dyDescent="0.25">
      <c r="A157" s="105" t="str">
        <f t="shared" si="2"/>
        <v/>
      </c>
      <c r="B157" s="105" t="s">
        <v>243</v>
      </c>
      <c r="C157" s="105" t="s">
        <v>8</v>
      </c>
      <c r="D157" s="105">
        <v>0</v>
      </c>
      <c r="E157" s="105">
        <v>0</v>
      </c>
      <c r="F157" s="105">
        <v>0</v>
      </c>
    </row>
    <row r="158" spans="1:6" x14ac:dyDescent="0.25">
      <c r="A158" s="105">
        <f t="shared" si="2"/>
        <v>1120068</v>
      </c>
      <c r="B158" s="105" t="s">
        <v>244</v>
      </c>
      <c r="C158" s="105" t="s">
        <v>245</v>
      </c>
      <c r="D158" s="105">
        <v>0</v>
      </c>
      <c r="E158" s="105">
        <v>0</v>
      </c>
      <c r="F158" s="105">
        <v>0</v>
      </c>
    </row>
    <row r="159" spans="1:6" x14ac:dyDescent="0.25">
      <c r="A159" s="105" t="str">
        <f t="shared" si="2"/>
        <v/>
      </c>
      <c r="B159" s="105" t="s">
        <v>246</v>
      </c>
      <c r="C159" s="105" t="s">
        <v>8</v>
      </c>
      <c r="D159" s="105">
        <v>0</v>
      </c>
      <c r="E159" s="105">
        <v>0</v>
      </c>
      <c r="F159" s="105">
        <v>0</v>
      </c>
    </row>
    <row r="160" spans="1:6" x14ac:dyDescent="0.25">
      <c r="A160" s="105">
        <f t="shared" si="2"/>
        <v>1120069</v>
      </c>
      <c r="B160" s="105" t="s">
        <v>247</v>
      </c>
      <c r="C160" s="105" t="s">
        <v>248</v>
      </c>
      <c r="D160" s="105">
        <v>0</v>
      </c>
      <c r="E160" s="105">
        <v>0</v>
      </c>
      <c r="F160" s="105">
        <v>0</v>
      </c>
    </row>
    <row r="161" spans="1:6" x14ac:dyDescent="0.25">
      <c r="A161" s="105" t="str">
        <f t="shared" si="2"/>
        <v/>
      </c>
      <c r="B161" s="105" t="s">
        <v>249</v>
      </c>
      <c r="C161" s="105" t="s">
        <v>8</v>
      </c>
      <c r="D161" s="105">
        <v>0</v>
      </c>
      <c r="E161" s="105">
        <v>0</v>
      </c>
      <c r="F161" s="105">
        <v>0</v>
      </c>
    </row>
    <row r="162" spans="1:6" x14ac:dyDescent="0.25">
      <c r="A162" s="105">
        <f t="shared" si="2"/>
        <v>1120070</v>
      </c>
      <c r="B162" s="105" t="s">
        <v>250</v>
      </c>
      <c r="C162" s="105" t="s">
        <v>251</v>
      </c>
      <c r="D162" s="105">
        <v>0</v>
      </c>
      <c r="E162" s="105">
        <v>0</v>
      </c>
      <c r="F162" s="105">
        <v>0</v>
      </c>
    </row>
    <row r="163" spans="1:6" x14ac:dyDescent="0.25">
      <c r="A163" s="105" t="str">
        <f t="shared" si="2"/>
        <v/>
      </c>
      <c r="B163" s="105" t="s">
        <v>252</v>
      </c>
      <c r="C163" s="105" t="s">
        <v>8</v>
      </c>
      <c r="D163" s="105">
        <v>0</v>
      </c>
      <c r="E163" s="105">
        <v>0</v>
      </c>
      <c r="F163" s="105">
        <v>0</v>
      </c>
    </row>
    <row r="164" spans="1:6" x14ac:dyDescent="0.25">
      <c r="A164" s="105">
        <f t="shared" si="2"/>
        <v>1120071</v>
      </c>
      <c r="B164" s="105" t="s">
        <v>253</v>
      </c>
      <c r="C164" s="105" t="s">
        <v>254</v>
      </c>
      <c r="D164" s="105">
        <v>0</v>
      </c>
      <c r="E164" s="105">
        <v>0</v>
      </c>
      <c r="F164" s="105">
        <v>0</v>
      </c>
    </row>
    <row r="165" spans="1:6" x14ac:dyDescent="0.25">
      <c r="A165" s="105">
        <f t="shared" si="2"/>
        <v>1120072</v>
      </c>
      <c r="B165" s="105" t="s">
        <v>255</v>
      </c>
      <c r="C165" s="105" t="s">
        <v>256</v>
      </c>
      <c r="D165" s="105">
        <v>12900</v>
      </c>
      <c r="E165" s="105">
        <v>7740</v>
      </c>
      <c r="F165" s="105">
        <v>2</v>
      </c>
    </row>
    <row r="166" spans="1:6" x14ac:dyDescent="0.25">
      <c r="A166" s="105" t="str">
        <f t="shared" si="2"/>
        <v/>
      </c>
      <c r="B166" s="105" t="s">
        <v>257</v>
      </c>
      <c r="C166" s="105" t="s">
        <v>8</v>
      </c>
      <c r="D166" s="105">
        <v>0</v>
      </c>
      <c r="E166" s="105">
        <v>0</v>
      </c>
      <c r="F166" s="105">
        <v>0</v>
      </c>
    </row>
    <row r="167" spans="1:6" x14ac:dyDescent="0.25">
      <c r="A167" s="105">
        <f t="shared" si="2"/>
        <v>1120073</v>
      </c>
      <c r="B167" s="105" t="s">
        <v>258</v>
      </c>
      <c r="C167" s="105" t="s">
        <v>259</v>
      </c>
      <c r="D167" s="105">
        <v>13400</v>
      </c>
      <c r="E167" s="105">
        <v>8040</v>
      </c>
      <c r="F167" s="105">
        <v>0</v>
      </c>
    </row>
    <row r="168" spans="1:6" x14ac:dyDescent="0.25">
      <c r="A168" s="105" t="str">
        <f t="shared" si="2"/>
        <v/>
      </c>
      <c r="B168" s="105" t="s">
        <v>260</v>
      </c>
      <c r="C168" s="105" t="s">
        <v>8</v>
      </c>
      <c r="D168" s="105">
        <v>0</v>
      </c>
      <c r="E168" s="105">
        <v>0</v>
      </c>
      <c r="F168" s="105">
        <v>0</v>
      </c>
    </row>
    <row r="169" spans="1:6" x14ac:dyDescent="0.25">
      <c r="A169" s="105">
        <f t="shared" si="2"/>
        <v>1120074</v>
      </c>
      <c r="B169" s="105" t="s">
        <v>261</v>
      </c>
      <c r="C169" s="105" t="s">
        <v>262</v>
      </c>
      <c r="D169" s="105">
        <v>13900</v>
      </c>
      <c r="E169" s="105">
        <v>8340</v>
      </c>
      <c r="F169" s="105">
        <v>0</v>
      </c>
    </row>
    <row r="170" spans="1:6" x14ac:dyDescent="0.25">
      <c r="A170" s="105" t="str">
        <f t="shared" si="2"/>
        <v/>
      </c>
      <c r="B170" s="105" t="s">
        <v>263</v>
      </c>
      <c r="C170" s="105" t="s">
        <v>8</v>
      </c>
      <c r="D170" s="105">
        <v>0</v>
      </c>
      <c r="E170" s="105">
        <v>0</v>
      </c>
      <c r="F170" s="105">
        <v>0</v>
      </c>
    </row>
    <row r="171" spans="1:6" x14ac:dyDescent="0.25">
      <c r="A171" s="105">
        <f t="shared" si="2"/>
        <v>1120075</v>
      </c>
      <c r="B171" s="105" t="s">
        <v>264</v>
      </c>
      <c r="C171" s="105" t="s">
        <v>265</v>
      </c>
      <c r="D171" s="105">
        <v>14400</v>
      </c>
      <c r="E171" s="105">
        <v>8640</v>
      </c>
      <c r="F171" s="105">
        <v>0</v>
      </c>
    </row>
    <row r="172" spans="1:6" x14ac:dyDescent="0.25">
      <c r="A172" s="105">
        <f t="shared" si="2"/>
        <v>1120076</v>
      </c>
      <c r="B172" s="105" t="s">
        <v>266</v>
      </c>
      <c r="C172" s="105" t="s">
        <v>267</v>
      </c>
      <c r="D172" s="105">
        <v>0</v>
      </c>
      <c r="E172" s="105">
        <v>0</v>
      </c>
      <c r="F172" s="105">
        <v>0</v>
      </c>
    </row>
    <row r="173" spans="1:6" x14ac:dyDescent="0.25">
      <c r="A173" s="105">
        <f t="shared" si="2"/>
        <v>1120077</v>
      </c>
      <c r="B173" s="105" t="s">
        <v>268</v>
      </c>
      <c r="C173" s="105" t="s">
        <v>269</v>
      </c>
      <c r="D173" s="105">
        <v>0</v>
      </c>
      <c r="E173" s="105">
        <v>0</v>
      </c>
      <c r="F173" s="105">
        <v>0</v>
      </c>
    </row>
    <row r="174" spans="1:6" x14ac:dyDescent="0.25">
      <c r="A174" s="105">
        <f t="shared" si="2"/>
        <v>1120078</v>
      </c>
      <c r="B174" s="105" t="s">
        <v>270</v>
      </c>
      <c r="C174" s="105" t="s">
        <v>271</v>
      </c>
      <c r="D174" s="105">
        <v>0</v>
      </c>
      <c r="E174" s="105">
        <v>0</v>
      </c>
      <c r="F174" s="105">
        <v>0</v>
      </c>
    </row>
    <row r="175" spans="1:6" x14ac:dyDescent="0.25">
      <c r="A175" s="105">
        <f t="shared" si="2"/>
        <v>1120079</v>
      </c>
      <c r="B175" s="105" t="s">
        <v>272</v>
      </c>
      <c r="C175" s="105" t="s">
        <v>273</v>
      </c>
      <c r="D175" s="105">
        <v>0</v>
      </c>
      <c r="E175" s="105">
        <v>0</v>
      </c>
      <c r="F175" s="105">
        <v>0</v>
      </c>
    </row>
    <row r="176" spans="1:6" x14ac:dyDescent="0.25">
      <c r="A176" s="105">
        <f t="shared" si="2"/>
        <v>1120106</v>
      </c>
      <c r="B176" s="105" t="s">
        <v>274</v>
      </c>
      <c r="C176" s="105" t="s">
        <v>275</v>
      </c>
      <c r="D176" s="105">
        <v>7102</v>
      </c>
      <c r="E176" s="105">
        <v>4261.2</v>
      </c>
      <c r="F176" s="105">
        <v>40</v>
      </c>
    </row>
    <row r="177" spans="1:6" x14ac:dyDescent="0.25">
      <c r="A177" s="105">
        <f t="shared" si="2"/>
        <v>1120107</v>
      </c>
      <c r="B177" s="105" t="s">
        <v>276</v>
      </c>
      <c r="C177" s="105" t="s">
        <v>277</v>
      </c>
      <c r="D177" s="105">
        <v>7314</v>
      </c>
      <c r="E177" s="105">
        <v>4388.3999999999996</v>
      </c>
      <c r="F177" s="105">
        <v>57</v>
      </c>
    </row>
    <row r="178" spans="1:6" x14ac:dyDescent="0.25">
      <c r="A178" s="105">
        <f t="shared" si="2"/>
        <v>1120110</v>
      </c>
      <c r="B178" s="105" t="s">
        <v>278</v>
      </c>
      <c r="C178" s="105" t="s">
        <v>279</v>
      </c>
      <c r="D178" s="105">
        <v>7526</v>
      </c>
      <c r="E178" s="105">
        <v>4515.6000000000004</v>
      </c>
      <c r="F178" s="105">
        <v>0</v>
      </c>
    </row>
    <row r="179" spans="1:6" x14ac:dyDescent="0.25">
      <c r="A179" s="105">
        <f t="shared" si="2"/>
        <v>1120111</v>
      </c>
      <c r="B179" s="105" t="s">
        <v>280</v>
      </c>
      <c r="C179" s="105" t="s">
        <v>281</v>
      </c>
      <c r="D179" s="105">
        <v>7738</v>
      </c>
      <c r="E179" s="105">
        <v>4642.8</v>
      </c>
      <c r="F179" s="105">
        <v>0</v>
      </c>
    </row>
    <row r="180" spans="1:6" x14ac:dyDescent="0.25">
      <c r="A180" s="105" t="str">
        <f t="shared" si="2"/>
        <v/>
      </c>
      <c r="B180" s="105" t="s">
        <v>282</v>
      </c>
      <c r="C180" s="105" t="s">
        <v>8</v>
      </c>
      <c r="D180" s="105">
        <v>0</v>
      </c>
      <c r="E180" s="105">
        <v>0</v>
      </c>
      <c r="F180" s="105">
        <v>0</v>
      </c>
    </row>
    <row r="181" spans="1:6" x14ac:dyDescent="0.25">
      <c r="A181" s="105">
        <f t="shared" si="2"/>
        <v>1120112</v>
      </c>
      <c r="B181" s="105" t="s">
        <v>283</v>
      </c>
      <c r="C181" s="105" t="s">
        <v>284</v>
      </c>
      <c r="D181" s="105">
        <v>0</v>
      </c>
      <c r="E181" s="105">
        <v>0</v>
      </c>
      <c r="F181" s="105">
        <v>0</v>
      </c>
    </row>
    <row r="182" spans="1:6" x14ac:dyDescent="0.25">
      <c r="A182" s="105">
        <f t="shared" si="2"/>
        <v>1120125</v>
      </c>
      <c r="B182" s="105" t="s">
        <v>285</v>
      </c>
      <c r="C182" s="105" t="s">
        <v>286</v>
      </c>
      <c r="D182" s="105">
        <v>0</v>
      </c>
      <c r="E182" s="105">
        <v>0</v>
      </c>
      <c r="F182" s="105">
        <v>2</v>
      </c>
    </row>
    <row r="183" spans="1:6" x14ac:dyDescent="0.25">
      <c r="A183" s="105">
        <f t="shared" si="2"/>
        <v>1120126</v>
      </c>
      <c r="B183" s="105" t="s">
        <v>287</v>
      </c>
      <c r="C183" s="105" t="s">
        <v>288</v>
      </c>
      <c r="D183" s="105">
        <v>0</v>
      </c>
      <c r="E183" s="105">
        <v>0</v>
      </c>
      <c r="F183" s="105">
        <v>0</v>
      </c>
    </row>
    <row r="184" spans="1:6" x14ac:dyDescent="0.25">
      <c r="A184" s="105" t="str">
        <f t="shared" si="2"/>
        <v/>
      </c>
      <c r="B184" s="105" t="s">
        <v>289</v>
      </c>
      <c r="C184" s="105" t="s">
        <v>8</v>
      </c>
      <c r="D184" s="105">
        <v>0</v>
      </c>
      <c r="E184" s="105">
        <v>0</v>
      </c>
      <c r="F184" s="105">
        <v>0</v>
      </c>
    </row>
    <row r="185" spans="1:6" x14ac:dyDescent="0.25">
      <c r="A185" s="105">
        <f t="shared" si="2"/>
        <v>1120130</v>
      </c>
      <c r="B185" s="105" t="s">
        <v>290</v>
      </c>
      <c r="C185" s="105" t="s">
        <v>291</v>
      </c>
      <c r="D185" s="105">
        <v>9500</v>
      </c>
      <c r="E185" s="105">
        <v>5700</v>
      </c>
      <c r="F185" s="105">
        <v>22</v>
      </c>
    </row>
    <row r="186" spans="1:6" x14ac:dyDescent="0.25">
      <c r="A186" s="105">
        <f t="shared" si="2"/>
        <v>1120131</v>
      </c>
      <c r="B186" s="105" t="s">
        <v>292</v>
      </c>
      <c r="C186" s="105" t="s">
        <v>293</v>
      </c>
      <c r="D186" s="105">
        <v>6996</v>
      </c>
      <c r="E186" s="105">
        <v>4197.6000000000004</v>
      </c>
      <c r="F186" s="105">
        <v>12</v>
      </c>
    </row>
    <row r="187" spans="1:6" x14ac:dyDescent="0.25">
      <c r="A187" s="105">
        <f t="shared" si="2"/>
        <v>1120132</v>
      </c>
      <c r="B187" s="105" t="s">
        <v>294</v>
      </c>
      <c r="C187" s="105" t="s">
        <v>295</v>
      </c>
      <c r="D187" s="105">
        <v>7208</v>
      </c>
      <c r="E187" s="105">
        <v>4324.8</v>
      </c>
      <c r="F187" s="105">
        <v>0</v>
      </c>
    </row>
    <row r="188" spans="1:6" x14ac:dyDescent="0.25">
      <c r="A188" s="105" t="str">
        <f t="shared" si="2"/>
        <v/>
      </c>
      <c r="B188" s="105" t="s">
        <v>296</v>
      </c>
      <c r="C188" s="105" t="s">
        <v>8</v>
      </c>
      <c r="D188" s="105">
        <v>0</v>
      </c>
      <c r="E188" s="105">
        <v>0</v>
      </c>
      <c r="F188" s="105">
        <v>0</v>
      </c>
    </row>
    <row r="189" spans="1:6" x14ac:dyDescent="0.25">
      <c r="A189" s="105">
        <f t="shared" si="2"/>
        <v>1120133</v>
      </c>
      <c r="B189" s="105" t="s">
        <v>297</v>
      </c>
      <c r="C189" s="105" t="s">
        <v>298</v>
      </c>
      <c r="D189" s="105">
        <v>11000</v>
      </c>
      <c r="E189" s="105">
        <v>6600</v>
      </c>
      <c r="F189" s="105">
        <v>0</v>
      </c>
    </row>
    <row r="190" spans="1:6" x14ac:dyDescent="0.25">
      <c r="A190" s="105">
        <f t="shared" si="2"/>
        <v>1120136</v>
      </c>
      <c r="B190" s="105" t="s">
        <v>299</v>
      </c>
      <c r="C190" s="105" t="s">
        <v>300</v>
      </c>
      <c r="D190" s="105">
        <v>0</v>
      </c>
      <c r="E190" s="105">
        <v>0</v>
      </c>
      <c r="F190" s="105">
        <v>2</v>
      </c>
    </row>
    <row r="191" spans="1:6" x14ac:dyDescent="0.25">
      <c r="A191" s="105">
        <f t="shared" si="2"/>
        <v>1120140</v>
      </c>
      <c r="B191" s="105" t="s">
        <v>301</v>
      </c>
      <c r="C191" s="105" t="s">
        <v>302</v>
      </c>
      <c r="D191" s="105">
        <v>6784</v>
      </c>
      <c r="E191" s="105">
        <v>4070.4</v>
      </c>
      <c r="F191" s="105">
        <v>10</v>
      </c>
    </row>
    <row r="192" spans="1:6" x14ac:dyDescent="0.25">
      <c r="A192" s="105">
        <f t="shared" si="2"/>
        <v>1120141</v>
      </c>
      <c r="B192" s="105" t="s">
        <v>9181</v>
      </c>
      <c r="C192" s="105" t="s">
        <v>9182</v>
      </c>
      <c r="D192" s="105">
        <v>7102</v>
      </c>
      <c r="E192" s="105">
        <v>4261.2</v>
      </c>
      <c r="F192" s="105">
        <v>0</v>
      </c>
    </row>
    <row r="193" spans="1:6" x14ac:dyDescent="0.25">
      <c r="A193" s="105">
        <f t="shared" si="2"/>
        <v>1120142</v>
      </c>
      <c r="B193" s="105" t="s">
        <v>9183</v>
      </c>
      <c r="C193" s="105" t="s">
        <v>9184</v>
      </c>
      <c r="D193" s="105">
        <v>7314</v>
      </c>
      <c r="E193" s="105">
        <v>4388.3999999999996</v>
      </c>
      <c r="F193" s="105">
        <v>0</v>
      </c>
    </row>
    <row r="194" spans="1:6" x14ac:dyDescent="0.25">
      <c r="A194" s="105">
        <f t="shared" si="2"/>
        <v>1120143</v>
      </c>
      <c r="B194" s="105" t="s">
        <v>9185</v>
      </c>
      <c r="C194" s="105" t="s">
        <v>9186</v>
      </c>
      <c r="D194" s="105">
        <v>7526</v>
      </c>
      <c r="E194" s="105">
        <v>4515.6000000000004</v>
      </c>
      <c r="F194" s="105">
        <v>0</v>
      </c>
    </row>
    <row r="195" spans="1:6" x14ac:dyDescent="0.25">
      <c r="A195" s="105">
        <f t="shared" ref="A195:A258" si="3">IF(B195&lt;&gt;"",IFERROR(B195*1,""),"")</f>
        <v>1120144</v>
      </c>
      <c r="B195" s="105" t="s">
        <v>9187</v>
      </c>
      <c r="C195" s="105" t="s">
        <v>9188</v>
      </c>
      <c r="D195" s="105">
        <v>7738</v>
      </c>
      <c r="E195" s="105">
        <v>4642.8</v>
      </c>
      <c r="F195" s="105">
        <v>0</v>
      </c>
    </row>
    <row r="196" spans="1:6" x14ac:dyDescent="0.25">
      <c r="A196" s="105" t="str">
        <f t="shared" si="3"/>
        <v/>
      </c>
      <c r="B196" s="105" t="s">
        <v>303</v>
      </c>
      <c r="C196" s="105" t="s">
        <v>8</v>
      </c>
      <c r="D196" s="105">
        <v>0</v>
      </c>
      <c r="E196" s="105">
        <v>0</v>
      </c>
      <c r="F196" s="105">
        <v>0</v>
      </c>
    </row>
    <row r="197" spans="1:6" x14ac:dyDescent="0.25">
      <c r="A197" s="105">
        <f t="shared" si="3"/>
        <v>1120147</v>
      </c>
      <c r="B197" s="105" t="s">
        <v>304</v>
      </c>
      <c r="C197" s="105" t="s">
        <v>305</v>
      </c>
      <c r="D197" s="105">
        <v>0</v>
      </c>
      <c r="E197" s="105">
        <v>0</v>
      </c>
      <c r="F197" s="105">
        <v>0</v>
      </c>
    </row>
    <row r="198" spans="1:6" x14ac:dyDescent="0.25">
      <c r="A198" s="105" t="str">
        <f t="shared" si="3"/>
        <v/>
      </c>
      <c r="B198" s="105" t="s">
        <v>306</v>
      </c>
      <c r="C198" s="105" t="s">
        <v>8</v>
      </c>
      <c r="D198" s="105">
        <v>0</v>
      </c>
      <c r="E198" s="105">
        <v>0</v>
      </c>
      <c r="F198" s="105">
        <v>0</v>
      </c>
    </row>
    <row r="199" spans="1:6" x14ac:dyDescent="0.25">
      <c r="A199" s="105">
        <f t="shared" si="3"/>
        <v>1120148</v>
      </c>
      <c r="B199" s="105" t="s">
        <v>307</v>
      </c>
      <c r="C199" s="105" t="s">
        <v>308</v>
      </c>
      <c r="D199" s="105">
        <v>0</v>
      </c>
      <c r="E199" s="105">
        <v>0</v>
      </c>
      <c r="F199" s="105">
        <v>0</v>
      </c>
    </row>
    <row r="200" spans="1:6" x14ac:dyDescent="0.25">
      <c r="A200" s="105" t="str">
        <f t="shared" si="3"/>
        <v/>
      </c>
      <c r="B200" s="105" t="s">
        <v>309</v>
      </c>
      <c r="C200" s="105" t="s">
        <v>8</v>
      </c>
      <c r="D200" s="105">
        <v>0</v>
      </c>
      <c r="E200" s="105">
        <v>0</v>
      </c>
      <c r="F200" s="105">
        <v>0</v>
      </c>
    </row>
    <row r="201" spans="1:6" x14ac:dyDescent="0.25">
      <c r="A201" s="105">
        <f t="shared" si="3"/>
        <v>1120149</v>
      </c>
      <c r="B201" s="105" t="s">
        <v>310</v>
      </c>
      <c r="C201" s="105" t="s">
        <v>311</v>
      </c>
      <c r="D201" s="105">
        <v>0</v>
      </c>
      <c r="E201" s="105">
        <v>0</v>
      </c>
      <c r="F201" s="105">
        <v>0</v>
      </c>
    </row>
    <row r="202" spans="1:6" x14ac:dyDescent="0.25">
      <c r="A202" s="105">
        <f t="shared" si="3"/>
        <v>1120150</v>
      </c>
      <c r="B202" s="105" t="s">
        <v>312</v>
      </c>
      <c r="C202" s="105" t="s">
        <v>313</v>
      </c>
      <c r="D202" s="105">
        <v>6996</v>
      </c>
      <c r="E202" s="105">
        <v>4197.6000000000004</v>
      </c>
      <c r="F202" s="105">
        <v>0</v>
      </c>
    </row>
    <row r="203" spans="1:6" x14ac:dyDescent="0.25">
      <c r="A203" s="105">
        <f t="shared" si="3"/>
        <v>1120151</v>
      </c>
      <c r="B203" s="105" t="s">
        <v>9189</v>
      </c>
      <c r="C203" s="105" t="s">
        <v>9190</v>
      </c>
      <c r="D203" s="105">
        <v>0</v>
      </c>
      <c r="E203" s="105">
        <v>0</v>
      </c>
      <c r="F203" s="105">
        <v>27</v>
      </c>
    </row>
    <row r="204" spans="1:6" x14ac:dyDescent="0.25">
      <c r="A204" s="105">
        <f t="shared" si="3"/>
        <v>1120152</v>
      </c>
      <c r="B204" s="105" t="s">
        <v>9191</v>
      </c>
      <c r="C204" s="105" t="s">
        <v>9192</v>
      </c>
      <c r="D204" s="105">
        <v>0</v>
      </c>
      <c r="E204" s="105">
        <v>0</v>
      </c>
      <c r="F204" s="105">
        <v>2</v>
      </c>
    </row>
    <row r="205" spans="1:6" x14ac:dyDescent="0.25">
      <c r="A205" s="105">
        <f t="shared" si="3"/>
        <v>1120153</v>
      </c>
      <c r="B205" s="105" t="s">
        <v>9193</v>
      </c>
      <c r="C205" s="105" t="s">
        <v>9194</v>
      </c>
      <c r="D205" s="105">
        <v>0</v>
      </c>
      <c r="E205" s="105">
        <v>0</v>
      </c>
      <c r="F205" s="105">
        <v>3</v>
      </c>
    </row>
    <row r="206" spans="1:6" x14ac:dyDescent="0.25">
      <c r="A206" s="105">
        <f t="shared" si="3"/>
        <v>1120159</v>
      </c>
      <c r="B206" s="105" t="s">
        <v>314</v>
      </c>
      <c r="C206" s="105" t="s">
        <v>315</v>
      </c>
      <c r="D206" s="105">
        <v>0</v>
      </c>
      <c r="E206" s="105">
        <v>0</v>
      </c>
      <c r="F206" s="105">
        <v>0</v>
      </c>
    </row>
    <row r="207" spans="1:6" x14ac:dyDescent="0.25">
      <c r="A207" s="105">
        <f t="shared" si="3"/>
        <v>112016</v>
      </c>
      <c r="B207" s="105" t="s">
        <v>316</v>
      </c>
      <c r="C207" s="105" t="s">
        <v>8</v>
      </c>
      <c r="D207" s="105">
        <v>0</v>
      </c>
      <c r="E207" s="105">
        <v>0</v>
      </c>
      <c r="F207" s="105">
        <v>0</v>
      </c>
    </row>
    <row r="208" spans="1:6" x14ac:dyDescent="0.25">
      <c r="A208" s="105">
        <f t="shared" si="3"/>
        <v>1120160</v>
      </c>
      <c r="B208" s="105" t="s">
        <v>317</v>
      </c>
      <c r="C208" s="105" t="s">
        <v>318</v>
      </c>
      <c r="D208" s="105">
        <v>7208</v>
      </c>
      <c r="E208" s="105">
        <v>4324.8</v>
      </c>
      <c r="F208" s="105">
        <v>4</v>
      </c>
    </row>
    <row r="209" spans="1:6" x14ac:dyDescent="0.25">
      <c r="A209" s="105">
        <f t="shared" si="3"/>
        <v>1120161</v>
      </c>
      <c r="B209" s="105" t="s">
        <v>319</v>
      </c>
      <c r="C209" s="105" t="s">
        <v>320</v>
      </c>
      <c r="D209" s="105">
        <v>1.25</v>
      </c>
      <c r="E209" s="105">
        <v>0.75</v>
      </c>
      <c r="F209" s="105">
        <v>0</v>
      </c>
    </row>
    <row r="210" spans="1:6" x14ac:dyDescent="0.25">
      <c r="A210" s="105">
        <f t="shared" si="3"/>
        <v>1120162</v>
      </c>
      <c r="B210" s="105" t="s">
        <v>321</v>
      </c>
      <c r="C210" s="105" t="s">
        <v>322</v>
      </c>
      <c r="D210" s="105">
        <v>1.25</v>
      </c>
      <c r="E210" s="105">
        <v>0.75</v>
      </c>
      <c r="F210" s="105">
        <v>0</v>
      </c>
    </row>
    <row r="211" spans="1:6" x14ac:dyDescent="0.25">
      <c r="A211" s="105">
        <f t="shared" si="3"/>
        <v>1120163</v>
      </c>
      <c r="B211" s="105" t="s">
        <v>323</v>
      </c>
      <c r="C211" s="105" t="s">
        <v>324</v>
      </c>
      <c r="D211" s="105">
        <v>1.25</v>
      </c>
      <c r="E211" s="105">
        <v>0.75</v>
      </c>
      <c r="F211" s="105">
        <v>0</v>
      </c>
    </row>
    <row r="212" spans="1:6" x14ac:dyDescent="0.25">
      <c r="A212" s="105">
        <f t="shared" si="3"/>
        <v>1120164</v>
      </c>
      <c r="B212" s="105" t="s">
        <v>325</v>
      </c>
      <c r="C212" s="105" t="s">
        <v>326</v>
      </c>
      <c r="D212" s="105">
        <v>1.25</v>
      </c>
      <c r="E212" s="105">
        <v>0.75</v>
      </c>
      <c r="F212" s="105">
        <v>0</v>
      </c>
    </row>
    <row r="213" spans="1:6" x14ac:dyDescent="0.25">
      <c r="A213" s="105">
        <f t="shared" si="3"/>
        <v>1120165</v>
      </c>
      <c r="B213" s="105" t="s">
        <v>327</v>
      </c>
      <c r="C213" s="105" t="s">
        <v>328</v>
      </c>
      <c r="D213" s="105">
        <v>10590</v>
      </c>
      <c r="E213" s="105">
        <v>6354</v>
      </c>
      <c r="F213" s="105">
        <v>0</v>
      </c>
    </row>
    <row r="214" spans="1:6" x14ac:dyDescent="0.25">
      <c r="A214" s="105">
        <f t="shared" si="3"/>
        <v>1120166</v>
      </c>
      <c r="B214" s="105" t="s">
        <v>329</v>
      </c>
      <c r="C214" s="105" t="s">
        <v>330</v>
      </c>
      <c r="D214" s="105">
        <v>11090</v>
      </c>
      <c r="E214" s="105">
        <v>6654</v>
      </c>
      <c r="F214" s="105">
        <v>0</v>
      </c>
    </row>
    <row r="215" spans="1:6" x14ac:dyDescent="0.25">
      <c r="A215" s="105" t="str">
        <f t="shared" si="3"/>
        <v/>
      </c>
      <c r="B215" s="105" t="s">
        <v>331</v>
      </c>
      <c r="C215" s="105" t="s">
        <v>8</v>
      </c>
      <c r="D215" s="105">
        <v>0</v>
      </c>
      <c r="E215" s="105">
        <v>0</v>
      </c>
      <c r="F215" s="105">
        <v>0</v>
      </c>
    </row>
    <row r="216" spans="1:6" x14ac:dyDescent="0.25">
      <c r="A216" s="105">
        <f t="shared" si="3"/>
        <v>1120167</v>
      </c>
      <c r="B216" s="105" t="s">
        <v>332</v>
      </c>
      <c r="C216" s="105" t="s">
        <v>333</v>
      </c>
      <c r="D216" s="105">
        <v>11590</v>
      </c>
      <c r="E216" s="105">
        <v>6954</v>
      </c>
      <c r="F216" s="105">
        <v>0</v>
      </c>
    </row>
    <row r="217" spans="1:6" x14ac:dyDescent="0.25">
      <c r="A217" s="105">
        <f t="shared" si="3"/>
        <v>1120168</v>
      </c>
      <c r="B217" s="105" t="s">
        <v>334</v>
      </c>
      <c r="C217" s="105" t="s">
        <v>335</v>
      </c>
      <c r="D217" s="105">
        <v>12090</v>
      </c>
      <c r="E217" s="105">
        <v>7254</v>
      </c>
      <c r="F217" s="105">
        <v>0</v>
      </c>
    </row>
    <row r="218" spans="1:6" x14ac:dyDescent="0.25">
      <c r="A218" s="105">
        <f t="shared" si="3"/>
        <v>1120169</v>
      </c>
      <c r="B218" s="105" t="s">
        <v>336</v>
      </c>
      <c r="C218" s="105" t="s">
        <v>337</v>
      </c>
      <c r="D218" s="105">
        <v>0</v>
      </c>
      <c r="E218" s="105">
        <v>0</v>
      </c>
      <c r="F218" s="105">
        <v>0</v>
      </c>
    </row>
    <row r="219" spans="1:6" x14ac:dyDescent="0.25">
      <c r="A219" s="105">
        <f t="shared" si="3"/>
        <v>1120170</v>
      </c>
      <c r="B219" s="105" t="s">
        <v>338</v>
      </c>
      <c r="C219" s="105" t="s">
        <v>339</v>
      </c>
      <c r="D219" s="105">
        <v>6784</v>
      </c>
      <c r="E219" s="105">
        <v>4070.4</v>
      </c>
      <c r="F219" s="105">
        <v>80</v>
      </c>
    </row>
    <row r="220" spans="1:6" x14ac:dyDescent="0.25">
      <c r="A220" s="105">
        <f t="shared" si="3"/>
        <v>1120171</v>
      </c>
      <c r="B220" s="105" t="s">
        <v>340</v>
      </c>
      <c r="C220" s="105" t="s">
        <v>341</v>
      </c>
      <c r="D220" s="105">
        <v>1.25</v>
      </c>
      <c r="E220" s="105">
        <v>0.75</v>
      </c>
      <c r="F220" s="105">
        <v>0</v>
      </c>
    </row>
    <row r="221" spans="1:6" x14ac:dyDescent="0.25">
      <c r="A221" s="105">
        <f t="shared" si="3"/>
        <v>1120172</v>
      </c>
      <c r="B221" s="105" t="s">
        <v>342</v>
      </c>
      <c r="C221" s="105" t="s">
        <v>343</v>
      </c>
      <c r="D221" s="105">
        <v>1.25</v>
      </c>
      <c r="E221" s="105">
        <v>0.75</v>
      </c>
      <c r="F221" s="105">
        <v>0</v>
      </c>
    </row>
    <row r="222" spans="1:6" x14ac:dyDescent="0.25">
      <c r="A222" s="105">
        <f t="shared" si="3"/>
        <v>1120173</v>
      </c>
      <c r="B222" s="105" t="s">
        <v>344</v>
      </c>
      <c r="C222" s="105" t="s">
        <v>345</v>
      </c>
      <c r="D222" s="105">
        <v>10176</v>
      </c>
      <c r="E222" s="105">
        <v>6105.6</v>
      </c>
      <c r="F222" s="105">
        <v>7</v>
      </c>
    </row>
    <row r="223" spans="1:6" x14ac:dyDescent="0.25">
      <c r="A223" s="105">
        <f t="shared" si="3"/>
        <v>1120174</v>
      </c>
      <c r="B223" s="105" t="s">
        <v>346</v>
      </c>
      <c r="C223" s="105" t="s">
        <v>347</v>
      </c>
      <c r="D223" s="105">
        <v>10388</v>
      </c>
      <c r="E223" s="105">
        <v>6232.8</v>
      </c>
      <c r="F223" s="105">
        <v>28</v>
      </c>
    </row>
    <row r="224" spans="1:6" x14ac:dyDescent="0.25">
      <c r="A224" s="105">
        <f t="shared" si="3"/>
        <v>1120175</v>
      </c>
      <c r="B224" s="105" t="s">
        <v>348</v>
      </c>
      <c r="C224" s="105" t="s">
        <v>349</v>
      </c>
      <c r="D224" s="105">
        <v>7420</v>
      </c>
      <c r="E224" s="105">
        <v>4452</v>
      </c>
      <c r="F224" s="105">
        <v>18</v>
      </c>
    </row>
    <row r="225" spans="1:6" x14ac:dyDescent="0.25">
      <c r="A225" s="105">
        <f t="shared" si="3"/>
        <v>1120176</v>
      </c>
      <c r="B225" s="105" t="s">
        <v>350</v>
      </c>
      <c r="C225" s="105" t="s">
        <v>351</v>
      </c>
      <c r="D225" s="105">
        <v>10600</v>
      </c>
      <c r="E225" s="105">
        <v>6360</v>
      </c>
      <c r="F225" s="105">
        <v>3</v>
      </c>
    </row>
    <row r="226" spans="1:6" x14ac:dyDescent="0.25">
      <c r="A226" s="105" t="str">
        <f t="shared" si="3"/>
        <v/>
      </c>
      <c r="B226" s="105" t="s">
        <v>352</v>
      </c>
      <c r="C226" s="105" t="s">
        <v>8</v>
      </c>
      <c r="D226" s="105">
        <v>0</v>
      </c>
      <c r="E226" s="105">
        <v>0</v>
      </c>
      <c r="F226" s="105">
        <v>0</v>
      </c>
    </row>
    <row r="227" spans="1:6" x14ac:dyDescent="0.25">
      <c r="A227" s="105">
        <f t="shared" si="3"/>
        <v>1120177</v>
      </c>
      <c r="B227" s="105" t="s">
        <v>353</v>
      </c>
      <c r="C227" s="105" t="s">
        <v>354</v>
      </c>
      <c r="D227" s="105">
        <v>10812</v>
      </c>
      <c r="E227" s="105">
        <v>6487.2</v>
      </c>
      <c r="F227" s="105">
        <v>0</v>
      </c>
    </row>
    <row r="228" spans="1:6" x14ac:dyDescent="0.25">
      <c r="A228" s="105">
        <f t="shared" si="3"/>
        <v>1120180</v>
      </c>
      <c r="B228" s="105" t="s">
        <v>355</v>
      </c>
      <c r="C228" s="105" t="s">
        <v>356</v>
      </c>
      <c r="D228" s="105">
        <v>6996</v>
      </c>
      <c r="E228" s="105">
        <v>4197.6000000000004</v>
      </c>
      <c r="F228" s="105">
        <v>57</v>
      </c>
    </row>
    <row r="229" spans="1:6" x14ac:dyDescent="0.25">
      <c r="A229" s="105" t="str">
        <f t="shared" si="3"/>
        <v/>
      </c>
      <c r="B229" s="105" t="s">
        <v>357</v>
      </c>
      <c r="C229" s="105" t="s">
        <v>8</v>
      </c>
      <c r="D229" s="105">
        <v>0</v>
      </c>
      <c r="E229" s="105">
        <v>0</v>
      </c>
      <c r="F229" s="105">
        <v>0</v>
      </c>
    </row>
    <row r="230" spans="1:6" x14ac:dyDescent="0.25">
      <c r="A230" s="105">
        <f t="shared" si="3"/>
        <v>1120182</v>
      </c>
      <c r="B230" s="105" t="s">
        <v>358</v>
      </c>
      <c r="C230" s="105" t="s">
        <v>359</v>
      </c>
      <c r="D230" s="105">
        <v>6254</v>
      </c>
      <c r="E230" s="105">
        <v>3752.4</v>
      </c>
      <c r="F230" s="105">
        <v>38</v>
      </c>
    </row>
    <row r="231" spans="1:6" x14ac:dyDescent="0.25">
      <c r="A231" s="105" t="str">
        <f t="shared" si="3"/>
        <v/>
      </c>
      <c r="B231" s="105" t="s">
        <v>360</v>
      </c>
      <c r="C231" s="105" t="s">
        <v>8</v>
      </c>
      <c r="D231" s="105">
        <v>0</v>
      </c>
      <c r="E231" s="105">
        <v>0</v>
      </c>
      <c r="F231" s="105">
        <v>0</v>
      </c>
    </row>
    <row r="232" spans="1:6" x14ac:dyDescent="0.25">
      <c r="A232" s="105">
        <f t="shared" si="3"/>
        <v>1120183</v>
      </c>
      <c r="B232" s="105" t="s">
        <v>361</v>
      </c>
      <c r="C232" s="105" t="s">
        <v>362</v>
      </c>
      <c r="D232" s="105">
        <v>6466</v>
      </c>
      <c r="E232" s="105">
        <v>3879.6</v>
      </c>
      <c r="F232" s="105">
        <v>14</v>
      </c>
    </row>
    <row r="233" spans="1:6" x14ac:dyDescent="0.25">
      <c r="A233" s="105" t="str">
        <f t="shared" si="3"/>
        <v/>
      </c>
      <c r="B233" s="105" t="s">
        <v>363</v>
      </c>
      <c r="C233" s="105" t="s">
        <v>8</v>
      </c>
      <c r="D233" s="105">
        <v>0</v>
      </c>
      <c r="E233" s="105">
        <v>0</v>
      </c>
      <c r="F233" s="105">
        <v>0</v>
      </c>
    </row>
    <row r="234" spans="1:6" x14ac:dyDescent="0.25">
      <c r="A234" s="105">
        <f t="shared" si="3"/>
        <v>1120184</v>
      </c>
      <c r="B234" s="105" t="s">
        <v>364</v>
      </c>
      <c r="C234" s="105" t="s">
        <v>365</v>
      </c>
      <c r="D234" s="105">
        <v>6678</v>
      </c>
      <c r="E234" s="105">
        <v>4006.8</v>
      </c>
      <c r="F234" s="105">
        <v>0</v>
      </c>
    </row>
    <row r="235" spans="1:6" x14ac:dyDescent="0.25">
      <c r="A235" s="105" t="str">
        <f t="shared" si="3"/>
        <v/>
      </c>
      <c r="B235" s="105" t="s">
        <v>366</v>
      </c>
      <c r="C235" s="105" t="s">
        <v>8</v>
      </c>
      <c r="D235" s="105">
        <v>0</v>
      </c>
      <c r="E235" s="105">
        <v>0</v>
      </c>
      <c r="F235" s="105">
        <v>0</v>
      </c>
    </row>
    <row r="236" spans="1:6" x14ac:dyDescent="0.25">
      <c r="A236" s="105">
        <f t="shared" si="3"/>
        <v>1120185</v>
      </c>
      <c r="B236" s="105" t="s">
        <v>367</v>
      </c>
      <c r="C236" s="105" t="s">
        <v>368</v>
      </c>
      <c r="D236" s="105">
        <v>6890</v>
      </c>
      <c r="E236" s="105">
        <v>4134</v>
      </c>
      <c r="F236" s="105">
        <v>0</v>
      </c>
    </row>
    <row r="237" spans="1:6" x14ac:dyDescent="0.25">
      <c r="A237" s="105">
        <f t="shared" si="3"/>
        <v>1120188</v>
      </c>
      <c r="B237" s="105" t="s">
        <v>369</v>
      </c>
      <c r="C237" s="105" t="s">
        <v>370</v>
      </c>
      <c r="D237" s="105">
        <v>10176</v>
      </c>
      <c r="E237" s="105">
        <v>6105.6</v>
      </c>
      <c r="F237" s="105">
        <v>1</v>
      </c>
    </row>
    <row r="238" spans="1:6" x14ac:dyDescent="0.25">
      <c r="A238" s="105">
        <f t="shared" si="3"/>
        <v>1120190</v>
      </c>
      <c r="B238" s="105" t="s">
        <v>371</v>
      </c>
      <c r="C238" s="105" t="s">
        <v>372</v>
      </c>
      <c r="D238" s="105">
        <v>7208</v>
      </c>
      <c r="E238" s="105">
        <v>4324.8</v>
      </c>
      <c r="F238" s="105">
        <v>19</v>
      </c>
    </row>
    <row r="239" spans="1:6" x14ac:dyDescent="0.25">
      <c r="A239" s="105">
        <f t="shared" si="3"/>
        <v>1120191</v>
      </c>
      <c r="B239" s="105" t="s">
        <v>373</v>
      </c>
      <c r="C239" s="105" t="s">
        <v>374</v>
      </c>
      <c r="D239" s="105">
        <v>12900</v>
      </c>
      <c r="E239" s="105">
        <v>7740</v>
      </c>
      <c r="F239" s="105">
        <v>14</v>
      </c>
    </row>
    <row r="240" spans="1:6" x14ac:dyDescent="0.25">
      <c r="A240" s="105">
        <f t="shared" si="3"/>
        <v>1120192</v>
      </c>
      <c r="B240" s="105" t="s">
        <v>375</v>
      </c>
      <c r="C240" s="105" t="s">
        <v>376</v>
      </c>
      <c r="D240" s="105">
        <v>13400</v>
      </c>
      <c r="E240" s="105">
        <v>8040</v>
      </c>
      <c r="F240" s="105">
        <v>10</v>
      </c>
    </row>
    <row r="241" spans="1:6" x14ac:dyDescent="0.25">
      <c r="A241" s="105">
        <f t="shared" si="3"/>
        <v>1120193</v>
      </c>
      <c r="B241" s="105" t="s">
        <v>377</v>
      </c>
      <c r="C241" s="105" t="s">
        <v>378</v>
      </c>
      <c r="D241" s="105">
        <v>13900</v>
      </c>
      <c r="E241" s="105">
        <v>8340</v>
      </c>
      <c r="F241" s="105">
        <v>0</v>
      </c>
    </row>
    <row r="242" spans="1:6" x14ac:dyDescent="0.25">
      <c r="A242" s="105" t="str">
        <f t="shared" si="3"/>
        <v/>
      </c>
      <c r="B242" s="105" t="s">
        <v>379</v>
      </c>
      <c r="C242" s="105" t="s">
        <v>8</v>
      </c>
      <c r="D242" s="105">
        <v>0</v>
      </c>
      <c r="E242" s="105">
        <v>0</v>
      </c>
      <c r="F242" s="105">
        <v>0</v>
      </c>
    </row>
    <row r="243" spans="1:6" x14ac:dyDescent="0.25">
      <c r="A243" s="105">
        <f t="shared" si="3"/>
        <v>1120194</v>
      </c>
      <c r="B243" s="105" t="s">
        <v>380</v>
      </c>
      <c r="C243" s="105" t="s">
        <v>381</v>
      </c>
      <c r="D243" s="105">
        <v>14400</v>
      </c>
      <c r="E243" s="105">
        <v>8640</v>
      </c>
      <c r="F243" s="105">
        <v>0</v>
      </c>
    </row>
    <row r="244" spans="1:6" x14ac:dyDescent="0.25">
      <c r="A244" s="105">
        <f t="shared" si="3"/>
        <v>1120195</v>
      </c>
      <c r="B244" s="105" t="s">
        <v>382</v>
      </c>
      <c r="C244" s="105" t="s">
        <v>383</v>
      </c>
      <c r="D244" s="105">
        <v>7420</v>
      </c>
      <c r="E244" s="105">
        <v>4452</v>
      </c>
      <c r="F244" s="105">
        <v>3</v>
      </c>
    </row>
    <row r="245" spans="1:6" x14ac:dyDescent="0.25">
      <c r="A245" s="105">
        <f t="shared" si="3"/>
        <v>1120196</v>
      </c>
      <c r="B245" s="105" t="s">
        <v>384</v>
      </c>
      <c r="C245" s="105" t="s">
        <v>385</v>
      </c>
      <c r="D245" s="105">
        <v>9752</v>
      </c>
      <c r="E245" s="105">
        <v>5851.2</v>
      </c>
      <c r="F245" s="105">
        <v>30</v>
      </c>
    </row>
    <row r="246" spans="1:6" x14ac:dyDescent="0.25">
      <c r="A246" s="105">
        <f t="shared" si="3"/>
        <v>1120197</v>
      </c>
      <c r="B246" s="105" t="s">
        <v>386</v>
      </c>
      <c r="C246" s="105" t="s">
        <v>387</v>
      </c>
      <c r="D246" s="105">
        <v>9964</v>
      </c>
      <c r="E246" s="105">
        <v>5978.4</v>
      </c>
      <c r="F246" s="105">
        <v>23</v>
      </c>
    </row>
    <row r="247" spans="1:6" x14ac:dyDescent="0.25">
      <c r="A247" s="105" t="str">
        <f t="shared" si="3"/>
        <v/>
      </c>
      <c r="B247" s="105" t="s">
        <v>388</v>
      </c>
      <c r="C247" s="105" t="s">
        <v>8</v>
      </c>
      <c r="D247" s="105">
        <v>0</v>
      </c>
      <c r="E247" s="105">
        <v>0</v>
      </c>
      <c r="F247" s="105">
        <v>0</v>
      </c>
    </row>
    <row r="248" spans="1:6" x14ac:dyDescent="0.25">
      <c r="A248" s="105">
        <f t="shared" si="3"/>
        <v>1120199</v>
      </c>
      <c r="B248" s="105" t="s">
        <v>389</v>
      </c>
      <c r="C248" s="105" t="s">
        <v>390</v>
      </c>
      <c r="D248" s="105">
        <v>0</v>
      </c>
      <c r="E248" s="105">
        <v>0</v>
      </c>
      <c r="F248" s="105">
        <v>0</v>
      </c>
    </row>
    <row r="249" spans="1:6" x14ac:dyDescent="0.25">
      <c r="A249" s="105" t="str">
        <f t="shared" si="3"/>
        <v/>
      </c>
      <c r="B249" s="105" t="s">
        <v>391</v>
      </c>
      <c r="C249" s="105" t="s">
        <v>8</v>
      </c>
      <c r="D249" s="105">
        <v>0</v>
      </c>
      <c r="E249" s="105">
        <v>0</v>
      </c>
      <c r="F249" s="105">
        <v>0</v>
      </c>
    </row>
    <row r="250" spans="1:6" x14ac:dyDescent="0.25">
      <c r="A250" s="105">
        <f t="shared" si="3"/>
        <v>1120200</v>
      </c>
      <c r="B250" s="105" t="s">
        <v>392</v>
      </c>
      <c r="C250" s="105" t="s">
        <v>393</v>
      </c>
      <c r="D250" s="105">
        <v>10388</v>
      </c>
      <c r="E250" s="105">
        <v>6232.8</v>
      </c>
      <c r="F250" s="105">
        <v>0</v>
      </c>
    </row>
    <row r="251" spans="1:6" x14ac:dyDescent="0.25">
      <c r="A251" s="105">
        <f t="shared" si="3"/>
        <v>1120201</v>
      </c>
      <c r="B251" s="105" t="s">
        <v>394</v>
      </c>
      <c r="C251" s="105" t="s">
        <v>395</v>
      </c>
      <c r="D251" s="105">
        <v>9752</v>
      </c>
      <c r="E251" s="105">
        <v>5851.2</v>
      </c>
      <c r="F251" s="105">
        <v>1</v>
      </c>
    </row>
    <row r="252" spans="1:6" x14ac:dyDescent="0.25">
      <c r="A252" s="105">
        <f t="shared" si="3"/>
        <v>1120202</v>
      </c>
      <c r="B252" s="105" t="s">
        <v>396</v>
      </c>
      <c r="C252" s="105" t="s">
        <v>397</v>
      </c>
      <c r="D252" s="105">
        <v>9964</v>
      </c>
      <c r="E252" s="105">
        <v>5978.4</v>
      </c>
      <c r="F252" s="105">
        <v>16</v>
      </c>
    </row>
    <row r="253" spans="1:6" x14ac:dyDescent="0.25">
      <c r="A253" s="105">
        <f t="shared" si="3"/>
        <v>1120203</v>
      </c>
      <c r="B253" s="105" t="s">
        <v>398</v>
      </c>
      <c r="C253" s="105" t="s">
        <v>399</v>
      </c>
      <c r="D253" s="105">
        <v>10176</v>
      </c>
      <c r="E253" s="105">
        <v>6105.6</v>
      </c>
      <c r="F253" s="105">
        <v>0</v>
      </c>
    </row>
    <row r="254" spans="1:6" x14ac:dyDescent="0.25">
      <c r="A254" s="105" t="str">
        <f t="shared" si="3"/>
        <v/>
      </c>
      <c r="B254" s="105" t="s">
        <v>400</v>
      </c>
      <c r="C254" s="105" t="s">
        <v>8</v>
      </c>
      <c r="D254" s="105">
        <v>0</v>
      </c>
      <c r="E254" s="105">
        <v>0</v>
      </c>
      <c r="F254" s="105">
        <v>0</v>
      </c>
    </row>
    <row r="255" spans="1:6" x14ac:dyDescent="0.25">
      <c r="A255" s="105">
        <f t="shared" si="3"/>
        <v>1120204</v>
      </c>
      <c r="B255" s="105" t="s">
        <v>401</v>
      </c>
      <c r="C255" s="105" t="s">
        <v>402</v>
      </c>
      <c r="D255" s="105">
        <v>10388</v>
      </c>
      <c r="E255" s="105">
        <v>6232.8</v>
      </c>
      <c r="F255" s="105">
        <v>0</v>
      </c>
    </row>
    <row r="256" spans="1:6" x14ac:dyDescent="0.25">
      <c r="A256" s="105">
        <f t="shared" si="3"/>
        <v>1120206</v>
      </c>
      <c r="B256" s="105" t="s">
        <v>403</v>
      </c>
      <c r="C256" s="105" t="s">
        <v>404</v>
      </c>
      <c r="D256" s="105">
        <v>7102</v>
      </c>
      <c r="E256" s="105">
        <v>4261.2</v>
      </c>
      <c r="F256" s="105">
        <v>75</v>
      </c>
    </row>
    <row r="257" spans="1:6" x14ac:dyDescent="0.25">
      <c r="A257" s="105">
        <f t="shared" si="3"/>
        <v>1120207</v>
      </c>
      <c r="B257" s="105" t="s">
        <v>405</v>
      </c>
      <c r="C257" s="105" t="s">
        <v>406</v>
      </c>
      <c r="D257" s="105">
        <v>7314</v>
      </c>
      <c r="E257" s="105">
        <v>4388.3999999999996</v>
      </c>
      <c r="F257" s="105">
        <v>30</v>
      </c>
    </row>
    <row r="258" spans="1:6" x14ac:dyDescent="0.25">
      <c r="A258" s="105">
        <f t="shared" si="3"/>
        <v>1120208</v>
      </c>
      <c r="B258" s="105" t="s">
        <v>407</v>
      </c>
      <c r="C258" s="105" t="s">
        <v>408</v>
      </c>
      <c r="D258" s="105">
        <v>7526</v>
      </c>
      <c r="E258" s="105">
        <v>4515.6000000000004</v>
      </c>
      <c r="F258" s="105">
        <v>18</v>
      </c>
    </row>
    <row r="259" spans="1:6" x14ac:dyDescent="0.25">
      <c r="A259" s="105">
        <f t="shared" ref="A259:A322" si="4">IF(B259&lt;&gt;"",IFERROR(B259*1,""),"")</f>
        <v>1120209</v>
      </c>
      <c r="B259" s="105" t="s">
        <v>409</v>
      </c>
      <c r="C259" s="105" t="s">
        <v>410</v>
      </c>
      <c r="D259" s="105">
        <v>7738</v>
      </c>
      <c r="E259" s="105">
        <v>4642.8</v>
      </c>
      <c r="F259" s="105">
        <v>2</v>
      </c>
    </row>
    <row r="260" spans="1:6" x14ac:dyDescent="0.25">
      <c r="A260" s="105" t="str">
        <f t="shared" si="4"/>
        <v/>
      </c>
      <c r="B260" s="105" t="s">
        <v>411</v>
      </c>
      <c r="C260" s="105" t="s">
        <v>8</v>
      </c>
      <c r="D260" s="105">
        <v>0</v>
      </c>
      <c r="E260" s="105">
        <v>0</v>
      </c>
      <c r="F260" s="105">
        <v>0</v>
      </c>
    </row>
    <row r="261" spans="1:6" x14ac:dyDescent="0.25">
      <c r="A261" s="105">
        <f t="shared" si="4"/>
        <v>1120210</v>
      </c>
      <c r="B261" s="105" t="s">
        <v>412</v>
      </c>
      <c r="C261" s="105" t="s">
        <v>413</v>
      </c>
      <c r="D261" s="105">
        <v>0</v>
      </c>
      <c r="E261" s="105">
        <v>0</v>
      </c>
      <c r="F261" s="105">
        <v>0</v>
      </c>
    </row>
    <row r="262" spans="1:6" x14ac:dyDescent="0.25">
      <c r="A262" s="105" t="str">
        <f t="shared" si="4"/>
        <v/>
      </c>
      <c r="B262" s="105" t="s">
        <v>414</v>
      </c>
      <c r="C262" s="105" t="s">
        <v>8</v>
      </c>
      <c r="D262" s="105">
        <v>0</v>
      </c>
      <c r="E262" s="105">
        <v>0</v>
      </c>
      <c r="F262" s="105">
        <v>0</v>
      </c>
    </row>
    <row r="263" spans="1:6" x14ac:dyDescent="0.25">
      <c r="A263" s="105">
        <f t="shared" si="4"/>
        <v>1120211</v>
      </c>
      <c r="B263" s="105" t="s">
        <v>415</v>
      </c>
      <c r="C263" s="105" t="s">
        <v>416</v>
      </c>
      <c r="D263" s="105">
        <v>0</v>
      </c>
      <c r="E263" s="105">
        <v>0</v>
      </c>
      <c r="F263" s="105">
        <v>0</v>
      </c>
    </row>
    <row r="264" spans="1:6" x14ac:dyDescent="0.25">
      <c r="A264" s="105" t="str">
        <f t="shared" si="4"/>
        <v/>
      </c>
      <c r="B264" s="105" t="s">
        <v>417</v>
      </c>
      <c r="C264" s="105" t="s">
        <v>8</v>
      </c>
      <c r="D264" s="105">
        <v>0</v>
      </c>
      <c r="E264" s="105">
        <v>0</v>
      </c>
      <c r="F264" s="105">
        <v>0</v>
      </c>
    </row>
    <row r="265" spans="1:6" x14ac:dyDescent="0.25">
      <c r="A265" s="105">
        <f t="shared" si="4"/>
        <v>1120212</v>
      </c>
      <c r="B265" s="105" t="s">
        <v>418</v>
      </c>
      <c r="C265" s="105" t="s">
        <v>419</v>
      </c>
      <c r="D265" s="105">
        <v>0</v>
      </c>
      <c r="E265" s="105">
        <v>0</v>
      </c>
      <c r="F265" s="105">
        <v>0</v>
      </c>
    </row>
    <row r="266" spans="1:6" x14ac:dyDescent="0.25">
      <c r="A266" s="105" t="str">
        <f t="shared" si="4"/>
        <v/>
      </c>
      <c r="B266" s="105" t="s">
        <v>420</v>
      </c>
      <c r="C266" s="105" t="s">
        <v>8</v>
      </c>
      <c r="D266" s="105">
        <v>0</v>
      </c>
      <c r="E266" s="105">
        <v>0</v>
      </c>
      <c r="F266" s="105">
        <v>0</v>
      </c>
    </row>
    <row r="267" spans="1:6" x14ac:dyDescent="0.25">
      <c r="A267" s="105">
        <f t="shared" si="4"/>
        <v>1120213</v>
      </c>
      <c r="B267" s="105" t="s">
        <v>421</v>
      </c>
      <c r="C267" s="105" t="s">
        <v>422</v>
      </c>
      <c r="D267" s="105">
        <v>0</v>
      </c>
      <c r="E267" s="105">
        <v>0</v>
      </c>
      <c r="F267" s="105">
        <v>0</v>
      </c>
    </row>
    <row r="268" spans="1:6" x14ac:dyDescent="0.25">
      <c r="A268" s="105">
        <f t="shared" si="4"/>
        <v>1120214</v>
      </c>
      <c r="B268" s="105" t="s">
        <v>423</v>
      </c>
      <c r="C268" s="105" t="s">
        <v>424</v>
      </c>
      <c r="D268" s="105">
        <v>10812</v>
      </c>
      <c r="E268" s="105">
        <v>6487.2</v>
      </c>
      <c r="F268" s="105">
        <v>0</v>
      </c>
    </row>
    <row r="269" spans="1:6" x14ac:dyDescent="0.25">
      <c r="A269" s="105" t="str">
        <f t="shared" si="4"/>
        <v/>
      </c>
      <c r="B269" s="105" t="s">
        <v>425</v>
      </c>
      <c r="C269" s="105" t="s">
        <v>8</v>
      </c>
      <c r="D269" s="105">
        <v>0</v>
      </c>
      <c r="E269" s="105">
        <v>0</v>
      </c>
      <c r="F269" s="105">
        <v>0</v>
      </c>
    </row>
    <row r="270" spans="1:6" x14ac:dyDescent="0.25">
      <c r="A270" s="105">
        <f t="shared" si="4"/>
        <v>1120215</v>
      </c>
      <c r="B270" s="105" t="s">
        <v>426</v>
      </c>
      <c r="C270" s="105" t="s">
        <v>427</v>
      </c>
      <c r="D270" s="105">
        <v>12084</v>
      </c>
      <c r="E270" s="105">
        <v>7250.4</v>
      </c>
      <c r="F270" s="105">
        <v>0</v>
      </c>
    </row>
    <row r="271" spans="1:6" x14ac:dyDescent="0.25">
      <c r="A271" s="105" t="str">
        <f t="shared" si="4"/>
        <v/>
      </c>
      <c r="B271" s="105" t="s">
        <v>428</v>
      </c>
      <c r="C271" s="105" t="s">
        <v>8</v>
      </c>
      <c r="D271" s="105">
        <v>0</v>
      </c>
      <c r="E271" s="105">
        <v>0</v>
      </c>
      <c r="F271" s="105">
        <v>0</v>
      </c>
    </row>
    <row r="272" spans="1:6" x14ac:dyDescent="0.25">
      <c r="A272" s="105">
        <f t="shared" si="4"/>
        <v>1120216</v>
      </c>
      <c r="B272" s="105" t="s">
        <v>429</v>
      </c>
      <c r="C272" s="105" t="s">
        <v>430</v>
      </c>
      <c r="D272" s="105">
        <v>12296</v>
      </c>
      <c r="E272" s="105">
        <v>7377.6</v>
      </c>
      <c r="F272" s="105">
        <v>0</v>
      </c>
    </row>
    <row r="273" spans="1:6" x14ac:dyDescent="0.25">
      <c r="A273" s="105" t="str">
        <f t="shared" si="4"/>
        <v/>
      </c>
      <c r="B273" s="105" t="s">
        <v>431</v>
      </c>
      <c r="C273" s="105" t="s">
        <v>8</v>
      </c>
      <c r="D273" s="105">
        <v>0</v>
      </c>
      <c r="E273" s="105">
        <v>0</v>
      </c>
      <c r="F273" s="105">
        <v>0</v>
      </c>
    </row>
    <row r="274" spans="1:6" x14ac:dyDescent="0.25">
      <c r="A274" s="105">
        <f t="shared" si="4"/>
        <v>1120217</v>
      </c>
      <c r="B274" s="105" t="s">
        <v>432</v>
      </c>
      <c r="C274" s="105" t="s">
        <v>433</v>
      </c>
      <c r="D274" s="105">
        <v>12508</v>
      </c>
      <c r="E274" s="105">
        <v>7504.8</v>
      </c>
      <c r="F274" s="105">
        <v>0</v>
      </c>
    </row>
    <row r="275" spans="1:6" x14ac:dyDescent="0.25">
      <c r="A275" s="105">
        <f t="shared" si="4"/>
        <v>1120220</v>
      </c>
      <c r="B275" s="105" t="s">
        <v>434</v>
      </c>
      <c r="C275" s="105" t="s">
        <v>435</v>
      </c>
      <c r="D275" s="105">
        <v>0</v>
      </c>
      <c r="E275" s="105">
        <v>0</v>
      </c>
      <c r="F275" s="105">
        <v>0</v>
      </c>
    </row>
    <row r="276" spans="1:6" x14ac:dyDescent="0.25">
      <c r="A276" s="105">
        <f t="shared" si="4"/>
        <v>1120221</v>
      </c>
      <c r="B276" s="105" t="s">
        <v>436</v>
      </c>
      <c r="C276" s="105" t="s">
        <v>437</v>
      </c>
      <c r="D276" s="105">
        <v>0</v>
      </c>
      <c r="E276" s="105">
        <v>0</v>
      </c>
      <c r="F276" s="105">
        <v>0</v>
      </c>
    </row>
    <row r="277" spans="1:6" x14ac:dyDescent="0.25">
      <c r="A277" s="105">
        <f t="shared" si="4"/>
        <v>1120222</v>
      </c>
      <c r="B277" s="105" t="s">
        <v>438</v>
      </c>
      <c r="C277" s="105" t="s">
        <v>439</v>
      </c>
      <c r="D277" s="105">
        <v>0</v>
      </c>
      <c r="E277" s="105">
        <v>0</v>
      </c>
      <c r="F277" s="105">
        <v>0</v>
      </c>
    </row>
    <row r="278" spans="1:6" x14ac:dyDescent="0.25">
      <c r="A278" s="105" t="str">
        <f t="shared" si="4"/>
        <v/>
      </c>
      <c r="B278" s="105" t="s">
        <v>440</v>
      </c>
      <c r="C278" s="105" t="s">
        <v>8</v>
      </c>
      <c r="D278" s="105">
        <v>0</v>
      </c>
      <c r="E278" s="105">
        <v>0</v>
      </c>
      <c r="F278" s="105">
        <v>0</v>
      </c>
    </row>
    <row r="279" spans="1:6" x14ac:dyDescent="0.25">
      <c r="A279" s="105">
        <f t="shared" si="4"/>
        <v>1120223</v>
      </c>
      <c r="B279" s="105" t="s">
        <v>441</v>
      </c>
      <c r="C279" s="105" t="s">
        <v>442</v>
      </c>
      <c r="D279" s="105">
        <v>0</v>
      </c>
      <c r="E279" s="105">
        <v>0</v>
      </c>
      <c r="F279" s="105">
        <v>0</v>
      </c>
    </row>
    <row r="280" spans="1:6" x14ac:dyDescent="0.25">
      <c r="A280" s="105">
        <f t="shared" si="4"/>
        <v>1120224</v>
      </c>
      <c r="B280" s="105" t="s">
        <v>9195</v>
      </c>
      <c r="C280" s="105" t="s">
        <v>9196</v>
      </c>
      <c r="D280" s="105">
        <v>6254</v>
      </c>
      <c r="E280" s="105">
        <v>3752.4</v>
      </c>
      <c r="F280" s="105">
        <v>14</v>
      </c>
    </row>
    <row r="281" spans="1:6" x14ac:dyDescent="0.25">
      <c r="A281" s="105">
        <f t="shared" si="4"/>
        <v>1120225</v>
      </c>
      <c r="B281" s="105" t="s">
        <v>9197</v>
      </c>
      <c r="C281" s="105" t="s">
        <v>9198</v>
      </c>
      <c r="D281" s="105">
        <v>6466</v>
      </c>
      <c r="E281" s="105">
        <v>3879.6</v>
      </c>
      <c r="F281" s="105">
        <v>6</v>
      </c>
    </row>
    <row r="282" spans="1:6" x14ac:dyDescent="0.25">
      <c r="A282" s="105">
        <f t="shared" si="4"/>
        <v>1120230</v>
      </c>
      <c r="B282" s="105" t="s">
        <v>443</v>
      </c>
      <c r="C282" s="105" t="s">
        <v>444</v>
      </c>
      <c r="D282" s="105">
        <v>4558</v>
      </c>
      <c r="E282" s="105">
        <v>2734.8</v>
      </c>
      <c r="F282" s="105">
        <v>11</v>
      </c>
    </row>
    <row r="283" spans="1:6" x14ac:dyDescent="0.25">
      <c r="A283" s="105">
        <f t="shared" si="4"/>
        <v>1120231</v>
      </c>
      <c r="B283" s="105" t="s">
        <v>445</v>
      </c>
      <c r="C283" s="105" t="s">
        <v>446</v>
      </c>
      <c r="D283" s="105">
        <v>4717</v>
      </c>
      <c r="E283" s="105">
        <v>2830.2</v>
      </c>
      <c r="F283" s="105">
        <v>2</v>
      </c>
    </row>
    <row r="284" spans="1:6" x14ac:dyDescent="0.25">
      <c r="A284" s="105">
        <f t="shared" si="4"/>
        <v>1120232</v>
      </c>
      <c r="B284" s="105" t="s">
        <v>447</v>
      </c>
      <c r="C284" s="105" t="s">
        <v>448</v>
      </c>
      <c r="D284" s="105">
        <v>4876</v>
      </c>
      <c r="E284" s="105">
        <v>2925.6</v>
      </c>
      <c r="F284" s="105">
        <v>0</v>
      </c>
    </row>
    <row r="285" spans="1:6" x14ac:dyDescent="0.25">
      <c r="A285" s="105">
        <f t="shared" si="4"/>
        <v>1120233</v>
      </c>
      <c r="B285" s="105" t="s">
        <v>449</v>
      </c>
      <c r="C285" s="105" t="s">
        <v>450</v>
      </c>
      <c r="D285" s="105">
        <v>12900</v>
      </c>
      <c r="E285" s="105">
        <v>7740</v>
      </c>
      <c r="F285" s="105">
        <v>2</v>
      </c>
    </row>
    <row r="286" spans="1:6" x14ac:dyDescent="0.25">
      <c r="A286" s="105" t="str">
        <f t="shared" si="4"/>
        <v/>
      </c>
      <c r="B286" s="105" t="s">
        <v>451</v>
      </c>
      <c r="C286" s="105" t="s">
        <v>8</v>
      </c>
      <c r="D286" s="105">
        <v>0</v>
      </c>
      <c r="E286" s="105">
        <v>0</v>
      </c>
      <c r="F286" s="105">
        <v>0</v>
      </c>
    </row>
    <row r="287" spans="1:6" x14ac:dyDescent="0.25">
      <c r="A287" s="105">
        <f t="shared" si="4"/>
        <v>1120234</v>
      </c>
      <c r="B287" s="105" t="s">
        <v>452</v>
      </c>
      <c r="C287" s="105" t="s">
        <v>453</v>
      </c>
      <c r="D287" s="105">
        <v>13400</v>
      </c>
      <c r="E287" s="105">
        <v>8040</v>
      </c>
      <c r="F287" s="105">
        <v>0</v>
      </c>
    </row>
    <row r="288" spans="1:6" x14ac:dyDescent="0.25">
      <c r="A288" s="105" t="str">
        <f t="shared" si="4"/>
        <v/>
      </c>
      <c r="B288" s="105" t="s">
        <v>454</v>
      </c>
      <c r="C288" s="105" t="s">
        <v>8</v>
      </c>
      <c r="D288" s="105">
        <v>0</v>
      </c>
      <c r="E288" s="105">
        <v>0</v>
      </c>
      <c r="F288" s="105">
        <v>0</v>
      </c>
    </row>
    <row r="289" spans="1:6" x14ac:dyDescent="0.25">
      <c r="A289" s="105">
        <f t="shared" si="4"/>
        <v>1120235</v>
      </c>
      <c r="B289" s="105" t="s">
        <v>455</v>
      </c>
      <c r="C289" s="105" t="s">
        <v>456</v>
      </c>
      <c r="D289" s="105">
        <v>13900</v>
      </c>
      <c r="E289" s="105">
        <v>8340</v>
      </c>
      <c r="F289" s="105">
        <v>0</v>
      </c>
    </row>
    <row r="290" spans="1:6" x14ac:dyDescent="0.25">
      <c r="A290" s="105" t="str">
        <f t="shared" si="4"/>
        <v/>
      </c>
      <c r="B290" s="105" t="s">
        <v>457</v>
      </c>
      <c r="C290" s="105" t="s">
        <v>8</v>
      </c>
      <c r="D290" s="105">
        <v>0</v>
      </c>
      <c r="E290" s="105">
        <v>0</v>
      </c>
      <c r="F290" s="105">
        <v>0</v>
      </c>
    </row>
    <row r="291" spans="1:6" x14ac:dyDescent="0.25">
      <c r="A291" s="105">
        <f t="shared" si="4"/>
        <v>1120236</v>
      </c>
      <c r="B291" s="105" t="s">
        <v>458</v>
      </c>
      <c r="C291" s="105" t="s">
        <v>459</v>
      </c>
      <c r="D291" s="105">
        <v>14400</v>
      </c>
      <c r="E291" s="105">
        <v>8640</v>
      </c>
      <c r="F291" s="105">
        <v>0</v>
      </c>
    </row>
    <row r="292" spans="1:6" x14ac:dyDescent="0.25">
      <c r="A292" s="105">
        <f t="shared" si="4"/>
        <v>1120238</v>
      </c>
      <c r="B292" s="105" t="s">
        <v>460</v>
      </c>
      <c r="C292" s="105" t="s">
        <v>461</v>
      </c>
      <c r="D292" s="105">
        <v>3150.31</v>
      </c>
      <c r="E292" s="105">
        <v>1890.19</v>
      </c>
      <c r="F292" s="105">
        <v>25</v>
      </c>
    </row>
    <row r="293" spans="1:6" x14ac:dyDescent="0.25">
      <c r="A293" s="105" t="str">
        <f t="shared" si="4"/>
        <v/>
      </c>
      <c r="B293" s="105" t="s">
        <v>462</v>
      </c>
      <c r="C293" s="105" t="s">
        <v>8</v>
      </c>
      <c r="D293" s="105">
        <v>0</v>
      </c>
      <c r="E293" s="105">
        <v>0</v>
      </c>
      <c r="F293" s="105">
        <v>0</v>
      </c>
    </row>
    <row r="294" spans="1:6" x14ac:dyDescent="0.25">
      <c r="A294" s="105">
        <f t="shared" si="4"/>
        <v>1120239</v>
      </c>
      <c r="B294" s="105" t="s">
        <v>463</v>
      </c>
      <c r="C294" s="105" t="s">
        <v>464</v>
      </c>
      <c r="D294" s="105">
        <v>0</v>
      </c>
      <c r="E294" s="105">
        <v>0</v>
      </c>
      <c r="F294" s="105">
        <v>0</v>
      </c>
    </row>
    <row r="295" spans="1:6" x14ac:dyDescent="0.25">
      <c r="A295" s="105" t="str">
        <f t="shared" si="4"/>
        <v/>
      </c>
      <c r="B295" s="105" t="s">
        <v>465</v>
      </c>
      <c r="C295" s="105" t="s">
        <v>8</v>
      </c>
      <c r="D295" s="105">
        <v>0</v>
      </c>
      <c r="E295" s="105">
        <v>0</v>
      </c>
      <c r="F295" s="105">
        <v>0</v>
      </c>
    </row>
    <row r="296" spans="1:6" x14ac:dyDescent="0.25">
      <c r="A296" s="105">
        <f t="shared" si="4"/>
        <v>1120240</v>
      </c>
      <c r="B296" s="105" t="s">
        <v>466</v>
      </c>
      <c r="C296" s="105" t="s">
        <v>467</v>
      </c>
      <c r="D296" s="105">
        <v>0</v>
      </c>
      <c r="E296" s="105">
        <v>0</v>
      </c>
      <c r="F296" s="105">
        <v>0</v>
      </c>
    </row>
    <row r="297" spans="1:6" x14ac:dyDescent="0.25">
      <c r="A297" s="105">
        <f t="shared" si="4"/>
        <v>1120241</v>
      </c>
      <c r="B297" s="105" t="s">
        <v>468</v>
      </c>
      <c r="C297" s="105" t="s">
        <v>469</v>
      </c>
      <c r="D297" s="105">
        <v>6784</v>
      </c>
      <c r="E297" s="105">
        <v>4070.4</v>
      </c>
      <c r="F297" s="105">
        <v>0</v>
      </c>
    </row>
    <row r="298" spans="1:6" x14ac:dyDescent="0.25">
      <c r="A298" s="105">
        <f t="shared" si="4"/>
        <v>1120242</v>
      </c>
      <c r="B298" s="105" t="s">
        <v>470</v>
      </c>
      <c r="C298" s="105" t="s">
        <v>471</v>
      </c>
      <c r="D298" s="105">
        <v>6996</v>
      </c>
      <c r="E298" s="105">
        <v>4197.6000000000004</v>
      </c>
      <c r="F298" s="105">
        <v>3</v>
      </c>
    </row>
    <row r="299" spans="1:6" x14ac:dyDescent="0.25">
      <c r="A299" s="105" t="str">
        <f t="shared" si="4"/>
        <v/>
      </c>
      <c r="B299" s="105" t="s">
        <v>472</v>
      </c>
      <c r="C299" s="105" t="s">
        <v>8</v>
      </c>
      <c r="D299" s="105">
        <v>0</v>
      </c>
      <c r="E299" s="105">
        <v>0</v>
      </c>
      <c r="F299" s="105">
        <v>0</v>
      </c>
    </row>
    <row r="300" spans="1:6" x14ac:dyDescent="0.25">
      <c r="A300" s="105">
        <f t="shared" si="4"/>
        <v>1120243</v>
      </c>
      <c r="B300" s="105" t="s">
        <v>473</v>
      </c>
      <c r="C300" s="105" t="s">
        <v>474</v>
      </c>
      <c r="D300" s="105">
        <v>7208</v>
      </c>
      <c r="E300" s="105">
        <v>4324.8</v>
      </c>
      <c r="F300" s="105">
        <v>0</v>
      </c>
    </row>
    <row r="301" spans="1:6" x14ac:dyDescent="0.25">
      <c r="A301" s="105">
        <f t="shared" si="4"/>
        <v>1120246</v>
      </c>
      <c r="B301" s="105" t="s">
        <v>475</v>
      </c>
      <c r="C301" s="105" t="s">
        <v>476</v>
      </c>
      <c r="D301" s="105">
        <v>6996</v>
      </c>
      <c r="E301" s="105">
        <v>4197.6000000000004</v>
      </c>
      <c r="F301" s="105">
        <v>31</v>
      </c>
    </row>
    <row r="302" spans="1:6" x14ac:dyDescent="0.25">
      <c r="A302" s="105" t="str">
        <f t="shared" si="4"/>
        <v/>
      </c>
      <c r="B302" s="105" t="s">
        <v>477</v>
      </c>
      <c r="C302" s="105" t="s">
        <v>478</v>
      </c>
      <c r="D302" s="105">
        <v>5443.22</v>
      </c>
      <c r="E302" s="105">
        <v>3265.93</v>
      </c>
      <c r="F302" s="105">
        <v>0</v>
      </c>
    </row>
    <row r="303" spans="1:6" x14ac:dyDescent="0.25">
      <c r="A303" s="105">
        <f t="shared" si="4"/>
        <v>1120247</v>
      </c>
      <c r="B303" s="105" t="s">
        <v>479</v>
      </c>
      <c r="C303" s="105" t="s">
        <v>480</v>
      </c>
      <c r="D303" s="105">
        <v>7208</v>
      </c>
      <c r="E303" s="105">
        <v>4324.8</v>
      </c>
      <c r="F303" s="105">
        <v>9</v>
      </c>
    </row>
    <row r="304" spans="1:6" x14ac:dyDescent="0.25">
      <c r="A304" s="105" t="str">
        <f t="shared" si="4"/>
        <v/>
      </c>
      <c r="B304" s="105" t="s">
        <v>481</v>
      </c>
      <c r="C304" s="105" t="s">
        <v>482</v>
      </c>
      <c r="D304" s="105">
        <v>5103.0200000000004</v>
      </c>
      <c r="E304" s="105">
        <v>3061.81</v>
      </c>
      <c r="F304" s="105">
        <v>0</v>
      </c>
    </row>
    <row r="305" spans="1:6" x14ac:dyDescent="0.25">
      <c r="A305" s="105">
        <f t="shared" si="4"/>
        <v>1120248</v>
      </c>
      <c r="B305" s="105" t="s">
        <v>483</v>
      </c>
      <c r="C305" s="105" t="s">
        <v>484</v>
      </c>
      <c r="D305" s="105">
        <v>7420</v>
      </c>
      <c r="E305" s="105">
        <v>4452</v>
      </c>
      <c r="F305" s="105">
        <v>9</v>
      </c>
    </row>
    <row r="306" spans="1:6" x14ac:dyDescent="0.25">
      <c r="A306" s="105">
        <f t="shared" si="4"/>
        <v>1120250</v>
      </c>
      <c r="B306" s="105" t="s">
        <v>485</v>
      </c>
      <c r="C306" s="105" t="s">
        <v>486</v>
      </c>
      <c r="D306" s="105">
        <v>0</v>
      </c>
      <c r="E306" s="105">
        <v>0</v>
      </c>
      <c r="F306" s="105">
        <v>0</v>
      </c>
    </row>
    <row r="307" spans="1:6" x14ac:dyDescent="0.25">
      <c r="A307" s="105">
        <f t="shared" si="4"/>
        <v>1120251</v>
      </c>
      <c r="B307" s="105" t="s">
        <v>487</v>
      </c>
      <c r="C307" s="105" t="s">
        <v>488</v>
      </c>
      <c r="D307" s="105">
        <v>0</v>
      </c>
      <c r="E307" s="105">
        <v>0</v>
      </c>
      <c r="F307" s="105">
        <v>0</v>
      </c>
    </row>
    <row r="308" spans="1:6" x14ac:dyDescent="0.25">
      <c r="A308" s="105">
        <f t="shared" si="4"/>
        <v>1120260</v>
      </c>
      <c r="B308" s="105" t="s">
        <v>489</v>
      </c>
      <c r="C308" s="105" t="s">
        <v>490</v>
      </c>
      <c r="D308" s="105">
        <v>0</v>
      </c>
      <c r="E308" s="105">
        <v>0</v>
      </c>
      <c r="F308" s="105">
        <v>0</v>
      </c>
    </row>
    <row r="309" spans="1:6" x14ac:dyDescent="0.25">
      <c r="A309" s="105">
        <f t="shared" si="4"/>
        <v>1120261</v>
      </c>
      <c r="B309" s="105" t="s">
        <v>491</v>
      </c>
      <c r="C309" s="105" t="s">
        <v>492</v>
      </c>
      <c r="D309" s="105">
        <v>0</v>
      </c>
      <c r="E309" s="105">
        <v>0</v>
      </c>
      <c r="F309" s="105">
        <v>0</v>
      </c>
    </row>
    <row r="310" spans="1:6" x14ac:dyDescent="0.25">
      <c r="A310" s="105">
        <f t="shared" si="4"/>
        <v>1120262</v>
      </c>
      <c r="B310" s="105" t="s">
        <v>493</v>
      </c>
      <c r="C310" s="105" t="s">
        <v>494</v>
      </c>
      <c r="D310" s="105">
        <v>0</v>
      </c>
      <c r="E310" s="105">
        <v>0</v>
      </c>
      <c r="F310" s="105">
        <v>0</v>
      </c>
    </row>
    <row r="311" spans="1:6" x14ac:dyDescent="0.25">
      <c r="A311" s="105">
        <f t="shared" si="4"/>
        <v>1120263</v>
      </c>
      <c r="B311" s="105" t="s">
        <v>495</v>
      </c>
      <c r="C311" s="105" t="s">
        <v>496</v>
      </c>
      <c r="D311" s="105">
        <v>11900</v>
      </c>
      <c r="E311" s="105">
        <v>7140</v>
      </c>
      <c r="F311" s="105">
        <v>1</v>
      </c>
    </row>
    <row r="312" spans="1:6" x14ac:dyDescent="0.25">
      <c r="A312" s="105">
        <f t="shared" si="4"/>
        <v>1120264</v>
      </c>
      <c r="B312" s="105" t="s">
        <v>497</v>
      </c>
      <c r="C312" s="105" t="s">
        <v>498</v>
      </c>
      <c r="D312" s="105">
        <v>12400</v>
      </c>
      <c r="E312" s="105">
        <v>7440</v>
      </c>
      <c r="F312" s="105">
        <v>0</v>
      </c>
    </row>
    <row r="313" spans="1:6" x14ac:dyDescent="0.25">
      <c r="A313" s="105" t="str">
        <f t="shared" si="4"/>
        <v/>
      </c>
      <c r="B313" s="105" t="s">
        <v>499</v>
      </c>
      <c r="C313" s="105" t="s">
        <v>8</v>
      </c>
      <c r="D313" s="105">
        <v>0</v>
      </c>
      <c r="E313" s="105">
        <v>0</v>
      </c>
      <c r="F313" s="105">
        <v>0</v>
      </c>
    </row>
    <row r="314" spans="1:6" x14ac:dyDescent="0.25">
      <c r="A314" s="105">
        <f t="shared" si="4"/>
        <v>1120265</v>
      </c>
      <c r="B314" s="105" t="s">
        <v>500</v>
      </c>
      <c r="C314" s="105" t="s">
        <v>501</v>
      </c>
      <c r="D314" s="105">
        <v>12900</v>
      </c>
      <c r="E314" s="105">
        <v>7740</v>
      </c>
      <c r="F314" s="105">
        <v>0</v>
      </c>
    </row>
    <row r="315" spans="1:6" x14ac:dyDescent="0.25">
      <c r="A315" s="105" t="str">
        <f t="shared" si="4"/>
        <v/>
      </c>
      <c r="B315" s="105" t="s">
        <v>502</v>
      </c>
      <c r="C315" s="105" t="s">
        <v>8</v>
      </c>
      <c r="D315" s="105">
        <v>0</v>
      </c>
      <c r="E315" s="105">
        <v>0</v>
      </c>
      <c r="F315" s="105">
        <v>0</v>
      </c>
    </row>
    <row r="316" spans="1:6" x14ac:dyDescent="0.25">
      <c r="A316" s="105">
        <f t="shared" si="4"/>
        <v>1120266</v>
      </c>
      <c r="B316" s="105" t="s">
        <v>503</v>
      </c>
      <c r="C316" s="105" t="s">
        <v>504</v>
      </c>
      <c r="D316" s="105">
        <v>13900</v>
      </c>
      <c r="E316" s="105">
        <v>8340</v>
      </c>
      <c r="F316" s="105">
        <v>0</v>
      </c>
    </row>
    <row r="317" spans="1:6" x14ac:dyDescent="0.25">
      <c r="A317" s="105">
        <f t="shared" si="4"/>
        <v>1120267</v>
      </c>
      <c r="B317" s="105" t="s">
        <v>505</v>
      </c>
      <c r="C317" s="105" t="s">
        <v>506</v>
      </c>
      <c r="D317" s="105">
        <v>8374</v>
      </c>
      <c r="E317" s="105">
        <v>5024.3999999999996</v>
      </c>
      <c r="F317" s="105">
        <v>3</v>
      </c>
    </row>
    <row r="318" spans="1:6" x14ac:dyDescent="0.25">
      <c r="A318" s="105">
        <f t="shared" si="4"/>
        <v>1120268</v>
      </c>
      <c r="B318" s="105" t="s">
        <v>507</v>
      </c>
      <c r="C318" s="105" t="s">
        <v>508</v>
      </c>
      <c r="D318" s="105">
        <v>8586</v>
      </c>
      <c r="E318" s="105">
        <v>5151.6000000000004</v>
      </c>
      <c r="F318" s="105">
        <v>3</v>
      </c>
    </row>
    <row r="319" spans="1:6" x14ac:dyDescent="0.25">
      <c r="A319" s="105" t="str">
        <f t="shared" si="4"/>
        <v/>
      </c>
      <c r="B319" s="105" t="s">
        <v>509</v>
      </c>
      <c r="C319" s="105" t="s">
        <v>8</v>
      </c>
      <c r="D319" s="105">
        <v>0</v>
      </c>
      <c r="E319" s="105">
        <v>0</v>
      </c>
      <c r="F319" s="105">
        <v>0</v>
      </c>
    </row>
    <row r="320" spans="1:6" x14ac:dyDescent="0.25">
      <c r="A320" s="105">
        <f t="shared" si="4"/>
        <v>1120269</v>
      </c>
      <c r="B320" s="105" t="s">
        <v>510</v>
      </c>
      <c r="C320" s="105" t="s">
        <v>511</v>
      </c>
      <c r="D320" s="105">
        <v>8745</v>
      </c>
      <c r="E320" s="105">
        <v>5247</v>
      </c>
      <c r="F320" s="105">
        <v>0</v>
      </c>
    </row>
    <row r="321" spans="1:6" x14ac:dyDescent="0.25">
      <c r="A321" s="105" t="str">
        <f t="shared" si="4"/>
        <v/>
      </c>
      <c r="B321" s="105" t="s">
        <v>512</v>
      </c>
      <c r="C321" s="105" t="s">
        <v>8</v>
      </c>
      <c r="D321" s="105">
        <v>0</v>
      </c>
      <c r="E321" s="105">
        <v>0</v>
      </c>
      <c r="F321" s="105">
        <v>0</v>
      </c>
    </row>
    <row r="322" spans="1:6" x14ac:dyDescent="0.25">
      <c r="A322" s="105">
        <f t="shared" si="4"/>
        <v>1120270</v>
      </c>
      <c r="B322" s="105" t="s">
        <v>513</v>
      </c>
      <c r="C322" s="105" t="s">
        <v>514</v>
      </c>
      <c r="D322" s="105">
        <v>8904</v>
      </c>
      <c r="E322" s="105">
        <v>5342.4</v>
      </c>
      <c r="F322" s="105">
        <v>0</v>
      </c>
    </row>
    <row r="323" spans="1:6" x14ac:dyDescent="0.25">
      <c r="A323" s="105">
        <f t="shared" ref="A323:A386" si="5">IF(B323&lt;&gt;"",IFERROR(B323*1,""),"")</f>
        <v>1120271</v>
      </c>
      <c r="B323" s="105" t="s">
        <v>515</v>
      </c>
      <c r="C323" s="105" t="s">
        <v>516</v>
      </c>
      <c r="D323" s="105">
        <v>8374</v>
      </c>
      <c r="E323" s="105">
        <v>5024.3999999999996</v>
      </c>
      <c r="F323" s="105">
        <v>5</v>
      </c>
    </row>
    <row r="324" spans="1:6" x14ac:dyDescent="0.25">
      <c r="A324" s="105">
        <f t="shared" si="5"/>
        <v>1120272</v>
      </c>
      <c r="B324" s="105" t="s">
        <v>517</v>
      </c>
      <c r="C324" s="105" t="s">
        <v>518</v>
      </c>
      <c r="D324" s="105">
        <v>8586</v>
      </c>
      <c r="E324" s="105">
        <v>5151.6000000000004</v>
      </c>
      <c r="F324" s="105">
        <v>3</v>
      </c>
    </row>
    <row r="325" spans="1:6" x14ac:dyDescent="0.25">
      <c r="A325" s="105" t="str">
        <f t="shared" si="5"/>
        <v/>
      </c>
      <c r="B325" s="105" t="s">
        <v>519</v>
      </c>
      <c r="C325" s="105" t="s">
        <v>8</v>
      </c>
      <c r="D325" s="105">
        <v>0</v>
      </c>
      <c r="E325" s="105">
        <v>0</v>
      </c>
      <c r="F325" s="105">
        <v>0</v>
      </c>
    </row>
    <row r="326" spans="1:6" x14ac:dyDescent="0.25">
      <c r="A326" s="105">
        <f t="shared" si="5"/>
        <v>1120273</v>
      </c>
      <c r="B326" s="105" t="s">
        <v>520</v>
      </c>
      <c r="C326" s="105" t="s">
        <v>521</v>
      </c>
      <c r="D326" s="105">
        <v>8745</v>
      </c>
      <c r="E326" s="105">
        <v>5247</v>
      </c>
      <c r="F326" s="105">
        <v>0</v>
      </c>
    </row>
    <row r="327" spans="1:6" x14ac:dyDescent="0.25">
      <c r="A327" s="105" t="str">
        <f t="shared" si="5"/>
        <v/>
      </c>
      <c r="B327" s="105" t="s">
        <v>522</v>
      </c>
      <c r="C327" s="105" t="s">
        <v>8</v>
      </c>
      <c r="D327" s="105">
        <v>0</v>
      </c>
      <c r="E327" s="105">
        <v>0</v>
      </c>
      <c r="F327" s="105">
        <v>0</v>
      </c>
    </row>
    <row r="328" spans="1:6" x14ac:dyDescent="0.25">
      <c r="A328" s="105">
        <f t="shared" si="5"/>
        <v>1120274</v>
      </c>
      <c r="B328" s="105" t="s">
        <v>523</v>
      </c>
      <c r="C328" s="105" t="s">
        <v>524</v>
      </c>
      <c r="D328" s="105">
        <v>8904</v>
      </c>
      <c r="E328" s="105">
        <v>5342.4</v>
      </c>
      <c r="F328" s="105">
        <v>0</v>
      </c>
    </row>
    <row r="329" spans="1:6" x14ac:dyDescent="0.25">
      <c r="A329" s="105">
        <f t="shared" si="5"/>
        <v>1120275</v>
      </c>
      <c r="B329" s="105" t="s">
        <v>525</v>
      </c>
      <c r="C329" s="105" t="s">
        <v>526</v>
      </c>
      <c r="D329" s="105">
        <v>11900</v>
      </c>
      <c r="E329" s="105">
        <v>7140</v>
      </c>
      <c r="F329" s="105">
        <v>0</v>
      </c>
    </row>
    <row r="330" spans="1:6" x14ac:dyDescent="0.25">
      <c r="A330" s="105">
        <f t="shared" si="5"/>
        <v>1120276</v>
      </c>
      <c r="B330" s="105" t="s">
        <v>527</v>
      </c>
      <c r="C330" s="105" t="s">
        <v>528</v>
      </c>
      <c r="D330" s="105">
        <v>12400</v>
      </c>
      <c r="E330" s="105">
        <v>7440</v>
      </c>
      <c r="F330" s="105">
        <v>0</v>
      </c>
    </row>
    <row r="331" spans="1:6" x14ac:dyDescent="0.25">
      <c r="A331" s="105" t="str">
        <f t="shared" si="5"/>
        <v/>
      </c>
      <c r="B331" s="105" t="s">
        <v>529</v>
      </c>
      <c r="C331" s="105" t="s">
        <v>8</v>
      </c>
      <c r="D331" s="105">
        <v>0</v>
      </c>
      <c r="E331" s="105">
        <v>0</v>
      </c>
      <c r="F331" s="105">
        <v>0</v>
      </c>
    </row>
    <row r="332" spans="1:6" x14ac:dyDescent="0.25">
      <c r="A332" s="105">
        <f t="shared" si="5"/>
        <v>1120277</v>
      </c>
      <c r="B332" s="105" t="s">
        <v>530</v>
      </c>
      <c r="C332" s="105" t="s">
        <v>531</v>
      </c>
      <c r="D332" s="105">
        <v>12900</v>
      </c>
      <c r="E332" s="105">
        <v>7740</v>
      </c>
      <c r="F332" s="105">
        <v>0</v>
      </c>
    </row>
    <row r="333" spans="1:6" x14ac:dyDescent="0.25">
      <c r="A333" s="105" t="str">
        <f t="shared" si="5"/>
        <v/>
      </c>
      <c r="B333" s="105" t="s">
        <v>532</v>
      </c>
      <c r="C333" s="105" t="s">
        <v>8</v>
      </c>
      <c r="D333" s="105">
        <v>0</v>
      </c>
      <c r="E333" s="105">
        <v>0</v>
      </c>
      <c r="F333" s="105">
        <v>0</v>
      </c>
    </row>
    <row r="334" spans="1:6" x14ac:dyDescent="0.25">
      <c r="A334" s="105">
        <f t="shared" si="5"/>
        <v>1120278</v>
      </c>
      <c r="B334" s="105" t="s">
        <v>533</v>
      </c>
      <c r="C334" s="105" t="s">
        <v>534</v>
      </c>
      <c r="D334" s="105">
        <v>13900</v>
      </c>
      <c r="E334" s="105">
        <v>8340</v>
      </c>
      <c r="F334" s="105">
        <v>0</v>
      </c>
    </row>
    <row r="335" spans="1:6" x14ac:dyDescent="0.25">
      <c r="A335" s="105">
        <f t="shared" si="5"/>
        <v>1120280</v>
      </c>
      <c r="B335" s="105" t="s">
        <v>535</v>
      </c>
      <c r="C335" s="105" t="s">
        <v>536</v>
      </c>
      <c r="D335" s="105">
        <v>4558</v>
      </c>
      <c r="E335" s="105">
        <v>2734.8</v>
      </c>
      <c r="F335" s="105">
        <v>69</v>
      </c>
    </row>
    <row r="336" spans="1:6" x14ac:dyDescent="0.25">
      <c r="A336" s="105">
        <f t="shared" si="5"/>
        <v>1120285</v>
      </c>
      <c r="B336" s="105" t="s">
        <v>537</v>
      </c>
      <c r="C336" s="105" t="s">
        <v>538</v>
      </c>
      <c r="D336" s="105">
        <v>6784</v>
      </c>
      <c r="E336" s="105">
        <v>4070.4</v>
      </c>
      <c r="F336" s="105">
        <v>53</v>
      </c>
    </row>
    <row r="337" spans="1:6" x14ac:dyDescent="0.25">
      <c r="A337" s="105" t="str">
        <f t="shared" si="5"/>
        <v/>
      </c>
      <c r="B337" s="105" t="s">
        <v>539</v>
      </c>
      <c r="C337" s="105" t="s">
        <v>540</v>
      </c>
      <c r="D337" s="105">
        <v>4876.22</v>
      </c>
      <c r="E337" s="105">
        <v>2925.73</v>
      </c>
      <c r="F337" s="105">
        <v>0</v>
      </c>
    </row>
    <row r="338" spans="1:6" x14ac:dyDescent="0.25">
      <c r="A338" s="105">
        <f t="shared" si="5"/>
        <v>1120286</v>
      </c>
      <c r="B338" s="105" t="s">
        <v>541</v>
      </c>
      <c r="C338" s="105" t="s">
        <v>542</v>
      </c>
      <c r="D338" s="105">
        <v>0</v>
      </c>
      <c r="E338" s="105">
        <v>0</v>
      </c>
      <c r="F338" s="105">
        <v>0</v>
      </c>
    </row>
    <row r="339" spans="1:6" x14ac:dyDescent="0.25">
      <c r="A339" s="105">
        <f t="shared" si="5"/>
        <v>1120287</v>
      </c>
      <c r="B339" s="105" t="s">
        <v>543</v>
      </c>
      <c r="C339" s="105" t="s">
        <v>544</v>
      </c>
      <c r="D339" s="105">
        <v>0</v>
      </c>
      <c r="E339" s="105">
        <v>0</v>
      </c>
      <c r="F339" s="105">
        <v>0</v>
      </c>
    </row>
    <row r="340" spans="1:6" x14ac:dyDescent="0.25">
      <c r="A340" s="105">
        <f t="shared" si="5"/>
        <v>1120288</v>
      </c>
      <c r="B340" s="105" t="s">
        <v>545</v>
      </c>
      <c r="C340" s="105" t="s">
        <v>546</v>
      </c>
      <c r="D340" s="105">
        <v>0</v>
      </c>
      <c r="E340" s="105">
        <v>0</v>
      </c>
      <c r="F340" s="105">
        <v>0</v>
      </c>
    </row>
    <row r="341" spans="1:6" x14ac:dyDescent="0.25">
      <c r="A341" s="105">
        <f t="shared" si="5"/>
        <v>1120289</v>
      </c>
      <c r="B341" s="105" t="s">
        <v>547</v>
      </c>
      <c r="C341" s="105" t="s">
        <v>548</v>
      </c>
      <c r="D341" s="105">
        <v>0</v>
      </c>
      <c r="E341" s="105">
        <v>0</v>
      </c>
      <c r="F341" s="105">
        <v>0</v>
      </c>
    </row>
    <row r="342" spans="1:6" x14ac:dyDescent="0.25">
      <c r="A342" s="105" t="str">
        <f t="shared" si="5"/>
        <v/>
      </c>
      <c r="B342" s="105" t="s">
        <v>549</v>
      </c>
      <c r="C342" s="105" t="s">
        <v>8</v>
      </c>
      <c r="D342" s="105">
        <v>0</v>
      </c>
      <c r="E342" s="105">
        <v>0</v>
      </c>
      <c r="F342" s="105">
        <v>0</v>
      </c>
    </row>
    <row r="343" spans="1:6" x14ac:dyDescent="0.25">
      <c r="A343" s="105">
        <f t="shared" si="5"/>
        <v>1120290</v>
      </c>
      <c r="B343" s="105" t="s">
        <v>550</v>
      </c>
      <c r="C343" s="105" t="s">
        <v>551</v>
      </c>
      <c r="D343" s="105">
        <v>6784</v>
      </c>
      <c r="E343" s="105">
        <v>4070.4</v>
      </c>
      <c r="F343" s="105">
        <v>0</v>
      </c>
    </row>
    <row r="344" spans="1:6" x14ac:dyDescent="0.25">
      <c r="A344" s="105" t="str">
        <f t="shared" si="5"/>
        <v/>
      </c>
      <c r="B344" s="105" t="s">
        <v>552</v>
      </c>
      <c r="C344" s="105" t="s">
        <v>8</v>
      </c>
      <c r="D344" s="105">
        <v>0</v>
      </c>
      <c r="E344" s="105">
        <v>0</v>
      </c>
      <c r="F344" s="105">
        <v>0</v>
      </c>
    </row>
    <row r="345" spans="1:6" x14ac:dyDescent="0.25">
      <c r="A345" s="105">
        <f t="shared" si="5"/>
        <v>1120291</v>
      </c>
      <c r="B345" s="105" t="s">
        <v>553</v>
      </c>
      <c r="C345" s="105" t="s">
        <v>554</v>
      </c>
      <c r="D345" s="105">
        <v>6996</v>
      </c>
      <c r="E345" s="105">
        <v>4197.6000000000004</v>
      </c>
      <c r="F345" s="105">
        <v>0</v>
      </c>
    </row>
    <row r="346" spans="1:6" x14ac:dyDescent="0.25">
      <c r="A346" s="105" t="str">
        <f t="shared" si="5"/>
        <v/>
      </c>
      <c r="B346" s="105" t="s">
        <v>555</v>
      </c>
      <c r="C346" s="105" t="s">
        <v>8</v>
      </c>
      <c r="D346" s="105">
        <v>0</v>
      </c>
      <c r="E346" s="105">
        <v>0</v>
      </c>
      <c r="F346" s="105">
        <v>0</v>
      </c>
    </row>
    <row r="347" spans="1:6" x14ac:dyDescent="0.25">
      <c r="A347" s="105">
        <f t="shared" si="5"/>
        <v>1120292</v>
      </c>
      <c r="B347" s="105" t="s">
        <v>556</v>
      </c>
      <c r="C347" s="105" t="s">
        <v>557</v>
      </c>
      <c r="D347" s="105">
        <v>7208</v>
      </c>
      <c r="E347" s="105">
        <v>4324.8</v>
      </c>
      <c r="F347" s="105">
        <v>0</v>
      </c>
    </row>
    <row r="348" spans="1:6" x14ac:dyDescent="0.25">
      <c r="A348" s="105" t="str">
        <f t="shared" si="5"/>
        <v/>
      </c>
      <c r="B348" s="105" t="s">
        <v>558</v>
      </c>
      <c r="C348" s="105" t="s">
        <v>8</v>
      </c>
      <c r="D348" s="105">
        <v>0</v>
      </c>
      <c r="E348" s="105">
        <v>0</v>
      </c>
      <c r="F348" s="105">
        <v>0</v>
      </c>
    </row>
    <row r="349" spans="1:6" x14ac:dyDescent="0.25">
      <c r="A349" s="105">
        <f t="shared" si="5"/>
        <v>1120293</v>
      </c>
      <c r="B349" s="105" t="s">
        <v>559</v>
      </c>
      <c r="C349" s="105" t="s">
        <v>560</v>
      </c>
      <c r="D349" s="105">
        <v>7420</v>
      </c>
      <c r="E349" s="105">
        <v>4452</v>
      </c>
      <c r="F349" s="105">
        <v>0</v>
      </c>
    </row>
    <row r="350" spans="1:6" x14ac:dyDescent="0.25">
      <c r="A350" s="105" t="str">
        <f t="shared" si="5"/>
        <v/>
      </c>
      <c r="B350" s="105" t="s">
        <v>561</v>
      </c>
      <c r="C350" s="105" t="s">
        <v>8</v>
      </c>
      <c r="D350" s="105">
        <v>0</v>
      </c>
      <c r="E350" s="105">
        <v>0</v>
      </c>
      <c r="F350" s="105">
        <v>0</v>
      </c>
    </row>
    <row r="351" spans="1:6" x14ac:dyDescent="0.25">
      <c r="A351" s="105">
        <f t="shared" si="5"/>
        <v>1120299</v>
      </c>
      <c r="B351" s="105" t="s">
        <v>562</v>
      </c>
      <c r="C351" s="105" t="s">
        <v>563</v>
      </c>
      <c r="D351" s="105">
        <v>0</v>
      </c>
      <c r="E351" s="105">
        <v>0</v>
      </c>
      <c r="F351" s="105">
        <v>0</v>
      </c>
    </row>
    <row r="352" spans="1:6" x14ac:dyDescent="0.25">
      <c r="A352" s="105" t="str">
        <f t="shared" si="5"/>
        <v/>
      </c>
      <c r="B352" s="105" t="s">
        <v>564</v>
      </c>
      <c r="C352" s="105" t="s">
        <v>8</v>
      </c>
      <c r="D352" s="105">
        <v>0</v>
      </c>
      <c r="E352" s="105">
        <v>0</v>
      </c>
      <c r="F352" s="105">
        <v>0</v>
      </c>
    </row>
    <row r="353" spans="1:6" x14ac:dyDescent="0.25">
      <c r="A353" s="105">
        <f t="shared" si="5"/>
        <v>1120300</v>
      </c>
      <c r="B353" s="105" t="s">
        <v>565</v>
      </c>
      <c r="C353" s="105" t="s">
        <v>566</v>
      </c>
      <c r="D353" s="105">
        <v>0</v>
      </c>
      <c r="E353" s="105">
        <v>0</v>
      </c>
      <c r="F353" s="105">
        <v>0</v>
      </c>
    </row>
    <row r="354" spans="1:6" x14ac:dyDescent="0.25">
      <c r="A354" s="105" t="str">
        <f t="shared" si="5"/>
        <v/>
      </c>
      <c r="B354" s="105" t="s">
        <v>567</v>
      </c>
      <c r="C354" s="105" t="s">
        <v>8</v>
      </c>
      <c r="D354" s="105">
        <v>0</v>
      </c>
      <c r="E354" s="105">
        <v>0</v>
      </c>
      <c r="F354" s="105">
        <v>0</v>
      </c>
    </row>
    <row r="355" spans="1:6" x14ac:dyDescent="0.25">
      <c r="A355" s="105">
        <f t="shared" si="5"/>
        <v>1120301</v>
      </c>
      <c r="B355" s="105" t="s">
        <v>568</v>
      </c>
      <c r="C355" s="105" t="s">
        <v>569</v>
      </c>
      <c r="D355" s="105">
        <v>0</v>
      </c>
      <c r="E355" s="105">
        <v>0</v>
      </c>
      <c r="F355" s="105">
        <v>0</v>
      </c>
    </row>
    <row r="356" spans="1:6" x14ac:dyDescent="0.25">
      <c r="A356" s="105" t="str">
        <f t="shared" si="5"/>
        <v/>
      </c>
      <c r="B356" s="105" t="s">
        <v>570</v>
      </c>
      <c r="C356" s="105" t="s">
        <v>8</v>
      </c>
      <c r="D356" s="105">
        <v>0</v>
      </c>
      <c r="E356" s="105">
        <v>0</v>
      </c>
      <c r="F356" s="105">
        <v>0</v>
      </c>
    </row>
    <row r="357" spans="1:6" x14ac:dyDescent="0.25">
      <c r="A357" s="105">
        <f t="shared" si="5"/>
        <v>1120302</v>
      </c>
      <c r="B357" s="105" t="s">
        <v>571</v>
      </c>
      <c r="C357" s="105" t="s">
        <v>572</v>
      </c>
      <c r="D357" s="105">
        <v>0</v>
      </c>
      <c r="E357" s="105">
        <v>0</v>
      </c>
      <c r="F357" s="105">
        <v>0</v>
      </c>
    </row>
    <row r="358" spans="1:6" x14ac:dyDescent="0.25">
      <c r="A358" s="105">
        <f t="shared" si="5"/>
        <v>1120303</v>
      </c>
      <c r="B358" s="105" t="s">
        <v>573</v>
      </c>
      <c r="C358" s="105" t="s">
        <v>574</v>
      </c>
      <c r="D358" s="105">
        <v>0</v>
      </c>
      <c r="E358" s="105">
        <v>0</v>
      </c>
      <c r="F358" s="105">
        <v>0</v>
      </c>
    </row>
    <row r="359" spans="1:6" x14ac:dyDescent="0.25">
      <c r="A359" s="105">
        <f t="shared" si="5"/>
        <v>1120305</v>
      </c>
      <c r="B359" s="105" t="s">
        <v>575</v>
      </c>
      <c r="C359" s="105" t="s">
        <v>9199</v>
      </c>
      <c r="D359" s="105">
        <v>6890</v>
      </c>
      <c r="E359" s="105">
        <v>4134</v>
      </c>
      <c r="F359" s="105">
        <v>0</v>
      </c>
    </row>
    <row r="360" spans="1:6" x14ac:dyDescent="0.25">
      <c r="A360" s="105">
        <f t="shared" si="5"/>
        <v>1120306</v>
      </c>
      <c r="B360" s="105" t="s">
        <v>576</v>
      </c>
      <c r="C360" s="105" t="s">
        <v>9200</v>
      </c>
      <c r="D360" s="105">
        <v>6890</v>
      </c>
      <c r="E360" s="105">
        <v>4134</v>
      </c>
      <c r="F360" s="105">
        <v>0</v>
      </c>
    </row>
    <row r="361" spans="1:6" x14ac:dyDescent="0.25">
      <c r="A361" s="105">
        <f t="shared" si="5"/>
        <v>1120307</v>
      </c>
      <c r="B361" s="105" t="s">
        <v>577</v>
      </c>
      <c r="C361" s="105" t="s">
        <v>9201</v>
      </c>
      <c r="D361" s="105">
        <v>0</v>
      </c>
      <c r="E361" s="105">
        <v>0</v>
      </c>
      <c r="F361" s="105">
        <v>0</v>
      </c>
    </row>
    <row r="362" spans="1:6" x14ac:dyDescent="0.25">
      <c r="A362" s="105" t="str">
        <f t="shared" si="5"/>
        <v/>
      </c>
      <c r="B362" s="105" t="s">
        <v>578</v>
      </c>
      <c r="C362" s="105" t="s">
        <v>8</v>
      </c>
      <c r="D362" s="105">
        <v>0</v>
      </c>
      <c r="E362" s="105">
        <v>0</v>
      </c>
      <c r="F362" s="105">
        <v>0</v>
      </c>
    </row>
    <row r="363" spans="1:6" x14ac:dyDescent="0.25">
      <c r="A363" s="105">
        <f t="shared" si="5"/>
        <v>1120310</v>
      </c>
      <c r="B363" s="105" t="s">
        <v>579</v>
      </c>
      <c r="C363" s="105" t="s">
        <v>580</v>
      </c>
      <c r="D363" s="105">
        <v>0</v>
      </c>
      <c r="E363" s="105">
        <v>0</v>
      </c>
      <c r="F363" s="105">
        <v>0</v>
      </c>
    </row>
    <row r="364" spans="1:6" x14ac:dyDescent="0.25">
      <c r="A364" s="105" t="str">
        <f t="shared" si="5"/>
        <v/>
      </c>
      <c r="B364" s="105" t="s">
        <v>581</v>
      </c>
      <c r="C364" s="105" t="s">
        <v>8</v>
      </c>
      <c r="D364" s="105">
        <v>0</v>
      </c>
      <c r="E364" s="105">
        <v>0</v>
      </c>
      <c r="F364" s="105">
        <v>0</v>
      </c>
    </row>
    <row r="365" spans="1:6" x14ac:dyDescent="0.25">
      <c r="A365" s="105">
        <f t="shared" si="5"/>
        <v>1120311</v>
      </c>
      <c r="B365" s="105" t="s">
        <v>582</v>
      </c>
      <c r="C365" s="105" t="s">
        <v>583</v>
      </c>
      <c r="D365" s="105">
        <v>0</v>
      </c>
      <c r="E365" s="105">
        <v>0</v>
      </c>
      <c r="F365" s="105">
        <v>0</v>
      </c>
    </row>
    <row r="366" spans="1:6" x14ac:dyDescent="0.25">
      <c r="A366" s="105" t="str">
        <f t="shared" si="5"/>
        <v/>
      </c>
      <c r="B366" s="105" t="s">
        <v>584</v>
      </c>
      <c r="C366" s="105" t="s">
        <v>8</v>
      </c>
      <c r="D366" s="105">
        <v>0</v>
      </c>
      <c r="E366" s="105">
        <v>0</v>
      </c>
      <c r="F366" s="105">
        <v>0</v>
      </c>
    </row>
    <row r="367" spans="1:6" x14ac:dyDescent="0.25">
      <c r="A367" s="105">
        <f t="shared" si="5"/>
        <v>1120312</v>
      </c>
      <c r="B367" s="105" t="s">
        <v>585</v>
      </c>
      <c r="C367" s="105" t="s">
        <v>284</v>
      </c>
      <c r="D367" s="105">
        <v>0</v>
      </c>
      <c r="E367" s="105">
        <v>0</v>
      </c>
      <c r="F367" s="105">
        <v>0</v>
      </c>
    </row>
    <row r="368" spans="1:6" x14ac:dyDescent="0.25">
      <c r="A368" s="105">
        <f t="shared" si="5"/>
        <v>1120313</v>
      </c>
      <c r="B368" s="105" t="s">
        <v>586</v>
      </c>
      <c r="C368" s="105" t="s">
        <v>587</v>
      </c>
      <c r="D368" s="105">
        <v>0</v>
      </c>
      <c r="E368" s="105">
        <v>0</v>
      </c>
      <c r="F368" s="105">
        <v>0</v>
      </c>
    </row>
    <row r="369" spans="1:6" x14ac:dyDescent="0.25">
      <c r="A369" s="105">
        <f t="shared" si="5"/>
        <v>1120315</v>
      </c>
      <c r="B369" s="105" t="s">
        <v>588</v>
      </c>
      <c r="C369" s="105" t="s">
        <v>589</v>
      </c>
      <c r="D369" s="105">
        <v>12900</v>
      </c>
      <c r="E369" s="105">
        <v>7740</v>
      </c>
      <c r="F369" s="105">
        <v>4</v>
      </c>
    </row>
    <row r="370" spans="1:6" x14ac:dyDescent="0.25">
      <c r="A370" s="105">
        <f t="shared" si="5"/>
        <v>1120316</v>
      </c>
      <c r="B370" s="105" t="s">
        <v>590</v>
      </c>
      <c r="C370" s="105" t="s">
        <v>591</v>
      </c>
      <c r="D370" s="105">
        <v>13400</v>
      </c>
      <c r="E370" s="105">
        <v>8040</v>
      </c>
      <c r="F370" s="105">
        <v>2</v>
      </c>
    </row>
    <row r="371" spans="1:6" x14ac:dyDescent="0.25">
      <c r="A371" s="105" t="str">
        <f t="shared" si="5"/>
        <v/>
      </c>
      <c r="B371" s="105" t="s">
        <v>592</v>
      </c>
      <c r="C371" s="105" t="s">
        <v>8</v>
      </c>
      <c r="D371" s="105">
        <v>0</v>
      </c>
      <c r="E371" s="105">
        <v>0</v>
      </c>
      <c r="F371" s="105">
        <v>0</v>
      </c>
    </row>
    <row r="372" spans="1:6" x14ac:dyDescent="0.25">
      <c r="A372" s="105">
        <f t="shared" si="5"/>
        <v>1120317</v>
      </c>
      <c r="B372" s="105" t="s">
        <v>593</v>
      </c>
      <c r="C372" s="105" t="s">
        <v>594</v>
      </c>
      <c r="D372" s="105">
        <v>13900</v>
      </c>
      <c r="E372" s="105">
        <v>8340</v>
      </c>
      <c r="F372" s="105">
        <v>0</v>
      </c>
    </row>
    <row r="373" spans="1:6" x14ac:dyDescent="0.25">
      <c r="A373" s="105" t="str">
        <f t="shared" si="5"/>
        <v/>
      </c>
      <c r="B373" s="105" t="s">
        <v>595</v>
      </c>
      <c r="C373" s="105" t="s">
        <v>8</v>
      </c>
      <c r="D373" s="105">
        <v>0</v>
      </c>
      <c r="E373" s="105">
        <v>0</v>
      </c>
      <c r="F373" s="105">
        <v>0</v>
      </c>
    </row>
    <row r="374" spans="1:6" x14ac:dyDescent="0.25">
      <c r="A374" s="105">
        <f t="shared" si="5"/>
        <v>1120318</v>
      </c>
      <c r="B374" s="105" t="s">
        <v>596</v>
      </c>
      <c r="C374" s="105" t="s">
        <v>597</v>
      </c>
      <c r="D374" s="105">
        <v>14900</v>
      </c>
      <c r="E374" s="105">
        <v>8940</v>
      </c>
      <c r="F374" s="105">
        <v>0</v>
      </c>
    </row>
    <row r="375" spans="1:6" x14ac:dyDescent="0.25">
      <c r="A375" s="105" t="str">
        <f t="shared" si="5"/>
        <v/>
      </c>
      <c r="B375" s="105" t="s">
        <v>598</v>
      </c>
      <c r="C375" s="105" t="s">
        <v>8</v>
      </c>
      <c r="D375" s="105">
        <v>0</v>
      </c>
      <c r="E375" s="105">
        <v>0</v>
      </c>
      <c r="F375" s="105">
        <v>0</v>
      </c>
    </row>
    <row r="376" spans="1:6" x14ac:dyDescent="0.25">
      <c r="A376" s="105">
        <f t="shared" si="5"/>
        <v>1120319</v>
      </c>
      <c r="B376" s="105" t="s">
        <v>599</v>
      </c>
      <c r="C376" s="105" t="s">
        <v>600</v>
      </c>
      <c r="D376" s="105">
        <v>0</v>
      </c>
      <c r="E376" s="105">
        <v>0</v>
      </c>
      <c r="F376" s="105">
        <v>0</v>
      </c>
    </row>
    <row r="377" spans="1:6" x14ac:dyDescent="0.25">
      <c r="A377" s="105" t="str">
        <f t="shared" si="5"/>
        <v/>
      </c>
      <c r="B377" s="105" t="s">
        <v>601</v>
      </c>
      <c r="C377" s="105" t="s">
        <v>8</v>
      </c>
      <c r="D377" s="105">
        <v>0</v>
      </c>
      <c r="E377" s="105">
        <v>0</v>
      </c>
      <c r="F377" s="105">
        <v>0</v>
      </c>
    </row>
    <row r="378" spans="1:6" x14ac:dyDescent="0.25">
      <c r="A378" s="105">
        <f t="shared" si="5"/>
        <v>1120320</v>
      </c>
      <c r="B378" s="105" t="s">
        <v>602</v>
      </c>
      <c r="C378" s="105" t="s">
        <v>603</v>
      </c>
      <c r="D378" s="105">
        <v>0</v>
      </c>
      <c r="E378" s="105">
        <v>0</v>
      </c>
      <c r="F378" s="105">
        <v>0</v>
      </c>
    </row>
    <row r="379" spans="1:6" x14ac:dyDescent="0.25">
      <c r="A379" s="105" t="str">
        <f t="shared" si="5"/>
        <v/>
      </c>
      <c r="B379" s="105" t="s">
        <v>604</v>
      </c>
      <c r="C379" s="105" t="s">
        <v>8</v>
      </c>
      <c r="D379" s="105">
        <v>0</v>
      </c>
      <c r="E379" s="105">
        <v>0</v>
      </c>
      <c r="F379" s="105">
        <v>0</v>
      </c>
    </row>
    <row r="380" spans="1:6" x14ac:dyDescent="0.25">
      <c r="A380" s="105">
        <f t="shared" si="5"/>
        <v>1120321</v>
      </c>
      <c r="B380" s="105" t="s">
        <v>605</v>
      </c>
      <c r="C380" s="105" t="s">
        <v>606</v>
      </c>
      <c r="D380" s="105">
        <v>0</v>
      </c>
      <c r="E380" s="105">
        <v>0</v>
      </c>
      <c r="F380" s="105">
        <v>0</v>
      </c>
    </row>
    <row r="381" spans="1:6" x14ac:dyDescent="0.25">
      <c r="A381" s="105" t="str">
        <f t="shared" si="5"/>
        <v/>
      </c>
      <c r="B381" s="105" t="s">
        <v>607</v>
      </c>
      <c r="C381" s="105" t="s">
        <v>8</v>
      </c>
      <c r="D381" s="105">
        <v>0</v>
      </c>
      <c r="E381" s="105">
        <v>0</v>
      </c>
      <c r="F381" s="105">
        <v>0</v>
      </c>
    </row>
    <row r="382" spans="1:6" x14ac:dyDescent="0.25">
      <c r="A382" s="105">
        <f t="shared" si="5"/>
        <v>1120322</v>
      </c>
      <c r="B382" s="105" t="s">
        <v>608</v>
      </c>
      <c r="C382" s="105" t="s">
        <v>609</v>
      </c>
      <c r="D382" s="105">
        <v>0</v>
      </c>
      <c r="E382" s="105">
        <v>0</v>
      </c>
      <c r="F382" s="105">
        <v>0</v>
      </c>
    </row>
    <row r="383" spans="1:6" x14ac:dyDescent="0.25">
      <c r="A383" s="105">
        <f t="shared" si="5"/>
        <v>1120323</v>
      </c>
      <c r="B383" s="105" t="s">
        <v>610</v>
      </c>
      <c r="C383" s="105" t="s">
        <v>611</v>
      </c>
      <c r="D383" s="105">
        <v>9500</v>
      </c>
      <c r="E383" s="105">
        <v>5700</v>
      </c>
      <c r="F383" s="105">
        <v>7</v>
      </c>
    </row>
    <row r="384" spans="1:6" x14ac:dyDescent="0.25">
      <c r="A384" s="105" t="str">
        <f t="shared" si="5"/>
        <v/>
      </c>
      <c r="B384" s="105" t="s">
        <v>612</v>
      </c>
      <c r="C384" s="105" t="s">
        <v>8</v>
      </c>
      <c r="D384" s="105">
        <v>0</v>
      </c>
      <c r="E384" s="105">
        <v>0</v>
      </c>
      <c r="F384" s="105">
        <v>0</v>
      </c>
    </row>
    <row r="385" spans="1:6" x14ac:dyDescent="0.25">
      <c r="A385" s="105">
        <f t="shared" si="5"/>
        <v>1120324</v>
      </c>
      <c r="B385" s="105" t="s">
        <v>613</v>
      </c>
      <c r="C385" s="105" t="s">
        <v>614</v>
      </c>
      <c r="D385" s="105">
        <v>10000</v>
      </c>
      <c r="E385" s="105">
        <v>6000</v>
      </c>
      <c r="F385" s="105">
        <v>0</v>
      </c>
    </row>
    <row r="386" spans="1:6" x14ac:dyDescent="0.25">
      <c r="A386" s="105">
        <f t="shared" si="5"/>
        <v>1120325</v>
      </c>
      <c r="B386" s="105" t="s">
        <v>615</v>
      </c>
      <c r="C386" s="105" t="s">
        <v>616</v>
      </c>
      <c r="D386" s="105">
        <v>10500</v>
      </c>
      <c r="E386" s="105">
        <v>6300</v>
      </c>
      <c r="F386" s="105">
        <v>0</v>
      </c>
    </row>
    <row r="387" spans="1:6" x14ac:dyDescent="0.25">
      <c r="A387" s="105" t="str">
        <f t="shared" ref="A387:A450" si="6">IF(B387&lt;&gt;"",IFERROR(B387*1,""),"")</f>
        <v/>
      </c>
      <c r="B387" s="105" t="s">
        <v>617</v>
      </c>
      <c r="C387" s="105" t="s">
        <v>8</v>
      </c>
      <c r="D387" s="105">
        <v>0</v>
      </c>
      <c r="E387" s="105">
        <v>0</v>
      </c>
      <c r="F387" s="105">
        <v>0</v>
      </c>
    </row>
    <row r="388" spans="1:6" x14ac:dyDescent="0.25">
      <c r="A388" s="105">
        <f t="shared" si="6"/>
        <v>1120326</v>
      </c>
      <c r="B388" s="105" t="s">
        <v>618</v>
      </c>
      <c r="C388" s="105" t="s">
        <v>619</v>
      </c>
      <c r="D388" s="105">
        <v>11000</v>
      </c>
      <c r="E388" s="105">
        <v>6600</v>
      </c>
      <c r="F388" s="105">
        <v>0</v>
      </c>
    </row>
    <row r="389" spans="1:6" x14ac:dyDescent="0.25">
      <c r="A389" s="105" t="str">
        <f t="shared" si="6"/>
        <v/>
      </c>
      <c r="B389" s="105" t="s">
        <v>620</v>
      </c>
      <c r="C389" s="105" t="s">
        <v>8</v>
      </c>
      <c r="D389" s="105">
        <v>0</v>
      </c>
      <c r="E389" s="105">
        <v>0</v>
      </c>
      <c r="F389" s="105">
        <v>0</v>
      </c>
    </row>
    <row r="390" spans="1:6" x14ac:dyDescent="0.25">
      <c r="A390" s="105">
        <f t="shared" si="6"/>
        <v>1120327</v>
      </c>
      <c r="B390" s="105" t="s">
        <v>621</v>
      </c>
      <c r="C390" s="105" t="s">
        <v>622</v>
      </c>
      <c r="D390" s="105">
        <v>0</v>
      </c>
      <c r="E390" s="105">
        <v>0</v>
      </c>
      <c r="F390" s="105">
        <v>0</v>
      </c>
    </row>
    <row r="391" spans="1:6" x14ac:dyDescent="0.25">
      <c r="A391" s="105" t="str">
        <f t="shared" si="6"/>
        <v/>
      </c>
      <c r="B391" s="105" t="s">
        <v>623</v>
      </c>
      <c r="C391" s="105" t="s">
        <v>8</v>
      </c>
      <c r="D391" s="105">
        <v>0</v>
      </c>
      <c r="E391" s="105">
        <v>0</v>
      </c>
      <c r="F391" s="105">
        <v>0</v>
      </c>
    </row>
    <row r="392" spans="1:6" x14ac:dyDescent="0.25">
      <c r="A392" s="105">
        <f t="shared" si="6"/>
        <v>1120330</v>
      </c>
      <c r="B392" s="105" t="s">
        <v>624</v>
      </c>
      <c r="C392" s="105" t="s">
        <v>625</v>
      </c>
      <c r="D392" s="105">
        <v>9328</v>
      </c>
      <c r="E392" s="105">
        <v>5596.8</v>
      </c>
      <c r="F392" s="105">
        <v>16</v>
      </c>
    </row>
    <row r="393" spans="1:6" x14ac:dyDescent="0.25">
      <c r="A393" s="105" t="str">
        <f t="shared" si="6"/>
        <v/>
      </c>
      <c r="B393" s="105" t="s">
        <v>626</v>
      </c>
      <c r="C393" s="105" t="s">
        <v>8</v>
      </c>
      <c r="D393" s="105">
        <v>0</v>
      </c>
      <c r="E393" s="105">
        <v>0</v>
      </c>
      <c r="F393" s="105">
        <v>0</v>
      </c>
    </row>
    <row r="394" spans="1:6" x14ac:dyDescent="0.25">
      <c r="A394" s="105">
        <f t="shared" si="6"/>
        <v>1120331</v>
      </c>
      <c r="B394" s="105" t="s">
        <v>627</v>
      </c>
      <c r="C394" s="105" t="s">
        <v>628</v>
      </c>
      <c r="D394" s="105">
        <v>9328</v>
      </c>
      <c r="E394" s="105">
        <v>5596.8</v>
      </c>
      <c r="F394" s="105">
        <v>5</v>
      </c>
    </row>
    <row r="395" spans="1:6" x14ac:dyDescent="0.25">
      <c r="A395" s="105" t="str">
        <f t="shared" si="6"/>
        <v/>
      </c>
      <c r="B395" s="105" t="s">
        <v>629</v>
      </c>
      <c r="C395" s="105" t="s">
        <v>8</v>
      </c>
      <c r="D395" s="105">
        <v>0</v>
      </c>
      <c r="E395" s="105">
        <v>0</v>
      </c>
      <c r="F395" s="105">
        <v>0</v>
      </c>
    </row>
    <row r="396" spans="1:6" x14ac:dyDescent="0.25">
      <c r="A396" s="105">
        <f t="shared" si="6"/>
        <v>1120332</v>
      </c>
      <c r="B396" s="105" t="s">
        <v>630</v>
      </c>
      <c r="C396" s="105" t="s">
        <v>631</v>
      </c>
      <c r="D396" s="105">
        <v>0</v>
      </c>
      <c r="E396" s="105">
        <v>0</v>
      </c>
      <c r="F396" s="105">
        <v>3</v>
      </c>
    </row>
    <row r="397" spans="1:6" x14ac:dyDescent="0.25">
      <c r="A397" s="105">
        <f t="shared" si="6"/>
        <v>1120333</v>
      </c>
      <c r="B397" s="105" t="s">
        <v>632</v>
      </c>
      <c r="C397" s="105" t="s">
        <v>633</v>
      </c>
      <c r="D397" s="105">
        <v>9500</v>
      </c>
      <c r="E397" s="105">
        <v>5700</v>
      </c>
      <c r="F397" s="105">
        <v>4</v>
      </c>
    </row>
    <row r="398" spans="1:6" x14ac:dyDescent="0.25">
      <c r="A398" s="105">
        <f t="shared" si="6"/>
        <v>1120334</v>
      </c>
      <c r="B398" s="105" t="s">
        <v>634</v>
      </c>
      <c r="C398" s="105" t="s">
        <v>635</v>
      </c>
      <c r="D398" s="105">
        <v>10000</v>
      </c>
      <c r="E398" s="105">
        <v>6000</v>
      </c>
      <c r="F398" s="105">
        <v>0</v>
      </c>
    </row>
    <row r="399" spans="1:6" x14ac:dyDescent="0.25">
      <c r="A399" s="105">
        <f t="shared" si="6"/>
        <v>1120335</v>
      </c>
      <c r="B399" s="105" t="s">
        <v>636</v>
      </c>
      <c r="C399" s="105" t="s">
        <v>637</v>
      </c>
      <c r="D399" s="105">
        <v>10500</v>
      </c>
      <c r="E399" s="105">
        <v>6300</v>
      </c>
      <c r="F399" s="105">
        <v>6</v>
      </c>
    </row>
    <row r="400" spans="1:6" x14ac:dyDescent="0.25">
      <c r="A400" s="105" t="str">
        <f t="shared" si="6"/>
        <v/>
      </c>
      <c r="B400" s="105" t="s">
        <v>638</v>
      </c>
      <c r="C400" s="105" t="s">
        <v>8</v>
      </c>
      <c r="D400" s="105">
        <v>0</v>
      </c>
      <c r="E400" s="105">
        <v>0</v>
      </c>
      <c r="F400" s="105">
        <v>0</v>
      </c>
    </row>
    <row r="401" spans="1:6" x14ac:dyDescent="0.25">
      <c r="A401" s="105">
        <f t="shared" si="6"/>
        <v>1120336</v>
      </c>
      <c r="B401" s="105" t="s">
        <v>639</v>
      </c>
      <c r="C401" s="105" t="s">
        <v>640</v>
      </c>
      <c r="D401" s="105">
        <v>11000</v>
      </c>
      <c r="E401" s="105">
        <v>6600</v>
      </c>
      <c r="F401" s="105">
        <v>0</v>
      </c>
    </row>
    <row r="402" spans="1:6" x14ac:dyDescent="0.25">
      <c r="A402" s="105">
        <f t="shared" si="6"/>
        <v>1120350</v>
      </c>
      <c r="B402" s="105" t="s">
        <v>641</v>
      </c>
      <c r="C402" s="105" t="s">
        <v>642</v>
      </c>
      <c r="D402" s="105">
        <v>0</v>
      </c>
      <c r="E402" s="105">
        <v>0</v>
      </c>
      <c r="F402" s="105">
        <v>0</v>
      </c>
    </row>
    <row r="403" spans="1:6" x14ac:dyDescent="0.25">
      <c r="A403" s="105">
        <f t="shared" si="6"/>
        <v>1120351</v>
      </c>
      <c r="B403" s="105" t="s">
        <v>643</v>
      </c>
      <c r="C403" s="105" t="s">
        <v>644</v>
      </c>
      <c r="D403" s="105">
        <v>0</v>
      </c>
      <c r="E403" s="105">
        <v>0</v>
      </c>
      <c r="F403" s="105">
        <v>0</v>
      </c>
    </row>
    <row r="404" spans="1:6" x14ac:dyDescent="0.25">
      <c r="A404" s="105">
        <f t="shared" si="6"/>
        <v>1120352</v>
      </c>
      <c r="B404" s="105" t="s">
        <v>645</v>
      </c>
      <c r="C404" s="105" t="s">
        <v>646</v>
      </c>
      <c r="D404" s="105">
        <v>3180</v>
      </c>
      <c r="E404" s="105">
        <v>1908</v>
      </c>
      <c r="F404" s="105">
        <v>0</v>
      </c>
    </row>
    <row r="405" spans="1:6" x14ac:dyDescent="0.25">
      <c r="A405" s="105">
        <f t="shared" si="6"/>
        <v>1120353</v>
      </c>
      <c r="B405" s="105" t="s">
        <v>647</v>
      </c>
      <c r="C405" s="105" t="s">
        <v>648</v>
      </c>
      <c r="D405" s="105">
        <v>0</v>
      </c>
      <c r="E405" s="105">
        <v>0</v>
      </c>
      <c r="F405" s="105">
        <v>0</v>
      </c>
    </row>
    <row r="406" spans="1:6" x14ac:dyDescent="0.25">
      <c r="A406" s="105">
        <f t="shared" si="6"/>
        <v>1120354</v>
      </c>
      <c r="B406" s="105" t="s">
        <v>649</v>
      </c>
      <c r="C406" s="105" t="s">
        <v>650</v>
      </c>
      <c r="D406" s="105">
        <v>0</v>
      </c>
      <c r="E406" s="105">
        <v>0</v>
      </c>
      <c r="F406" s="105">
        <v>0</v>
      </c>
    </row>
    <row r="407" spans="1:6" x14ac:dyDescent="0.25">
      <c r="A407" s="105">
        <f t="shared" si="6"/>
        <v>1120355</v>
      </c>
      <c r="B407" s="105" t="s">
        <v>651</v>
      </c>
      <c r="C407" s="105" t="s">
        <v>652</v>
      </c>
      <c r="D407" s="105">
        <v>1442.2</v>
      </c>
      <c r="E407" s="105">
        <v>865.32</v>
      </c>
      <c r="F407" s="105">
        <v>0</v>
      </c>
    </row>
    <row r="408" spans="1:6" x14ac:dyDescent="0.25">
      <c r="A408" s="105">
        <f t="shared" si="6"/>
        <v>1120356</v>
      </c>
      <c r="B408" s="105" t="s">
        <v>653</v>
      </c>
      <c r="C408" s="105" t="s">
        <v>654</v>
      </c>
      <c r="D408" s="105">
        <v>0</v>
      </c>
      <c r="E408" s="105">
        <v>0</v>
      </c>
      <c r="F408" s="105">
        <v>1</v>
      </c>
    </row>
    <row r="409" spans="1:6" x14ac:dyDescent="0.25">
      <c r="A409" s="105" t="str">
        <f t="shared" si="6"/>
        <v/>
      </c>
      <c r="B409" s="105" t="s">
        <v>655</v>
      </c>
      <c r="C409" s="105" t="s">
        <v>8</v>
      </c>
      <c r="D409" s="105">
        <v>0</v>
      </c>
      <c r="E409" s="105">
        <v>0</v>
      </c>
      <c r="F409" s="105">
        <v>0</v>
      </c>
    </row>
    <row r="410" spans="1:6" x14ac:dyDescent="0.25">
      <c r="A410" s="105">
        <f t="shared" si="6"/>
        <v>1120367</v>
      </c>
      <c r="B410" s="105" t="s">
        <v>656</v>
      </c>
      <c r="C410" s="105" t="s">
        <v>657</v>
      </c>
      <c r="D410" s="105">
        <v>10500</v>
      </c>
      <c r="E410" s="105">
        <v>6300</v>
      </c>
      <c r="F410" s="105">
        <v>0</v>
      </c>
    </row>
    <row r="411" spans="1:6" x14ac:dyDescent="0.25">
      <c r="A411" s="105" t="str">
        <f t="shared" si="6"/>
        <v/>
      </c>
      <c r="B411" s="105" t="s">
        <v>658</v>
      </c>
      <c r="C411" s="105" t="s">
        <v>8</v>
      </c>
      <c r="D411" s="105">
        <v>0</v>
      </c>
      <c r="E411" s="105">
        <v>0</v>
      </c>
      <c r="F411" s="105">
        <v>0</v>
      </c>
    </row>
    <row r="412" spans="1:6" x14ac:dyDescent="0.25">
      <c r="A412" s="105">
        <f t="shared" si="6"/>
        <v>1120368</v>
      </c>
      <c r="B412" s="105" t="s">
        <v>659</v>
      </c>
      <c r="C412" s="105" t="s">
        <v>660</v>
      </c>
      <c r="D412" s="105">
        <v>10000</v>
      </c>
      <c r="E412" s="105">
        <v>6000</v>
      </c>
      <c r="F412" s="105">
        <v>0</v>
      </c>
    </row>
    <row r="413" spans="1:6" x14ac:dyDescent="0.25">
      <c r="A413" s="105">
        <f t="shared" si="6"/>
        <v>1120369</v>
      </c>
      <c r="B413" s="105" t="s">
        <v>661</v>
      </c>
      <c r="C413" s="105" t="s">
        <v>662</v>
      </c>
      <c r="D413" s="105">
        <v>9500</v>
      </c>
      <c r="E413" s="105">
        <v>5700</v>
      </c>
      <c r="F413" s="105">
        <v>0</v>
      </c>
    </row>
    <row r="414" spans="1:6" x14ac:dyDescent="0.25">
      <c r="A414" s="105" t="str">
        <f t="shared" si="6"/>
        <v/>
      </c>
      <c r="B414" s="105" t="s">
        <v>663</v>
      </c>
      <c r="C414" s="105" t="s">
        <v>8</v>
      </c>
      <c r="D414" s="105">
        <v>0</v>
      </c>
      <c r="E414" s="105">
        <v>0</v>
      </c>
      <c r="F414" s="105">
        <v>0</v>
      </c>
    </row>
    <row r="415" spans="1:6" x14ac:dyDescent="0.25">
      <c r="A415" s="105">
        <f t="shared" si="6"/>
        <v>1120400</v>
      </c>
      <c r="B415" s="105" t="s">
        <v>664</v>
      </c>
      <c r="C415" s="105" t="s">
        <v>665</v>
      </c>
      <c r="D415" s="105">
        <v>6254</v>
      </c>
      <c r="E415" s="105">
        <v>3752.4</v>
      </c>
      <c r="F415" s="105">
        <v>0</v>
      </c>
    </row>
    <row r="416" spans="1:6" x14ac:dyDescent="0.25">
      <c r="A416" s="105" t="str">
        <f t="shared" si="6"/>
        <v/>
      </c>
      <c r="B416" s="105" t="s">
        <v>666</v>
      </c>
      <c r="C416" s="105" t="s">
        <v>8</v>
      </c>
      <c r="D416" s="105">
        <v>0</v>
      </c>
      <c r="E416" s="105">
        <v>0</v>
      </c>
      <c r="F416" s="105">
        <v>0</v>
      </c>
    </row>
    <row r="417" spans="1:6" x14ac:dyDescent="0.25">
      <c r="A417" s="105">
        <f t="shared" si="6"/>
        <v>1120401</v>
      </c>
      <c r="B417" s="105" t="s">
        <v>667</v>
      </c>
      <c r="C417" s="105" t="s">
        <v>668</v>
      </c>
      <c r="D417" s="105">
        <v>6466</v>
      </c>
      <c r="E417" s="105">
        <v>3879.6</v>
      </c>
      <c r="F417" s="105">
        <v>0</v>
      </c>
    </row>
    <row r="418" spans="1:6" x14ac:dyDescent="0.25">
      <c r="A418" s="105" t="str">
        <f t="shared" si="6"/>
        <v/>
      </c>
      <c r="B418" s="105" t="s">
        <v>669</v>
      </c>
      <c r="C418" s="105" t="s">
        <v>8</v>
      </c>
      <c r="D418" s="105">
        <v>0</v>
      </c>
      <c r="E418" s="105">
        <v>0</v>
      </c>
      <c r="F418" s="105">
        <v>0</v>
      </c>
    </row>
    <row r="419" spans="1:6" x14ac:dyDescent="0.25">
      <c r="A419" s="105">
        <f t="shared" si="6"/>
        <v>1120402</v>
      </c>
      <c r="B419" s="105" t="s">
        <v>670</v>
      </c>
      <c r="C419" s="105" t="s">
        <v>671</v>
      </c>
      <c r="D419" s="105">
        <v>6678</v>
      </c>
      <c r="E419" s="105">
        <v>4006.8</v>
      </c>
      <c r="F419" s="105">
        <v>0</v>
      </c>
    </row>
    <row r="420" spans="1:6" x14ac:dyDescent="0.25">
      <c r="A420" s="105">
        <f t="shared" si="6"/>
        <v>1120414</v>
      </c>
      <c r="B420" s="105" t="s">
        <v>672</v>
      </c>
      <c r="C420" s="105" t="s">
        <v>673</v>
      </c>
      <c r="D420" s="105">
        <v>10176</v>
      </c>
      <c r="E420" s="105">
        <v>6105.6</v>
      </c>
      <c r="F420" s="105">
        <v>44</v>
      </c>
    </row>
    <row r="421" spans="1:6" x14ac:dyDescent="0.25">
      <c r="A421" s="105">
        <f t="shared" si="6"/>
        <v>1120415</v>
      </c>
      <c r="B421" s="105" t="s">
        <v>674</v>
      </c>
      <c r="C421" s="105" t="s">
        <v>675</v>
      </c>
      <c r="D421" s="105">
        <v>10388</v>
      </c>
      <c r="E421" s="105">
        <v>6232.8</v>
      </c>
      <c r="F421" s="105">
        <v>25</v>
      </c>
    </row>
    <row r="422" spans="1:6" x14ac:dyDescent="0.25">
      <c r="A422" s="105">
        <f t="shared" si="6"/>
        <v>1120416</v>
      </c>
      <c r="B422" s="105" t="s">
        <v>676</v>
      </c>
      <c r="C422" s="105" t="s">
        <v>677</v>
      </c>
      <c r="D422" s="105">
        <v>10600</v>
      </c>
      <c r="E422" s="105">
        <v>6360</v>
      </c>
      <c r="F422" s="105">
        <v>6</v>
      </c>
    </row>
    <row r="423" spans="1:6" x14ac:dyDescent="0.25">
      <c r="A423" s="105" t="str">
        <f t="shared" si="6"/>
        <v/>
      </c>
      <c r="B423" s="105" t="s">
        <v>678</v>
      </c>
      <c r="C423" s="105" t="s">
        <v>8</v>
      </c>
      <c r="D423" s="105">
        <v>0</v>
      </c>
      <c r="E423" s="105">
        <v>0</v>
      </c>
      <c r="F423" s="105">
        <v>0</v>
      </c>
    </row>
    <row r="424" spans="1:6" x14ac:dyDescent="0.25">
      <c r="A424" s="105">
        <f t="shared" si="6"/>
        <v>1120417</v>
      </c>
      <c r="B424" s="105" t="s">
        <v>679</v>
      </c>
      <c r="C424" s="105" t="s">
        <v>680</v>
      </c>
      <c r="D424" s="105">
        <v>10812</v>
      </c>
      <c r="E424" s="105">
        <v>6487.2</v>
      </c>
      <c r="F424" s="105">
        <v>0</v>
      </c>
    </row>
    <row r="425" spans="1:6" x14ac:dyDescent="0.25">
      <c r="A425" s="105">
        <f t="shared" si="6"/>
        <v>1120428</v>
      </c>
      <c r="B425" s="105" t="s">
        <v>681</v>
      </c>
      <c r="C425" s="105" t="s">
        <v>682</v>
      </c>
      <c r="D425" s="105">
        <v>6466</v>
      </c>
      <c r="E425" s="105">
        <v>3879.6</v>
      </c>
      <c r="F425" s="105">
        <v>3</v>
      </c>
    </row>
    <row r="426" spans="1:6" x14ac:dyDescent="0.25">
      <c r="A426" s="105">
        <f t="shared" si="6"/>
        <v>1120429</v>
      </c>
      <c r="B426" s="105" t="s">
        <v>683</v>
      </c>
      <c r="C426" s="105" t="s">
        <v>684</v>
      </c>
      <c r="D426" s="105">
        <v>6572</v>
      </c>
      <c r="E426" s="105">
        <v>3943.2</v>
      </c>
      <c r="F426" s="105">
        <v>12</v>
      </c>
    </row>
    <row r="427" spans="1:6" x14ac:dyDescent="0.25">
      <c r="A427" s="105">
        <f t="shared" si="6"/>
        <v>1120430</v>
      </c>
      <c r="B427" s="105" t="s">
        <v>685</v>
      </c>
      <c r="C427" s="105" t="s">
        <v>686</v>
      </c>
      <c r="D427" s="105">
        <v>6678</v>
      </c>
      <c r="E427" s="105">
        <v>4006.8</v>
      </c>
      <c r="F427" s="105">
        <v>0</v>
      </c>
    </row>
    <row r="428" spans="1:6" x14ac:dyDescent="0.25">
      <c r="A428" s="105" t="str">
        <f t="shared" si="6"/>
        <v/>
      </c>
      <c r="B428" s="105" t="s">
        <v>687</v>
      </c>
      <c r="C428" s="105" t="s">
        <v>8</v>
      </c>
      <c r="D428" s="105">
        <v>0</v>
      </c>
      <c r="E428" s="105">
        <v>0</v>
      </c>
      <c r="F428" s="105">
        <v>0</v>
      </c>
    </row>
    <row r="429" spans="1:6" x14ac:dyDescent="0.25">
      <c r="A429" s="105">
        <f t="shared" si="6"/>
        <v>1120431</v>
      </c>
      <c r="B429" s="105" t="s">
        <v>688</v>
      </c>
      <c r="C429" s="105" t="s">
        <v>689</v>
      </c>
      <c r="D429" s="105">
        <v>0</v>
      </c>
      <c r="E429" s="105">
        <v>0</v>
      </c>
      <c r="F429" s="105">
        <v>0</v>
      </c>
    </row>
    <row r="430" spans="1:6" x14ac:dyDescent="0.25">
      <c r="A430" s="105">
        <f t="shared" si="6"/>
        <v>1120433</v>
      </c>
      <c r="B430" s="105" t="s">
        <v>690</v>
      </c>
      <c r="C430" s="105" t="s">
        <v>691</v>
      </c>
      <c r="D430" s="105">
        <v>7102</v>
      </c>
      <c r="E430" s="105">
        <v>4261.2</v>
      </c>
      <c r="F430" s="105">
        <v>1</v>
      </c>
    </row>
    <row r="431" spans="1:6" x14ac:dyDescent="0.25">
      <c r="A431" s="105" t="str">
        <f t="shared" si="6"/>
        <v/>
      </c>
      <c r="B431" s="105" t="s">
        <v>692</v>
      </c>
      <c r="C431" s="105" t="s">
        <v>8</v>
      </c>
      <c r="D431" s="105">
        <v>0</v>
      </c>
      <c r="E431" s="105">
        <v>0</v>
      </c>
      <c r="F431" s="105">
        <v>0</v>
      </c>
    </row>
    <row r="432" spans="1:6" x14ac:dyDescent="0.25">
      <c r="A432" s="105">
        <f t="shared" si="6"/>
        <v>1120434</v>
      </c>
      <c r="B432" s="105" t="s">
        <v>693</v>
      </c>
      <c r="C432" s="105" t="s">
        <v>694</v>
      </c>
      <c r="D432" s="105">
        <v>7314</v>
      </c>
      <c r="E432" s="105">
        <v>4388.3999999999996</v>
      </c>
      <c r="F432" s="105">
        <v>0</v>
      </c>
    </row>
    <row r="433" spans="1:6" x14ac:dyDescent="0.25">
      <c r="A433" s="105" t="str">
        <f t="shared" si="6"/>
        <v/>
      </c>
      <c r="B433" s="105" t="s">
        <v>695</v>
      </c>
      <c r="C433" s="105" t="s">
        <v>8</v>
      </c>
      <c r="D433" s="105">
        <v>0</v>
      </c>
      <c r="E433" s="105">
        <v>0</v>
      </c>
      <c r="F433" s="105">
        <v>0</v>
      </c>
    </row>
    <row r="434" spans="1:6" x14ac:dyDescent="0.25">
      <c r="A434" s="105">
        <f t="shared" si="6"/>
        <v>1120442</v>
      </c>
      <c r="B434" s="105" t="s">
        <v>696</v>
      </c>
      <c r="C434" s="105" t="s">
        <v>697</v>
      </c>
      <c r="D434" s="105">
        <v>0</v>
      </c>
      <c r="E434" s="105">
        <v>0</v>
      </c>
      <c r="F434" s="105">
        <v>0</v>
      </c>
    </row>
    <row r="435" spans="1:6" x14ac:dyDescent="0.25">
      <c r="A435" s="105" t="str">
        <f t="shared" si="6"/>
        <v/>
      </c>
      <c r="B435" s="105" t="s">
        <v>698</v>
      </c>
      <c r="C435" s="105" t="s">
        <v>8</v>
      </c>
      <c r="D435" s="105">
        <v>0</v>
      </c>
      <c r="E435" s="105">
        <v>0</v>
      </c>
      <c r="F435" s="105">
        <v>0</v>
      </c>
    </row>
    <row r="436" spans="1:6" x14ac:dyDescent="0.25">
      <c r="A436" s="105">
        <f t="shared" si="6"/>
        <v>1120443</v>
      </c>
      <c r="B436" s="105" t="s">
        <v>699</v>
      </c>
      <c r="C436" s="105" t="s">
        <v>700</v>
      </c>
      <c r="D436" s="105">
        <v>0</v>
      </c>
      <c r="E436" s="105">
        <v>0</v>
      </c>
      <c r="F436" s="105">
        <v>0</v>
      </c>
    </row>
    <row r="437" spans="1:6" x14ac:dyDescent="0.25">
      <c r="A437" s="105" t="str">
        <f t="shared" si="6"/>
        <v/>
      </c>
      <c r="B437" s="105" t="s">
        <v>701</v>
      </c>
      <c r="C437" s="105" t="s">
        <v>8</v>
      </c>
      <c r="D437" s="105">
        <v>0</v>
      </c>
      <c r="E437" s="105">
        <v>0</v>
      </c>
      <c r="F437" s="105">
        <v>0</v>
      </c>
    </row>
    <row r="438" spans="1:6" x14ac:dyDescent="0.25">
      <c r="A438" s="105">
        <f t="shared" si="6"/>
        <v>1120444</v>
      </c>
      <c r="B438" s="105" t="s">
        <v>702</v>
      </c>
      <c r="C438" s="105" t="s">
        <v>703</v>
      </c>
      <c r="D438" s="105">
        <v>0</v>
      </c>
      <c r="E438" s="105">
        <v>0</v>
      </c>
      <c r="F438" s="105">
        <v>0</v>
      </c>
    </row>
    <row r="439" spans="1:6" x14ac:dyDescent="0.25">
      <c r="A439" s="105">
        <f t="shared" si="6"/>
        <v>1120445</v>
      </c>
      <c r="B439" s="105" t="s">
        <v>704</v>
      </c>
      <c r="C439" s="105" t="s">
        <v>705</v>
      </c>
      <c r="D439" s="105">
        <v>6678</v>
      </c>
      <c r="E439" s="105">
        <v>4006.8</v>
      </c>
      <c r="F439" s="105">
        <v>37</v>
      </c>
    </row>
    <row r="440" spans="1:6" x14ac:dyDescent="0.25">
      <c r="A440" s="105">
        <f t="shared" si="6"/>
        <v>1120446</v>
      </c>
      <c r="B440" s="105" t="s">
        <v>706</v>
      </c>
      <c r="C440" s="105" t="s">
        <v>707</v>
      </c>
      <c r="D440" s="105">
        <v>6890</v>
      </c>
      <c r="E440" s="105">
        <v>4134</v>
      </c>
      <c r="F440" s="105">
        <v>0</v>
      </c>
    </row>
    <row r="441" spans="1:6" x14ac:dyDescent="0.25">
      <c r="A441" s="105" t="str">
        <f t="shared" si="6"/>
        <v/>
      </c>
      <c r="B441" s="105" t="s">
        <v>708</v>
      </c>
      <c r="C441" s="105" t="s">
        <v>8</v>
      </c>
      <c r="D441" s="105">
        <v>0</v>
      </c>
      <c r="E441" s="105">
        <v>0</v>
      </c>
      <c r="F441" s="105">
        <v>0</v>
      </c>
    </row>
    <row r="442" spans="1:6" x14ac:dyDescent="0.25">
      <c r="A442" s="105">
        <f t="shared" si="6"/>
        <v>1120447</v>
      </c>
      <c r="B442" s="105" t="s">
        <v>709</v>
      </c>
      <c r="C442" s="105" t="s">
        <v>710</v>
      </c>
      <c r="D442" s="105">
        <v>0</v>
      </c>
      <c r="E442" s="105">
        <v>0</v>
      </c>
      <c r="F442" s="105">
        <v>0</v>
      </c>
    </row>
    <row r="443" spans="1:6" x14ac:dyDescent="0.25">
      <c r="A443" s="105" t="str">
        <f t="shared" si="6"/>
        <v/>
      </c>
      <c r="B443" s="105" t="s">
        <v>711</v>
      </c>
      <c r="C443" s="105" t="s">
        <v>8</v>
      </c>
      <c r="D443" s="105">
        <v>0</v>
      </c>
      <c r="E443" s="105">
        <v>0</v>
      </c>
      <c r="F443" s="105">
        <v>0</v>
      </c>
    </row>
    <row r="444" spans="1:6" x14ac:dyDescent="0.25">
      <c r="A444" s="105">
        <f t="shared" si="6"/>
        <v>1120448</v>
      </c>
      <c r="B444" s="105" t="s">
        <v>712</v>
      </c>
      <c r="C444" s="105" t="s">
        <v>713</v>
      </c>
      <c r="D444" s="105">
        <v>6678</v>
      </c>
      <c r="E444" s="105">
        <v>4006.8</v>
      </c>
      <c r="F444" s="105">
        <v>0</v>
      </c>
    </row>
    <row r="445" spans="1:6" x14ac:dyDescent="0.25">
      <c r="A445" s="105">
        <f t="shared" si="6"/>
        <v>1120449</v>
      </c>
      <c r="B445" s="105" t="s">
        <v>714</v>
      </c>
      <c r="C445" s="105" t="s">
        <v>715</v>
      </c>
      <c r="D445" s="105">
        <v>6572</v>
      </c>
      <c r="E445" s="105">
        <v>3943.2</v>
      </c>
      <c r="F445" s="105">
        <v>10</v>
      </c>
    </row>
    <row r="446" spans="1:6" x14ac:dyDescent="0.25">
      <c r="A446" s="105">
        <f t="shared" si="6"/>
        <v>1120450</v>
      </c>
      <c r="B446" s="105" t="s">
        <v>716</v>
      </c>
      <c r="C446" s="105" t="s">
        <v>717</v>
      </c>
      <c r="D446" s="105">
        <v>6466</v>
      </c>
      <c r="E446" s="105">
        <v>3879.6</v>
      </c>
      <c r="F446" s="105">
        <v>5</v>
      </c>
    </row>
    <row r="447" spans="1:6" x14ac:dyDescent="0.25">
      <c r="A447" s="105">
        <f t="shared" si="6"/>
        <v>1120451</v>
      </c>
      <c r="B447" s="105" t="s">
        <v>718</v>
      </c>
      <c r="C447" s="105" t="s">
        <v>719</v>
      </c>
      <c r="D447" s="105">
        <v>8056</v>
      </c>
      <c r="E447" s="105">
        <v>4833.6000000000004</v>
      </c>
      <c r="F447" s="105">
        <v>0</v>
      </c>
    </row>
    <row r="448" spans="1:6" x14ac:dyDescent="0.25">
      <c r="A448" s="105" t="str">
        <f t="shared" si="6"/>
        <v/>
      </c>
      <c r="B448" s="105" t="s">
        <v>720</v>
      </c>
      <c r="C448" s="105" t="s">
        <v>8</v>
      </c>
      <c r="D448" s="105">
        <v>0</v>
      </c>
      <c r="E448" s="105">
        <v>0</v>
      </c>
      <c r="F448" s="105">
        <v>0</v>
      </c>
    </row>
    <row r="449" spans="1:6" x14ac:dyDescent="0.25">
      <c r="A449" s="105">
        <f t="shared" si="6"/>
        <v>1120452</v>
      </c>
      <c r="B449" s="105" t="s">
        <v>721</v>
      </c>
      <c r="C449" s="105" t="s">
        <v>722</v>
      </c>
      <c r="D449" s="105">
        <v>8268</v>
      </c>
      <c r="E449" s="105">
        <v>4960.8</v>
      </c>
      <c r="F449" s="105">
        <v>0</v>
      </c>
    </row>
    <row r="450" spans="1:6" x14ac:dyDescent="0.25">
      <c r="A450" s="105" t="str">
        <f t="shared" si="6"/>
        <v/>
      </c>
      <c r="B450" s="105" t="s">
        <v>723</v>
      </c>
      <c r="C450" s="105" t="s">
        <v>8</v>
      </c>
      <c r="D450" s="105">
        <v>0</v>
      </c>
      <c r="E450" s="105">
        <v>0</v>
      </c>
      <c r="F450" s="105">
        <v>0</v>
      </c>
    </row>
    <row r="451" spans="1:6" x14ac:dyDescent="0.25">
      <c r="A451" s="105">
        <f t="shared" ref="A451:A514" si="7">IF(B451&lt;&gt;"",IFERROR(B451*1,""),"")</f>
        <v>1120453</v>
      </c>
      <c r="B451" s="105" t="s">
        <v>724</v>
      </c>
      <c r="C451" s="105" t="s">
        <v>725</v>
      </c>
      <c r="D451" s="105">
        <v>8480</v>
      </c>
      <c r="E451" s="105">
        <v>5088</v>
      </c>
      <c r="F451" s="105">
        <v>0</v>
      </c>
    </row>
    <row r="452" spans="1:6" x14ac:dyDescent="0.25">
      <c r="A452" s="105" t="str">
        <f t="shared" si="7"/>
        <v/>
      </c>
      <c r="B452" s="105" t="s">
        <v>726</v>
      </c>
      <c r="C452" s="105" t="s">
        <v>8</v>
      </c>
      <c r="D452" s="105">
        <v>0</v>
      </c>
      <c r="E452" s="105">
        <v>0</v>
      </c>
      <c r="F452" s="105">
        <v>0</v>
      </c>
    </row>
    <row r="453" spans="1:6" x14ac:dyDescent="0.25">
      <c r="A453" s="105">
        <f t="shared" si="7"/>
        <v>1120454</v>
      </c>
      <c r="B453" s="105" t="s">
        <v>727</v>
      </c>
      <c r="C453" s="105" t="s">
        <v>728</v>
      </c>
      <c r="D453" s="105">
        <v>8692</v>
      </c>
      <c r="E453" s="105">
        <v>5215.2</v>
      </c>
      <c r="F453" s="105">
        <v>0</v>
      </c>
    </row>
    <row r="454" spans="1:6" x14ac:dyDescent="0.25">
      <c r="A454" s="105">
        <f t="shared" si="7"/>
        <v>1120455</v>
      </c>
      <c r="B454" s="105" t="s">
        <v>729</v>
      </c>
      <c r="C454" s="105" t="s">
        <v>730</v>
      </c>
      <c r="D454" s="105">
        <v>8056</v>
      </c>
      <c r="E454" s="105">
        <v>4833.6000000000004</v>
      </c>
      <c r="F454" s="105">
        <v>23</v>
      </c>
    </row>
    <row r="455" spans="1:6" x14ac:dyDescent="0.25">
      <c r="A455" s="105" t="str">
        <f t="shared" si="7"/>
        <v/>
      </c>
      <c r="B455" s="105" t="s">
        <v>731</v>
      </c>
      <c r="C455" s="105" t="s">
        <v>8</v>
      </c>
      <c r="D455" s="105">
        <v>0</v>
      </c>
      <c r="E455" s="105">
        <v>0</v>
      </c>
      <c r="F455" s="105">
        <v>0</v>
      </c>
    </row>
    <row r="456" spans="1:6" x14ac:dyDescent="0.25">
      <c r="A456" s="105">
        <f t="shared" si="7"/>
        <v>1120457</v>
      </c>
      <c r="B456" s="105" t="s">
        <v>732</v>
      </c>
      <c r="C456" s="105" t="s">
        <v>733</v>
      </c>
      <c r="D456" s="105">
        <v>8480</v>
      </c>
      <c r="E456" s="105">
        <v>5088</v>
      </c>
      <c r="F456" s="105">
        <v>0</v>
      </c>
    </row>
    <row r="457" spans="1:6" x14ac:dyDescent="0.25">
      <c r="A457" s="105">
        <f t="shared" si="7"/>
        <v>1120458</v>
      </c>
      <c r="B457" s="105" t="s">
        <v>734</v>
      </c>
      <c r="C457" s="105" t="s">
        <v>735</v>
      </c>
      <c r="D457" s="105">
        <v>8056</v>
      </c>
      <c r="E457" s="105">
        <v>4833.6000000000004</v>
      </c>
      <c r="F457" s="105">
        <v>0</v>
      </c>
    </row>
    <row r="458" spans="1:6" x14ac:dyDescent="0.25">
      <c r="A458" s="105" t="str">
        <f t="shared" si="7"/>
        <v/>
      </c>
      <c r="B458" s="105" t="s">
        <v>736</v>
      </c>
      <c r="C458" s="105" t="s">
        <v>8</v>
      </c>
      <c r="D458" s="105">
        <v>0</v>
      </c>
      <c r="E458" s="105">
        <v>0</v>
      </c>
      <c r="F458" s="105">
        <v>0</v>
      </c>
    </row>
    <row r="459" spans="1:6" x14ac:dyDescent="0.25">
      <c r="A459" s="105">
        <f t="shared" si="7"/>
        <v>1120459</v>
      </c>
      <c r="B459" s="105" t="s">
        <v>737</v>
      </c>
      <c r="C459" s="105" t="s">
        <v>738</v>
      </c>
      <c r="D459" s="105">
        <v>8268</v>
      </c>
      <c r="E459" s="105">
        <v>4960.8</v>
      </c>
      <c r="F459" s="105">
        <v>0</v>
      </c>
    </row>
    <row r="460" spans="1:6" x14ac:dyDescent="0.25">
      <c r="A460" s="105" t="str">
        <f t="shared" si="7"/>
        <v/>
      </c>
      <c r="B460" s="105" t="s">
        <v>739</v>
      </c>
      <c r="C460" s="105" t="s">
        <v>8</v>
      </c>
      <c r="D460" s="105">
        <v>0</v>
      </c>
      <c r="E460" s="105">
        <v>0</v>
      </c>
      <c r="F460" s="105">
        <v>0</v>
      </c>
    </row>
    <row r="461" spans="1:6" x14ac:dyDescent="0.25">
      <c r="A461" s="105">
        <f t="shared" si="7"/>
        <v>1120460</v>
      </c>
      <c r="B461" s="105" t="s">
        <v>740</v>
      </c>
      <c r="C461" s="105" t="s">
        <v>741</v>
      </c>
      <c r="D461" s="105">
        <v>8692</v>
      </c>
      <c r="E461" s="105">
        <v>5215.2</v>
      </c>
      <c r="F461" s="105">
        <v>0</v>
      </c>
    </row>
    <row r="462" spans="1:6" x14ac:dyDescent="0.25">
      <c r="A462" s="105">
        <f t="shared" si="7"/>
        <v>1120462</v>
      </c>
      <c r="B462" s="105" t="s">
        <v>742</v>
      </c>
      <c r="C462" s="105" t="s">
        <v>743</v>
      </c>
      <c r="D462" s="105">
        <v>10000</v>
      </c>
      <c r="E462" s="105">
        <v>6000</v>
      </c>
      <c r="F462" s="105">
        <v>22</v>
      </c>
    </row>
    <row r="463" spans="1:6" x14ac:dyDescent="0.25">
      <c r="A463" s="105">
        <f t="shared" si="7"/>
        <v>1120463</v>
      </c>
      <c r="B463" s="105" t="s">
        <v>744</v>
      </c>
      <c r="C463" s="105" t="s">
        <v>745</v>
      </c>
      <c r="D463" s="105">
        <v>10500</v>
      </c>
      <c r="E463" s="105">
        <v>6300</v>
      </c>
      <c r="F463" s="105">
        <v>7</v>
      </c>
    </row>
    <row r="464" spans="1:6" x14ac:dyDescent="0.25">
      <c r="A464" s="105">
        <f t="shared" si="7"/>
        <v>1120464</v>
      </c>
      <c r="B464" s="105" t="s">
        <v>746</v>
      </c>
      <c r="C464" s="105" t="s">
        <v>747</v>
      </c>
      <c r="D464" s="105">
        <v>11000</v>
      </c>
      <c r="E464" s="105">
        <v>6600</v>
      </c>
      <c r="F464" s="105">
        <v>0</v>
      </c>
    </row>
    <row r="465" spans="1:6" x14ac:dyDescent="0.25">
      <c r="A465" s="105" t="str">
        <f t="shared" si="7"/>
        <v/>
      </c>
      <c r="B465" s="105" t="s">
        <v>748</v>
      </c>
      <c r="C465" s="105" t="s">
        <v>8</v>
      </c>
      <c r="D465" s="105">
        <v>0</v>
      </c>
      <c r="E465" s="105">
        <v>0</v>
      </c>
      <c r="F465" s="105">
        <v>0</v>
      </c>
    </row>
    <row r="466" spans="1:6" x14ac:dyDescent="0.25">
      <c r="A466" s="105">
        <f t="shared" si="7"/>
        <v>1120470</v>
      </c>
      <c r="B466" s="105" t="s">
        <v>749</v>
      </c>
      <c r="C466" s="105" t="s">
        <v>750</v>
      </c>
      <c r="D466" s="105">
        <v>0</v>
      </c>
      <c r="E466" s="105">
        <v>0</v>
      </c>
      <c r="F466" s="105">
        <v>0</v>
      </c>
    </row>
    <row r="467" spans="1:6" x14ac:dyDescent="0.25">
      <c r="A467" s="105" t="str">
        <f t="shared" si="7"/>
        <v/>
      </c>
      <c r="B467" s="105" t="s">
        <v>751</v>
      </c>
      <c r="C467" s="105" t="s">
        <v>8</v>
      </c>
      <c r="D467" s="105">
        <v>0</v>
      </c>
      <c r="E467" s="105">
        <v>0</v>
      </c>
      <c r="F467" s="105">
        <v>0</v>
      </c>
    </row>
    <row r="468" spans="1:6" x14ac:dyDescent="0.25">
      <c r="A468" s="105">
        <f t="shared" si="7"/>
        <v>1120471</v>
      </c>
      <c r="B468" s="105" t="s">
        <v>752</v>
      </c>
      <c r="C468" s="105" t="s">
        <v>753</v>
      </c>
      <c r="D468" s="105">
        <v>0</v>
      </c>
      <c r="E468" s="105">
        <v>0</v>
      </c>
      <c r="F468" s="105">
        <v>0</v>
      </c>
    </row>
    <row r="469" spans="1:6" x14ac:dyDescent="0.25">
      <c r="A469" s="105" t="str">
        <f t="shared" si="7"/>
        <v/>
      </c>
      <c r="B469" s="105" t="s">
        <v>754</v>
      </c>
      <c r="C469" s="105" t="s">
        <v>8</v>
      </c>
      <c r="D469" s="105">
        <v>0</v>
      </c>
      <c r="E469" s="105">
        <v>0</v>
      </c>
      <c r="F469" s="105">
        <v>0</v>
      </c>
    </row>
    <row r="470" spans="1:6" x14ac:dyDescent="0.25">
      <c r="A470" s="105">
        <f t="shared" si="7"/>
        <v>1120472</v>
      </c>
      <c r="B470" s="105" t="s">
        <v>755</v>
      </c>
      <c r="C470" s="105" t="s">
        <v>756</v>
      </c>
      <c r="D470" s="105">
        <v>0</v>
      </c>
      <c r="E470" s="105">
        <v>0</v>
      </c>
      <c r="F470" s="105">
        <v>0</v>
      </c>
    </row>
    <row r="471" spans="1:6" x14ac:dyDescent="0.25">
      <c r="A471" s="105" t="str">
        <f t="shared" si="7"/>
        <v/>
      </c>
      <c r="B471" s="105" t="s">
        <v>757</v>
      </c>
      <c r="C471" s="105" t="s">
        <v>8</v>
      </c>
      <c r="D471" s="105">
        <v>0</v>
      </c>
      <c r="E471" s="105">
        <v>0</v>
      </c>
      <c r="F471" s="105">
        <v>0</v>
      </c>
    </row>
    <row r="472" spans="1:6" x14ac:dyDescent="0.25">
      <c r="A472" s="105">
        <f t="shared" si="7"/>
        <v>1120473</v>
      </c>
      <c r="B472" s="105" t="s">
        <v>758</v>
      </c>
      <c r="C472" s="105" t="s">
        <v>759</v>
      </c>
      <c r="D472" s="105">
        <v>0</v>
      </c>
      <c r="E472" s="105">
        <v>0</v>
      </c>
      <c r="F472" s="105">
        <v>0</v>
      </c>
    </row>
    <row r="473" spans="1:6" x14ac:dyDescent="0.25">
      <c r="A473" s="105" t="str">
        <f t="shared" si="7"/>
        <v/>
      </c>
      <c r="B473" s="105" t="s">
        <v>760</v>
      </c>
      <c r="C473" s="105" t="s">
        <v>8</v>
      </c>
      <c r="D473" s="105">
        <v>0</v>
      </c>
      <c r="E473" s="105">
        <v>0</v>
      </c>
      <c r="F473" s="105">
        <v>0</v>
      </c>
    </row>
    <row r="474" spans="1:6" x14ac:dyDescent="0.25">
      <c r="A474" s="105">
        <f t="shared" si="7"/>
        <v>1120474</v>
      </c>
      <c r="B474" s="105" t="s">
        <v>761</v>
      </c>
      <c r="C474" s="105" t="s">
        <v>762</v>
      </c>
      <c r="D474" s="105">
        <v>0</v>
      </c>
      <c r="E474" s="105">
        <v>0</v>
      </c>
      <c r="F474" s="105">
        <v>0</v>
      </c>
    </row>
    <row r="475" spans="1:6" x14ac:dyDescent="0.25">
      <c r="A475" s="105" t="str">
        <f t="shared" si="7"/>
        <v/>
      </c>
      <c r="B475" s="105" t="s">
        <v>763</v>
      </c>
      <c r="C475" s="105" t="s">
        <v>8</v>
      </c>
      <c r="D475" s="105">
        <v>0</v>
      </c>
      <c r="E475" s="105">
        <v>0</v>
      </c>
      <c r="F475" s="105">
        <v>0</v>
      </c>
    </row>
    <row r="476" spans="1:6" x14ac:dyDescent="0.25">
      <c r="A476" s="105">
        <f t="shared" si="7"/>
        <v>1120475</v>
      </c>
      <c r="B476" s="105" t="s">
        <v>764</v>
      </c>
      <c r="C476" s="105" t="s">
        <v>765</v>
      </c>
      <c r="D476" s="105">
        <v>0</v>
      </c>
      <c r="E476" s="105">
        <v>0</v>
      </c>
      <c r="F476" s="105">
        <v>0</v>
      </c>
    </row>
    <row r="477" spans="1:6" x14ac:dyDescent="0.25">
      <c r="A477" s="105">
        <f t="shared" si="7"/>
        <v>1120478</v>
      </c>
      <c r="B477" s="105" t="s">
        <v>766</v>
      </c>
      <c r="C477" s="105" t="s">
        <v>767</v>
      </c>
      <c r="D477" s="105">
        <v>10500</v>
      </c>
      <c r="E477" s="105">
        <v>6300</v>
      </c>
      <c r="F477" s="105">
        <v>0</v>
      </c>
    </row>
    <row r="478" spans="1:6" x14ac:dyDescent="0.25">
      <c r="A478" s="105">
        <f t="shared" si="7"/>
        <v>1120479</v>
      </c>
      <c r="B478" s="105" t="s">
        <v>768</v>
      </c>
      <c r="C478" s="105" t="s">
        <v>769</v>
      </c>
      <c r="D478" s="105">
        <v>11000</v>
      </c>
      <c r="E478" s="105">
        <v>6600</v>
      </c>
      <c r="F478" s="105">
        <v>1</v>
      </c>
    </row>
    <row r="479" spans="1:6" x14ac:dyDescent="0.25">
      <c r="A479" s="105">
        <f t="shared" si="7"/>
        <v>1120480</v>
      </c>
      <c r="B479" s="105" t="s">
        <v>770</v>
      </c>
      <c r="C479" s="105" t="s">
        <v>771</v>
      </c>
      <c r="D479" s="105">
        <v>0</v>
      </c>
      <c r="E479" s="105">
        <v>0</v>
      </c>
      <c r="F479" s="105">
        <v>0</v>
      </c>
    </row>
    <row r="480" spans="1:6" x14ac:dyDescent="0.25">
      <c r="A480" s="105">
        <f t="shared" si="7"/>
        <v>1120485</v>
      </c>
      <c r="B480" s="105" t="s">
        <v>772</v>
      </c>
      <c r="C480" s="105" t="s">
        <v>773</v>
      </c>
      <c r="D480" s="105">
        <v>4876</v>
      </c>
      <c r="E480" s="105">
        <v>2925.6</v>
      </c>
      <c r="F480" s="105">
        <v>9</v>
      </c>
    </row>
    <row r="481" spans="1:6" x14ac:dyDescent="0.25">
      <c r="A481" s="105" t="str">
        <f t="shared" si="7"/>
        <v/>
      </c>
      <c r="B481" s="105" t="s">
        <v>774</v>
      </c>
      <c r="C481" s="105" t="s">
        <v>8</v>
      </c>
      <c r="D481" s="105">
        <v>0</v>
      </c>
      <c r="E481" s="105">
        <v>0</v>
      </c>
      <c r="F481" s="105">
        <v>0</v>
      </c>
    </row>
    <row r="482" spans="1:6" x14ac:dyDescent="0.25">
      <c r="A482" s="105">
        <f t="shared" si="7"/>
        <v>1120486</v>
      </c>
      <c r="B482" s="105" t="s">
        <v>775</v>
      </c>
      <c r="C482" s="105" t="s">
        <v>776</v>
      </c>
      <c r="D482" s="105">
        <v>5035</v>
      </c>
      <c r="E482" s="105">
        <v>3021</v>
      </c>
      <c r="F482" s="105">
        <v>2</v>
      </c>
    </row>
    <row r="483" spans="1:6" x14ac:dyDescent="0.25">
      <c r="A483" s="105" t="str">
        <f t="shared" si="7"/>
        <v/>
      </c>
      <c r="B483" s="105" t="s">
        <v>777</v>
      </c>
      <c r="C483" s="105" t="s">
        <v>8</v>
      </c>
      <c r="D483" s="105">
        <v>0</v>
      </c>
      <c r="E483" s="105">
        <v>0</v>
      </c>
      <c r="F483" s="105">
        <v>0</v>
      </c>
    </row>
    <row r="484" spans="1:6" x14ac:dyDescent="0.25">
      <c r="A484" s="105">
        <f t="shared" si="7"/>
        <v>1120490</v>
      </c>
      <c r="B484" s="105" t="s">
        <v>778</v>
      </c>
      <c r="C484" s="105" t="s">
        <v>779</v>
      </c>
      <c r="D484" s="105">
        <v>12900</v>
      </c>
      <c r="E484" s="105">
        <v>7740</v>
      </c>
      <c r="F484" s="105">
        <v>0</v>
      </c>
    </row>
    <row r="485" spans="1:6" x14ac:dyDescent="0.25">
      <c r="A485" s="105">
        <f t="shared" si="7"/>
        <v>112049044</v>
      </c>
      <c r="B485" s="105" t="s">
        <v>780</v>
      </c>
      <c r="C485" s="105" t="s">
        <v>781</v>
      </c>
      <c r="D485" s="105">
        <v>0</v>
      </c>
      <c r="E485" s="105">
        <v>0</v>
      </c>
      <c r="F485" s="105">
        <v>0</v>
      </c>
    </row>
    <row r="486" spans="1:6" x14ac:dyDescent="0.25">
      <c r="A486" s="105" t="str">
        <f t="shared" si="7"/>
        <v/>
      </c>
      <c r="B486" s="105" t="s">
        <v>782</v>
      </c>
      <c r="C486" s="105" t="s">
        <v>8</v>
      </c>
      <c r="D486" s="105">
        <v>0</v>
      </c>
      <c r="E486" s="105">
        <v>0</v>
      </c>
      <c r="F486" s="105">
        <v>0</v>
      </c>
    </row>
    <row r="487" spans="1:6" x14ac:dyDescent="0.25">
      <c r="A487" s="105">
        <f t="shared" si="7"/>
        <v>1120495</v>
      </c>
      <c r="B487" s="105" t="s">
        <v>783</v>
      </c>
      <c r="C487" s="105" t="s">
        <v>784</v>
      </c>
      <c r="D487" s="105">
        <v>0</v>
      </c>
      <c r="E487" s="105">
        <v>0</v>
      </c>
      <c r="F487" s="105">
        <v>0</v>
      </c>
    </row>
    <row r="488" spans="1:6" x14ac:dyDescent="0.25">
      <c r="A488" s="105" t="str">
        <f t="shared" si="7"/>
        <v/>
      </c>
      <c r="B488" s="105" t="s">
        <v>785</v>
      </c>
      <c r="C488" s="105" t="s">
        <v>8</v>
      </c>
      <c r="D488" s="105">
        <v>0</v>
      </c>
      <c r="E488" s="105">
        <v>0</v>
      </c>
      <c r="F488" s="105">
        <v>0</v>
      </c>
    </row>
    <row r="489" spans="1:6" x14ac:dyDescent="0.25">
      <c r="A489" s="105">
        <f t="shared" si="7"/>
        <v>1120496</v>
      </c>
      <c r="B489" s="105" t="s">
        <v>786</v>
      </c>
      <c r="C489" s="105" t="s">
        <v>787</v>
      </c>
      <c r="D489" s="105">
        <v>6466</v>
      </c>
      <c r="E489" s="105">
        <v>3879.6</v>
      </c>
      <c r="F489" s="105">
        <v>29</v>
      </c>
    </row>
    <row r="490" spans="1:6" x14ac:dyDescent="0.25">
      <c r="A490" s="105" t="str">
        <f t="shared" si="7"/>
        <v/>
      </c>
      <c r="B490" s="105" t="s">
        <v>788</v>
      </c>
      <c r="C490" s="105" t="s">
        <v>8</v>
      </c>
      <c r="D490" s="105">
        <v>0</v>
      </c>
      <c r="E490" s="105">
        <v>0</v>
      </c>
      <c r="F490" s="105">
        <v>0</v>
      </c>
    </row>
    <row r="491" spans="1:6" x14ac:dyDescent="0.25">
      <c r="A491" s="105">
        <f t="shared" si="7"/>
        <v>1120497</v>
      </c>
      <c r="B491" s="105" t="s">
        <v>789</v>
      </c>
      <c r="C491" s="105" t="s">
        <v>790</v>
      </c>
      <c r="D491" s="105">
        <v>6678</v>
      </c>
      <c r="E491" s="105">
        <v>4006.8</v>
      </c>
      <c r="F491" s="105">
        <v>10</v>
      </c>
    </row>
    <row r="492" spans="1:6" x14ac:dyDescent="0.25">
      <c r="A492" s="105" t="str">
        <f t="shared" si="7"/>
        <v/>
      </c>
      <c r="B492" s="105" t="s">
        <v>791</v>
      </c>
      <c r="C492" s="105" t="s">
        <v>8</v>
      </c>
      <c r="D492" s="105">
        <v>0</v>
      </c>
      <c r="E492" s="105">
        <v>0</v>
      </c>
      <c r="F492" s="105">
        <v>0</v>
      </c>
    </row>
    <row r="493" spans="1:6" x14ac:dyDescent="0.25">
      <c r="A493" s="105">
        <f t="shared" si="7"/>
        <v>1120498</v>
      </c>
      <c r="B493" s="105" t="s">
        <v>792</v>
      </c>
      <c r="C493" s="105" t="s">
        <v>793</v>
      </c>
      <c r="D493" s="105">
        <v>6890</v>
      </c>
      <c r="E493" s="105">
        <v>4134</v>
      </c>
      <c r="F493" s="105">
        <v>0</v>
      </c>
    </row>
    <row r="494" spans="1:6" x14ac:dyDescent="0.25">
      <c r="A494" s="105" t="str">
        <f t="shared" si="7"/>
        <v/>
      </c>
      <c r="B494" s="105" t="s">
        <v>794</v>
      </c>
      <c r="C494" s="105" t="s">
        <v>8</v>
      </c>
      <c r="D494" s="105">
        <v>0</v>
      </c>
      <c r="E494" s="105">
        <v>0</v>
      </c>
      <c r="F494" s="105">
        <v>0</v>
      </c>
    </row>
    <row r="495" spans="1:6" x14ac:dyDescent="0.25">
      <c r="A495" s="105">
        <f t="shared" si="7"/>
        <v>1120499</v>
      </c>
      <c r="B495" s="105" t="s">
        <v>795</v>
      </c>
      <c r="C495" s="105" t="s">
        <v>796</v>
      </c>
      <c r="D495" s="105">
        <v>6254</v>
      </c>
      <c r="E495" s="105">
        <v>3752.4</v>
      </c>
      <c r="F495" s="105">
        <v>131</v>
      </c>
    </row>
    <row r="496" spans="1:6" x14ac:dyDescent="0.25">
      <c r="A496" s="105">
        <f t="shared" si="7"/>
        <v>1120500</v>
      </c>
      <c r="B496" s="105" t="s">
        <v>797</v>
      </c>
      <c r="C496" s="105" t="s">
        <v>798</v>
      </c>
      <c r="D496" s="105">
        <v>8798</v>
      </c>
      <c r="E496" s="105">
        <v>5278.8</v>
      </c>
      <c r="F496" s="105">
        <v>20</v>
      </c>
    </row>
    <row r="497" spans="1:6" x14ac:dyDescent="0.25">
      <c r="A497" s="105">
        <f t="shared" si="7"/>
        <v>1120501</v>
      </c>
      <c r="B497" s="105" t="s">
        <v>799</v>
      </c>
      <c r="C497" s="105" t="s">
        <v>800</v>
      </c>
      <c r="D497" s="105">
        <v>9010</v>
      </c>
      <c r="E497" s="105">
        <v>5406</v>
      </c>
      <c r="F497" s="105">
        <v>56</v>
      </c>
    </row>
    <row r="498" spans="1:6" x14ac:dyDescent="0.25">
      <c r="A498" s="105">
        <f t="shared" si="7"/>
        <v>1120502</v>
      </c>
      <c r="B498" s="105" t="s">
        <v>801</v>
      </c>
      <c r="C498" s="105" t="s">
        <v>802</v>
      </c>
      <c r="D498" s="105">
        <v>9222</v>
      </c>
      <c r="E498" s="105">
        <v>5533.2</v>
      </c>
      <c r="F498" s="105">
        <v>0</v>
      </c>
    </row>
    <row r="499" spans="1:6" x14ac:dyDescent="0.25">
      <c r="A499" s="105" t="str">
        <f t="shared" si="7"/>
        <v/>
      </c>
      <c r="B499" s="105" t="s">
        <v>803</v>
      </c>
      <c r="C499" s="105" t="s">
        <v>8</v>
      </c>
      <c r="D499" s="105">
        <v>0</v>
      </c>
      <c r="E499" s="105">
        <v>0</v>
      </c>
      <c r="F499" s="105">
        <v>0</v>
      </c>
    </row>
    <row r="500" spans="1:6" x14ac:dyDescent="0.25">
      <c r="A500" s="105">
        <f t="shared" si="7"/>
        <v>1120503</v>
      </c>
      <c r="B500" s="105" t="s">
        <v>804</v>
      </c>
      <c r="C500" s="105" t="s">
        <v>805</v>
      </c>
      <c r="D500" s="105">
        <v>9434</v>
      </c>
      <c r="E500" s="105">
        <v>5660.4</v>
      </c>
      <c r="F500" s="105">
        <v>0</v>
      </c>
    </row>
    <row r="501" spans="1:6" x14ac:dyDescent="0.25">
      <c r="A501" s="105">
        <f t="shared" si="7"/>
        <v>1120504</v>
      </c>
      <c r="B501" s="105" t="s">
        <v>806</v>
      </c>
      <c r="C501" s="105" t="s">
        <v>807</v>
      </c>
      <c r="D501" s="105">
        <v>8798</v>
      </c>
      <c r="E501" s="105">
        <v>5278.8</v>
      </c>
      <c r="F501" s="105">
        <v>1</v>
      </c>
    </row>
    <row r="502" spans="1:6" x14ac:dyDescent="0.25">
      <c r="A502" s="105">
        <f t="shared" si="7"/>
        <v>1120505</v>
      </c>
      <c r="B502" s="105" t="s">
        <v>808</v>
      </c>
      <c r="C502" s="105" t="s">
        <v>809</v>
      </c>
      <c r="D502" s="105">
        <v>9010</v>
      </c>
      <c r="E502" s="105">
        <v>5406</v>
      </c>
      <c r="F502" s="105">
        <v>0</v>
      </c>
    </row>
    <row r="503" spans="1:6" x14ac:dyDescent="0.25">
      <c r="A503" s="105">
        <f t="shared" si="7"/>
        <v>1120506</v>
      </c>
      <c r="B503" s="105" t="s">
        <v>810</v>
      </c>
      <c r="C503" s="105" t="s">
        <v>811</v>
      </c>
      <c r="D503" s="105">
        <v>9222</v>
      </c>
      <c r="E503" s="105">
        <v>5533.2</v>
      </c>
      <c r="F503" s="105">
        <v>0</v>
      </c>
    </row>
    <row r="504" spans="1:6" x14ac:dyDescent="0.25">
      <c r="A504" s="105">
        <f t="shared" si="7"/>
        <v>1120510</v>
      </c>
      <c r="B504" s="105" t="s">
        <v>812</v>
      </c>
      <c r="C504" s="105" t="s">
        <v>813</v>
      </c>
      <c r="D504" s="105">
        <v>0</v>
      </c>
      <c r="E504" s="105">
        <v>0</v>
      </c>
      <c r="F504" s="105">
        <v>0</v>
      </c>
    </row>
    <row r="505" spans="1:6" x14ac:dyDescent="0.25">
      <c r="A505" s="105">
        <f t="shared" si="7"/>
        <v>1120511</v>
      </c>
      <c r="B505" s="105" t="s">
        <v>815</v>
      </c>
      <c r="C505" s="105" t="s">
        <v>813</v>
      </c>
      <c r="D505" s="105">
        <v>0</v>
      </c>
      <c r="E505" s="105">
        <v>0</v>
      </c>
      <c r="F505" s="105">
        <v>0</v>
      </c>
    </row>
    <row r="506" spans="1:6" x14ac:dyDescent="0.25">
      <c r="A506" s="105">
        <f t="shared" si="7"/>
        <v>1120512</v>
      </c>
      <c r="B506" s="105" t="s">
        <v>9202</v>
      </c>
      <c r="C506" s="105" t="s">
        <v>9203</v>
      </c>
      <c r="D506" s="105">
        <v>0</v>
      </c>
      <c r="E506" s="105">
        <v>0</v>
      </c>
      <c r="F506" s="105">
        <v>0</v>
      </c>
    </row>
    <row r="507" spans="1:6" x14ac:dyDescent="0.25">
      <c r="A507" s="105">
        <f t="shared" si="7"/>
        <v>1120513</v>
      </c>
      <c r="B507" s="105" t="s">
        <v>9204</v>
      </c>
      <c r="C507" s="105" t="s">
        <v>9205</v>
      </c>
      <c r="D507" s="105">
        <v>0</v>
      </c>
      <c r="E507" s="105">
        <v>0</v>
      </c>
      <c r="F507" s="105">
        <v>0</v>
      </c>
    </row>
    <row r="508" spans="1:6" x14ac:dyDescent="0.25">
      <c r="A508" s="105">
        <f t="shared" si="7"/>
        <v>1120514</v>
      </c>
      <c r="B508" s="105" t="s">
        <v>9206</v>
      </c>
      <c r="C508" s="105" t="s">
        <v>9207</v>
      </c>
      <c r="D508" s="105">
        <v>0</v>
      </c>
      <c r="E508" s="105">
        <v>0</v>
      </c>
      <c r="F508" s="105">
        <v>0</v>
      </c>
    </row>
    <row r="509" spans="1:6" x14ac:dyDescent="0.25">
      <c r="A509" s="105" t="str">
        <f t="shared" si="7"/>
        <v/>
      </c>
      <c r="B509" s="105" t="s">
        <v>816</v>
      </c>
      <c r="C509" s="105" t="s">
        <v>8</v>
      </c>
      <c r="D509" s="105">
        <v>0</v>
      </c>
      <c r="E509" s="105">
        <v>0</v>
      </c>
      <c r="F509" s="105">
        <v>0</v>
      </c>
    </row>
    <row r="510" spans="1:6" x14ac:dyDescent="0.25">
      <c r="A510" s="105">
        <f t="shared" si="7"/>
        <v>1120520</v>
      </c>
      <c r="B510" s="105" t="s">
        <v>817</v>
      </c>
      <c r="C510" s="105" t="s">
        <v>818</v>
      </c>
      <c r="D510" s="105">
        <v>10590</v>
      </c>
      <c r="E510" s="105">
        <v>6354</v>
      </c>
      <c r="F510" s="105">
        <v>0</v>
      </c>
    </row>
    <row r="511" spans="1:6" x14ac:dyDescent="0.25">
      <c r="A511" s="105" t="str">
        <f t="shared" si="7"/>
        <v/>
      </c>
      <c r="B511" s="105" t="s">
        <v>819</v>
      </c>
      <c r="C511" s="105" t="s">
        <v>8</v>
      </c>
      <c r="D511" s="105">
        <v>0</v>
      </c>
      <c r="E511" s="105">
        <v>0</v>
      </c>
      <c r="F511" s="105">
        <v>0</v>
      </c>
    </row>
    <row r="512" spans="1:6" x14ac:dyDescent="0.25">
      <c r="A512" s="105">
        <f t="shared" si="7"/>
        <v>1120530</v>
      </c>
      <c r="B512" s="105" t="s">
        <v>820</v>
      </c>
      <c r="C512" s="105" t="s">
        <v>821</v>
      </c>
      <c r="D512" s="105">
        <v>12900</v>
      </c>
      <c r="E512" s="105">
        <v>7740</v>
      </c>
      <c r="F512" s="105">
        <v>0</v>
      </c>
    </row>
    <row r="513" spans="1:6" x14ac:dyDescent="0.25">
      <c r="A513" s="105" t="str">
        <f t="shared" si="7"/>
        <v/>
      </c>
      <c r="B513" s="105" t="s">
        <v>822</v>
      </c>
      <c r="C513" s="105" t="s">
        <v>8</v>
      </c>
      <c r="D513" s="105">
        <v>0</v>
      </c>
      <c r="E513" s="105">
        <v>0</v>
      </c>
      <c r="F513" s="105">
        <v>0</v>
      </c>
    </row>
    <row r="514" spans="1:6" x14ac:dyDescent="0.25">
      <c r="A514" s="105">
        <f t="shared" si="7"/>
        <v>1120555</v>
      </c>
      <c r="B514" s="105" t="s">
        <v>823</v>
      </c>
      <c r="C514" s="105" t="s">
        <v>824</v>
      </c>
      <c r="D514" s="105">
        <v>12900</v>
      </c>
      <c r="E514" s="105">
        <v>7740</v>
      </c>
      <c r="F514" s="105">
        <v>0</v>
      </c>
    </row>
    <row r="515" spans="1:6" x14ac:dyDescent="0.25">
      <c r="A515" s="105" t="str">
        <f t="shared" ref="A515:A578" si="8">IF(B515&lt;&gt;"",IFERROR(B515*1,""),"")</f>
        <v/>
      </c>
      <c r="B515" s="105" t="s">
        <v>825</v>
      </c>
      <c r="C515" s="105" t="s">
        <v>8</v>
      </c>
      <c r="D515" s="105">
        <v>0</v>
      </c>
      <c r="E515" s="105">
        <v>0</v>
      </c>
      <c r="F515" s="105">
        <v>0</v>
      </c>
    </row>
    <row r="516" spans="1:6" x14ac:dyDescent="0.25">
      <c r="A516" s="105">
        <f t="shared" si="8"/>
        <v>1120556</v>
      </c>
      <c r="B516" s="105" t="s">
        <v>826</v>
      </c>
      <c r="C516" s="105" t="s">
        <v>827</v>
      </c>
      <c r="D516" s="105">
        <v>13400</v>
      </c>
      <c r="E516" s="105">
        <v>8040</v>
      </c>
      <c r="F516" s="105">
        <v>0</v>
      </c>
    </row>
    <row r="517" spans="1:6" x14ac:dyDescent="0.25">
      <c r="A517" s="105" t="str">
        <f t="shared" si="8"/>
        <v/>
      </c>
      <c r="B517" s="105" t="s">
        <v>828</v>
      </c>
      <c r="C517" s="105" t="s">
        <v>8</v>
      </c>
      <c r="D517" s="105">
        <v>0</v>
      </c>
      <c r="E517" s="105">
        <v>0</v>
      </c>
      <c r="F517" s="105">
        <v>0</v>
      </c>
    </row>
    <row r="518" spans="1:6" x14ac:dyDescent="0.25">
      <c r="A518" s="105">
        <f t="shared" si="8"/>
        <v>1120557</v>
      </c>
      <c r="B518" s="105" t="s">
        <v>829</v>
      </c>
      <c r="C518" s="105" t="s">
        <v>830</v>
      </c>
      <c r="D518" s="105">
        <v>14400</v>
      </c>
      <c r="E518" s="105">
        <v>8640</v>
      </c>
      <c r="F518" s="105">
        <v>0</v>
      </c>
    </row>
    <row r="519" spans="1:6" x14ac:dyDescent="0.25">
      <c r="A519" s="105">
        <f t="shared" si="8"/>
        <v>1120560</v>
      </c>
      <c r="B519" s="105" t="s">
        <v>831</v>
      </c>
      <c r="C519" s="105" t="s">
        <v>300</v>
      </c>
      <c r="D519" s="105">
        <v>0</v>
      </c>
      <c r="E519" s="105">
        <v>0</v>
      </c>
      <c r="F519" s="105">
        <v>6</v>
      </c>
    </row>
    <row r="520" spans="1:6" x14ac:dyDescent="0.25">
      <c r="A520" s="105">
        <f t="shared" si="8"/>
        <v>1120595</v>
      </c>
      <c r="B520" s="105" t="s">
        <v>832</v>
      </c>
      <c r="C520" s="105" t="s">
        <v>833</v>
      </c>
      <c r="D520" s="105">
        <v>0</v>
      </c>
      <c r="E520" s="105">
        <v>0</v>
      </c>
      <c r="F520" s="105">
        <v>0</v>
      </c>
    </row>
    <row r="521" spans="1:6" x14ac:dyDescent="0.25">
      <c r="A521" s="105">
        <f t="shared" si="8"/>
        <v>1120596</v>
      </c>
      <c r="B521" s="105" t="s">
        <v>834</v>
      </c>
      <c r="C521" s="105" t="s">
        <v>835</v>
      </c>
      <c r="D521" s="105">
        <v>0</v>
      </c>
      <c r="E521" s="105">
        <v>0</v>
      </c>
      <c r="F521" s="105">
        <v>0</v>
      </c>
    </row>
    <row r="522" spans="1:6" x14ac:dyDescent="0.25">
      <c r="A522" s="105">
        <f t="shared" si="8"/>
        <v>1120598</v>
      </c>
      <c r="B522" s="105" t="s">
        <v>836</v>
      </c>
      <c r="C522" s="105" t="s">
        <v>837</v>
      </c>
      <c r="D522" s="105">
        <v>0</v>
      </c>
      <c r="E522" s="105">
        <v>0</v>
      </c>
      <c r="F522" s="105">
        <v>0</v>
      </c>
    </row>
    <row r="523" spans="1:6" x14ac:dyDescent="0.25">
      <c r="A523" s="105">
        <f t="shared" si="8"/>
        <v>1120599</v>
      </c>
      <c r="B523" s="105" t="s">
        <v>838</v>
      </c>
      <c r="C523" s="105" t="s">
        <v>839</v>
      </c>
      <c r="D523" s="105">
        <v>0</v>
      </c>
      <c r="E523" s="105">
        <v>0</v>
      </c>
      <c r="F523" s="105">
        <v>0</v>
      </c>
    </row>
    <row r="524" spans="1:6" x14ac:dyDescent="0.25">
      <c r="A524" s="105">
        <f t="shared" si="8"/>
        <v>1120600</v>
      </c>
      <c r="B524" s="105" t="s">
        <v>840</v>
      </c>
      <c r="C524" s="105" t="s">
        <v>841</v>
      </c>
      <c r="D524" s="105">
        <v>0</v>
      </c>
      <c r="E524" s="105">
        <v>0</v>
      </c>
      <c r="F524" s="105">
        <v>0</v>
      </c>
    </row>
    <row r="525" spans="1:6" x14ac:dyDescent="0.25">
      <c r="A525" s="105">
        <f t="shared" si="8"/>
        <v>1120601</v>
      </c>
      <c r="B525" s="105" t="s">
        <v>842</v>
      </c>
      <c r="C525" s="105" t="s">
        <v>843</v>
      </c>
      <c r="D525" s="105">
        <v>0</v>
      </c>
      <c r="E525" s="105">
        <v>0</v>
      </c>
      <c r="F525" s="105">
        <v>0</v>
      </c>
    </row>
    <row r="526" spans="1:6" x14ac:dyDescent="0.25">
      <c r="A526" s="105">
        <f t="shared" si="8"/>
        <v>1120602</v>
      </c>
      <c r="B526" s="105" t="s">
        <v>844</v>
      </c>
      <c r="C526" s="105" t="s">
        <v>845</v>
      </c>
      <c r="D526" s="105">
        <v>0</v>
      </c>
      <c r="E526" s="105">
        <v>0</v>
      </c>
      <c r="F526" s="105">
        <v>0</v>
      </c>
    </row>
    <row r="527" spans="1:6" x14ac:dyDescent="0.25">
      <c r="A527" s="105">
        <f t="shared" si="8"/>
        <v>1120603</v>
      </c>
      <c r="B527" s="105" t="s">
        <v>846</v>
      </c>
      <c r="C527" s="105" t="s">
        <v>847</v>
      </c>
      <c r="D527" s="105">
        <v>0</v>
      </c>
      <c r="E527" s="105">
        <v>0</v>
      </c>
      <c r="F527" s="105">
        <v>0</v>
      </c>
    </row>
    <row r="528" spans="1:6" x14ac:dyDescent="0.25">
      <c r="A528" s="105" t="str">
        <f t="shared" si="8"/>
        <v/>
      </c>
      <c r="B528" s="105" t="s">
        <v>848</v>
      </c>
      <c r="C528" s="105" t="s">
        <v>8</v>
      </c>
      <c r="D528" s="105">
        <v>0</v>
      </c>
      <c r="E528" s="105">
        <v>0</v>
      </c>
      <c r="F528" s="105">
        <v>0</v>
      </c>
    </row>
    <row r="529" spans="1:6" x14ac:dyDescent="0.25">
      <c r="A529" s="105">
        <f t="shared" si="8"/>
        <v>1120615</v>
      </c>
      <c r="B529" s="105" t="s">
        <v>849</v>
      </c>
      <c r="C529" s="105" t="s">
        <v>850</v>
      </c>
      <c r="D529" s="105">
        <v>0</v>
      </c>
      <c r="E529" s="105">
        <v>0</v>
      </c>
      <c r="F529" s="105">
        <v>0</v>
      </c>
    </row>
    <row r="530" spans="1:6" x14ac:dyDescent="0.25">
      <c r="A530" s="105" t="str">
        <f t="shared" si="8"/>
        <v/>
      </c>
      <c r="B530" s="105" t="s">
        <v>851</v>
      </c>
      <c r="C530" s="105" t="s">
        <v>8</v>
      </c>
      <c r="D530" s="105">
        <v>0</v>
      </c>
      <c r="E530" s="105">
        <v>0</v>
      </c>
      <c r="F530" s="105">
        <v>0</v>
      </c>
    </row>
    <row r="531" spans="1:6" x14ac:dyDescent="0.25">
      <c r="A531" s="105">
        <f t="shared" si="8"/>
        <v>1120616</v>
      </c>
      <c r="B531" s="105" t="s">
        <v>852</v>
      </c>
      <c r="C531" s="105" t="s">
        <v>853</v>
      </c>
      <c r="D531" s="105">
        <v>0</v>
      </c>
      <c r="E531" s="105">
        <v>0</v>
      </c>
      <c r="F531" s="105">
        <v>0</v>
      </c>
    </row>
    <row r="532" spans="1:6" x14ac:dyDescent="0.25">
      <c r="A532" s="105" t="str">
        <f t="shared" si="8"/>
        <v/>
      </c>
      <c r="B532" s="105" t="s">
        <v>854</v>
      </c>
      <c r="C532" s="105" t="s">
        <v>8</v>
      </c>
      <c r="D532" s="105">
        <v>0</v>
      </c>
      <c r="E532" s="105">
        <v>0</v>
      </c>
      <c r="F532" s="105">
        <v>0</v>
      </c>
    </row>
    <row r="533" spans="1:6" x14ac:dyDescent="0.25">
      <c r="A533" s="105">
        <f t="shared" si="8"/>
        <v>1120617</v>
      </c>
      <c r="B533" s="105" t="s">
        <v>855</v>
      </c>
      <c r="C533" s="105" t="s">
        <v>856</v>
      </c>
      <c r="D533" s="105">
        <v>0</v>
      </c>
      <c r="E533" s="105">
        <v>0</v>
      </c>
      <c r="F533" s="105">
        <v>0</v>
      </c>
    </row>
    <row r="534" spans="1:6" x14ac:dyDescent="0.25">
      <c r="A534" s="105" t="str">
        <f t="shared" si="8"/>
        <v/>
      </c>
      <c r="B534" s="105" t="s">
        <v>857</v>
      </c>
      <c r="C534" s="105" t="s">
        <v>8</v>
      </c>
      <c r="D534" s="105">
        <v>0</v>
      </c>
      <c r="E534" s="105">
        <v>0</v>
      </c>
      <c r="F534" s="105">
        <v>0</v>
      </c>
    </row>
    <row r="535" spans="1:6" x14ac:dyDescent="0.25">
      <c r="A535" s="105">
        <f t="shared" si="8"/>
        <v>1120618</v>
      </c>
      <c r="B535" s="105" t="s">
        <v>858</v>
      </c>
      <c r="C535" s="105" t="s">
        <v>859</v>
      </c>
      <c r="D535" s="105">
        <v>0</v>
      </c>
      <c r="E535" s="105">
        <v>0</v>
      </c>
      <c r="F535" s="105">
        <v>0</v>
      </c>
    </row>
    <row r="536" spans="1:6" x14ac:dyDescent="0.25">
      <c r="A536" s="105" t="str">
        <f t="shared" si="8"/>
        <v/>
      </c>
      <c r="B536" s="105" t="s">
        <v>860</v>
      </c>
      <c r="C536" s="105" t="s">
        <v>8</v>
      </c>
      <c r="D536" s="105">
        <v>0</v>
      </c>
      <c r="E536" s="105">
        <v>0</v>
      </c>
      <c r="F536" s="105">
        <v>0</v>
      </c>
    </row>
    <row r="537" spans="1:6" x14ac:dyDescent="0.25">
      <c r="A537" s="105">
        <f t="shared" si="8"/>
        <v>1120619</v>
      </c>
      <c r="B537" s="105" t="s">
        <v>861</v>
      </c>
      <c r="C537" s="105" t="s">
        <v>862</v>
      </c>
      <c r="D537" s="105">
        <v>7102</v>
      </c>
      <c r="E537" s="105">
        <v>4261.2</v>
      </c>
      <c r="F537" s="105">
        <v>0</v>
      </c>
    </row>
    <row r="538" spans="1:6" x14ac:dyDescent="0.25">
      <c r="A538" s="105" t="str">
        <f t="shared" si="8"/>
        <v/>
      </c>
      <c r="B538" s="105" t="s">
        <v>863</v>
      </c>
      <c r="C538" s="105" t="s">
        <v>8</v>
      </c>
      <c r="D538" s="105">
        <v>0</v>
      </c>
      <c r="E538" s="105">
        <v>0</v>
      </c>
      <c r="F538" s="105">
        <v>0</v>
      </c>
    </row>
    <row r="539" spans="1:6" x14ac:dyDescent="0.25">
      <c r="A539" s="105">
        <f t="shared" si="8"/>
        <v>1120620</v>
      </c>
      <c r="B539" s="105" t="s">
        <v>864</v>
      </c>
      <c r="C539" s="105" t="s">
        <v>865</v>
      </c>
      <c r="D539" s="105">
        <v>7314</v>
      </c>
      <c r="E539" s="105">
        <v>4388.3999999999996</v>
      </c>
      <c r="F539" s="105">
        <v>0</v>
      </c>
    </row>
    <row r="540" spans="1:6" x14ac:dyDescent="0.25">
      <c r="A540" s="105" t="str">
        <f t="shared" si="8"/>
        <v/>
      </c>
      <c r="B540" s="105" t="s">
        <v>867</v>
      </c>
      <c r="C540" s="105" t="s">
        <v>8</v>
      </c>
      <c r="D540" s="105">
        <v>0</v>
      </c>
      <c r="E540" s="105">
        <v>0</v>
      </c>
      <c r="F540" s="105">
        <v>0</v>
      </c>
    </row>
    <row r="541" spans="1:6" x14ac:dyDescent="0.25">
      <c r="A541" s="105">
        <f t="shared" si="8"/>
        <v>1120621</v>
      </c>
      <c r="B541" s="105" t="s">
        <v>868</v>
      </c>
      <c r="C541" s="105" t="s">
        <v>869</v>
      </c>
      <c r="D541" s="105">
        <v>7526</v>
      </c>
      <c r="E541" s="105">
        <v>4515.6000000000004</v>
      </c>
      <c r="F541" s="105">
        <v>0</v>
      </c>
    </row>
    <row r="542" spans="1:6" x14ac:dyDescent="0.25">
      <c r="A542" s="105" t="str">
        <f t="shared" si="8"/>
        <v/>
      </c>
      <c r="B542" s="105" t="s">
        <v>870</v>
      </c>
      <c r="C542" s="105" t="s">
        <v>8</v>
      </c>
      <c r="D542" s="105">
        <v>0</v>
      </c>
      <c r="E542" s="105">
        <v>0</v>
      </c>
      <c r="F542" s="105">
        <v>0</v>
      </c>
    </row>
    <row r="543" spans="1:6" x14ac:dyDescent="0.25">
      <c r="A543" s="105">
        <f t="shared" si="8"/>
        <v>1120622</v>
      </c>
      <c r="B543" s="105" t="s">
        <v>871</v>
      </c>
      <c r="C543" s="105" t="s">
        <v>872</v>
      </c>
      <c r="D543" s="105">
        <v>7738</v>
      </c>
      <c r="E543" s="105">
        <v>4642.8</v>
      </c>
      <c r="F543" s="105">
        <v>0</v>
      </c>
    </row>
    <row r="544" spans="1:6" x14ac:dyDescent="0.25">
      <c r="A544" s="105">
        <f t="shared" si="8"/>
        <v>1120623</v>
      </c>
      <c r="B544" s="105" t="s">
        <v>873</v>
      </c>
      <c r="C544" s="105" t="s">
        <v>874</v>
      </c>
      <c r="D544" s="105">
        <v>6678</v>
      </c>
      <c r="E544" s="105">
        <v>4006.8</v>
      </c>
      <c r="F544" s="105">
        <v>13</v>
      </c>
    </row>
    <row r="545" spans="1:6" x14ac:dyDescent="0.25">
      <c r="A545" s="105" t="str">
        <f t="shared" si="8"/>
        <v/>
      </c>
      <c r="B545" s="105" t="s">
        <v>875</v>
      </c>
      <c r="C545" s="105" t="s">
        <v>8</v>
      </c>
      <c r="D545" s="105">
        <v>0</v>
      </c>
      <c r="E545" s="105">
        <v>0</v>
      </c>
      <c r="F545" s="105">
        <v>0</v>
      </c>
    </row>
    <row r="546" spans="1:6" x14ac:dyDescent="0.25">
      <c r="A546" s="105">
        <f t="shared" si="8"/>
        <v>1120624</v>
      </c>
      <c r="B546" s="105" t="s">
        <v>876</v>
      </c>
      <c r="C546" s="105" t="s">
        <v>877</v>
      </c>
      <c r="D546" s="105">
        <v>6678</v>
      </c>
      <c r="E546" s="105">
        <v>4006.8</v>
      </c>
      <c r="F546" s="105">
        <v>6</v>
      </c>
    </row>
    <row r="547" spans="1:6" x14ac:dyDescent="0.25">
      <c r="A547" s="105" t="str">
        <f t="shared" si="8"/>
        <v/>
      </c>
      <c r="B547" s="105" t="s">
        <v>878</v>
      </c>
      <c r="C547" s="105" t="s">
        <v>8</v>
      </c>
      <c r="D547" s="105">
        <v>0</v>
      </c>
      <c r="E547" s="105">
        <v>0</v>
      </c>
      <c r="F547" s="105">
        <v>0</v>
      </c>
    </row>
    <row r="548" spans="1:6" x14ac:dyDescent="0.25">
      <c r="A548" s="105">
        <f t="shared" si="8"/>
        <v>1120625</v>
      </c>
      <c r="B548" s="105" t="s">
        <v>879</v>
      </c>
      <c r="C548" s="105" t="s">
        <v>880</v>
      </c>
      <c r="D548" s="105">
        <v>6678</v>
      </c>
      <c r="E548" s="105">
        <v>4006.8</v>
      </c>
      <c r="F548" s="105">
        <v>0</v>
      </c>
    </row>
    <row r="549" spans="1:6" x14ac:dyDescent="0.25">
      <c r="A549" s="105" t="str">
        <f t="shared" si="8"/>
        <v/>
      </c>
      <c r="B549" s="105" t="s">
        <v>881</v>
      </c>
      <c r="C549" s="105" t="s">
        <v>8</v>
      </c>
      <c r="D549" s="105">
        <v>0</v>
      </c>
      <c r="E549" s="105">
        <v>0</v>
      </c>
      <c r="F549" s="105">
        <v>0</v>
      </c>
    </row>
    <row r="550" spans="1:6" x14ac:dyDescent="0.25">
      <c r="A550" s="105">
        <f t="shared" si="8"/>
        <v>1120626</v>
      </c>
      <c r="B550" s="105" t="s">
        <v>882</v>
      </c>
      <c r="C550" s="105" t="s">
        <v>883</v>
      </c>
      <c r="D550" s="105">
        <v>7314</v>
      </c>
      <c r="E550" s="105">
        <v>4388.3999999999996</v>
      </c>
      <c r="F550" s="105">
        <v>0</v>
      </c>
    </row>
    <row r="551" spans="1:6" x14ac:dyDescent="0.25">
      <c r="A551" s="105">
        <f t="shared" si="8"/>
        <v>1120640</v>
      </c>
      <c r="B551" s="105" t="s">
        <v>884</v>
      </c>
      <c r="C551" s="105" t="s">
        <v>885</v>
      </c>
      <c r="D551" s="105">
        <v>10590</v>
      </c>
      <c r="E551" s="105">
        <v>6354</v>
      </c>
      <c r="F551" s="105">
        <v>9</v>
      </c>
    </row>
    <row r="552" spans="1:6" x14ac:dyDescent="0.25">
      <c r="A552" s="105">
        <f t="shared" si="8"/>
        <v>1120641</v>
      </c>
      <c r="B552" s="105" t="s">
        <v>886</v>
      </c>
      <c r="C552" s="105" t="s">
        <v>887</v>
      </c>
      <c r="D552" s="105">
        <v>11090</v>
      </c>
      <c r="E552" s="105">
        <v>6654</v>
      </c>
      <c r="F552" s="105">
        <v>8</v>
      </c>
    </row>
    <row r="553" spans="1:6" x14ac:dyDescent="0.25">
      <c r="A553" s="105">
        <f t="shared" si="8"/>
        <v>1120642</v>
      </c>
      <c r="B553" s="105" t="s">
        <v>888</v>
      </c>
      <c r="C553" s="105" t="s">
        <v>889</v>
      </c>
      <c r="D553" s="105">
        <v>11590</v>
      </c>
      <c r="E553" s="105">
        <v>6954</v>
      </c>
      <c r="F553" s="105">
        <v>0</v>
      </c>
    </row>
    <row r="554" spans="1:6" x14ac:dyDescent="0.25">
      <c r="A554" s="105">
        <f t="shared" si="8"/>
        <v>1120643</v>
      </c>
      <c r="B554" s="105" t="s">
        <v>890</v>
      </c>
      <c r="C554" s="105" t="s">
        <v>891</v>
      </c>
      <c r="D554" s="105">
        <v>12090</v>
      </c>
      <c r="E554" s="105">
        <v>7254</v>
      </c>
      <c r="F554" s="105">
        <v>0</v>
      </c>
    </row>
    <row r="555" spans="1:6" x14ac:dyDescent="0.25">
      <c r="A555" s="105">
        <f t="shared" si="8"/>
        <v>1120650</v>
      </c>
      <c r="B555" s="105" t="s">
        <v>892</v>
      </c>
      <c r="C555" s="105" t="s">
        <v>893</v>
      </c>
      <c r="D555" s="105">
        <v>0</v>
      </c>
      <c r="E555" s="105">
        <v>0</v>
      </c>
      <c r="F555" s="105">
        <v>0</v>
      </c>
    </row>
    <row r="556" spans="1:6" x14ac:dyDescent="0.25">
      <c r="A556" s="105">
        <f t="shared" si="8"/>
        <v>1120651</v>
      </c>
      <c r="B556" s="105" t="s">
        <v>894</v>
      </c>
      <c r="C556" s="105" t="s">
        <v>895</v>
      </c>
      <c r="D556" s="105">
        <v>0</v>
      </c>
      <c r="E556" s="105">
        <v>0</v>
      </c>
      <c r="F556" s="105">
        <v>0</v>
      </c>
    </row>
    <row r="557" spans="1:6" x14ac:dyDescent="0.25">
      <c r="A557" s="105" t="str">
        <f t="shared" si="8"/>
        <v/>
      </c>
      <c r="B557" s="105" t="s">
        <v>896</v>
      </c>
      <c r="C557" s="105" t="s">
        <v>8</v>
      </c>
      <c r="D557" s="105">
        <v>0</v>
      </c>
      <c r="E557" s="105">
        <v>0</v>
      </c>
      <c r="F557" s="105">
        <v>0</v>
      </c>
    </row>
    <row r="558" spans="1:6" x14ac:dyDescent="0.25">
      <c r="A558" s="105">
        <f t="shared" si="8"/>
        <v>1120652</v>
      </c>
      <c r="B558" s="105" t="s">
        <v>897</v>
      </c>
      <c r="C558" s="105" t="s">
        <v>898</v>
      </c>
      <c r="D558" s="105">
        <v>0</v>
      </c>
      <c r="E558" s="105">
        <v>0</v>
      </c>
      <c r="F558" s="105">
        <v>0</v>
      </c>
    </row>
    <row r="559" spans="1:6" x14ac:dyDescent="0.25">
      <c r="A559" s="105" t="str">
        <f t="shared" si="8"/>
        <v/>
      </c>
      <c r="B559" s="105" t="s">
        <v>899</v>
      </c>
      <c r="C559" s="105" t="s">
        <v>8</v>
      </c>
      <c r="D559" s="105">
        <v>0</v>
      </c>
      <c r="E559" s="105">
        <v>0</v>
      </c>
      <c r="F559" s="105">
        <v>0</v>
      </c>
    </row>
    <row r="560" spans="1:6" x14ac:dyDescent="0.25">
      <c r="A560" s="105">
        <f t="shared" si="8"/>
        <v>1120653</v>
      </c>
      <c r="B560" s="105" t="s">
        <v>900</v>
      </c>
      <c r="C560" s="105" t="s">
        <v>901</v>
      </c>
      <c r="D560" s="105">
        <v>0</v>
      </c>
      <c r="E560" s="105">
        <v>0</v>
      </c>
      <c r="F560" s="105">
        <v>0</v>
      </c>
    </row>
    <row r="561" spans="1:6" x14ac:dyDescent="0.25">
      <c r="A561" s="105">
        <f t="shared" si="8"/>
        <v>1120666</v>
      </c>
      <c r="B561" s="105" t="s">
        <v>902</v>
      </c>
      <c r="C561" s="105" t="s">
        <v>903</v>
      </c>
      <c r="D561" s="105">
        <v>9500</v>
      </c>
      <c r="E561" s="105">
        <v>5700</v>
      </c>
      <c r="F561" s="105">
        <v>0</v>
      </c>
    </row>
    <row r="562" spans="1:6" x14ac:dyDescent="0.25">
      <c r="A562" s="105">
        <f t="shared" si="8"/>
        <v>1120667</v>
      </c>
      <c r="B562" s="105" t="s">
        <v>904</v>
      </c>
      <c r="C562" s="105" t="s">
        <v>905</v>
      </c>
      <c r="D562" s="105">
        <v>10000</v>
      </c>
      <c r="E562" s="105">
        <v>6000</v>
      </c>
      <c r="F562" s="105">
        <v>0</v>
      </c>
    </row>
    <row r="563" spans="1:6" x14ac:dyDescent="0.25">
      <c r="A563" s="105">
        <f t="shared" si="8"/>
        <v>1120668</v>
      </c>
      <c r="B563" s="105" t="s">
        <v>906</v>
      </c>
      <c r="C563" s="105" t="s">
        <v>907</v>
      </c>
      <c r="D563" s="105">
        <v>10500</v>
      </c>
      <c r="E563" s="105">
        <v>6300</v>
      </c>
      <c r="F563" s="105">
        <v>1</v>
      </c>
    </row>
    <row r="564" spans="1:6" x14ac:dyDescent="0.25">
      <c r="A564" s="105">
        <f t="shared" si="8"/>
        <v>1120669</v>
      </c>
      <c r="B564" s="105" t="s">
        <v>908</v>
      </c>
      <c r="C564" s="105" t="s">
        <v>909</v>
      </c>
      <c r="D564" s="105">
        <v>11000</v>
      </c>
      <c r="E564" s="105">
        <v>6600</v>
      </c>
      <c r="F564" s="105">
        <v>3</v>
      </c>
    </row>
    <row r="565" spans="1:6" x14ac:dyDescent="0.25">
      <c r="A565" s="105" t="str">
        <f t="shared" si="8"/>
        <v/>
      </c>
      <c r="B565" s="105" t="s">
        <v>910</v>
      </c>
      <c r="C565" s="105" t="s">
        <v>8</v>
      </c>
      <c r="D565" s="105">
        <v>0</v>
      </c>
      <c r="E565" s="105">
        <v>0</v>
      </c>
      <c r="F565" s="105">
        <v>0</v>
      </c>
    </row>
    <row r="566" spans="1:6" x14ac:dyDescent="0.25">
      <c r="A566" s="105">
        <f t="shared" si="8"/>
        <v>1120680</v>
      </c>
      <c r="B566" s="105" t="s">
        <v>911</v>
      </c>
      <c r="C566" s="105" t="s">
        <v>912</v>
      </c>
      <c r="D566" s="105">
        <v>0</v>
      </c>
      <c r="E566" s="105">
        <v>0</v>
      </c>
      <c r="F566" s="105">
        <v>0</v>
      </c>
    </row>
    <row r="567" spans="1:6" x14ac:dyDescent="0.25">
      <c r="A567" s="105" t="str">
        <f t="shared" si="8"/>
        <v/>
      </c>
      <c r="B567" s="105" t="s">
        <v>913</v>
      </c>
      <c r="C567" s="105" t="s">
        <v>8</v>
      </c>
      <c r="D567" s="105">
        <v>0</v>
      </c>
      <c r="E567" s="105">
        <v>0</v>
      </c>
      <c r="F567" s="105">
        <v>0</v>
      </c>
    </row>
    <row r="568" spans="1:6" x14ac:dyDescent="0.25">
      <c r="A568" s="105">
        <f t="shared" si="8"/>
        <v>1120681</v>
      </c>
      <c r="B568" s="105" t="s">
        <v>914</v>
      </c>
      <c r="C568" s="105" t="s">
        <v>915</v>
      </c>
      <c r="D568" s="105">
        <v>0</v>
      </c>
      <c r="E568" s="105">
        <v>0</v>
      </c>
      <c r="F568" s="105">
        <v>0</v>
      </c>
    </row>
    <row r="569" spans="1:6" x14ac:dyDescent="0.25">
      <c r="A569" s="105" t="str">
        <f t="shared" si="8"/>
        <v/>
      </c>
      <c r="B569" s="105" t="s">
        <v>916</v>
      </c>
      <c r="C569" s="105" t="s">
        <v>8</v>
      </c>
      <c r="D569" s="105">
        <v>0</v>
      </c>
      <c r="E569" s="105">
        <v>0</v>
      </c>
      <c r="F569" s="105">
        <v>0</v>
      </c>
    </row>
    <row r="570" spans="1:6" x14ac:dyDescent="0.25">
      <c r="A570" s="105">
        <f t="shared" si="8"/>
        <v>1120682</v>
      </c>
      <c r="B570" s="105" t="s">
        <v>917</v>
      </c>
      <c r="C570" s="105" t="s">
        <v>918</v>
      </c>
      <c r="D570" s="105">
        <v>0</v>
      </c>
      <c r="E570" s="105">
        <v>0</v>
      </c>
      <c r="F570" s="105">
        <v>0</v>
      </c>
    </row>
    <row r="571" spans="1:6" x14ac:dyDescent="0.25">
      <c r="A571" s="105">
        <f t="shared" si="8"/>
        <v>1120700</v>
      </c>
      <c r="B571" s="105" t="s">
        <v>919</v>
      </c>
      <c r="C571" s="105" t="s">
        <v>920</v>
      </c>
      <c r="D571" s="105">
        <v>4717</v>
      </c>
      <c r="E571" s="105">
        <v>2830.2</v>
      </c>
      <c r="F571" s="105">
        <v>18</v>
      </c>
    </row>
    <row r="572" spans="1:6" x14ac:dyDescent="0.25">
      <c r="A572" s="105">
        <f t="shared" si="8"/>
        <v>1120710</v>
      </c>
      <c r="B572" s="105" t="s">
        <v>9208</v>
      </c>
      <c r="C572" s="105" t="s">
        <v>9209</v>
      </c>
      <c r="D572" s="105">
        <v>6678</v>
      </c>
      <c r="E572" s="105">
        <v>4006.8</v>
      </c>
      <c r="F572" s="105">
        <v>36</v>
      </c>
    </row>
    <row r="573" spans="1:6" x14ac:dyDescent="0.25">
      <c r="A573" s="105">
        <f t="shared" si="8"/>
        <v>1120711</v>
      </c>
      <c r="B573" s="105" t="s">
        <v>9210</v>
      </c>
      <c r="C573" s="105" t="s">
        <v>9211</v>
      </c>
      <c r="D573" s="105">
        <v>6678</v>
      </c>
      <c r="E573" s="105">
        <v>4006.8</v>
      </c>
      <c r="F573" s="105">
        <v>22</v>
      </c>
    </row>
    <row r="574" spans="1:6" x14ac:dyDescent="0.25">
      <c r="A574" s="105">
        <f t="shared" si="8"/>
        <v>1120712</v>
      </c>
      <c r="B574" s="105" t="s">
        <v>9212</v>
      </c>
      <c r="C574" s="105" t="s">
        <v>9213</v>
      </c>
      <c r="D574" s="105">
        <v>6678</v>
      </c>
      <c r="E574" s="105">
        <v>4006.8</v>
      </c>
      <c r="F574" s="105">
        <v>0</v>
      </c>
    </row>
    <row r="575" spans="1:6" x14ac:dyDescent="0.25">
      <c r="A575" s="105">
        <f t="shared" si="8"/>
        <v>112071305</v>
      </c>
      <c r="B575" s="105" t="s">
        <v>921</v>
      </c>
      <c r="C575" s="105" t="s">
        <v>922</v>
      </c>
      <c r="D575" s="105">
        <v>1984.49</v>
      </c>
      <c r="E575" s="105">
        <v>1190.69</v>
      </c>
      <c r="F575" s="105">
        <v>0</v>
      </c>
    </row>
    <row r="576" spans="1:6" x14ac:dyDescent="0.25">
      <c r="A576" s="105">
        <f t="shared" si="8"/>
        <v>1120720</v>
      </c>
      <c r="B576" s="105" t="s">
        <v>923</v>
      </c>
      <c r="C576" s="105" t="s">
        <v>924</v>
      </c>
      <c r="D576" s="105">
        <v>8268</v>
      </c>
      <c r="E576" s="105">
        <v>4960.8</v>
      </c>
      <c r="F576" s="105">
        <v>-4</v>
      </c>
    </row>
    <row r="577" spans="1:6" x14ac:dyDescent="0.25">
      <c r="A577" s="105">
        <f t="shared" si="8"/>
        <v>1120721</v>
      </c>
      <c r="B577" s="105" t="s">
        <v>925</v>
      </c>
      <c r="C577" s="105" t="s">
        <v>926</v>
      </c>
      <c r="D577" s="105">
        <v>8480</v>
      </c>
      <c r="E577" s="105">
        <v>5088</v>
      </c>
      <c r="F577" s="105">
        <v>1</v>
      </c>
    </row>
    <row r="578" spans="1:6" x14ac:dyDescent="0.25">
      <c r="A578" s="105" t="str">
        <f t="shared" si="8"/>
        <v/>
      </c>
      <c r="B578" s="105" t="s">
        <v>927</v>
      </c>
      <c r="C578" s="105" t="s">
        <v>8</v>
      </c>
      <c r="D578" s="105">
        <v>0</v>
      </c>
      <c r="E578" s="105">
        <v>0</v>
      </c>
      <c r="F578" s="105">
        <v>0</v>
      </c>
    </row>
    <row r="579" spans="1:6" x14ac:dyDescent="0.25">
      <c r="A579" s="105">
        <f t="shared" ref="A579:A642" si="9">IF(B579&lt;&gt;"",IFERROR(B579*1,""),"")</f>
        <v>1120722</v>
      </c>
      <c r="B579" s="105" t="s">
        <v>928</v>
      </c>
      <c r="C579" s="105" t="s">
        <v>929</v>
      </c>
      <c r="D579" s="105">
        <v>8692</v>
      </c>
      <c r="E579" s="105">
        <v>5215.2</v>
      </c>
      <c r="F579" s="105">
        <v>0</v>
      </c>
    </row>
    <row r="580" spans="1:6" x14ac:dyDescent="0.25">
      <c r="A580" s="105" t="str">
        <f t="shared" si="9"/>
        <v/>
      </c>
      <c r="B580" s="105" t="s">
        <v>930</v>
      </c>
      <c r="C580" s="105" t="s">
        <v>8</v>
      </c>
      <c r="D580" s="105">
        <v>0</v>
      </c>
      <c r="E580" s="105">
        <v>0</v>
      </c>
      <c r="F580" s="105">
        <v>0</v>
      </c>
    </row>
    <row r="581" spans="1:6" x14ac:dyDescent="0.25">
      <c r="A581" s="105">
        <f t="shared" si="9"/>
        <v>1120723</v>
      </c>
      <c r="B581" s="105" t="s">
        <v>931</v>
      </c>
      <c r="C581" s="105" t="s">
        <v>932</v>
      </c>
      <c r="D581" s="105">
        <v>8904</v>
      </c>
      <c r="E581" s="105">
        <v>5342.4</v>
      </c>
      <c r="F581" s="105">
        <v>0</v>
      </c>
    </row>
    <row r="582" spans="1:6" x14ac:dyDescent="0.25">
      <c r="A582" s="105">
        <f t="shared" si="9"/>
        <v>1120724</v>
      </c>
      <c r="B582" s="105" t="s">
        <v>933</v>
      </c>
      <c r="C582" s="105" t="s">
        <v>934</v>
      </c>
      <c r="D582" s="105">
        <v>8268</v>
      </c>
      <c r="E582" s="105">
        <v>4960.8</v>
      </c>
      <c r="F582" s="105">
        <v>0</v>
      </c>
    </row>
    <row r="583" spans="1:6" x14ac:dyDescent="0.25">
      <c r="A583" s="105">
        <f t="shared" si="9"/>
        <v>1120725</v>
      </c>
      <c r="B583" s="105" t="s">
        <v>935</v>
      </c>
      <c r="C583" s="105" t="s">
        <v>936</v>
      </c>
      <c r="D583" s="105">
        <v>8480</v>
      </c>
      <c r="E583" s="105">
        <v>5088</v>
      </c>
      <c r="F583" s="105">
        <v>10</v>
      </c>
    </row>
    <row r="584" spans="1:6" x14ac:dyDescent="0.25">
      <c r="A584" s="105">
        <f t="shared" si="9"/>
        <v>1120726</v>
      </c>
      <c r="B584" s="105" t="s">
        <v>937</v>
      </c>
      <c r="C584" s="105" t="s">
        <v>938</v>
      </c>
      <c r="D584" s="105">
        <v>8692</v>
      </c>
      <c r="E584" s="105">
        <v>5215.2</v>
      </c>
      <c r="F584" s="105">
        <v>0</v>
      </c>
    </row>
    <row r="585" spans="1:6" x14ac:dyDescent="0.25">
      <c r="A585" s="105" t="str">
        <f t="shared" si="9"/>
        <v/>
      </c>
      <c r="B585" s="105" t="s">
        <v>939</v>
      </c>
      <c r="C585" s="105" t="s">
        <v>8</v>
      </c>
      <c r="D585" s="105">
        <v>0</v>
      </c>
      <c r="E585" s="105">
        <v>0</v>
      </c>
      <c r="F585" s="105">
        <v>0</v>
      </c>
    </row>
    <row r="586" spans="1:6" x14ac:dyDescent="0.25">
      <c r="A586" s="105">
        <f t="shared" si="9"/>
        <v>1120727</v>
      </c>
      <c r="B586" s="105" t="s">
        <v>940</v>
      </c>
      <c r="C586" s="105" t="s">
        <v>941</v>
      </c>
      <c r="D586" s="105">
        <v>8904</v>
      </c>
      <c r="E586" s="105">
        <v>5342.4</v>
      </c>
      <c r="F586" s="105">
        <v>0</v>
      </c>
    </row>
    <row r="587" spans="1:6" x14ac:dyDescent="0.25">
      <c r="A587" s="105">
        <f t="shared" si="9"/>
        <v>1120728</v>
      </c>
      <c r="B587" s="105" t="s">
        <v>942</v>
      </c>
      <c r="C587" s="105" t="s">
        <v>943</v>
      </c>
      <c r="D587" s="105">
        <v>8268</v>
      </c>
      <c r="E587" s="105">
        <v>4960.8</v>
      </c>
      <c r="F587" s="105">
        <v>1</v>
      </c>
    </row>
    <row r="588" spans="1:6" x14ac:dyDescent="0.25">
      <c r="A588" s="105">
        <f t="shared" si="9"/>
        <v>1120729</v>
      </c>
      <c r="B588" s="105" t="s">
        <v>944</v>
      </c>
      <c r="C588" s="105" t="s">
        <v>945</v>
      </c>
      <c r="D588" s="105">
        <v>8480</v>
      </c>
      <c r="E588" s="105">
        <v>5088</v>
      </c>
      <c r="F588" s="105">
        <v>1</v>
      </c>
    </row>
    <row r="589" spans="1:6" x14ac:dyDescent="0.25">
      <c r="A589" s="105">
        <f t="shared" si="9"/>
        <v>1120730</v>
      </c>
      <c r="B589" s="105" t="s">
        <v>946</v>
      </c>
      <c r="C589" s="105" t="s">
        <v>947</v>
      </c>
      <c r="D589" s="105">
        <v>8692</v>
      </c>
      <c r="E589" s="105">
        <v>5215.2</v>
      </c>
      <c r="F589" s="105">
        <v>1</v>
      </c>
    </row>
    <row r="590" spans="1:6" x14ac:dyDescent="0.25">
      <c r="A590" s="105" t="str">
        <f t="shared" si="9"/>
        <v/>
      </c>
      <c r="B590" s="105" t="s">
        <v>948</v>
      </c>
      <c r="C590" s="105" t="s">
        <v>8</v>
      </c>
      <c r="D590" s="105">
        <v>0</v>
      </c>
      <c r="E590" s="105">
        <v>0</v>
      </c>
      <c r="F590" s="105">
        <v>0</v>
      </c>
    </row>
    <row r="591" spans="1:6" x14ac:dyDescent="0.25">
      <c r="A591" s="105">
        <f t="shared" si="9"/>
        <v>1120731</v>
      </c>
      <c r="B591" s="105" t="s">
        <v>949</v>
      </c>
      <c r="C591" s="105" t="s">
        <v>950</v>
      </c>
      <c r="D591" s="105">
        <v>8904</v>
      </c>
      <c r="E591" s="105">
        <v>5342.4</v>
      </c>
      <c r="F591" s="105">
        <v>0</v>
      </c>
    </row>
    <row r="592" spans="1:6" x14ac:dyDescent="0.25">
      <c r="A592" s="105" t="str">
        <f t="shared" si="9"/>
        <v/>
      </c>
      <c r="B592" s="105" t="s">
        <v>951</v>
      </c>
      <c r="C592" s="105" t="s">
        <v>8</v>
      </c>
      <c r="D592" s="105">
        <v>0</v>
      </c>
      <c r="E592" s="105">
        <v>0</v>
      </c>
      <c r="F592" s="105">
        <v>0</v>
      </c>
    </row>
    <row r="593" spans="1:6" x14ac:dyDescent="0.25">
      <c r="A593" s="105">
        <f t="shared" si="9"/>
        <v>1120732</v>
      </c>
      <c r="B593" s="105" t="s">
        <v>952</v>
      </c>
      <c r="C593" s="105" t="s">
        <v>953</v>
      </c>
      <c r="D593" s="105">
        <v>8268</v>
      </c>
      <c r="E593" s="105">
        <v>4960.8</v>
      </c>
      <c r="F593" s="105">
        <v>0</v>
      </c>
    </row>
    <row r="594" spans="1:6" x14ac:dyDescent="0.25">
      <c r="A594" s="105" t="str">
        <f t="shared" si="9"/>
        <v/>
      </c>
      <c r="B594" s="105" t="s">
        <v>954</v>
      </c>
      <c r="C594" s="105" t="s">
        <v>8</v>
      </c>
      <c r="D594" s="105">
        <v>0</v>
      </c>
      <c r="E594" s="105">
        <v>0</v>
      </c>
      <c r="F594" s="105">
        <v>0</v>
      </c>
    </row>
    <row r="595" spans="1:6" x14ac:dyDescent="0.25">
      <c r="A595" s="105">
        <f t="shared" si="9"/>
        <v>1120733</v>
      </c>
      <c r="B595" s="105" t="s">
        <v>955</v>
      </c>
      <c r="C595" s="105" t="s">
        <v>956</v>
      </c>
      <c r="D595" s="105">
        <v>8480</v>
      </c>
      <c r="E595" s="105">
        <v>5088</v>
      </c>
      <c r="F595" s="105">
        <v>0</v>
      </c>
    </row>
    <row r="596" spans="1:6" x14ac:dyDescent="0.25">
      <c r="A596" s="105" t="str">
        <f t="shared" si="9"/>
        <v/>
      </c>
      <c r="B596" s="105" t="s">
        <v>957</v>
      </c>
      <c r="C596" s="105" t="s">
        <v>8</v>
      </c>
      <c r="D596" s="105">
        <v>0</v>
      </c>
      <c r="E596" s="105">
        <v>0</v>
      </c>
      <c r="F596" s="105">
        <v>0</v>
      </c>
    </row>
    <row r="597" spans="1:6" x14ac:dyDescent="0.25">
      <c r="A597" s="105">
        <f t="shared" si="9"/>
        <v>1120734</v>
      </c>
      <c r="B597" s="105" t="s">
        <v>958</v>
      </c>
      <c r="C597" s="105" t="s">
        <v>959</v>
      </c>
      <c r="D597" s="105">
        <v>8692</v>
      </c>
      <c r="E597" s="105">
        <v>5215.2</v>
      </c>
      <c r="F597" s="105">
        <v>0</v>
      </c>
    </row>
    <row r="598" spans="1:6" x14ac:dyDescent="0.25">
      <c r="A598" s="105" t="str">
        <f t="shared" si="9"/>
        <v/>
      </c>
      <c r="B598" s="105" t="s">
        <v>960</v>
      </c>
      <c r="C598" s="105" t="s">
        <v>8</v>
      </c>
      <c r="D598" s="105">
        <v>0</v>
      </c>
      <c r="E598" s="105">
        <v>0</v>
      </c>
      <c r="F598" s="105">
        <v>0</v>
      </c>
    </row>
    <row r="599" spans="1:6" x14ac:dyDescent="0.25">
      <c r="A599" s="105">
        <f t="shared" si="9"/>
        <v>1120735</v>
      </c>
      <c r="B599" s="105" t="s">
        <v>961</v>
      </c>
      <c r="C599" s="105" t="s">
        <v>962</v>
      </c>
      <c r="D599" s="105">
        <v>8904</v>
      </c>
      <c r="E599" s="105">
        <v>5342.4</v>
      </c>
      <c r="F599" s="105">
        <v>0</v>
      </c>
    </row>
    <row r="600" spans="1:6" x14ac:dyDescent="0.25">
      <c r="A600" s="105">
        <f t="shared" si="9"/>
        <v>1120736</v>
      </c>
      <c r="B600" s="105" t="s">
        <v>963</v>
      </c>
      <c r="C600" s="105" t="s">
        <v>964</v>
      </c>
      <c r="D600" s="105">
        <v>8268</v>
      </c>
      <c r="E600" s="105">
        <v>4960.8</v>
      </c>
      <c r="F600" s="105">
        <v>3</v>
      </c>
    </row>
    <row r="601" spans="1:6" x14ac:dyDescent="0.25">
      <c r="A601" s="105">
        <f t="shared" si="9"/>
        <v>1120737</v>
      </c>
      <c r="B601" s="105" t="s">
        <v>965</v>
      </c>
      <c r="C601" s="105" t="s">
        <v>966</v>
      </c>
      <c r="D601" s="105">
        <v>8480</v>
      </c>
      <c r="E601" s="105">
        <v>5088</v>
      </c>
      <c r="F601" s="105">
        <v>2</v>
      </c>
    </row>
    <row r="602" spans="1:6" x14ac:dyDescent="0.25">
      <c r="A602" s="105">
        <f t="shared" si="9"/>
        <v>1120738</v>
      </c>
      <c r="B602" s="105" t="s">
        <v>967</v>
      </c>
      <c r="C602" s="105" t="s">
        <v>968</v>
      </c>
      <c r="D602" s="105">
        <v>8692</v>
      </c>
      <c r="E602" s="105">
        <v>5215.2</v>
      </c>
      <c r="F602" s="105">
        <v>2</v>
      </c>
    </row>
    <row r="603" spans="1:6" x14ac:dyDescent="0.25">
      <c r="A603" s="105" t="str">
        <f t="shared" si="9"/>
        <v/>
      </c>
      <c r="B603" s="105" t="s">
        <v>969</v>
      </c>
      <c r="C603" s="105" t="s">
        <v>8</v>
      </c>
      <c r="D603" s="105">
        <v>0</v>
      </c>
      <c r="E603" s="105">
        <v>0</v>
      </c>
      <c r="F603" s="105">
        <v>0</v>
      </c>
    </row>
    <row r="604" spans="1:6" x14ac:dyDescent="0.25">
      <c r="A604" s="105">
        <f t="shared" si="9"/>
        <v>1120739</v>
      </c>
      <c r="B604" s="105" t="s">
        <v>970</v>
      </c>
      <c r="C604" s="105" t="s">
        <v>971</v>
      </c>
      <c r="D604" s="105">
        <v>8904</v>
      </c>
      <c r="E604" s="105">
        <v>5342.4</v>
      </c>
      <c r="F604" s="105">
        <v>0</v>
      </c>
    </row>
    <row r="605" spans="1:6" x14ac:dyDescent="0.25">
      <c r="A605" s="105" t="str">
        <f t="shared" si="9"/>
        <v/>
      </c>
      <c r="B605" s="105" t="s">
        <v>972</v>
      </c>
      <c r="C605" s="105" t="s">
        <v>8</v>
      </c>
      <c r="D605" s="105">
        <v>0</v>
      </c>
      <c r="E605" s="105">
        <v>0</v>
      </c>
      <c r="F605" s="105">
        <v>0</v>
      </c>
    </row>
    <row r="606" spans="1:6" x14ac:dyDescent="0.25">
      <c r="A606" s="105">
        <f t="shared" si="9"/>
        <v>1120741</v>
      </c>
      <c r="B606" s="105" t="s">
        <v>973</v>
      </c>
      <c r="C606" s="105" t="s">
        <v>974</v>
      </c>
      <c r="D606" s="105">
        <v>6678</v>
      </c>
      <c r="E606" s="105">
        <v>4006.8</v>
      </c>
      <c r="F606" s="105">
        <v>0</v>
      </c>
    </row>
    <row r="607" spans="1:6" x14ac:dyDescent="0.25">
      <c r="A607" s="105">
        <f t="shared" si="9"/>
        <v>1120742</v>
      </c>
      <c r="B607" s="105" t="s">
        <v>9214</v>
      </c>
      <c r="C607" s="105" t="s">
        <v>9215</v>
      </c>
      <c r="D607" s="105">
        <v>8268</v>
      </c>
      <c r="E607" s="105">
        <v>4960.8</v>
      </c>
      <c r="F607" s="105">
        <v>2</v>
      </c>
    </row>
    <row r="608" spans="1:6" x14ac:dyDescent="0.25">
      <c r="A608" s="105">
        <f t="shared" si="9"/>
        <v>1120743</v>
      </c>
      <c r="B608" s="105" t="s">
        <v>9216</v>
      </c>
      <c r="C608" s="105" t="s">
        <v>9217</v>
      </c>
      <c r="D608" s="105">
        <v>8480</v>
      </c>
      <c r="E608" s="105">
        <v>5088</v>
      </c>
      <c r="F608" s="105">
        <v>2</v>
      </c>
    </row>
    <row r="609" spans="1:6" x14ac:dyDescent="0.25">
      <c r="A609" s="105">
        <f t="shared" si="9"/>
        <v>1120744</v>
      </c>
      <c r="B609" s="105" t="s">
        <v>9218</v>
      </c>
      <c r="C609" s="105" t="s">
        <v>9219</v>
      </c>
      <c r="D609" s="105">
        <v>8692</v>
      </c>
      <c r="E609" s="105">
        <v>5215.2</v>
      </c>
      <c r="F609" s="105">
        <v>0</v>
      </c>
    </row>
    <row r="610" spans="1:6" x14ac:dyDescent="0.25">
      <c r="A610" s="105">
        <f t="shared" si="9"/>
        <v>1120745</v>
      </c>
      <c r="B610" s="105" t="s">
        <v>9220</v>
      </c>
      <c r="C610" s="105" t="s">
        <v>9221</v>
      </c>
      <c r="D610" s="105">
        <v>8904</v>
      </c>
      <c r="E610" s="105">
        <v>5342.4</v>
      </c>
      <c r="F610" s="105">
        <v>0</v>
      </c>
    </row>
    <row r="611" spans="1:6" x14ac:dyDescent="0.25">
      <c r="A611" s="105">
        <f t="shared" si="9"/>
        <v>1120746</v>
      </c>
      <c r="B611" s="105" t="s">
        <v>9222</v>
      </c>
      <c r="C611" s="105" t="s">
        <v>9223</v>
      </c>
      <c r="D611" s="105">
        <v>8268</v>
      </c>
      <c r="E611" s="105">
        <v>4960.8</v>
      </c>
      <c r="F611" s="105">
        <v>0</v>
      </c>
    </row>
    <row r="612" spans="1:6" x14ac:dyDescent="0.25">
      <c r="A612" s="105">
        <f t="shared" si="9"/>
        <v>1120747</v>
      </c>
      <c r="B612" s="105" t="s">
        <v>9224</v>
      </c>
      <c r="C612" s="105" t="s">
        <v>9225</v>
      </c>
      <c r="D612" s="105">
        <v>8480</v>
      </c>
      <c r="E612" s="105">
        <v>5088</v>
      </c>
      <c r="F612" s="105">
        <v>0</v>
      </c>
    </row>
    <row r="613" spans="1:6" x14ac:dyDescent="0.25">
      <c r="A613" s="105">
        <f t="shared" si="9"/>
        <v>1120748</v>
      </c>
      <c r="B613" s="105" t="s">
        <v>9226</v>
      </c>
      <c r="C613" s="105" t="s">
        <v>9227</v>
      </c>
      <c r="D613" s="105">
        <v>8692</v>
      </c>
      <c r="E613" s="105">
        <v>5215.2</v>
      </c>
      <c r="F613" s="105">
        <v>2</v>
      </c>
    </row>
    <row r="614" spans="1:6" x14ac:dyDescent="0.25">
      <c r="A614" s="105">
        <f t="shared" si="9"/>
        <v>1120749</v>
      </c>
      <c r="B614" s="105" t="s">
        <v>9228</v>
      </c>
      <c r="C614" s="105" t="s">
        <v>9229</v>
      </c>
      <c r="D614" s="105">
        <v>8904</v>
      </c>
      <c r="E614" s="105">
        <v>5342.4</v>
      </c>
      <c r="F614" s="105">
        <v>0</v>
      </c>
    </row>
    <row r="615" spans="1:6" x14ac:dyDescent="0.25">
      <c r="A615" s="105" t="str">
        <f t="shared" si="9"/>
        <v/>
      </c>
      <c r="B615" s="105" t="s">
        <v>975</v>
      </c>
      <c r="C615" s="105" t="s">
        <v>8</v>
      </c>
      <c r="D615" s="105">
        <v>0</v>
      </c>
      <c r="E615" s="105">
        <v>0</v>
      </c>
      <c r="F615" s="105">
        <v>0</v>
      </c>
    </row>
    <row r="616" spans="1:6" x14ac:dyDescent="0.25">
      <c r="A616" s="105">
        <f t="shared" si="9"/>
        <v>1120750</v>
      </c>
      <c r="B616" s="105" t="s">
        <v>976</v>
      </c>
      <c r="C616" s="105" t="s">
        <v>977</v>
      </c>
      <c r="D616" s="105">
        <v>6254</v>
      </c>
      <c r="E616" s="105">
        <v>3752.4</v>
      </c>
      <c r="F616" s="105">
        <v>1</v>
      </c>
    </row>
    <row r="617" spans="1:6" x14ac:dyDescent="0.25">
      <c r="A617" s="105" t="str">
        <f t="shared" si="9"/>
        <v/>
      </c>
      <c r="B617" s="105" t="s">
        <v>978</v>
      </c>
      <c r="C617" s="105" t="s">
        <v>8</v>
      </c>
      <c r="D617" s="105">
        <v>0</v>
      </c>
      <c r="E617" s="105">
        <v>0</v>
      </c>
      <c r="F617" s="105">
        <v>0</v>
      </c>
    </row>
    <row r="618" spans="1:6" x14ac:dyDescent="0.25">
      <c r="A618" s="105">
        <f t="shared" si="9"/>
        <v>1120751</v>
      </c>
      <c r="B618" s="105" t="s">
        <v>979</v>
      </c>
      <c r="C618" s="105" t="s">
        <v>980</v>
      </c>
      <c r="D618" s="105">
        <v>6466</v>
      </c>
      <c r="E618" s="105">
        <v>3879.6</v>
      </c>
      <c r="F618" s="105">
        <v>1</v>
      </c>
    </row>
    <row r="619" spans="1:6" x14ac:dyDescent="0.25">
      <c r="A619" s="105" t="str">
        <f t="shared" si="9"/>
        <v/>
      </c>
      <c r="B619" s="105" t="s">
        <v>981</v>
      </c>
      <c r="C619" s="105" t="s">
        <v>8</v>
      </c>
      <c r="D619" s="105">
        <v>0</v>
      </c>
      <c r="E619" s="105">
        <v>0</v>
      </c>
      <c r="F619" s="105">
        <v>0</v>
      </c>
    </row>
    <row r="620" spans="1:6" x14ac:dyDescent="0.25">
      <c r="A620" s="105">
        <f t="shared" si="9"/>
        <v>1120752</v>
      </c>
      <c r="B620" s="105" t="s">
        <v>982</v>
      </c>
      <c r="C620" s="105" t="s">
        <v>983</v>
      </c>
      <c r="D620" s="105">
        <v>6678</v>
      </c>
      <c r="E620" s="105">
        <v>4006.8</v>
      </c>
      <c r="F620" s="105">
        <v>3</v>
      </c>
    </row>
    <row r="621" spans="1:6" x14ac:dyDescent="0.25">
      <c r="A621" s="105" t="str">
        <f t="shared" si="9"/>
        <v/>
      </c>
      <c r="B621" s="105" t="s">
        <v>984</v>
      </c>
      <c r="C621" s="105" t="s">
        <v>8</v>
      </c>
      <c r="D621" s="105">
        <v>0</v>
      </c>
      <c r="E621" s="105">
        <v>0</v>
      </c>
      <c r="F621" s="105">
        <v>0</v>
      </c>
    </row>
    <row r="622" spans="1:6" x14ac:dyDescent="0.25">
      <c r="A622" s="105">
        <f t="shared" si="9"/>
        <v>1120753</v>
      </c>
      <c r="B622" s="105" t="s">
        <v>985</v>
      </c>
      <c r="C622" s="105" t="s">
        <v>986</v>
      </c>
      <c r="D622" s="105">
        <v>6890</v>
      </c>
      <c r="E622" s="105">
        <v>4134</v>
      </c>
      <c r="F622" s="105">
        <v>0</v>
      </c>
    </row>
    <row r="623" spans="1:6" x14ac:dyDescent="0.25">
      <c r="A623" s="105">
        <f t="shared" si="9"/>
        <v>1120764</v>
      </c>
      <c r="B623" s="105" t="s">
        <v>987</v>
      </c>
      <c r="C623" s="105" t="s">
        <v>988</v>
      </c>
      <c r="D623" s="105">
        <v>4558</v>
      </c>
      <c r="E623" s="105">
        <v>2734.8</v>
      </c>
      <c r="F623" s="105">
        <v>127</v>
      </c>
    </row>
    <row r="624" spans="1:6" x14ac:dyDescent="0.25">
      <c r="A624" s="105">
        <f t="shared" si="9"/>
        <v>1120765</v>
      </c>
      <c r="B624" s="105" t="s">
        <v>989</v>
      </c>
      <c r="C624" s="105" t="s">
        <v>990</v>
      </c>
      <c r="D624" s="105">
        <v>5824.6</v>
      </c>
      <c r="E624" s="105">
        <v>3494.76</v>
      </c>
      <c r="F624" s="105">
        <v>6</v>
      </c>
    </row>
    <row r="625" spans="1:6" x14ac:dyDescent="0.25">
      <c r="A625" s="105">
        <f t="shared" si="9"/>
        <v>1120766</v>
      </c>
      <c r="B625" s="105" t="s">
        <v>991</v>
      </c>
      <c r="C625" s="105" t="s">
        <v>992</v>
      </c>
      <c r="D625" s="105">
        <v>6025.52</v>
      </c>
      <c r="E625" s="105">
        <v>3615.31</v>
      </c>
      <c r="F625" s="105">
        <v>12</v>
      </c>
    </row>
    <row r="626" spans="1:6" x14ac:dyDescent="0.25">
      <c r="A626" s="105">
        <f t="shared" si="9"/>
        <v>1120767</v>
      </c>
      <c r="B626" s="105" t="s">
        <v>993</v>
      </c>
      <c r="C626" s="105" t="s">
        <v>994</v>
      </c>
      <c r="D626" s="105">
        <v>6226.43</v>
      </c>
      <c r="E626" s="105">
        <v>3735.86</v>
      </c>
      <c r="F626" s="105">
        <v>3</v>
      </c>
    </row>
    <row r="627" spans="1:6" x14ac:dyDescent="0.25">
      <c r="A627" s="105" t="str">
        <f t="shared" si="9"/>
        <v/>
      </c>
      <c r="B627" s="105" t="s">
        <v>995</v>
      </c>
      <c r="C627" s="105" t="s">
        <v>8</v>
      </c>
      <c r="D627" s="105">
        <v>0</v>
      </c>
      <c r="E627" s="105">
        <v>0</v>
      </c>
      <c r="F627" s="105">
        <v>0</v>
      </c>
    </row>
    <row r="628" spans="1:6" x14ac:dyDescent="0.25">
      <c r="A628" s="105">
        <f t="shared" si="9"/>
        <v>1120768</v>
      </c>
      <c r="B628" s="105" t="s">
        <v>996</v>
      </c>
      <c r="C628" s="105" t="s">
        <v>997</v>
      </c>
      <c r="D628" s="105">
        <v>0</v>
      </c>
      <c r="E628" s="105">
        <v>0</v>
      </c>
      <c r="F628" s="105">
        <v>0</v>
      </c>
    </row>
    <row r="629" spans="1:6" x14ac:dyDescent="0.25">
      <c r="A629" s="105" t="str">
        <f t="shared" si="9"/>
        <v/>
      </c>
      <c r="B629" s="105" t="s">
        <v>998</v>
      </c>
      <c r="C629" s="105" t="s">
        <v>8</v>
      </c>
      <c r="D629" s="105">
        <v>0</v>
      </c>
      <c r="E629" s="105">
        <v>0</v>
      </c>
      <c r="F629" s="105">
        <v>0</v>
      </c>
    </row>
    <row r="630" spans="1:6" x14ac:dyDescent="0.25">
      <c r="A630" s="105">
        <f t="shared" si="9"/>
        <v>1120770</v>
      </c>
      <c r="B630" s="105" t="s">
        <v>999</v>
      </c>
      <c r="C630" s="105" t="s">
        <v>1000</v>
      </c>
      <c r="D630" s="105">
        <v>0</v>
      </c>
      <c r="E630" s="105">
        <v>0</v>
      </c>
      <c r="F630" s="105">
        <v>0</v>
      </c>
    </row>
    <row r="631" spans="1:6" x14ac:dyDescent="0.25">
      <c r="A631" s="105">
        <f t="shared" si="9"/>
        <v>1120771</v>
      </c>
      <c r="B631" s="105" t="s">
        <v>1001</v>
      </c>
      <c r="C631" s="105" t="s">
        <v>1002</v>
      </c>
      <c r="D631" s="105">
        <v>5035</v>
      </c>
      <c r="E631" s="105">
        <v>3021</v>
      </c>
      <c r="F631" s="105">
        <v>0</v>
      </c>
    </row>
    <row r="632" spans="1:6" x14ac:dyDescent="0.25">
      <c r="A632" s="105">
        <f t="shared" si="9"/>
        <v>1120772</v>
      </c>
      <c r="B632" s="105" t="s">
        <v>1003</v>
      </c>
      <c r="C632" s="105" t="s">
        <v>1004</v>
      </c>
      <c r="D632" s="105">
        <v>4717</v>
      </c>
      <c r="E632" s="105">
        <v>2830.2</v>
      </c>
      <c r="F632" s="105">
        <v>49</v>
      </c>
    </row>
    <row r="633" spans="1:6" x14ac:dyDescent="0.25">
      <c r="A633" s="105">
        <f t="shared" si="9"/>
        <v>1120773</v>
      </c>
      <c r="B633" s="105" t="s">
        <v>1005</v>
      </c>
      <c r="C633" s="105" t="s">
        <v>1006</v>
      </c>
      <c r="D633" s="105">
        <v>4876</v>
      </c>
      <c r="E633" s="105">
        <v>2925.6</v>
      </c>
      <c r="F633" s="105">
        <v>11</v>
      </c>
    </row>
    <row r="634" spans="1:6" x14ac:dyDescent="0.25">
      <c r="A634" s="105" t="str">
        <f t="shared" si="9"/>
        <v/>
      </c>
      <c r="B634" s="105" t="s">
        <v>1007</v>
      </c>
      <c r="C634" s="105" t="s">
        <v>8</v>
      </c>
      <c r="D634" s="105">
        <v>0</v>
      </c>
      <c r="E634" s="105">
        <v>0</v>
      </c>
      <c r="F634" s="105">
        <v>0</v>
      </c>
    </row>
    <row r="635" spans="1:6" x14ac:dyDescent="0.25">
      <c r="A635" s="105">
        <f t="shared" si="9"/>
        <v>1120775</v>
      </c>
      <c r="B635" s="105" t="s">
        <v>1008</v>
      </c>
      <c r="C635" s="105" t="s">
        <v>1009</v>
      </c>
      <c r="D635" s="105">
        <v>1.25</v>
      </c>
      <c r="E635" s="105">
        <v>0.75</v>
      </c>
      <c r="F635" s="105">
        <v>0</v>
      </c>
    </row>
    <row r="636" spans="1:6" x14ac:dyDescent="0.25">
      <c r="A636" s="105">
        <f t="shared" si="9"/>
        <v>1120776</v>
      </c>
      <c r="B636" s="105" t="s">
        <v>1010</v>
      </c>
      <c r="C636" s="105" t="s">
        <v>1011</v>
      </c>
      <c r="D636" s="105">
        <v>4982</v>
      </c>
      <c r="E636" s="105">
        <v>2989.2</v>
      </c>
      <c r="F636" s="105">
        <v>0</v>
      </c>
    </row>
    <row r="637" spans="1:6" x14ac:dyDescent="0.25">
      <c r="A637" s="105">
        <f t="shared" si="9"/>
        <v>1120777</v>
      </c>
      <c r="B637" s="105" t="s">
        <v>1012</v>
      </c>
      <c r="C637" s="105" t="s">
        <v>1013</v>
      </c>
      <c r="D637" s="105">
        <v>5194</v>
      </c>
      <c r="E637" s="105">
        <v>3116.4</v>
      </c>
      <c r="F637" s="105">
        <v>0</v>
      </c>
    </row>
    <row r="638" spans="1:6" x14ac:dyDescent="0.25">
      <c r="A638" s="105" t="str">
        <f t="shared" si="9"/>
        <v/>
      </c>
      <c r="B638" s="105" t="s">
        <v>1014</v>
      </c>
      <c r="C638" s="105" t="s">
        <v>8</v>
      </c>
      <c r="D638" s="105">
        <v>0</v>
      </c>
      <c r="E638" s="105">
        <v>0</v>
      </c>
      <c r="F638" s="105">
        <v>0</v>
      </c>
    </row>
    <row r="639" spans="1:6" x14ac:dyDescent="0.25">
      <c r="A639" s="105">
        <f t="shared" si="9"/>
        <v>1120778</v>
      </c>
      <c r="B639" s="105" t="s">
        <v>1015</v>
      </c>
      <c r="C639" s="105" t="s">
        <v>1016</v>
      </c>
      <c r="D639" s="105">
        <v>0</v>
      </c>
      <c r="E639" s="105">
        <v>0</v>
      </c>
      <c r="F639" s="105">
        <v>0</v>
      </c>
    </row>
    <row r="640" spans="1:6" x14ac:dyDescent="0.25">
      <c r="A640" s="105">
        <f t="shared" si="9"/>
        <v>1120780</v>
      </c>
      <c r="B640" s="105" t="s">
        <v>1017</v>
      </c>
      <c r="C640" s="105" t="s">
        <v>1018</v>
      </c>
      <c r="D640" s="105">
        <v>4558</v>
      </c>
      <c r="E640" s="105">
        <v>2734.8</v>
      </c>
      <c r="F640" s="105">
        <v>4</v>
      </c>
    </row>
    <row r="641" spans="1:6" x14ac:dyDescent="0.25">
      <c r="A641" s="105">
        <f t="shared" si="9"/>
        <v>1120781</v>
      </c>
      <c r="B641" s="105" t="s">
        <v>1019</v>
      </c>
      <c r="C641" s="105" t="s">
        <v>1020</v>
      </c>
      <c r="D641" s="105">
        <v>4717</v>
      </c>
      <c r="E641" s="105">
        <v>2830.2</v>
      </c>
      <c r="F641" s="105">
        <v>4</v>
      </c>
    </row>
    <row r="642" spans="1:6" x14ac:dyDescent="0.25">
      <c r="A642" s="105" t="str">
        <f t="shared" si="9"/>
        <v/>
      </c>
      <c r="B642" s="105" t="s">
        <v>1021</v>
      </c>
      <c r="C642" s="105" t="s">
        <v>8</v>
      </c>
      <c r="D642" s="105">
        <v>0</v>
      </c>
      <c r="E642" s="105">
        <v>0</v>
      </c>
      <c r="F642" s="105">
        <v>0</v>
      </c>
    </row>
    <row r="643" spans="1:6" x14ac:dyDescent="0.25">
      <c r="A643" s="105">
        <f t="shared" ref="A643:A706" si="10">IF(B643&lt;&gt;"",IFERROR(B643*1,""),"")</f>
        <v>1120782</v>
      </c>
      <c r="B643" s="105" t="s">
        <v>1022</v>
      </c>
      <c r="C643" s="105" t="s">
        <v>1023</v>
      </c>
      <c r="D643" s="105">
        <v>0</v>
      </c>
      <c r="E643" s="105">
        <v>0</v>
      </c>
      <c r="F643" s="105">
        <v>0</v>
      </c>
    </row>
    <row r="644" spans="1:6" x14ac:dyDescent="0.25">
      <c r="A644" s="105" t="str">
        <f t="shared" si="10"/>
        <v/>
      </c>
      <c r="B644" s="105" t="s">
        <v>1024</v>
      </c>
      <c r="C644" s="105" t="s">
        <v>8</v>
      </c>
      <c r="D644" s="105">
        <v>0</v>
      </c>
      <c r="E644" s="105">
        <v>0</v>
      </c>
      <c r="F644" s="105">
        <v>0</v>
      </c>
    </row>
    <row r="645" spans="1:6" x14ac:dyDescent="0.25">
      <c r="A645" s="105">
        <f t="shared" si="10"/>
        <v>1120783</v>
      </c>
      <c r="B645" s="105" t="s">
        <v>1025</v>
      </c>
      <c r="C645" s="105" t="s">
        <v>1026</v>
      </c>
      <c r="D645" s="105">
        <v>0</v>
      </c>
      <c r="E645" s="105">
        <v>0</v>
      </c>
      <c r="F645" s="105">
        <v>0</v>
      </c>
    </row>
    <row r="646" spans="1:6" x14ac:dyDescent="0.25">
      <c r="A646" s="105" t="str">
        <f t="shared" si="10"/>
        <v/>
      </c>
      <c r="B646" s="105" t="s">
        <v>1027</v>
      </c>
      <c r="C646" s="105" t="s">
        <v>8</v>
      </c>
      <c r="D646" s="105">
        <v>0</v>
      </c>
      <c r="E646" s="105">
        <v>0</v>
      </c>
      <c r="F646" s="105">
        <v>0</v>
      </c>
    </row>
    <row r="647" spans="1:6" x14ac:dyDescent="0.25">
      <c r="A647" s="105">
        <f t="shared" si="10"/>
        <v>1120784</v>
      </c>
      <c r="B647" s="105" t="s">
        <v>1028</v>
      </c>
      <c r="C647" s="105" t="s">
        <v>1029</v>
      </c>
      <c r="D647" s="105">
        <v>0</v>
      </c>
      <c r="E647" s="105">
        <v>0</v>
      </c>
      <c r="F647" s="105">
        <v>0</v>
      </c>
    </row>
    <row r="648" spans="1:6" x14ac:dyDescent="0.25">
      <c r="A648" s="105">
        <f t="shared" si="10"/>
        <v>1120785</v>
      </c>
      <c r="B648" s="105" t="s">
        <v>1030</v>
      </c>
      <c r="C648" s="105" t="s">
        <v>1031</v>
      </c>
      <c r="D648" s="105">
        <v>4558</v>
      </c>
      <c r="E648" s="105">
        <v>2734.8</v>
      </c>
      <c r="F648" s="105">
        <v>23</v>
      </c>
    </row>
    <row r="649" spans="1:6" x14ac:dyDescent="0.25">
      <c r="A649" s="105" t="str">
        <f t="shared" si="10"/>
        <v/>
      </c>
      <c r="B649" s="105" t="s">
        <v>1032</v>
      </c>
      <c r="C649" s="105" t="s">
        <v>8</v>
      </c>
      <c r="D649" s="105">
        <v>0</v>
      </c>
      <c r="E649" s="105">
        <v>0</v>
      </c>
      <c r="F649" s="105">
        <v>0</v>
      </c>
    </row>
    <row r="650" spans="1:6" x14ac:dyDescent="0.25">
      <c r="A650" s="105">
        <f t="shared" si="10"/>
        <v>1120786</v>
      </c>
      <c r="B650" s="105" t="s">
        <v>1033</v>
      </c>
      <c r="C650" s="105" t="s">
        <v>1034</v>
      </c>
      <c r="D650" s="105">
        <v>0</v>
      </c>
      <c r="E650" s="105">
        <v>0</v>
      </c>
      <c r="F650" s="105">
        <v>0</v>
      </c>
    </row>
    <row r="651" spans="1:6" x14ac:dyDescent="0.25">
      <c r="A651" s="105" t="str">
        <f t="shared" si="10"/>
        <v/>
      </c>
      <c r="B651" s="105" t="s">
        <v>1035</v>
      </c>
      <c r="C651" s="105" t="s">
        <v>8</v>
      </c>
      <c r="D651" s="105">
        <v>0</v>
      </c>
      <c r="E651" s="105">
        <v>0</v>
      </c>
      <c r="F651" s="105">
        <v>0</v>
      </c>
    </row>
    <row r="652" spans="1:6" x14ac:dyDescent="0.25">
      <c r="A652" s="105">
        <f t="shared" si="10"/>
        <v>1120787</v>
      </c>
      <c r="B652" s="105" t="s">
        <v>1036</v>
      </c>
      <c r="C652" s="105" t="s">
        <v>1037</v>
      </c>
      <c r="D652" s="105">
        <v>0</v>
      </c>
      <c r="E652" s="105">
        <v>0</v>
      </c>
      <c r="F652" s="105">
        <v>0</v>
      </c>
    </row>
    <row r="653" spans="1:6" x14ac:dyDescent="0.25">
      <c r="A653" s="105">
        <f t="shared" si="10"/>
        <v>1120789</v>
      </c>
      <c r="B653" s="105" t="s">
        <v>1038</v>
      </c>
      <c r="C653" s="105" t="s">
        <v>1039</v>
      </c>
      <c r="D653" s="105">
        <v>6254</v>
      </c>
      <c r="E653" s="105">
        <v>3752.4</v>
      </c>
      <c r="F653" s="105">
        <v>5</v>
      </c>
    </row>
    <row r="654" spans="1:6" x14ac:dyDescent="0.25">
      <c r="A654" s="105">
        <f t="shared" si="10"/>
        <v>1120790</v>
      </c>
      <c r="B654" s="105" t="s">
        <v>1040</v>
      </c>
      <c r="C654" s="105" t="s">
        <v>1041</v>
      </c>
      <c r="D654" s="105">
        <v>6466</v>
      </c>
      <c r="E654" s="105">
        <v>3879.6</v>
      </c>
      <c r="F654" s="105">
        <v>9</v>
      </c>
    </row>
    <row r="655" spans="1:6" x14ac:dyDescent="0.25">
      <c r="A655" s="105">
        <f t="shared" si="10"/>
        <v>1120791</v>
      </c>
      <c r="B655" s="105" t="s">
        <v>1042</v>
      </c>
      <c r="C655" s="105" t="s">
        <v>1043</v>
      </c>
      <c r="D655" s="105">
        <v>6678</v>
      </c>
      <c r="E655" s="105">
        <v>4006.8</v>
      </c>
      <c r="F655" s="105">
        <v>0</v>
      </c>
    </row>
    <row r="656" spans="1:6" x14ac:dyDescent="0.25">
      <c r="A656" s="105" t="str">
        <f t="shared" si="10"/>
        <v/>
      </c>
      <c r="B656" s="105" t="s">
        <v>1044</v>
      </c>
      <c r="C656" s="105" t="s">
        <v>8</v>
      </c>
      <c r="D656" s="105">
        <v>0</v>
      </c>
      <c r="E656" s="105">
        <v>0</v>
      </c>
      <c r="F656" s="105">
        <v>0</v>
      </c>
    </row>
    <row r="657" spans="1:6" x14ac:dyDescent="0.25">
      <c r="A657" s="105">
        <f t="shared" si="10"/>
        <v>1120792</v>
      </c>
      <c r="B657" s="105" t="s">
        <v>1045</v>
      </c>
      <c r="C657" s="105" t="s">
        <v>1046</v>
      </c>
      <c r="D657" s="105">
        <v>6890</v>
      </c>
      <c r="E657" s="105">
        <v>4134</v>
      </c>
      <c r="F657" s="105">
        <v>0</v>
      </c>
    </row>
    <row r="658" spans="1:6" x14ac:dyDescent="0.25">
      <c r="A658" s="105">
        <f t="shared" si="10"/>
        <v>1120793</v>
      </c>
      <c r="B658" s="105" t="s">
        <v>9230</v>
      </c>
      <c r="C658" s="105" t="s">
        <v>9231</v>
      </c>
      <c r="D658" s="105">
        <v>6466</v>
      </c>
      <c r="E658" s="105">
        <v>3879.6</v>
      </c>
      <c r="F658" s="105">
        <v>0</v>
      </c>
    </row>
    <row r="659" spans="1:6" x14ac:dyDescent="0.25">
      <c r="A659" s="105">
        <f t="shared" si="10"/>
        <v>1120795</v>
      </c>
      <c r="B659" s="105" t="s">
        <v>1047</v>
      </c>
      <c r="C659" s="105" t="s">
        <v>1048</v>
      </c>
      <c r="D659" s="105">
        <v>5826.57</v>
      </c>
      <c r="E659" s="105">
        <v>3495.94</v>
      </c>
      <c r="F659" s="105">
        <v>20</v>
      </c>
    </row>
    <row r="660" spans="1:6" x14ac:dyDescent="0.25">
      <c r="A660" s="105">
        <f t="shared" si="10"/>
        <v>1120796</v>
      </c>
      <c r="B660" s="105" t="s">
        <v>1049</v>
      </c>
      <c r="C660" s="105" t="s">
        <v>1050</v>
      </c>
      <c r="D660" s="105">
        <v>6027.5</v>
      </c>
      <c r="E660" s="105">
        <v>3616.5</v>
      </c>
      <c r="F660" s="105">
        <v>3</v>
      </c>
    </row>
    <row r="661" spans="1:6" x14ac:dyDescent="0.25">
      <c r="A661" s="105" t="str">
        <f t="shared" si="10"/>
        <v/>
      </c>
      <c r="B661" s="105" t="s">
        <v>1051</v>
      </c>
      <c r="C661" s="105" t="s">
        <v>8</v>
      </c>
      <c r="D661" s="105">
        <v>0</v>
      </c>
      <c r="E661" s="105">
        <v>0</v>
      </c>
      <c r="F661" s="105">
        <v>0</v>
      </c>
    </row>
    <row r="662" spans="1:6" x14ac:dyDescent="0.25">
      <c r="A662" s="105">
        <f t="shared" si="10"/>
        <v>1120797</v>
      </c>
      <c r="B662" s="105" t="s">
        <v>1052</v>
      </c>
      <c r="C662" s="105" t="s">
        <v>1053</v>
      </c>
      <c r="D662" s="105">
        <v>0</v>
      </c>
      <c r="E662" s="105">
        <v>0</v>
      </c>
      <c r="F662" s="105">
        <v>0</v>
      </c>
    </row>
    <row r="663" spans="1:6" x14ac:dyDescent="0.25">
      <c r="A663" s="105" t="str">
        <f t="shared" si="10"/>
        <v/>
      </c>
      <c r="B663" s="105" t="s">
        <v>1054</v>
      </c>
      <c r="C663" s="105" t="s">
        <v>8</v>
      </c>
      <c r="D663" s="105">
        <v>0</v>
      </c>
      <c r="E663" s="105">
        <v>0</v>
      </c>
      <c r="F663" s="105">
        <v>0</v>
      </c>
    </row>
    <row r="664" spans="1:6" x14ac:dyDescent="0.25">
      <c r="A664" s="105">
        <f t="shared" si="10"/>
        <v>1120798</v>
      </c>
      <c r="B664" s="105" t="s">
        <v>1055</v>
      </c>
      <c r="C664" s="105" t="s">
        <v>1056</v>
      </c>
      <c r="D664" s="105">
        <v>0</v>
      </c>
      <c r="E664" s="105">
        <v>0</v>
      </c>
      <c r="F664" s="105">
        <v>1</v>
      </c>
    </row>
    <row r="665" spans="1:6" x14ac:dyDescent="0.25">
      <c r="A665" s="105" t="str">
        <f t="shared" si="10"/>
        <v/>
      </c>
      <c r="B665" s="105" t="s">
        <v>1057</v>
      </c>
      <c r="C665" s="105" t="s">
        <v>8</v>
      </c>
      <c r="D665" s="105">
        <v>0</v>
      </c>
      <c r="E665" s="105">
        <v>0</v>
      </c>
      <c r="F665" s="105">
        <v>0</v>
      </c>
    </row>
    <row r="666" spans="1:6" x14ac:dyDescent="0.25">
      <c r="A666" s="105">
        <f t="shared" si="10"/>
        <v>1120799</v>
      </c>
      <c r="B666" s="105" t="s">
        <v>1058</v>
      </c>
      <c r="C666" s="105" t="s">
        <v>1059</v>
      </c>
      <c r="D666" s="105">
        <v>6254</v>
      </c>
      <c r="E666" s="105">
        <v>3752.4</v>
      </c>
      <c r="F666" s="105">
        <v>0</v>
      </c>
    </row>
    <row r="667" spans="1:6" x14ac:dyDescent="0.25">
      <c r="A667" s="105" t="str">
        <f t="shared" si="10"/>
        <v/>
      </c>
      <c r="B667" s="105" t="s">
        <v>1060</v>
      </c>
      <c r="C667" s="105" t="s">
        <v>8</v>
      </c>
      <c r="D667" s="105">
        <v>0</v>
      </c>
      <c r="E667" s="105">
        <v>0</v>
      </c>
      <c r="F667" s="105">
        <v>0</v>
      </c>
    </row>
    <row r="668" spans="1:6" x14ac:dyDescent="0.25">
      <c r="A668" s="105">
        <f t="shared" si="10"/>
        <v>1120800</v>
      </c>
      <c r="B668" s="105" t="s">
        <v>1061</v>
      </c>
      <c r="C668" s="105" t="s">
        <v>1062</v>
      </c>
      <c r="D668" s="105">
        <v>6254</v>
      </c>
      <c r="E668" s="105">
        <v>3752.4</v>
      </c>
      <c r="F668" s="105">
        <v>3</v>
      </c>
    </row>
    <row r="669" spans="1:6" x14ac:dyDescent="0.25">
      <c r="A669" s="105" t="str">
        <f t="shared" si="10"/>
        <v/>
      </c>
      <c r="B669" s="105" t="s">
        <v>1063</v>
      </c>
      <c r="C669" s="105" t="s">
        <v>8</v>
      </c>
      <c r="D669" s="105">
        <v>0</v>
      </c>
      <c r="E669" s="105">
        <v>0</v>
      </c>
      <c r="F669" s="105">
        <v>0</v>
      </c>
    </row>
    <row r="670" spans="1:6" x14ac:dyDescent="0.25">
      <c r="A670" s="105">
        <f t="shared" si="10"/>
        <v>1120801</v>
      </c>
      <c r="B670" s="105" t="s">
        <v>1064</v>
      </c>
      <c r="C670" s="105" t="s">
        <v>1065</v>
      </c>
      <c r="D670" s="105">
        <v>6466</v>
      </c>
      <c r="E670" s="105">
        <v>3879.6</v>
      </c>
      <c r="F670" s="105">
        <v>2</v>
      </c>
    </row>
    <row r="671" spans="1:6" x14ac:dyDescent="0.25">
      <c r="A671" s="105" t="str">
        <f t="shared" si="10"/>
        <v/>
      </c>
      <c r="B671" s="105" t="s">
        <v>1066</v>
      </c>
      <c r="C671" s="105" t="s">
        <v>8</v>
      </c>
      <c r="D671" s="105">
        <v>0</v>
      </c>
      <c r="E671" s="105">
        <v>0</v>
      </c>
      <c r="F671" s="105">
        <v>0</v>
      </c>
    </row>
    <row r="672" spans="1:6" x14ac:dyDescent="0.25">
      <c r="A672" s="105">
        <f t="shared" si="10"/>
        <v>1120802</v>
      </c>
      <c r="B672" s="105" t="s">
        <v>1067</v>
      </c>
      <c r="C672" s="105" t="s">
        <v>974</v>
      </c>
      <c r="D672" s="105">
        <v>6678</v>
      </c>
      <c r="E672" s="105">
        <v>4006.8</v>
      </c>
      <c r="F672" s="105">
        <v>0</v>
      </c>
    </row>
    <row r="673" spans="1:6" x14ac:dyDescent="0.25">
      <c r="A673" s="105" t="str">
        <f t="shared" si="10"/>
        <v/>
      </c>
      <c r="B673" s="105" t="s">
        <v>1068</v>
      </c>
      <c r="C673" s="105" t="s">
        <v>8</v>
      </c>
      <c r="D673" s="105">
        <v>0</v>
      </c>
      <c r="E673" s="105">
        <v>0</v>
      </c>
      <c r="F673" s="105">
        <v>0</v>
      </c>
    </row>
    <row r="674" spans="1:6" x14ac:dyDescent="0.25">
      <c r="A674" s="105">
        <f t="shared" si="10"/>
        <v>1120803</v>
      </c>
      <c r="B674" s="105" t="s">
        <v>1069</v>
      </c>
      <c r="C674" s="105" t="s">
        <v>1070</v>
      </c>
      <c r="D674" s="105">
        <v>6890</v>
      </c>
      <c r="E674" s="105">
        <v>4134</v>
      </c>
      <c r="F674" s="105">
        <v>0</v>
      </c>
    </row>
    <row r="675" spans="1:6" x14ac:dyDescent="0.25">
      <c r="A675" s="105">
        <f t="shared" si="10"/>
        <v>1120804</v>
      </c>
      <c r="B675" s="105" t="s">
        <v>9232</v>
      </c>
      <c r="C675" s="105" t="s">
        <v>9233</v>
      </c>
      <c r="D675" s="105">
        <v>0</v>
      </c>
      <c r="E675" s="105">
        <v>0</v>
      </c>
      <c r="F675" s="105">
        <v>0</v>
      </c>
    </row>
    <row r="676" spans="1:6" x14ac:dyDescent="0.25">
      <c r="A676" s="105">
        <f t="shared" si="10"/>
        <v>1120805</v>
      </c>
      <c r="B676" s="105" t="s">
        <v>9234</v>
      </c>
      <c r="C676" s="105" t="s">
        <v>9235</v>
      </c>
      <c r="D676" s="105">
        <v>0</v>
      </c>
      <c r="E676" s="105">
        <v>0</v>
      </c>
      <c r="F676" s="105">
        <v>0</v>
      </c>
    </row>
    <row r="677" spans="1:6" x14ac:dyDescent="0.25">
      <c r="A677" s="105">
        <f t="shared" si="10"/>
        <v>1120806</v>
      </c>
      <c r="B677" s="105" t="s">
        <v>9236</v>
      </c>
      <c r="C677" s="105" t="s">
        <v>9237</v>
      </c>
      <c r="D677" s="105">
        <v>0</v>
      </c>
      <c r="E677" s="105">
        <v>0</v>
      </c>
      <c r="F677" s="105">
        <v>0</v>
      </c>
    </row>
    <row r="678" spans="1:6" x14ac:dyDescent="0.25">
      <c r="A678" s="105">
        <f t="shared" si="10"/>
        <v>1120840</v>
      </c>
      <c r="B678" s="105" t="s">
        <v>1071</v>
      </c>
      <c r="C678" s="105" t="s">
        <v>1072</v>
      </c>
      <c r="D678" s="105">
        <v>4558</v>
      </c>
      <c r="E678" s="105">
        <v>2734.8</v>
      </c>
      <c r="F678" s="105">
        <v>67</v>
      </c>
    </row>
    <row r="679" spans="1:6" x14ac:dyDescent="0.25">
      <c r="A679" s="105">
        <f t="shared" si="10"/>
        <v>1120841</v>
      </c>
      <c r="B679" s="105" t="s">
        <v>1073</v>
      </c>
      <c r="C679" s="105" t="s">
        <v>1074</v>
      </c>
      <c r="D679" s="105">
        <v>4717</v>
      </c>
      <c r="E679" s="105">
        <v>2830.2</v>
      </c>
      <c r="F679" s="105">
        <v>7</v>
      </c>
    </row>
    <row r="680" spans="1:6" x14ac:dyDescent="0.25">
      <c r="A680" s="105">
        <f t="shared" si="10"/>
        <v>1120842</v>
      </c>
      <c r="B680" s="105" t="s">
        <v>1075</v>
      </c>
      <c r="C680" s="105" t="s">
        <v>1076</v>
      </c>
      <c r="D680" s="105">
        <v>4876</v>
      </c>
      <c r="E680" s="105">
        <v>2925.6</v>
      </c>
      <c r="F680" s="105">
        <v>8</v>
      </c>
    </row>
    <row r="681" spans="1:6" x14ac:dyDescent="0.25">
      <c r="A681" s="105" t="str">
        <f t="shared" si="10"/>
        <v/>
      </c>
      <c r="B681" s="105" t="s">
        <v>1077</v>
      </c>
      <c r="C681" s="105" t="s">
        <v>8</v>
      </c>
      <c r="D681" s="105">
        <v>0</v>
      </c>
      <c r="E681" s="105">
        <v>0</v>
      </c>
      <c r="F681" s="105">
        <v>0</v>
      </c>
    </row>
    <row r="682" spans="1:6" x14ac:dyDescent="0.25">
      <c r="A682" s="105">
        <f t="shared" si="10"/>
        <v>1120843</v>
      </c>
      <c r="B682" s="105" t="s">
        <v>1078</v>
      </c>
      <c r="C682" s="105" t="s">
        <v>1079</v>
      </c>
      <c r="D682" s="105">
        <v>5035</v>
      </c>
      <c r="E682" s="105">
        <v>3021</v>
      </c>
      <c r="F682" s="105">
        <v>0</v>
      </c>
    </row>
    <row r="683" spans="1:6" x14ac:dyDescent="0.25">
      <c r="A683" s="105">
        <f t="shared" si="10"/>
        <v>1120850</v>
      </c>
      <c r="B683" s="105" t="s">
        <v>1080</v>
      </c>
      <c r="C683" s="105" t="s">
        <v>1081</v>
      </c>
      <c r="D683" s="105">
        <v>10590</v>
      </c>
      <c r="E683" s="105">
        <v>6354</v>
      </c>
      <c r="F683" s="105">
        <v>6</v>
      </c>
    </row>
    <row r="684" spans="1:6" x14ac:dyDescent="0.25">
      <c r="A684" s="105">
        <f t="shared" si="10"/>
        <v>1120851</v>
      </c>
      <c r="B684" s="105" t="s">
        <v>1082</v>
      </c>
      <c r="C684" s="105" t="s">
        <v>1083</v>
      </c>
      <c r="D684" s="105">
        <v>11090</v>
      </c>
      <c r="E684" s="105">
        <v>6654</v>
      </c>
      <c r="F684" s="105">
        <v>1</v>
      </c>
    </row>
    <row r="685" spans="1:6" x14ac:dyDescent="0.25">
      <c r="A685" s="105">
        <f t="shared" si="10"/>
        <v>1120852</v>
      </c>
      <c r="B685" s="105" t="s">
        <v>1084</v>
      </c>
      <c r="C685" s="105" t="s">
        <v>1085</v>
      </c>
      <c r="D685" s="105">
        <v>11590</v>
      </c>
      <c r="E685" s="105">
        <v>6954</v>
      </c>
      <c r="F685" s="105">
        <v>5</v>
      </c>
    </row>
    <row r="686" spans="1:6" x14ac:dyDescent="0.25">
      <c r="A686" s="105" t="str">
        <f t="shared" si="10"/>
        <v/>
      </c>
      <c r="B686" s="105" t="s">
        <v>1086</v>
      </c>
      <c r="C686" s="105" t="s">
        <v>8</v>
      </c>
      <c r="D686" s="105">
        <v>0</v>
      </c>
      <c r="E686" s="105">
        <v>0</v>
      </c>
      <c r="F686" s="105">
        <v>0</v>
      </c>
    </row>
    <row r="687" spans="1:6" x14ac:dyDescent="0.25">
      <c r="A687" s="105">
        <f t="shared" si="10"/>
        <v>1120853</v>
      </c>
      <c r="B687" s="105" t="s">
        <v>1087</v>
      </c>
      <c r="C687" s="105" t="s">
        <v>1088</v>
      </c>
      <c r="D687" s="105">
        <v>12090</v>
      </c>
      <c r="E687" s="105">
        <v>7254</v>
      </c>
      <c r="F687" s="105">
        <v>0</v>
      </c>
    </row>
    <row r="688" spans="1:6" x14ac:dyDescent="0.25">
      <c r="A688" s="105">
        <f t="shared" si="10"/>
        <v>1120856</v>
      </c>
      <c r="B688" s="105" t="s">
        <v>1089</v>
      </c>
      <c r="C688" s="105" t="s">
        <v>1090</v>
      </c>
      <c r="D688" s="105">
        <v>6678</v>
      </c>
      <c r="E688" s="105">
        <v>4006.8</v>
      </c>
      <c r="F688" s="105">
        <v>203</v>
      </c>
    </row>
    <row r="689" spans="1:6" x14ac:dyDescent="0.25">
      <c r="A689" s="105">
        <f t="shared" si="10"/>
        <v>1120857</v>
      </c>
      <c r="B689" s="105" t="s">
        <v>1091</v>
      </c>
      <c r="C689" s="105" t="s">
        <v>1092</v>
      </c>
      <c r="D689" s="105">
        <v>6890</v>
      </c>
      <c r="E689" s="105">
        <v>4134</v>
      </c>
      <c r="F689" s="105">
        <v>112</v>
      </c>
    </row>
    <row r="690" spans="1:6" x14ac:dyDescent="0.25">
      <c r="A690" s="105">
        <f t="shared" si="10"/>
        <v>1120858</v>
      </c>
      <c r="B690" s="105" t="s">
        <v>1093</v>
      </c>
      <c r="C690" s="105" t="s">
        <v>1094</v>
      </c>
      <c r="D690" s="105">
        <v>6678</v>
      </c>
      <c r="E690" s="105">
        <v>4006.8</v>
      </c>
      <c r="F690" s="105">
        <v>99</v>
      </c>
    </row>
    <row r="691" spans="1:6" x14ac:dyDescent="0.25">
      <c r="A691" s="105">
        <f t="shared" si="10"/>
        <v>1120859</v>
      </c>
      <c r="B691" s="105" t="s">
        <v>1095</v>
      </c>
      <c r="C691" s="105" t="s">
        <v>1096</v>
      </c>
      <c r="D691" s="105">
        <v>6890</v>
      </c>
      <c r="E691" s="105">
        <v>4134</v>
      </c>
      <c r="F691" s="105">
        <v>65</v>
      </c>
    </row>
    <row r="692" spans="1:6" x14ac:dyDescent="0.25">
      <c r="A692" s="105">
        <f t="shared" si="10"/>
        <v>1120860</v>
      </c>
      <c r="B692" s="105" t="s">
        <v>1097</v>
      </c>
      <c r="C692" s="105" t="s">
        <v>1098</v>
      </c>
      <c r="D692" s="105">
        <v>7102</v>
      </c>
      <c r="E692" s="105">
        <v>4261.2</v>
      </c>
      <c r="F692" s="105">
        <v>38</v>
      </c>
    </row>
    <row r="693" spans="1:6" x14ac:dyDescent="0.25">
      <c r="A693" s="105">
        <f t="shared" si="10"/>
        <v>1120861</v>
      </c>
      <c r="B693" s="105" t="s">
        <v>1099</v>
      </c>
      <c r="C693" s="105" t="s">
        <v>1100</v>
      </c>
      <c r="D693" s="105">
        <v>7314</v>
      </c>
      <c r="E693" s="105">
        <v>4388.3999999999996</v>
      </c>
      <c r="F693" s="105">
        <v>1</v>
      </c>
    </row>
    <row r="694" spans="1:6" x14ac:dyDescent="0.25">
      <c r="A694" s="105">
        <f t="shared" si="10"/>
        <v>1120862</v>
      </c>
      <c r="B694" s="105" t="s">
        <v>1101</v>
      </c>
      <c r="C694" s="105" t="s">
        <v>1102</v>
      </c>
      <c r="D694" s="105">
        <v>7102</v>
      </c>
      <c r="E694" s="105">
        <v>4261.2</v>
      </c>
      <c r="F694" s="105">
        <v>17</v>
      </c>
    </row>
    <row r="695" spans="1:6" x14ac:dyDescent="0.25">
      <c r="A695" s="105">
        <f t="shared" si="10"/>
        <v>1120863</v>
      </c>
      <c r="B695" s="105" t="s">
        <v>1103</v>
      </c>
      <c r="C695" s="105" t="s">
        <v>1104</v>
      </c>
      <c r="D695" s="105">
        <v>7314</v>
      </c>
      <c r="E695" s="105">
        <v>4388.3999999999996</v>
      </c>
      <c r="F695" s="105">
        <v>1</v>
      </c>
    </row>
    <row r="696" spans="1:6" x14ac:dyDescent="0.25">
      <c r="A696" s="105" t="str">
        <f t="shared" si="10"/>
        <v/>
      </c>
      <c r="B696" s="105" t="s">
        <v>1105</v>
      </c>
      <c r="C696" s="105" t="s">
        <v>8</v>
      </c>
      <c r="D696" s="105">
        <v>0</v>
      </c>
      <c r="E696" s="105">
        <v>0</v>
      </c>
      <c r="F696" s="105">
        <v>0</v>
      </c>
    </row>
    <row r="697" spans="1:6" x14ac:dyDescent="0.25">
      <c r="A697" s="105">
        <f t="shared" si="10"/>
        <v>1120873</v>
      </c>
      <c r="B697" s="105" t="s">
        <v>1106</v>
      </c>
      <c r="C697" s="105" t="s">
        <v>1107</v>
      </c>
      <c r="D697" s="105">
        <v>11090</v>
      </c>
      <c r="E697" s="105">
        <v>6654</v>
      </c>
      <c r="F697" s="105">
        <v>0</v>
      </c>
    </row>
    <row r="698" spans="1:6" x14ac:dyDescent="0.25">
      <c r="A698" s="105">
        <f t="shared" si="10"/>
        <v>1120875</v>
      </c>
      <c r="B698" s="105" t="s">
        <v>1108</v>
      </c>
      <c r="C698" s="105" t="s">
        <v>1109</v>
      </c>
      <c r="D698" s="105">
        <v>9500</v>
      </c>
      <c r="E698" s="105">
        <v>5700</v>
      </c>
      <c r="F698" s="105">
        <v>35</v>
      </c>
    </row>
    <row r="699" spans="1:6" x14ac:dyDescent="0.25">
      <c r="A699" s="105">
        <f t="shared" si="10"/>
        <v>1120876</v>
      </c>
      <c r="B699" s="105" t="s">
        <v>1110</v>
      </c>
      <c r="C699" s="105" t="s">
        <v>1111</v>
      </c>
      <c r="D699" s="105">
        <v>9328</v>
      </c>
      <c r="E699" s="105">
        <v>5596.8</v>
      </c>
      <c r="F699" s="105">
        <v>5</v>
      </c>
    </row>
    <row r="700" spans="1:6" x14ac:dyDescent="0.25">
      <c r="A700" s="105">
        <f t="shared" si="10"/>
        <v>1120877</v>
      </c>
      <c r="B700" s="105" t="s">
        <v>1112</v>
      </c>
      <c r="C700" s="105" t="s">
        <v>1113</v>
      </c>
      <c r="D700" s="105">
        <v>9500</v>
      </c>
      <c r="E700" s="105">
        <v>5700</v>
      </c>
      <c r="F700" s="105">
        <v>23</v>
      </c>
    </row>
    <row r="701" spans="1:6" x14ac:dyDescent="0.25">
      <c r="A701" s="105">
        <f t="shared" si="10"/>
        <v>1120878</v>
      </c>
      <c r="B701" s="105" t="s">
        <v>1114</v>
      </c>
      <c r="C701" s="105" t="s">
        <v>1115</v>
      </c>
      <c r="D701" s="105">
        <v>9328</v>
      </c>
      <c r="E701" s="105">
        <v>5596.8</v>
      </c>
      <c r="F701" s="105">
        <v>21</v>
      </c>
    </row>
    <row r="702" spans="1:6" x14ac:dyDescent="0.25">
      <c r="A702" s="105">
        <f t="shared" si="10"/>
        <v>1120879</v>
      </c>
      <c r="B702" s="105" t="s">
        <v>1116</v>
      </c>
      <c r="C702" s="105" t="s">
        <v>1117</v>
      </c>
      <c r="D702" s="105">
        <v>10000</v>
      </c>
      <c r="E702" s="105">
        <v>6000</v>
      </c>
      <c r="F702" s="105">
        <v>4</v>
      </c>
    </row>
    <row r="703" spans="1:6" x14ac:dyDescent="0.25">
      <c r="A703" s="105">
        <f t="shared" si="10"/>
        <v>1120880</v>
      </c>
      <c r="B703" s="105" t="s">
        <v>1118</v>
      </c>
      <c r="C703" s="105" t="s">
        <v>1119</v>
      </c>
      <c r="D703" s="105">
        <v>9540</v>
      </c>
      <c r="E703" s="105">
        <v>5724</v>
      </c>
      <c r="F703" s="105">
        <v>3</v>
      </c>
    </row>
    <row r="704" spans="1:6" x14ac:dyDescent="0.25">
      <c r="A704" s="105" t="str">
        <f t="shared" si="10"/>
        <v/>
      </c>
      <c r="B704" s="105" t="s">
        <v>1120</v>
      </c>
      <c r="C704" s="105" t="s">
        <v>8</v>
      </c>
      <c r="D704" s="105">
        <v>0</v>
      </c>
      <c r="E704" s="105">
        <v>0</v>
      </c>
      <c r="F704" s="105">
        <v>0</v>
      </c>
    </row>
    <row r="705" spans="1:6" x14ac:dyDescent="0.25">
      <c r="A705" s="105">
        <f t="shared" si="10"/>
        <v>1120881</v>
      </c>
      <c r="B705" s="105" t="s">
        <v>1121</v>
      </c>
      <c r="C705" s="105" t="s">
        <v>1122</v>
      </c>
      <c r="D705" s="105">
        <v>10000</v>
      </c>
      <c r="E705" s="105">
        <v>6000</v>
      </c>
      <c r="F705" s="105">
        <v>0</v>
      </c>
    </row>
    <row r="706" spans="1:6" x14ac:dyDescent="0.25">
      <c r="A706" s="105" t="str">
        <f t="shared" si="10"/>
        <v/>
      </c>
      <c r="B706" s="105" t="s">
        <v>1123</v>
      </c>
      <c r="C706" s="105" t="s">
        <v>8</v>
      </c>
      <c r="D706" s="105">
        <v>0</v>
      </c>
      <c r="E706" s="105">
        <v>0</v>
      </c>
      <c r="F706" s="105">
        <v>0</v>
      </c>
    </row>
    <row r="707" spans="1:6" x14ac:dyDescent="0.25">
      <c r="A707" s="105">
        <f t="shared" ref="A707:A770" si="11">IF(B707&lt;&gt;"",IFERROR(B707*1,""),"")</f>
        <v>1120882</v>
      </c>
      <c r="B707" s="105" t="s">
        <v>1124</v>
      </c>
      <c r="C707" s="105" t="s">
        <v>1125</v>
      </c>
      <c r="D707" s="105">
        <v>10500</v>
      </c>
      <c r="E707" s="105">
        <v>6300</v>
      </c>
      <c r="F707" s="105">
        <v>0</v>
      </c>
    </row>
    <row r="708" spans="1:6" x14ac:dyDescent="0.25">
      <c r="A708" s="105" t="str">
        <f t="shared" si="11"/>
        <v/>
      </c>
      <c r="B708" s="105" t="s">
        <v>1126</v>
      </c>
      <c r="C708" s="105" t="s">
        <v>8</v>
      </c>
      <c r="D708" s="105">
        <v>0</v>
      </c>
      <c r="E708" s="105">
        <v>0</v>
      </c>
      <c r="F708" s="105">
        <v>0</v>
      </c>
    </row>
    <row r="709" spans="1:6" x14ac:dyDescent="0.25">
      <c r="A709" s="105">
        <f t="shared" si="11"/>
        <v>1120883</v>
      </c>
      <c r="B709" s="105" t="s">
        <v>1127</v>
      </c>
      <c r="C709" s="105" t="s">
        <v>1128</v>
      </c>
      <c r="D709" s="105">
        <v>0</v>
      </c>
      <c r="E709" s="105">
        <v>0</v>
      </c>
      <c r="F709" s="105">
        <v>0</v>
      </c>
    </row>
    <row r="710" spans="1:6" x14ac:dyDescent="0.25">
      <c r="A710" s="105" t="str">
        <f t="shared" si="11"/>
        <v/>
      </c>
      <c r="B710" s="105" t="s">
        <v>1129</v>
      </c>
      <c r="C710" s="105" t="s">
        <v>8</v>
      </c>
      <c r="D710" s="105">
        <v>0</v>
      </c>
      <c r="E710" s="105">
        <v>0</v>
      </c>
      <c r="F710" s="105">
        <v>0</v>
      </c>
    </row>
    <row r="711" spans="1:6" x14ac:dyDescent="0.25">
      <c r="A711" s="105">
        <f t="shared" si="11"/>
        <v>1120884</v>
      </c>
      <c r="B711" s="105" t="s">
        <v>1130</v>
      </c>
      <c r="C711" s="105" t="s">
        <v>1131</v>
      </c>
      <c r="D711" s="105">
        <v>0</v>
      </c>
      <c r="E711" s="105">
        <v>0</v>
      </c>
      <c r="F711" s="105">
        <v>0</v>
      </c>
    </row>
    <row r="712" spans="1:6" x14ac:dyDescent="0.25">
      <c r="A712" s="105" t="str">
        <f t="shared" si="11"/>
        <v/>
      </c>
      <c r="B712" s="105" t="s">
        <v>1132</v>
      </c>
      <c r="C712" s="105" t="s">
        <v>8</v>
      </c>
      <c r="D712" s="105">
        <v>0</v>
      </c>
      <c r="E712" s="105">
        <v>0</v>
      </c>
      <c r="F712" s="105">
        <v>0</v>
      </c>
    </row>
    <row r="713" spans="1:6" x14ac:dyDescent="0.25">
      <c r="A713" s="105">
        <f t="shared" si="11"/>
        <v>1120885</v>
      </c>
      <c r="B713" s="105" t="s">
        <v>1133</v>
      </c>
      <c r="C713" s="105" t="s">
        <v>1134</v>
      </c>
      <c r="D713" s="105">
        <v>0</v>
      </c>
      <c r="E713" s="105">
        <v>0</v>
      </c>
      <c r="F713" s="105">
        <v>0</v>
      </c>
    </row>
    <row r="714" spans="1:6" x14ac:dyDescent="0.25">
      <c r="A714" s="105" t="str">
        <f t="shared" si="11"/>
        <v/>
      </c>
      <c r="B714" s="105" t="s">
        <v>1135</v>
      </c>
      <c r="C714" s="105" t="s">
        <v>8</v>
      </c>
      <c r="D714" s="105">
        <v>0</v>
      </c>
      <c r="E714" s="105">
        <v>0</v>
      </c>
      <c r="F714" s="105">
        <v>0</v>
      </c>
    </row>
    <row r="715" spans="1:6" x14ac:dyDescent="0.25">
      <c r="A715" s="105">
        <f t="shared" si="11"/>
        <v>1120886</v>
      </c>
      <c r="B715" s="105" t="s">
        <v>1136</v>
      </c>
      <c r="C715" s="105" t="s">
        <v>1137</v>
      </c>
      <c r="D715" s="105">
        <v>0</v>
      </c>
      <c r="E715" s="105">
        <v>0</v>
      </c>
      <c r="F715" s="105">
        <v>0</v>
      </c>
    </row>
    <row r="716" spans="1:6" x14ac:dyDescent="0.25">
      <c r="A716" s="105">
        <f t="shared" si="11"/>
        <v>1120887</v>
      </c>
      <c r="B716" s="105" t="s">
        <v>1138</v>
      </c>
      <c r="C716" s="105" t="s">
        <v>1139</v>
      </c>
      <c r="D716" s="105">
        <v>10500</v>
      </c>
      <c r="E716" s="105">
        <v>6300</v>
      </c>
      <c r="F716" s="105">
        <v>2</v>
      </c>
    </row>
    <row r="717" spans="1:6" x14ac:dyDescent="0.25">
      <c r="A717" s="105">
        <f t="shared" si="11"/>
        <v>1120888</v>
      </c>
      <c r="B717" s="105" t="s">
        <v>1140</v>
      </c>
      <c r="C717" s="105" t="s">
        <v>1141</v>
      </c>
      <c r="D717" s="105">
        <v>0</v>
      </c>
      <c r="E717" s="105">
        <v>0</v>
      </c>
      <c r="F717" s="105">
        <v>19</v>
      </c>
    </row>
    <row r="718" spans="1:6" x14ac:dyDescent="0.25">
      <c r="A718" s="105" t="str">
        <f t="shared" si="11"/>
        <v/>
      </c>
      <c r="B718" s="105" t="s">
        <v>1142</v>
      </c>
      <c r="C718" s="105" t="s">
        <v>8</v>
      </c>
      <c r="D718" s="105">
        <v>0</v>
      </c>
      <c r="E718" s="105">
        <v>0</v>
      </c>
      <c r="F718" s="105">
        <v>0</v>
      </c>
    </row>
    <row r="719" spans="1:6" x14ac:dyDescent="0.25">
      <c r="A719" s="105">
        <f t="shared" si="11"/>
        <v>1120900</v>
      </c>
      <c r="B719" s="105" t="s">
        <v>1143</v>
      </c>
      <c r="C719" s="105" t="s">
        <v>1144</v>
      </c>
      <c r="D719" s="105">
        <v>6254</v>
      </c>
      <c r="E719" s="105">
        <v>3752.4</v>
      </c>
      <c r="F719" s="105">
        <v>45</v>
      </c>
    </row>
    <row r="720" spans="1:6" x14ac:dyDescent="0.25">
      <c r="A720" s="105" t="str">
        <f t="shared" si="11"/>
        <v/>
      </c>
      <c r="B720" s="105" t="s">
        <v>1145</v>
      </c>
      <c r="C720" s="105" t="s">
        <v>8</v>
      </c>
      <c r="D720" s="105">
        <v>0</v>
      </c>
      <c r="E720" s="105">
        <v>0</v>
      </c>
      <c r="F720" s="105">
        <v>0</v>
      </c>
    </row>
    <row r="721" spans="1:6" x14ac:dyDescent="0.25">
      <c r="A721" s="105">
        <f t="shared" si="11"/>
        <v>1120901</v>
      </c>
      <c r="B721" s="105" t="s">
        <v>1146</v>
      </c>
      <c r="C721" s="105" t="s">
        <v>1147</v>
      </c>
      <c r="D721" s="105">
        <v>6466</v>
      </c>
      <c r="E721" s="105">
        <v>3879.6</v>
      </c>
      <c r="F721" s="105">
        <v>13</v>
      </c>
    </row>
    <row r="722" spans="1:6" x14ac:dyDescent="0.25">
      <c r="A722" s="105" t="str">
        <f t="shared" si="11"/>
        <v/>
      </c>
      <c r="B722" s="105" t="s">
        <v>1148</v>
      </c>
      <c r="C722" s="105" t="s">
        <v>8</v>
      </c>
      <c r="D722" s="105">
        <v>0</v>
      </c>
      <c r="E722" s="105">
        <v>0</v>
      </c>
      <c r="F722" s="105">
        <v>0</v>
      </c>
    </row>
    <row r="723" spans="1:6" x14ac:dyDescent="0.25">
      <c r="A723" s="105">
        <f t="shared" si="11"/>
        <v>1120902</v>
      </c>
      <c r="B723" s="105" t="s">
        <v>1149</v>
      </c>
      <c r="C723" s="105" t="s">
        <v>1150</v>
      </c>
      <c r="D723" s="105">
        <v>6678</v>
      </c>
      <c r="E723" s="105">
        <v>4006.8</v>
      </c>
      <c r="F723" s="105">
        <v>15</v>
      </c>
    </row>
    <row r="724" spans="1:6" x14ac:dyDescent="0.25">
      <c r="A724" s="105">
        <f t="shared" si="11"/>
        <v>1120903</v>
      </c>
      <c r="B724" s="105" t="s">
        <v>1151</v>
      </c>
      <c r="C724" s="105" t="s">
        <v>1152</v>
      </c>
      <c r="D724" s="105">
        <v>6890</v>
      </c>
      <c r="E724" s="105">
        <v>4134</v>
      </c>
      <c r="F724" s="105">
        <v>0</v>
      </c>
    </row>
    <row r="725" spans="1:6" x14ac:dyDescent="0.25">
      <c r="A725" s="105" t="str">
        <f t="shared" si="11"/>
        <v/>
      </c>
      <c r="B725" s="105" t="s">
        <v>1153</v>
      </c>
      <c r="C725" s="105" t="s">
        <v>8</v>
      </c>
      <c r="D725" s="105">
        <v>0</v>
      </c>
      <c r="E725" s="105">
        <v>0</v>
      </c>
      <c r="F725" s="105">
        <v>0</v>
      </c>
    </row>
    <row r="726" spans="1:6" x14ac:dyDescent="0.25">
      <c r="A726" s="105">
        <f t="shared" si="11"/>
        <v>1120904</v>
      </c>
      <c r="B726" s="105" t="s">
        <v>1154</v>
      </c>
      <c r="C726" s="105" t="s">
        <v>1155</v>
      </c>
      <c r="D726" s="105">
        <v>7102</v>
      </c>
      <c r="E726" s="105">
        <v>4261.2</v>
      </c>
      <c r="F726" s="105">
        <v>0</v>
      </c>
    </row>
    <row r="727" spans="1:6" x14ac:dyDescent="0.25">
      <c r="A727" s="105">
        <f t="shared" si="11"/>
        <v>1120910</v>
      </c>
      <c r="B727" s="105" t="s">
        <v>9238</v>
      </c>
      <c r="C727" s="105" t="s">
        <v>9239</v>
      </c>
      <c r="D727" s="105">
        <v>6678</v>
      </c>
      <c r="E727" s="105">
        <v>4006.8</v>
      </c>
      <c r="F727" s="105">
        <v>7</v>
      </c>
    </row>
    <row r="728" spans="1:6" x14ac:dyDescent="0.25">
      <c r="A728" s="105">
        <f t="shared" si="11"/>
        <v>1120911</v>
      </c>
      <c r="B728" s="105" t="s">
        <v>9240</v>
      </c>
      <c r="C728" s="105" t="s">
        <v>9241</v>
      </c>
      <c r="D728" s="105">
        <v>6890</v>
      </c>
      <c r="E728" s="105">
        <v>4134</v>
      </c>
      <c r="F728" s="105">
        <v>4</v>
      </c>
    </row>
    <row r="729" spans="1:6" x14ac:dyDescent="0.25">
      <c r="A729" s="105">
        <f t="shared" si="11"/>
        <v>1120940</v>
      </c>
      <c r="B729" s="105" t="s">
        <v>1156</v>
      </c>
      <c r="C729" s="105" t="s">
        <v>1157</v>
      </c>
      <c r="D729" s="105">
        <v>9500</v>
      </c>
      <c r="E729" s="105">
        <v>5700</v>
      </c>
      <c r="F729" s="105">
        <v>0</v>
      </c>
    </row>
    <row r="730" spans="1:6" x14ac:dyDescent="0.25">
      <c r="A730" s="105" t="str">
        <f t="shared" si="11"/>
        <v/>
      </c>
      <c r="B730" s="105" t="s">
        <v>1158</v>
      </c>
      <c r="C730" s="105" t="s">
        <v>8</v>
      </c>
      <c r="D730" s="105">
        <v>0</v>
      </c>
      <c r="E730" s="105">
        <v>0</v>
      </c>
      <c r="F730" s="105">
        <v>0</v>
      </c>
    </row>
    <row r="731" spans="1:6" x14ac:dyDescent="0.25">
      <c r="A731" s="105">
        <f t="shared" si="11"/>
        <v>112094034</v>
      </c>
      <c r="B731" s="105" t="s">
        <v>1159</v>
      </c>
      <c r="C731" s="105" t="s">
        <v>1160</v>
      </c>
      <c r="D731" s="105">
        <v>0</v>
      </c>
      <c r="E731" s="105">
        <v>0</v>
      </c>
      <c r="F731" s="105">
        <v>0</v>
      </c>
    </row>
    <row r="732" spans="1:6" x14ac:dyDescent="0.25">
      <c r="A732" s="105" t="str">
        <f t="shared" si="11"/>
        <v/>
      </c>
      <c r="B732" s="105" t="s">
        <v>1161</v>
      </c>
      <c r="C732" s="105" t="s">
        <v>8</v>
      </c>
      <c r="D732" s="105">
        <v>0</v>
      </c>
      <c r="E732" s="105">
        <v>0</v>
      </c>
      <c r="F732" s="105">
        <v>0</v>
      </c>
    </row>
    <row r="733" spans="1:6" x14ac:dyDescent="0.25">
      <c r="A733" s="105">
        <f t="shared" si="11"/>
        <v>112094036</v>
      </c>
      <c r="B733" s="105" t="s">
        <v>1162</v>
      </c>
      <c r="C733" s="105" t="s">
        <v>1163</v>
      </c>
      <c r="D733" s="105">
        <v>0</v>
      </c>
      <c r="E733" s="105">
        <v>0</v>
      </c>
      <c r="F733" s="105">
        <v>0</v>
      </c>
    </row>
    <row r="734" spans="1:6" x14ac:dyDescent="0.25">
      <c r="A734" s="105" t="str">
        <f t="shared" si="11"/>
        <v/>
      </c>
      <c r="B734" s="105" t="s">
        <v>1164</v>
      </c>
      <c r="C734" s="105" t="s">
        <v>8</v>
      </c>
      <c r="D734" s="105">
        <v>0</v>
      </c>
      <c r="E734" s="105">
        <v>0</v>
      </c>
      <c r="F734" s="105">
        <v>0</v>
      </c>
    </row>
    <row r="735" spans="1:6" x14ac:dyDescent="0.25">
      <c r="A735" s="105">
        <f t="shared" si="11"/>
        <v>112094038</v>
      </c>
      <c r="B735" s="105" t="s">
        <v>1165</v>
      </c>
      <c r="C735" s="105" t="s">
        <v>1166</v>
      </c>
      <c r="D735" s="105">
        <v>0</v>
      </c>
      <c r="E735" s="105">
        <v>0</v>
      </c>
      <c r="F735" s="105">
        <v>0</v>
      </c>
    </row>
    <row r="736" spans="1:6" x14ac:dyDescent="0.25">
      <c r="A736" s="105" t="str">
        <f t="shared" si="11"/>
        <v/>
      </c>
      <c r="B736" s="105" t="s">
        <v>1167</v>
      </c>
      <c r="C736" s="105" t="s">
        <v>8</v>
      </c>
      <c r="D736" s="105">
        <v>0</v>
      </c>
      <c r="E736" s="105">
        <v>0</v>
      </c>
      <c r="F736" s="105">
        <v>0</v>
      </c>
    </row>
    <row r="737" spans="1:6" x14ac:dyDescent="0.25">
      <c r="A737" s="105">
        <f t="shared" si="11"/>
        <v>112094040</v>
      </c>
      <c r="B737" s="105" t="s">
        <v>1168</v>
      </c>
      <c r="C737" s="105" t="s">
        <v>1169</v>
      </c>
      <c r="D737" s="105">
        <v>0</v>
      </c>
      <c r="E737" s="105">
        <v>0</v>
      </c>
      <c r="F737" s="105">
        <v>0</v>
      </c>
    </row>
    <row r="738" spans="1:6" x14ac:dyDescent="0.25">
      <c r="A738" s="105" t="str">
        <f t="shared" si="11"/>
        <v/>
      </c>
      <c r="B738" s="105" t="s">
        <v>1170</v>
      </c>
      <c r="C738" s="105" t="s">
        <v>8</v>
      </c>
      <c r="D738" s="105">
        <v>0</v>
      </c>
      <c r="E738" s="105">
        <v>0</v>
      </c>
      <c r="F738" s="105">
        <v>0</v>
      </c>
    </row>
    <row r="739" spans="1:6" x14ac:dyDescent="0.25">
      <c r="A739" s="105">
        <f t="shared" si="11"/>
        <v>112094044</v>
      </c>
      <c r="B739" s="105" t="s">
        <v>1171</v>
      </c>
      <c r="C739" s="105" t="s">
        <v>781</v>
      </c>
      <c r="D739" s="105">
        <v>0</v>
      </c>
      <c r="E739" s="105">
        <v>0</v>
      </c>
      <c r="F739" s="105">
        <v>0</v>
      </c>
    </row>
    <row r="740" spans="1:6" x14ac:dyDescent="0.25">
      <c r="A740" s="105" t="str">
        <f t="shared" si="11"/>
        <v/>
      </c>
      <c r="B740" s="105" t="s">
        <v>1172</v>
      </c>
      <c r="C740" s="105" t="s">
        <v>8</v>
      </c>
      <c r="D740" s="105">
        <v>0</v>
      </c>
      <c r="E740" s="105">
        <v>0</v>
      </c>
      <c r="F740" s="105">
        <v>0</v>
      </c>
    </row>
    <row r="741" spans="1:6" x14ac:dyDescent="0.25">
      <c r="A741" s="105">
        <f t="shared" si="11"/>
        <v>112094046</v>
      </c>
      <c r="B741" s="105" t="s">
        <v>1173</v>
      </c>
      <c r="C741" s="105" t="s">
        <v>1174</v>
      </c>
      <c r="D741" s="105">
        <v>0</v>
      </c>
      <c r="E741" s="105">
        <v>0</v>
      </c>
      <c r="F741" s="105">
        <v>0</v>
      </c>
    </row>
    <row r="742" spans="1:6" x14ac:dyDescent="0.25">
      <c r="A742" s="105" t="str">
        <f t="shared" si="11"/>
        <v/>
      </c>
      <c r="B742" s="105" t="s">
        <v>1175</v>
      </c>
      <c r="C742" s="105" t="s">
        <v>8</v>
      </c>
      <c r="D742" s="105">
        <v>0</v>
      </c>
      <c r="E742" s="105">
        <v>0</v>
      </c>
      <c r="F742" s="105">
        <v>0</v>
      </c>
    </row>
    <row r="743" spans="1:6" x14ac:dyDescent="0.25">
      <c r="A743" s="105">
        <f t="shared" si="11"/>
        <v>112094048</v>
      </c>
      <c r="B743" s="105" t="s">
        <v>1176</v>
      </c>
      <c r="C743" s="105" t="s">
        <v>1177</v>
      </c>
      <c r="D743" s="105">
        <v>0</v>
      </c>
      <c r="E743" s="105">
        <v>0</v>
      </c>
      <c r="F743" s="105">
        <v>0</v>
      </c>
    </row>
    <row r="744" spans="1:6" x14ac:dyDescent="0.25">
      <c r="A744" s="105" t="str">
        <f t="shared" si="11"/>
        <v/>
      </c>
      <c r="B744" s="105" t="s">
        <v>1178</v>
      </c>
      <c r="C744" s="105" t="s">
        <v>8</v>
      </c>
      <c r="D744" s="105">
        <v>0</v>
      </c>
      <c r="E744" s="105">
        <v>0</v>
      </c>
      <c r="F744" s="105">
        <v>0</v>
      </c>
    </row>
    <row r="745" spans="1:6" x14ac:dyDescent="0.25">
      <c r="A745" s="105">
        <f t="shared" si="11"/>
        <v>112094052</v>
      </c>
      <c r="B745" s="105" t="s">
        <v>1179</v>
      </c>
      <c r="C745" s="105" t="s">
        <v>1180</v>
      </c>
      <c r="D745" s="105">
        <v>0</v>
      </c>
      <c r="E745" s="105">
        <v>0</v>
      </c>
      <c r="F745" s="105">
        <v>0</v>
      </c>
    </row>
    <row r="746" spans="1:6" x14ac:dyDescent="0.25">
      <c r="A746" s="105">
        <f t="shared" si="11"/>
        <v>1120941</v>
      </c>
      <c r="B746" s="105" t="s">
        <v>1181</v>
      </c>
      <c r="C746" s="105" t="s">
        <v>1182</v>
      </c>
      <c r="D746" s="105">
        <v>10000</v>
      </c>
      <c r="E746" s="105">
        <v>6000</v>
      </c>
      <c r="F746" s="105">
        <v>11</v>
      </c>
    </row>
    <row r="747" spans="1:6" x14ac:dyDescent="0.25">
      <c r="A747" s="105" t="str">
        <f t="shared" si="11"/>
        <v/>
      </c>
      <c r="B747" s="105" t="s">
        <v>1183</v>
      </c>
      <c r="C747" s="105" t="s">
        <v>8</v>
      </c>
      <c r="D747" s="105">
        <v>0</v>
      </c>
      <c r="E747" s="105">
        <v>0</v>
      </c>
      <c r="F747" s="105">
        <v>0</v>
      </c>
    </row>
    <row r="748" spans="1:6" x14ac:dyDescent="0.25">
      <c r="A748" s="105">
        <f t="shared" si="11"/>
        <v>112094150</v>
      </c>
      <c r="B748" s="105" t="s">
        <v>1184</v>
      </c>
      <c r="C748" s="105" t="s">
        <v>1185</v>
      </c>
      <c r="D748" s="105">
        <v>0</v>
      </c>
      <c r="E748" s="105">
        <v>0</v>
      </c>
      <c r="F748" s="105">
        <v>0</v>
      </c>
    </row>
    <row r="749" spans="1:6" x14ac:dyDescent="0.25">
      <c r="A749" s="105" t="str">
        <f t="shared" si="11"/>
        <v/>
      </c>
      <c r="B749" s="105" t="s">
        <v>1186</v>
      </c>
      <c r="C749" s="105" t="s">
        <v>8</v>
      </c>
      <c r="D749" s="105">
        <v>0</v>
      </c>
      <c r="E749" s="105">
        <v>0</v>
      </c>
      <c r="F749" s="105">
        <v>0</v>
      </c>
    </row>
    <row r="750" spans="1:6" x14ac:dyDescent="0.25">
      <c r="A750" s="105">
        <f t="shared" si="11"/>
        <v>112094152</v>
      </c>
      <c r="B750" s="105" t="s">
        <v>1187</v>
      </c>
      <c r="C750" s="105" t="s">
        <v>1188</v>
      </c>
      <c r="D750" s="105">
        <v>0</v>
      </c>
      <c r="E750" s="105">
        <v>0</v>
      </c>
      <c r="F750" s="105">
        <v>0</v>
      </c>
    </row>
    <row r="751" spans="1:6" x14ac:dyDescent="0.25">
      <c r="A751" s="105" t="str">
        <f t="shared" si="11"/>
        <v/>
      </c>
      <c r="B751" s="105" t="s">
        <v>1189</v>
      </c>
      <c r="C751" s="105" t="s">
        <v>8</v>
      </c>
      <c r="D751" s="105">
        <v>0</v>
      </c>
      <c r="E751" s="105">
        <v>0</v>
      </c>
      <c r="F751" s="105">
        <v>0</v>
      </c>
    </row>
    <row r="752" spans="1:6" x14ac:dyDescent="0.25">
      <c r="A752" s="105">
        <f t="shared" si="11"/>
        <v>112094154</v>
      </c>
      <c r="B752" s="105" t="s">
        <v>1190</v>
      </c>
      <c r="C752" s="105" t="s">
        <v>1191</v>
      </c>
      <c r="D752" s="105">
        <v>0</v>
      </c>
      <c r="E752" s="105">
        <v>0</v>
      </c>
      <c r="F752" s="105">
        <v>0</v>
      </c>
    </row>
    <row r="753" spans="1:6" x14ac:dyDescent="0.25">
      <c r="A753" s="105" t="str">
        <f t="shared" si="11"/>
        <v/>
      </c>
      <c r="B753" s="105" t="s">
        <v>1192</v>
      </c>
      <c r="C753" s="105" t="s">
        <v>8</v>
      </c>
      <c r="D753" s="105">
        <v>0</v>
      </c>
      <c r="E753" s="105">
        <v>0</v>
      </c>
      <c r="F753" s="105">
        <v>0</v>
      </c>
    </row>
    <row r="754" spans="1:6" x14ac:dyDescent="0.25">
      <c r="A754" s="105">
        <f t="shared" si="11"/>
        <v>1120942</v>
      </c>
      <c r="B754" s="105" t="s">
        <v>1193</v>
      </c>
      <c r="C754" s="105" t="s">
        <v>1194</v>
      </c>
      <c r="D754" s="105">
        <v>10500</v>
      </c>
      <c r="E754" s="105">
        <v>6300</v>
      </c>
      <c r="F754" s="105">
        <v>0</v>
      </c>
    </row>
    <row r="755" spans="1:6" x14ac:dyDescent="0.25">
      <c r="A755" s="105" t="str">
        <f t="shared" si="11"/>
        <v/>
      </c>
      <c r="B755" s="105" t="s">
        <v>1195</v>
      </c>
      <c r="C755" s="105" t="s">
        <v>8</v>
      </c>
      <c r="D755" s="105">
        <v>0</v>
      </c>
      <c r="E755" s="105">
        <v>0</v>
      </c>
      <c r="F755" s="105">
        <v>0</v>
      </c>
    </row>
    <row r="756" spans="1:6" x14ac:dyDescent="0.25">
      <c r="A756" s="105">
        <f t="shared" si="11"/>
        <v>112094256</v>
      </c>
      <c r="B756" s="105" t="s">
        <v>1196</v>
      </c>
      <c r="C756" s="105" t="s">
        <v>1197</v>
      </c>
      <c r="D756" s="105">
        <v>0</v>
      </c>
      <c r="E756" s="105">
        <v>0</v>
      </c>
      <c r="F756" s="105">
        <v>0</v>
      </c>
    </row>
    <row r="757" spans="1:6" x14ac:dyDescent="0.25">
      <c r="A757" s="105" t="str">
        <f t="shared" si="11"/>
        <v/>
      </c>
      <c r="B757" s="105" t="s">
        <v>1198</v>
      </c>
      <c r="C757" s="105" t="s">
        <v>8</v>
      </c>
      <c r="D757" s="105">
        <v>0</v>
      </c>
      <c r="E757" s="105">
        <v>0</v>
      </c>
      <c r="F757" s="105">
        <v>0</v>
      </c>
    </row>
    <row r="758" spans="1:6" x14ac:dyDescent="0.25">
      <c r="A758" s="105">
        <f t="shared" si="11"/>
        <v>112094258</v>
      </c>
      <c r="B758" s="105" t="s">
        <v>1199</v>
      </c>
      <c r="C758" s="105" t="s">
        <v>1200</v>
      </c>
      <c r="D758" s="105">
        <v>0</v>
      </c>
      <c r="E758" s="105">
        <v>0</v>
      </c>
      <c r="F758" s="105">
        <v>0</v>
      </c>
    </row>
    <row r="759" spans="1:6" x14ac:dyDescent="0.25">
      <c r="A759" s="105" t="str">
        <f t="shared" si="11"/>
        <v/>
      </c>
      <c r="B759" s="105" t="s">
        <v>1201</v>
      </c>
      <c r="C759" s="105" t="s">
        <v>8</v>
      </c>
      <c r="D759" s="105">
        <v>0</v>
      </c>
      <c r="E759" s="105">
        <v>0</v>
      </c>
      <c r="F759" s="105">
        <v>0</v>
      </c>
    </row>
    <row r="760" spans="1:6" x14ac:dyDescent="0.25">
      <c r="A760" s="105">
        <f t="shared" si="11"/>
        <v>112094260</v>
      </c>
      <c r="B760" s="105" t="s">
        <v>1202</v>
      </c>
      <c r="C760" s="105" t="s">
        <v>1203</v>
      </c>
      <c r="D760" s="105">
        <v>0</v>
      </c>
      <c r="E760" s="105">
        <v>0</v>
      </c>
      <c r="F760" s="105">
        <v>0</v>
      </c>
    </row>
    <row r="761" spans="1:6" x14ac:dyDescent="0.25">
      <c r="A761" s="105" t="str">
        <f t="shared" si="11"/>
        <v/>
      </c>
      <c r="B761" s="105" t="s">
        <v>1204</v>
      </c>
      <c r="C761" s="105" t="s">
        <v>8</v>
      </c>
      <c r="D761" s="105">
        <v>0</v>
      </c>
      <c r="E761" s="105">
        <v>0</v>
      </c>
      <c r="F761" s="105">
        <v>0</v>
      </c>
    </row>
    <row r="762" spans="1:6" x14ac:dyDescent="0.25">
      <c r="A762" s="105">
        <f t="shared" si="11"/>
        <v>1120943</v>
      </c>
      <c r="B762" s="105" t="s">
        <v>1205</v>
      </c>
      <c r="C762" s="105" t="s">
        <v>1206</v>
      </c>
      <c r="D762" s="105">
        <v>11000</v>
      </c>
      <c r="E762" s="105">
        <v>6600</v>
      </c>
      <c r="F762" s="105">
        <v>0</v>
      </c>
    </row>
    <row r="763" spans="1:6" x14ac:dyDescent="0.25">
      <c r="A763" s="105" t="str">
        <f t="shared" si="11"/>
        <v/>
      </c>
      <c r="B763" s="105" t="s">
        <v>1207</v>
      </c>
      <c r="C763" s="105" t="s">
        <v>8</v>
      </c>
      <c r="D763" s="105">
        <v>0</v>
      </c>
      <c r="E763" s="105">
        <v>0</v>
      </c>
      <c r="F763" s="105">
        <v>0</v>
      </c>
    </row>
    <row r="764" spans="1:6" x14ac:dyDescent="0.25">
      <c r="A764" s="105">
        <f t="shared" si="11"/>
        <v>1120946</v>
      </c>
      <c r="B764" s="105" t="s">
        <v>1208</v>
      </c>
      <c r="C764" s="105" t="s">
        <v>1209</v>
      </c>
      <c r="D764" s="105">
        <v>6254</v>
      </c>
      <c r="E764" s="105">
        <v>3752.4</v>
      </c>
      <c r="F764" s="105">
        <v>2</v>
      </c>
    </row>
    <row r="765" spans="1:6" x14ac:dyDescent="0.25">
      <c r="A765" s="105" t="str">
        <f t="shared" si="11"/>
        <v/>
      </c>
      <c r="B765" s="105" t="s">
        <v>1210</v>
      </c>
      <c r="C765" s="105" t="s">
        <v>8</v>
      </c>
      <c r="D765" s="105">
        <v>0</v>
      </c>
      <c r="E765" s="105">
        <v>0</v>
      </c>
      <c r="F765" s="105">
        <v>0</v>
      </c>
    </row>
    <row r="766" spans="1:6" x14ac:dyDescent="0.25">
      <c r="A766" s="105">
        <f t="shared" si="11"/>
        <v>1120947</v>
      </c>
      <c r="B766" s="105" t="s">
        <v>1211</v>
      </c>
      <c r="C766" s="105" t="s">
        <v>1212</v>
      </c>
      <c r="D766" s="105">
        <v>6466</v>
      </c>
      <c r="E766" s="105">
        <v>3879.6</v>
      </c>
      <c r="F766" s="105">
        <v>2</v>
      </c>
    </row>
    <row r="767" spans="1:6" x14ac:dyDescent="0.25">
      <c r="A767" s="105" t="str">
        <f t="shared" si="11"/>
        <v/>
      </c>
      <c r="B767" s="105" t="s">
        <v>1213</v>
      </c>
      <c r="C767" s="105" t="s">
        <v>8</v>
      </c>
      <c r="D767" s="105">
        <v>0</v>
      </c>
      <c r="E767" s="105">
        <v>0</v>
      </c>
      <c r="F767" s="105">
        <v>0</v>
      </c>
    </row>
    <row r="768" spans="1:6" x14ac:dyDescent="0.25">
      <c r="A768" s="105">
        <f t="shared" si="11"/>
        <v>1120948</v>
      </c>
      <c r="B768" s="105" t="s">
        <v>1214</v>
      </c>
      <c r="C768" s="105" t="s">
        <v>1215</v>
      </c>
      <c r="D768" s="105">
        <v>6678</v>
      </c>
      <c r="E768" s="105">
        <v>4006.8</v>
      </c>
      <c r="F768" s="105">
        <v>0</v>
      </c>
    </row>
    <row r="769" spans="1:6" x14ac:dyDescent="0.25">
      <c r="A769" s="105" t="str">
        <f t="shared" si="11"/>
        <v/>
      </c>
      <c r="B769" s="105" t="s">
        <v>1216</v>
      </c>
      <c r="C769" s="105" t="s">
        <v>8</v>
      </c>
      <c r="D769" s="105">
        <v>0</v>
      </c>
      <c r="E769" s="105">
        <v>0</v>
      </c>
      <c r="F769" s="105">
        <v>0</v>
      </c>
    </row>
    <row r="770" spans="1:6" x14ac:dyDescent="0.25">
      <c r="A770" s="105">
        <f t="shared" si="11"/>
        <v>1120949</v>
      </c>
      <c r="B770" s="105" t="s">
        <v>1217</v>
      </c>
      <c r="C770" s="105" t="s">
        <v>1218</v>
      </c>
      <c r="D770" s="105">
        <v>6890</v>
      </c>
      <c r="E770" s="105">
        <v>4134</v>
      </c>
      <c r="F770" s="105">
        <v>0</v>
      </c>
    </row>
    <row r="771" spans="1:6" x14ac:dyDescent="0.25">
      <c r="A771" s="105">
        <f t="shared" ref="A771:A834" si="12">IF(B771&lt;&gt;"",IFERROR(B771*1,""),"")</f>
        <v>1120950</v>
      </c>
      <c r="B771" s="105" t="s">
        <v>1219</v>
      </c>
      <c r="C771" s="105" t="s">
        <v>1220</v>
      </c>
      <c r="D771" s="105">
        <v>10590</v>
      </c>
      <c r="E771" s="105">
        <v>6354</v>
      </c>
      <c r="F771" s="105">
        <v>8</v>
      </c>
    </row>
    <row r="772" spans="1:6" x14ac:dyDescent="0.25">
      <c r="A772" s="105">
        <f t="shared" si="12"/>
        <v>1120952</v>
      </c>
      <c r="B772" s="105" t="s">
        <v>1221</v>
      </c>
      <c r="C772" s="105" t="s">
        <v>1222</v>
      </c>
      <c r="D772" s="105">
        <v>11090</v>
      </c>
      <c r="E772" s="105">
        <v>6654</v>
      </c>
      <c r="F772" s="105">
        <v>10</v>
      </c>
    </row>
    <row r="773" spans="1:6" x14ac:dyDescent="0.25">
      <c r="A773" s="105">
        <f t="shared" si="12"/>
        <v>1120953</v>
      </c>
      <c r="B773" s="105" t="s">
        <v>1223</v>
      </c>
      <c r="C773" s="105" t="s">
        <v>1224</v>
      </c>
      <c r="D773" s="105">
        <v>11590</v>
      </c>
      <c r="E773" s="105">
        <v>6954</v>
      </c>
      <c r="F773" s="105">
        <v>1</v>
      </c>
    </row>
    <row r="774" spans="1:6" x14ac:dyDescent="0.25">
      <c r="A774" s="105" t="str">
        <f t="shared" si="12"/>
        <v/>
      </c>
      <c r="B774" s="105" t="s">
        <v>1225</v>
      </c>
      <c r="C774" s="105" t="s">
        <v>8</v>
      </c>
      <c r="D774" s="105">
        <v>0</v>
      </c>
      <c r="E774" s="105">
        <v>0</v>
      </c>
      <c r="F774" s="105">
        <v>0</v>
      </c>
    </row>
    <row r="775" spans="1:6" x14ac:dyDescent="0.25">
      <c r="A775" s="105">
        <f t="shared" si="12"/>
        <v>1120954</v>
      </c>
      <c r="B775" s="105" t="s">
        <v>1226</v>
      </c>
      <c r="C775" s="105" t="s">
        <v>1227</v>
      </c>
      <c r="D775" s="105">
        <v>12090</v>
      </c>
      <c r="E775" s="105">
        <v>7254</v>
      </c>
      <c r="F775" s="105">
        <v>0</v>
      </c>
    </row>
    <row r="776" spans="1:6" x14ac:dyDescent="0.25">
      <c r="A776" s="105">
        <f t="shared" si="12"/>
        <v>1120963</v>
      </c>
      <c r="B776" s="105" t="s">
        <v>1228</v>
      </c>
      <c r="C776" s="105" t="s">
        <v>1229</v>
      </c>
      <c r="D776" s="105">
        <v>0</v>
      </c>
      <c r="E776" s="105">
        <v>0</v>
      </c>
      <c r="F776" s="105">
        <v>0</v>
      </c>
    </row>
    <row r="777" spans="1:6" x14ac:dyDescent="0.25">
      <c r="A777" s="105">
        <f t="shared" si="12"/>
        <v>1120977</v>
      </c>
      <c r="B777" s="105" t="s">
        <v>1230</v>
      </c>
      <c r="C777" s="105" t="s">
        <v>1231</v>
      </c>
      <c r="D777" s="105">
        <v>10000</v>
      </c>
      <c r="E777" s="105">
        <v>6000</v>
      </c>
      <c r="F777" s="105">
        <v>2</v>
      </c>
    </row>
    <row r="778" spans="1:6" x14ac:dyDescent="0.25">
      <c r="A778" s="105">
        <f t="shared" si="12"/>
        <v>1120978</v>
      </c>
      <c r="B778" s="105" t="s">
        <v>9242</v>
      </c>
      <c r="C778" s="105" t="s">
        <v>9243</v>
      </c>
      <c r="D778" s="105">
        <v>0</v>
      </c>
      <c r="E778" s="105">
        <v>0</v>
      </c>
      <c r="F778" s="105">
        <v>0</v>
      </c>
    </row>
    <row r="779" spans="1:6" x14ac:dyDescent="0.25">
      <c r="A779" s="105" t="str">
        <f t="shared" si="12"/>
        <v/>
      </c>
      <c r="B779" s="105" t="s">
        <v>1232</v>
      </c>
      <c r="C779" s="105" t="s">
        <v>8</v>
      </c>
      <c r="D779" s="105">
        <v>0</v>
      </c>
      <c r="E779" s="105">
        <v>0</v>
      </c>
      <c r="F779" s="105">
        <v>0</v>
      </c>
    </row>
    <row r="780" spans="1:6" x14ac:dyDescent="0.25">
      <c r="A780" s="105">
        <f t="shared" si="12"/>
        <v>1120979</v>
      </c>
      <c r="B780" s="105" t="s">
        <v>1233</v>
      </c>
      <c r="C780" s="105" t="s">
        <v>1234</v>
      </c>
      <c r="D780" s="105">
        <v>0</v>
      </c>
      <c r="E780" s="105">
        <v>0</v>
      </c>
      <c r="F780" s="105">
        <v>0</v>
      </c>
    </row>
    <row r="781" spans="1:6" x14ac:dyDescent="0.25">
      <c r="A781" s="105">
        <f t="shared" si="12"/>
        <v>1120980</v>
      </c>
      <c r="B781" s="105" t="s">
        <v>9244</v>
      </c>
      <c r="C781" s="105" t="s">
        <v>9245</v>
      </c>
      <c r="D781" s="105">
        <v>0</v>
      </c>
      <c r="E781" s="105">
        <v>0</v>
      </c>
      <c r="F781" s="105">
        <v>0</v>
      </c>
    </row>
    <row r="782" spans="1:6" x14ac:dyDescent="0.25">
      <c r="A782" s="105">
        <f t="shared" si="12"/>
        <v>1123456</v>
      </c>
      <c r="B782" s="105" t="s">
        <v>1235</v>
      </c>
      <c r="C782" s="105" t="s">
        <v>1236</v>
      </c>
      <c r="D782" s="105">
        <v>8268</v>
      </c>
      <c r="E782" s="105">
        <v>4960.8</v>
      </c>
      <c r="F782" s="105">
        <v>16</v>
      </c>
    </row>
    <row r="783" spans="1:6" x14ac:dyDescent="0.25">
      <c r="A783" s="105">
        <f t="shared" si="12"/>
        <v>1123457</v>
      </c>
      <c r="B783" s="105" t="s">
        <v>1237</v>
      </c>
      <c r="C783" s="105" t="s">
        <v>1238</v>
      </c>
      <c r="D783" s="105">
        <v>8480</v>
      </c>
      <c r="E783" s="105">
        <v>5088</v>
      </c>
      <c r="F783" s="105">
        <v>0</v>
      </c>
    </row>
    <row r="784" spans="1:6" x14ac:dyDescent="0.25">
      <c r="A784" s="105" t="str">
        <f t="shared" si="12"/>
        <v/>
      </c>
      <c r="B784" s="105" t="s">
        <v>1239</v>
      </c>
      <c r="C784" s="105" t="s">
        <v>8</v>
      </c>
      <c r="D784" s="105">
        <v>0</v>
      </c>
      <c r="E784" s="105">
        <v>0</v>
      </c>
      <c r="F784" s="105">
        <v>0</v>
      </c>
    </row>
    <row r="785" spans="1:6" x14ac:dyDescent="0.25">
      <c r="A785" s="105">
        <f t="shared" si="12"/>
        <v>1123458</v>
      </c>
      <c r="B785" s="105" t="s">
        <v>1240</v>
      </c>
      <c r="C785" s="105" t="s">
        <v>1241</v>
      </c>
      <c r="D785" s="105">
        <v>8692</v>
      </c>
      <c r="E785" s="105">
        <v>5215.2</v>
      </c>
      <c r="F785" s="105">
        <v>0</v>
      </c>
    </row>
    <row r="786" spans="1:6" x14ac:dyDescent="0.25">
      <c r="A786" s="105">
        <f t="shared" si="12"/>
        <v>1129001</v>
      </c>
      <c r="B786" s="105" t="s">
        <v>1242</v>
      </c>
      <c r="C786" s="105" t="s">
        <v>1243</v>
      </c>
      <c r="D786" s="105">
        <v>1.25</v>
      </c>
      <c r="E786" s="105">
        <v>0.75</v>
      </c>
      <c r="F786" s="105">
        <v>0</v>
      </c>
    </row>
    <row r="787" spans="1:6" x14ac:dyDescent="0.25">
      <c r="A787" s="105">
        <f t="shared" si="12"/>
        <v>1130000</v>
      </c>
      <c r="B787" s="105" t="s">
        <v>9246</v>
      </c>
      <c r="C787" s="105" t="s">
        <v>9247</v>
      </c>
      <c r="D787" s="105">
        <v>6900</v>
      </c>
      <c r="E787" s="105">
        <v>4140</v>
      </c>
      <c r="F787" s="105">
        <v>0</v>
      </c>
    </row>
    <row r="788" spans="1:6" x14ac:dyDescent="0.25">
      <c r="A788" s="105" t="str">
        <f t="shared" si="12"/>
        <v/>
      </c>
      <c r="B788" s="105" t="s">
        <v>1244</v>
      </c>
      <c r="C788" s="105" t="s">
        <v>8</v>
      </c>
      <c r="D788" s="105">
        <v>0</v>
      </c>
      <c r="E788" s="105">
        <v>0</v>
      </c>
      <c r="F788" s="105">
        <v>0</v>
      </c>
    </row>
    <row r="789" spans="1:6" x14ac:dyDescent="0.25">
      <c r="A789" s="105">
        <f t="shared" si="12"/>
        <v>1130001</v>
      </c>
      <c r="B789" s="105" t="s">
        <v>1245</v>
      </c>
      <c r="C789" s="105" t="s">
        <v>1246</v>
      </c>
      <c r="D789" s="105">
        <v>0</v>
      </c>
      <c r="E789" s="105">
        <v>0</v>
      </c>
      <c r="F789" s="105">
        <v>0</v>
      </c>
    </row>
    <row r="790" spans="1:6" x14ac:dyDescent="0.25">
      <c r="A790" s="105">
        <f t="shared" si="12"/>
        <v>1130002</v>
      </c>
      <c r="B790" s="105" t="s">
        <v>1247</v>
      </c>
      <c r="C790" s="105" t="s">
        <v>1248</v>
      </c>
      <c r="D790" s="105">
        <v>2868.35</v>
      </c>
      <c r="E790" s="105">
        <v>1721.01</v>
      </c>
      <c r="F790" s="105">
        <v>1</v>
      </c>
    </row>
    <row r="791" spans="1:6" x14ac:dyDescent="0.25">
      <c r="A791" s="105">
        <f t="shared" si="12"/>
        <v>1130003</v>
      </c>
      <c r="B791" s="105" t="s">
        <v>1249</v>
      </c>
      <c r="C791" s="105" t="s">
        <v>1250</v>
      </c>
      <c r="D791" s="105">
        <v>1050.52</v>
      </c>
      <c r="E791" s="105">
        <v>630.30999999999995</v>
      </c>
      <c r="F791" s="105">
        <v>0</v>
      </c>
    </row>
    <row r="792" spans="1:6" x14ac:dyDescent="0.25">
      <c r="A792" s="105">
        <f t="shared" si="12"/>
        <v>1130008</v>
      </c>
      <c r="B792" s="105" t="s">
        <v>1251</v>
      </c>
      <c r="C792" s="105" t="s">
        <v>1252</v>
      </c>
      <c r="D792" s="105">
        <v>11024</v>
      </c>
      <c r="E792" s="105">
        <v>6614.4</v>
      </c>
      <c r="F792" s="105">
        <v>90</v>
      </c>
    </row>
    <row r="793" spans="1:6" x14ac:dyDescent="0.25">
      <c r="A793" s="105">
        <f t="shared" si="12"/>
        <v>1130009</v>
      </c>
      <c r="B793" s="105" t="s">
        <v>1253</v>
      </c>
      <c r="C793" s="105" t="s">
        <v>1254</v>
      </c>
      <c r="D793" s="105">
        <v>11024</v>
      </c>
      <c r="E793" s="105">
        <v>6614.4</v>
      </c>
      <c r="F793" s="105">
        <v>2</v>
      </c>
    </row>
    <row r="794" spans="1:6" x14ac:dyDescent="0.25">
      <c r="A794" s="105">
        <f t="shared" si="12"/>
        <v>1130226</v>
      </c>
      <c r="B794" s="105" t="s">
        <v>1255</v>
      </c>
      <c r="C794" s="105" t="s">
        <v>1256</v>
      </c>
      <c r="D794" s="105">
        <v>4558</v>
      </c>
      <c r="E794" s="105">
        <v>2734.8</v>
      </c>
      <c r="F794" s="105">
        <v>27</v>
      </c>
    </row>
    <row r="795" spans="1:6" x14ac:dyDescent="0.25">
      <c r="A795" s="105">
        <f t="shared" si="12"/>
        <v>1130254</v>
      </c>
      <c r="B795" s="105" t="s">
        <v>1257</v>
      </c>
      <c r="C795" s="105" t="s">
        <v>1258</v>
      </c>
      <c r="D795" s="105">
        <v>14800</v>
      </c>
      <c r="E795" s="105">
        <v>8880</v>
      </c>
      <c r="F795" s="105">
        <v>29</v>
      </c>
    </row>
    <row r="796" spans="1:6" x14ac:dyDescent="0.25">
      <c r="A796" s="105">
        <f t="shared" si="12"/>
        <v>1130255</v>
      </c>
      <c r="B796" s="105" t="s">
        <v>1259</v>
      </c>
      <c r="C796" s="105" t="s">
        <v>1260</v>
      </c>
      <c r="D796" s="105">
        <v>15300</v>
      </c>
      <c r="E796" s="105">
        <v>9180</v>
      </c>
      <c r="F796" s="105">
        <v>26</v>
      </c>
    </row>
    <row r="797" spans="1:6" x14ac:dyDescent="0.25">
      <c r="A797" s="105" t="str">
        <f t="shared" si="12"/>
        <v/>
      </c>
      <c r="B797" s="105" t="s">
        <v>1261</v>
      </c>
      <c r="C797" s="105" t="s">
        <v>8</v>
      </c>
      <c r="D797" s="105">
        <v>0</v>
      </c>
      <c r="E797" s="105">
        <v>0</v>
      </c>
      <c r="F797" s="105">
        <v>0</v>
      </c>
    </row>
    <row r="798" spans="1:6" x14ac:dyDescent="0.25">
      <c r="A798" s="105">
        <f t="shared" si="12"/>
        <v>1130284</v>
      </c>
      <c r="B798" s="105" t="s">
        <v>1262</v>
      </c>
      <c r="C798" s="105" t="s">
        <v>1263</v>
      </c>
      <c r="D798" s="105">
        <v>0</v>
      </c>
      <c r="E798" s="105">
        <v>0</v>
      </c>
      <c r="F798" s="105">
        <v>0</v>
      </c>
    </row>
    <row r="799" spans="1:6" x14ac:dyDescent="0.25">
      <c r="A799" s="105" t="str">
        <f t="shared" si="12"/>
        <v/>
      </c>
      <c r="B799" s="105" t="s">
        <v>1264</v>
      </c>
      <c r="C799" s="105" t="s">
        <v>8</v>
      </c>
      <c r="D799" s="105">
        <v>0</v>
      </c>
      <c r="E799" s="105">
        <v>0</v>
      </c>
      <c r="F799" s="105">
        <v>0</v>
      </c>
    </row>
    <row r="800" spans="1:6" x14ac:dyDescent="0.25">
      <c r="A800" s="105">
        <f t="shared" si="12"/>
        <v>1130285</v>
      </c>
      <c r="B800" s="105" t="s">
        <v>1265</v>
      </c>
      <c r="C800" s="105" t="s">
        <v>1266</v>
      </c>
      <c r="D800" s="105">
        <v>0</v>
      </c>
      <c r="E800" s="105">
        <v>0</v>
      </c>
      <c r="F800" s="105">
        <v>0</v>
      </c>
    </row>
    <row r="801" spans="1:6" x14ac:dyDescent="0.25">
      <c r="A801" s="105">
        <f t="shared" si="12"/>
        <v>1130495</v>
      </c>
      <c r="B801" s="105" t="s">
        <v>1267</v>
      </c>
      <c r="C801" s="105" t="s">
        <v>1268</v>
      </c>
      <c r="D801" s="105">
        <v>8480</v>
      </c>
      <c r="E801" s="105">
        <v>5088</v>
      </c>
      <c r="F801" s="105">
        <v>19</v>
      </c>
    </row>
    <row r="802" spans="1:6" x14ac:dyDescent="0.25">
      <c r="A802" s="105">
        <f t="shared" si="12"/>
        <v>1130496</v>
      </c>
      <c r="B802" s="105" t="s">
        <v>1269</v>
      </c>
      <c r="C802" s="105" t="s">
        <v>1270</v>
      </c>
      <c r="D802" s="105">
        <v>7165.6</v>
      </c>
      <c r="E802" s="105">
        <v>4299.3599999999997</v>
      </c>
      <c r="F802" s="105">
        <v>2</v>
      </c>
    </row>
    <row r="803" spans="1:6" x14ac:dyDescent="0.25">
      <c r="A803" s="105">
        <f t="shared" si="12"/>
        <v>1130549</v>
      </c>
      <c r="B803" s="105" t="s">
        <v>1271</v>
      </c>
      <c r="C803" s="105" t="s">
        <v>1272</v>
      </c>
      <c r="D803" s="105">
        <v>15300</v>
      </c>
      <c r="E803" s="105">
        <v>9180</v>
      </c>
      <c r="F803" s="105">
        <v>0</v>
      </c>
    </row>
    <row r="804" spans="1:6" x14ac:dyDescent="0.25">
      <c r="A804" s="105" t="str">
        <f t="shared" si="12"/>
        <v/>
      </c>
      <c r="B804" s="105" t="s">
        <v>1273</v>
      </c>
      <c r="C804" s="105" t="s">
        <v>8</v>
      </c>
      <c r="D804" s="105">
        <v>0</v>
      </c>
      <c r="E804" s="105">
        <v>0</v>
      </c>
      <c r="F804" s="105">
        <v>0</v>
      </c>
    </row>
    <row r="805" spans="1:6" x14ac:dyDescent="0.25">
      <c r="A805" s="105">
        <f t="shared" si="12"/>
        <v>1130555</v>
      </c>
      <c r="B805" s="105" t="s">
        <v>1274</v>
      </c>
      <c r="C805" s="105" t="s">
        <v>1275</v>
      </c>
      <c r="D805" s="105">
        <v>4717</v>
      </c>
      <c r="E805" s="105">
        <v>2830.2</v>
      </c>
      <c r="F805" s="105">
        <v>15</v>
      </c>
    </row>
    <row r="806" spans="1:6" x14ac:dyDescent="0.25">
      <c r="A806" s="105">
        <f t="shared" si="12"/>
        <v>1130713</v>
      </c>
      <c r="B806" s="105" t="s">
        <v>1276</v>
      </c>
      <c r="C806" s="105" t="s">
        <v>1277</v>
      </c>
      <c r="D806" s="105">
        <v>7165.6</v>
      </c>
      <c r="E806" s="105">
        <v>4299.3599999999997</v>
      </c>
      <c r="F806" s="105">
        <v>5</v>
      </c>
    </row>
    <row r="807" spans="1:6" x14ac:dyDescent="0.25">
      <c r="A807" s="105">
        <f t="shared" si="12"/>
        <v>113071302</v>
      </c>
      <c r="B807" s="105" t="s">
        <v>1278</v>
      </c>
      <c r="C807" s="105" t="s">
        <v>1279</v>
      </c>
      <c r="D807" s="105">
        <v>1433.24</v>
      </c>
      <c r="E807" s="105">
        <v>859.94</v>
      </c>
      <c r="F807" s="105">
        <v>0</v>
      </c>
    </row>
    <row r="808" spans="1:6" x14ac:dyDescent="0.25">
      <c r="A808" s="105">
        <f t="shared" si="12"/>
        <v>113071304</v>
      </c>
      <c r="B808" s="105" t="s">
        <v>1280</v>
      </c>
      <c r="C808" s="105" t="s">
        <v>1281</v>
      </c>
      <c r="D808" s="105">
        <v>1433.24</v>
      </c>
      <c r="E808" s="105">
        <v>859.94</v>
      </c>
      <c r="F808" s="105">
        <v>0</v>
      </c>
    </row>
    <row r="809" spans="1:6" x14ac:dyDescent="0.25">
      <c r="A809" s="105">
        <f t="shared" si="12"/>
        <v>1130745</v>
      </c>
      <c r="B809" s="105" t="s">
        <v>1282</v>
      </c>
      <c r="C809" s="105" t="s">
        <v>1283</v>
      </c>
      <c r="D809" s="105">
        <v>0</v>
      </c>
      <c r="E809" s="105">
        <v>0</v>
      </c>
      <c r="F809" s="105">
        <v>1</v>
      </c>
    </row>
    <row r="810" spans="1:6" x14ac:dyDescent="0.25">
      <c r="A810" s="105">
        <f t="shared" si="12"/>
        <v>1130750</v>
      </c>
      <c r="B810" s="105" t="s">
        <v>1284</v>
      </c>
      <c r="C810" s="105" t="s">
        <v>1285</v>
      </c>
      <c r="D810" s="105">
        <v>14800</v>
      </c>
      <c r="E810" s="105">
        <v>8880</v>
      </c>
      <c r="F810" s="105">
        <v>1</v>
      </c>
    </row>
    <row r="811" spans="1:6" x14ac:dyDescent="0.25">
      <c r="A811" s="105" t="str">
        <f t="shared" si="12"/>
        <v/>
      </c>
      <c r="B811" s="105" t="s">
        <v>1286</v>
      </c>
      <c r="C811" s="105" t="s">
        <v>8</v>
      </c>
      <c r="D811" s="105">
        <v>0</v>
      </c>
      <c r="E811" s="105">
        <v>0</v>
      </c>
      <c r="F811" s="105">
        <v>0</v>
      </c>
    </row>
    <row r="812" spans="1:6" x14ac:dyDescent="0.25">
      <c r="A812" s="105">
        <f t="shared" si="12"/>
        <v>1130751</v>
      </c>
      <c r="B812" s="105" t="s">
        <v>1287</v>
      </c>
      <c r="C812" s="105" t="s">
        <v>1288</v>
      </c>
      <c r="D812" s="105">
        <v>0</v>
      </c>
      <c r="E812" s="105">
        <v>0</v>
      </c>
      <c r="F812" s="105">
        <v>0</v>
      </c>
    </row>
    <row r="813" spans="1:6" x14ac:dyDescent="0.25">
      <c r="A813" s="105" t="str">
        <f t="shared" si="12"/>
        <v/>
      </c>
      <c r="B813" s="105" t="s">
        <v>1289</v>
      </c>
      <c r="C813" s="105" t="s">
        <v>8</v>
      </c>
      <c r="D813" s="105">
        <v>0</v>
      </c>
      <c r="E813" s="105">
        <v>0</v>
      </c>
      <c r="F813" s="105">
        <v>0</v>
      </c>
    </row>
    <row r="814" spans="1:6" x14ac:dyDescent="0.25">
      <c r="A814" s="105">
        <f t="shared" si="12"/>
        <v>1130894</v>
      </c>
      <c r="B814" s="105" t="s">
        <v>1290</v>
      </c>
      <c r="C814" s="105" t="s">
        <v>1291</v>
      </c>
      <c r="D814" s="105">
        <v>4876</v>
      </c>
      <c r="E814" s="105">
        <v>2925.6</v>
      </c>
      <c r="F814" s="105">
        <v>0</v>
      </c>
    </row>
    <row r="815" spans="1:6" x14ac:dyDescent="0.25">
      <c r="A815" s="105" t="str">
        <f t="shared" si="12"/>
        <v/>
      </c>
      <c r="B815" s="105" t="s">
        <v>1292</v>
      </c>
      <c r="C815" s="105" t="s">
        <v>8</v>
      </c>
      <c r="D815" s="105">
        <v>0</v>
      </c>
      <c r="E815" s="105">
        <v>0</v>
      </c>
      <c r="F815" s="105">
        <v>0</v>
      </c>
    </row>
    <row r="816" spans="1:6" x14ac:dyDescent="0.25">
      <c r="A816" s="105">
        <f t="shared" si="12"/>
        <v>1130900</v>
      </c>
      <c r="B816" s="105" t="s">
        <v>1293</v>
      </c>
      <c r="C816" s="105" t="s">
        <v>1294</v>
      </c>
      <c r="D816" s="105">
        <v>0</v>
      </c>
      <c r="E816" s="105">
        <v>0</v>
      </c>
      <c r="F816" s="105">
        <v>0</v>
      </c>
    </row>
    <row r="817" spans="1:6" x14ac:dyDescent="0.25">
      <c r="A817" s="105" t="str">
        <f t="shared" si="12"/>
        <v/>
      </c>
      <c r="B817" s="105" t="s">
        <v>1295</v>
      </c>
      <c r="C817" s="105" t="s">
        <v>8</v>
      </c>
      <c r="D817" s="105">
        <v>0</v>
      </c>
      <c r="E817" s="105">
        <v>0</v>
      </c>
      <c r="F817" s="105">
        <v>0</v>
      </c>
    </row>
    <row r="818" spans="1:6" x14ac:dyDescent="0.25">
      <c r="A818" s="105">
        <f t="shared" si="12"/>
        <v>1130965</v>
      </c>
      <c r="B818" s="105" t="s">
        <v>1296</v>
      </c>
      <c r="C818" s="105" t="s">
        <v>1297</v>
      </c>
      <c r="D818" s="105">
        <v>1.25</v>
      </c>
      <c r="E818" s="105">
        <v>0.75</v>
      </c>
      <c r="F818" s="105">
        <v>0</v>
      </c>
    </row>
    <row r="819" spans="1:6" x14ac:dyDescent="0.25">
      <c r="A819" s="105">
        <f t="shared" si="12"/>
        <v>1140000</v>
      </c>
      <c r="B819" s="105" t="s">
        <v>1298</v>
      </c>
      <c r="C819" s="105" t="s">
        <v>1299</v>
      </c>
      <c r="D819" s="105">
        <v>2208.09</v>
      </c>
      <c r="E819" s="105">
        <v>1324.85</v>
      </c>
      <c r="F819" s="105">
        <v>27</v>
      </c>
    </row>
    <row r="820" spans="1:6" x14ac:dyDescent="0.25">
      <c r="A820" s="105" t="str">
        <f t="shared" si="12"/>
        <v/>
      </c>
      <c r="B820" s="105" t="s">
        <v>1300</v>
      </c>
      <c r="C820" s="105" t="s">
        <v>8</v>
      </c>
      <c r="D820" s="105">
        <v>0</v>
      </c>
      <c r="E820" s="105">
        <v>0</v>
      </c>
      <c r="F820" s="105">
        <v>0</v>
      </c>
    </row>
    <row r="821" spans="1:6" x14ac:dyDescent="0.25">
      <c r="A821" s="105">
        <f t="shared" si="12"/>
        <v>1140001</v>
      </c>
      <c r="B821" s="105" t="s">
        <v>1301</v>
      </c>
      <c r="C821" s="105" t="s">
        <v>1302</v>
      </c>
      <c r="D821" s="105">
        <v>2208.09</v>
      </c>
      <c r="E821" s="105">
        <v>1324.85</v>
      </c>
      <c r="F821" s="105">
        <v>1</v>
      </c>
    </row>
    <row r="822" spans="1:6" x14ac:dyDescent="0.25">
      <c r="A822" s="105">
        <f t="shared" si="12"/>
        <v>1160</v>
      </c>
      <c r="B822" s="105" t="s">
        <v>1303</v>
      </c>
      <c r="C822" s="105" t="s">
        <v>8</v>
      </c>
      <c r="D822" s="105">
        <v>0</v>
      </c>
      <c r="E822" s="105">
        <v>0</v>
      </c>
      <c r="F822" s="105">
        <v>0</v>
      </c>
    </row>
    <row r="823" spans="1:6" x14ac:dyDescent="0.25">
      <c r="A823" s="105" t="str">
        <f t="shared" si="12"/>
        <v/>
      </c>
      <c r="B823" s="105" t="s">
        <v>1304</v>
      </c>
      <c r="C823" s="105" t="s">
        <v>8</v>
      </c>
      <c r="D823" s="105">
        <v>0</v>
      </c>
      <c r="E823" s="105">
        <v>0</v>
      </c>
      <c r="F823" s="105">
        <v>0</v>
      </c>
    </row>
    <row r="824" spans="1:6" x14ac:dyDescent="0.25">
      <c r="A824" s="105">
        <f t="shared" si="12"/>
        <v>1200001</v>
      </c>
      <c r="B824" s="105" t="s">
        <v>1305</v>
      </c>
      <c r="C824" s="105" t="s">
        <v>1306</v>
      </c>
      <c r="D824" s="105">
        <v>6254</v>
      </c>
      <c r="E824" s="105">
        <v>3752.4</v>
      </c>
      <c r="F824" s="105">
        <v>99</v>
      </c>
    </row>
    <row r="825" spans="1:6" x14ac:dyDescent="0.25">
      <c r="A825" s="105" t="str">
        <f t="shared" si="12"/>
        <v/>
      </c>
      <c r="B825" s="105" t="s">
        <v>1307</v>
      </c>
      <c r="C825" s="105" t="s">
        <v>8</v>
      </c>
      <c r="D825" s="105">
        <v>0</v>
      </c>
      <c r="E825" s="105">
        <v>0</v>
      </c>
      <c r="F825" s="105">
        <v>0</v>
      </c>
    </row>
    <row r="826" spans="1:6" x14ac:dyDescent="0.25">
      <c r="A826" s="105" t="str">
        <f t="shared" si="12"/>
        <v/>
      </c>
      <c r="B826" s="105" t="s">
        <v>1308</v>
      </c>
      <c r="C826" s="105" t="s">
        <v>1309</v>
      </c>
      <c r="D826" s="105">
        <v>1.25</v>
      </c>
      <c r="E826" s="105">
        <v>0.75</v>
      </c>
      <c r="F826" s="105">
        <v>0</v>
      </c>
    </row>
    <row r="827" spans="1:6" x14ac:dyDescent="0.25">
      <c r="A827" s="105">
        <f t="shared" si="12"/>
        <v>1200002</v>
      </c>
      <c r="B827" s="105" t="s">
        <v>1310</v>
      </c>
      <c r="C827" s="105" t="s">
        <v>1243</v>
      </c>
      <c r="D827" s="105">
        <v>1</v>
      </c>
      <c r="E827" s="105">
        <v>0.6</v>
      </c>
      <c r="F827" s="105">
        <v>0</v>
      </c>
    </row>
    <row r="828" spans="1:6" x14ac:dyDescent="0.25">
      <c r="A828" s="105" t="str">
        <f t="shared" si="12"/>
        <v/>
      </c>
      <c r="B828" s="105" t="s">
        <v>1311</v>
      </c>
      <c r="C828" s="105" t="s">
        <v>8</v>
      </c>
      <c r="D828" s="105">
        <v>0</v>
      </c>
      <c r="E828" s="105">
        <v>0</v>
      </c>
      <c r="F828" s="105">
        <v>0</v>
      </c>
    </row>
    <row r="829" spans="1:6" x14ac:dyDescent="0.25">
      <c r="A829" s="105">
        <f t="shared" si="12"/>
        <v>1200003</v>
      </c>
      <c r="B829" s="105" t="s">
        <v>1312</v>
      </c>
      <c r="C829" s="105" t="s">
        <v>1313</v>
      </c>
      <c r="D829" s="105">
        <v>6466</v>
      </c>
      <c r="E829" s="105">
        <v>3879.6</v>
      </c>
      <c r="F829" s="105">
        <v>0</v>
      </c>
    </row>
    <row r="830" spans="1:6" x14ac:dyDescent="0.25">
      <c r="A830" s="105" t="str">
        <f t="shared" si="12"/>
        <v/>
      </c>
      <c r="B830" s="105" t="s">
        <v>1314</v>
      </c>
      <c r="C830" s="105" t="s">
        <v>8</v>
      </c>
      <c r="D830" s="105">
        <v>0</v>
      </c>
      <c r="E830" s="105">
        <v>0</v>
      </c>
      <c r="F830" s="105">
        <v>0</v>
      </c>
    </row>
    <row r="831" spans="1:6" x14ac:dyDescent="0.25">
      <c r="A831" s="105">
        <f t="shared" si="12"/>
        <v>1200004</v>
      </c>
      <c r="B831" s="105" t="s">
        <v>1315</v>
      </c>
      <c r="C831" s="105" t="s">
        <v>1316</v>
      </c>
      <c r="D831" s="105">
        <v>6678</v>
      </c>
      <c r="E831" s="105">
        <v>4006.8</v>
      </c>
      <c r="F831" s="105">
        <v>0</v>
      </c>
    </row>
    <row r="832" spans="1:6" x14ac:dyDescent="0.25">
      <c r="A832" s="105" t="str">
        <f t="shared" si="12"/>
        <v/>
      </c>
      <c r="B832" s="105" t="s">
        <v>1317</v>
      </c>
      <c r="C832" s="105" t="s">
        <v>8</v>
      </c>
      <c r="D832" s="105">
        <v>0</v>
      </c>
      <c r="E832" s="105">
        <v>0</v>
      </c>
      <c r="F832" s="105">
        <v>0</v>
      </c>
    </row>
    <row r="833" spans="1:6" x14ac:dyDescent="0.25">
      <c r="A833" s="105">
        <f t="shared" si="12"/>
        <v>1200005</v>
      </c>
      <c r="B833" s="105" t="s">
        <v>1318</v>
      </c>
      <c r="C833" s="105" t="s">
        <v>1319</v>
      </c>
      <c r="D833" s="105">
        <v>6890</v>
      </c>
      <c r="E833" s="105">
        <v>4134</v>
      </c>
      <c r="F833" s="105">
        <v>0</v>
      </c>
    </row>
    <row r="834" spans="1:6" x14ac:dyDescent="0.25">
      <c r="A834" s="105" t="str">
        <f t="shared" si="12"/>
        <v/>
      </c>
      <c r="B834" s="105" t="s">
        <v>9248</v>
      </c>
      <c r="C834" s="105" t="s">
        <v>8</v>
      </c>
      <c r="D834" s="105">
        <v>0</v>
      </c>
      <c r="E834" s="105">
        <v>0</v>
      </c>
      <c r="F834" s="105">
        <v>0</v>
      </c>
    </row>
    <row r="835" spans="1:6" x14ac:dyDescent="0.25">
      <c r="A835" s="105">
        <f t="shared" ref="A835:A898" si="13">IF(B835&lt;&gt;"",IFERROR(B835*1,""),"")</f>
        <v>1200011</v>
      </c>
      <c r="B835" s="105" t="s">
        <v>1320</v>
      </c>
      <c r="C835" s="105" t="s">
        <v>1321</v>
      </c>
      <c r="D835" s="105">
        <v>6784</v>
      </c>
      <c r="E835" s="105">
        <v>4070.4</v>
      </c>
      <c r="F835" s="105">
        <v>2</v>
      </c>
    </row>
    <row r="836" spans="1:6" x14ac:dyDescent="0.25">
      <c r="A836" s="105" t="str">
        <f t="shared" si="13"/>
        <v/>
      </c>
      <c r="B836" s="105" t="s">
        <v>9249</v>
      </c>
      <c r="C836" s="105" t="s">
        <v>8</v>
      </c>
      <c r="D836" s="105">
        <v>0</v>
      </c>
      <c r="E836" s="105">
        <v>0</v>
      </c>
      <c r="F836" s="105">
        <v>0</v>
      </c>
    </row>
    <row r="837" spans="1:6" x14ac:dyDescent="0.25">
      <c r="A837" s="105">
        <f t="shared" si="13"/>
        <v>1200012</v>
      </c>
      <c r="B837" s="105" t="s">
        <v>1322</v>
      </c>
      <c r="C837" s="105" t="s">
        <v>1323</v>
      </c>
      <c r="D837" s="105">
        <v>6996</v>
      </c>
      <c r="E837" s="105">
        <v>4197.6000000000004</v>
      </c>
      <c r="F837" s="105">
        <v>1</v>
      </c>
    </row>
    <row r="838" spans="1:6" x14ac:dyDescent="0.25">
      <c r="A838" s="105" t="str">
        <f t="shared" si="13"/>
        <v/>
      </c>
      <c r="B838" s="105" t="s">
        <v>1324</v>
      </c>
      <c r="C838" s="105" t="s">
        <v>8</v>
      </c>
      <c r="D838" s="105">
        <v>0</v>
      </c>
      <c r="E838" s="105">
        <v>0</v>
      </c>
      <c r="F838" s="105">
        <v>0</v>
      </c>
    </row>
    <row r="839" spans="1:6" x14ac:dyDescent="0.25">
      <c r="A839" s="105">
        <f t="shared" si="13"/>
        <v>1200013</v>
      </c>
      <c r="B839" s="105" t="s">
        <v>1325</v>
      </c>
      <c r="C839" s="105" t="s">
        <v>1326</v>
      </c>
      <c r="D839" s="105">
        <v>7208</v>
      </c>
      <c r="E839" s="105">
        <v>4324.8</v>
      </c>
      <c r="F839" s="105">
        <v>0</v>
      </c>
    </row>
    <row r="840" spans="1:6" x14ac:dyDescent="0.25">
      <c r="A840" s="105" t="str">
        <f t="shared" si="13"/>
        <v/>
      </c>
      <c r="B840" s="105" t="s">
        <v>9250</v>
      </c>
      <c r="C840" s="105" t="s">
        <v>8</v>
      </c>
      <c r="D840" s="105">
        <v>0</v>
      </c>
      <c r="E840" s="105">
        <v>0</v>
      </c>
      <c r="F840" s="105">
        <v>0</v>
      </c>
    </row>
    <row r="841" spans="1:6" x14ac:dyDescent="0.25">
      <c r="A841" s="105">
        <f t="shared" si="13"/>
        <v>1200014</v>
      </c>
      <c r="B841" s="105" t="s">
        <v>1327</v>
      </c>
      <c r="C841" s="105" t="s">
        <v>1328</v>
      </c>
      <c r="D841" s="105">
        <v>6784</v>
      </c>
      <c r="E841" s="105">
        <v>4070.4</v>
      </c>
      <c r="F841" s="105">
        <v>1</v>
      </c>
    </row>
    <row r="842" spans="1:6" x14ac:dyDescent="0.25">
      <c r="A842" s="105" t="str">
        <f t="shared" si="13"/>
        <v/>
      </c>
      <c r="B842" s="105" t="s">
        <v>9251</v>
      </c>
      <c r="C842" s="105" t="s">
        <v>8</v>
      </c>
      <c r="D842" s="105">
        <v>0</v>
      </c>
      <c r="E842" s="105">
        <v>0</v>
      </c>
      <c r="F842" s="105">
        <v>0</v>
      </c>
    </row>
    <row r="843" spans="1:6" x14ac:dyDescent="0.25">
      <c r="A843" s="105">
        <f t="shared" si="13"/>
        <v>1200015</v>
      </c>
      <c r="B843" s="105" t="s">
        <v>1329</v>
      </c>
      <c r="C843" s="105" t="s">
        <v>1330</v>
      </c>
      <c r="D843" s="105">
        <v>6996</v>
      </c>
      <c r="E843" s="105">
        <v>4197.6000000000004</v>
      </c>
      <c r="F843" s="105">
        <v>0</v>
      </c>
    </row>
    <row r="844" spans="1:6" x14ac:dyDescent="0.25">
      <c r="A844" s="105" t="str">
        <f t="shared" si="13"/>
        <v/>
      </c>
      <c r="B844" s="105" t="s">
        <v>1331</v>
      </c>
      <c r="C844" s="105" t="s">
        <v>8</v>
      </c>
      <c r="D844" s="105">
        <v>0</v>
      </c>
      <c r="E844" s="105">
        <v>0</v>
      </c>
      <c r="F844" s="105">
        <v>0</v>
      </c>
    </row>
    <row r="845" spans="1:6" x14ac:dyDescent="0.25">
      <c r="A845" s="105">
        <f t="shared" si="13"/>
        <v>1200016</v>
      </c>
      <c r="B845" s="105" t="s">
        <v>1332</v>
      </c>
      <c r="C845" s="105" t="s">
        <v>1333</v>
      </c>
      <c r="D845" s="105">
        <v>7208</v>
      </c>
      <c r="E845" s="105">
        <v>4324.8</v>
      </c>
      <c r="F845" s="105">
        <v>0</v>
      </c>
    </row>
    <row r="846" spans="1:6" x14ac:dyDescent="0.25">
      <c r="A846" s="105" t="str">
        <f t="shared" si="13"/>
        <v/>
      </c>
      <c r="B846" s="105" t="s">
        <v>1334</v>
      </c>
      <c r="C846" s="105" t="s">
        <v>8</v>
      </c>
      <c r="D846" s="105">
        <v>0</v>
      </c>
      <c r="E846" s="105">
        <v>0</v>
      </c>
      <c r="F846" s="105">
        <v>0</v>
      </c>
    </row>
    <row r="847" spans="1:6" x14ac:dyDescent="0.25">
      <c r="A847" s="105">
        <f t="shared" si="13"/>
        <v>1200900</v>
      </c>
      <c r="B847" s="105" t="s">
        <v>1335</v>
      </c>
      <c r="C847" s="105" t="s">
        <v>1336</v>
      </c>
      <c r="D847" s="105">
        <v>6254</v>
      </c>
      <c r="E847" s="105">
        <v>3752.4</v>
      </c>
      <c r="F847" s="105">
        <v>55</v>
      </c>
    </row>
    <row r="848" spans="1:6" x14ac:dyDescent="0.25">
      <c r="A848" s="105" t="str">
        <f t="shared" si="13"/>
        <v/>
      </c>
      <c r="B848" s="105" t="s">
        <v>1337</v>
      </c>
      <c r="C848" s="105" t="s">
        <v>8</v>
      </c>
      <c r="D848" s="105">
        <v>0</v>
      </c>
      <c r="E848" s="105">
        <v>0</v>
      </c>
      <c r="F848" s="105">
        <v>0</v>
      </c>
    </row>
    <row r="849" spans="1:6" x14ac:dyDescent="0.25">
      <c r="A849" s="105">
        <f t="shared" si="13"/>
        <v>1200901</v>
      </c>
      <c r="B849" s="105" t="s">
        <v>1338</v>
      </c>
      <c r="C849" s="105" t="s">
        <v>1339</v>
      </c>
      <c r="D849" s="105">
        <v>6466</v>
      </c>
      <c r="E849" s="105">
        <v>3879.6</v>
      </c>
      <c r="F849" s="105">
        <v>3</v>
      </c>
    </row>
    <row r="850" spans="1:6" x14ac:dyDescent="0.25">
      <c r="A850" s="105">
        <f t="shared" si="13"/>
        <v>1213131</v>
      </c>
      <c r="B850" s="105" t="s">
        <v>1340</v>
      </c>
      <c r="C850" s="105" t="s">
        <v>1341</v>
      </c>
      <c r="D850" s="105">
        <v>0</v>
      </c>
      <c r="E850" s="105">
        <v>0</v>
      </c>
      <c r="F850" s="105">
        <v>0</v>
      </c>
    </row>
    <row r="851" spans="1:6" x14ac:dyDescent="0.25">
      <c r="A851" s="105">
        <f t="shared" si="13"/>
        <v>123456789</v>
      </c>
      <c r="B851" s="105" t="s">
        <v>1342</v>
      </c>
      <c r="C851" s="105" t="s">
        <v>1342</v>
      </c>
      <c r="D851" s="105">
        <v>377.62</v>
      </c>
      <c r="E851" s="105">
        <v>226.57</v>
      </c>
      <c r="F851" s="105">
        <v>0</v>
      </c>
    </row>
    <row r="852" spans="1:6" x14ac:dyDescent="0.25">
      <c r="A852" s="105">
        <f t="shared" si="13"/>
        <v>1407001</v>
      </c>
      <c r="B852" s="105" t="s">
        <v>1343</v>
      </c>
      <c r="C852" s="105" t="s">
        <v>1344</v>
      </c>
      <c r="D852" s="105">
        <v>3187.81</v>
      </c>
      <c r="E852" s="105">
        <v>1912.69</v>
      </c>
      <c r="F852" s="105">
        <v>0</v>
      </c>
    </row>
    <row r="853" spans="1:6" x14ac:dyDescent="0.25">
      <c r="A853" s="105">
        <f t="shared" si="13"/>
        <v>1407093</v>
      </c>
      <c r="B853" s="105" t="s">
        <v>1345</v>
      </c>
      <c r="C853" s="105" t="s">
        <v>1346</v>
      </c>
      <c r="D853" s="105">
        <v>3327.83</v>
      </c>
      <c r="E853" s="105">
        <v>1996.7</v>
      </c>
      <c r="F853" s="105">
        <v>6</v>
      </c>
    </row>
    <row r="854" spans="1:6" x14ac:dyDescent="0.25">
      <c r="A854" s="105">
        <f t="shared" si="13"/>
        <v>1407094</v>
      </c>
      <c r="B854" s="105" t="s">
        <v>1347</v>
      </c>
      <c r="C854" s="105" t="s">
        <v>1348</v>
      </c>
      <c r="D854" s="105">
        <v>2296.19</v>
      </c>
      <c r="E854" s="105">
        <v>1377.71</v>
      </c>
      <c r="F854" s="105">
        <v>1</v>
      </c>
    </row>
    <row r="855" spans="1:6" x14ac:dyDescent="0.25">
      <c r="A855" s="105" t="str">
        <f t="shared" si="13"/>
        <v/>
      </c>
      <c r="B855" s="105" t="s">
        <v>1349</v>
      </c>
      <c r="C855" s="105" t="s">
        <v>8</v>
      </c>
      <c r="D855" s="105">
        <v>0</v>
      </c>
      <c r="E855" s="105">
        <v>0</v>
      </c>
      <c r="F855" s="105">
        <v>0</v>
      </c>
    </row>
    <row r="856" spans="1:6" x14ac:dyDescent="0.25">
      <c r="A856" s="105">
        <f t="shared" si="13"/>
        <v>1524057</v>
      </c>
      <c r="B856" s="105" t="s">
        <v>1350</v>
      </c>
      <c r="C856" s="105" t="s">
        <v>1351</v>
      </c>
      <c r="D856" s="105">
        <v>0</v>
      </c>
      <c r="E856" s="105">
        <v>0</v>
      </c>
      <c r="F856" s="105">
        <v>0</v>
      </c>
    </row>
    <row r="857" spans="1:6" x14ac:dyDescent="0.25">
      <c r="A857" s="105" t="str">
        <f t="shared" si="13"/>
        <v/>
      </c>
      <c r="B857" s="105" t="s">
        <v>1352</v>
      </c>
      <c r="C857" s="105" t="s">
        <v>8</v>
      </c>
      <c r="D857" s="105">
        <v>0</v>
      </c>
      <c r="E857" s="105">
        <v>0</v>
      </c>
      <c r="F857" s="105">
        <v>0</v>
      </c>
    </row>
    <row r="858" spans="1:6" x14ac:dyDescent="0.25">
      <c r="A858" s="105">
        <f t="shared" si="13"/>
        <v>1524058</v>
      </c>
      <c r="B858" s="105" t="s">
        <v>1353</v>
      </c>
      <c r="C858" s="105" t="s">
        <v>1354</v>
      </c>
      <c r="D858" s="105">
        <v>0</v>
      </c>
      <c r="E858" s="105">
        <v>0</v>
      </c>
      <c r="F858" s="105">
        <v>0</v>
      </c>
    </row>
    <row r="859" spans="1:6" x14ac:dyDescent="0.25">
      <c r="A859" s="105">
        <f t="shared" si="13"/>
        <v>1900100</v>
      </c>
      <c r="B859" s="105" t="s">
        <v>1355</v>
      </c>
      <c r="C859" s="105" t="s">
        <v>1356</v>
      </c>
      <c r="D859" s="105">
        <v>12.7</v>
      </c>
      <c r="E859" s="105">
        <v>7.62</v>
      </c>
      <c r="F859" s="105">
        <v>0</v>
      </c>
    </row>
    <row r="860" spans="1:6" x14ac:dyDescent="0.25">
      <c r="A860" s="105" t="str">
        <f t="shared" si="13"/>
        <v/>
      </c>
      <c r="B860" s="105" t="s">
        <v>1357</v>
      </c>
      <c r="C860" s="105" t="s">
        <v>8</v>
      </c>
      <c r="D860" s="105">
        <v>0</v>
      </c>
      <c r="E860" s="105">
        <v>0</v>
      </c>
      <c r="F860" s="105">
        <v>0</v>
      </c>
    </row>
    <row r="861" spans="1:6" x14ac:dyDescent="0.25">
      <c r="A861" s="105" t="str">
        <f t="shared" si="13"/>
        <v/>
      </c>
      <c r="B861" s="105" t="s">
        <v>1358</v>
      </c>
      <c r="C861" s="105" t="s">
        <v>1359</v>
      </c>
      <c r="D861" s="105">
        <v>0</v>
      </c>
      <c r="E861" s="105">
        <v>0</v>
      </c>
      <c r="F861" s="105">
        <v>0</v>
      </c>
    </row>
    <row r="862" spans="1:6" x14ac:dyDescent="0.25">
      <c r="A862" s="105" t="str">
        <f t="shared" si="13"/>
        <v/>
      </c>
      <c r="B862" s="105" t="s">
        <v>1360</v>
      </c>
      <c r="C862" s="105" t="s">
        <v>8</v>
      </c>
      <c r="D862" s="105">
        <v>0</v>
      </c>
      <c r="E862" s="105">
        <v>0</v>
      </c>
      <c r="F862" s="105">
        <v>0</v>
      </c>
    </row>
    <row r="863" spans="1:6" x14ac:dyDescent="0.25">
      <c r="A863" s="105">
        <f t="shared" si="13"/>
        <v>2</v>
      </c>
      <c r="B863" s="105" t="s">
        <v>1361</v>
      </c>
      <c r="C863" s="105" t="s">
        <v>1362</v>
      </c>
      <c r="D863" s="105">
        <v>0</v>
      </c>
      <c r="E863" s="105">
        <v>0</v>
      </c>
      <c r="F863" s="105">
        <v>0</v>
      </c>
    </row>
    <row r="864" spans="1:6" x14ac:dyDescent="0.25">
      <c r="A864" s="105">
        <f t="shared" si="13"/>
        <v>2000036</v>
      </c>
      <c r="B864" s="105" t="s">
        <v>1363</v>
      </c>
      <c r="C864" s="105" t="s">
        <v>1364</v>
      </c>
      <c r="D864" s="105">
        <v>2117.6999999999998</v>
      </c>
      <c r="E864" s="105">
        <v>1270.6199999999999</v>
      </c>
      <c r="F864" s="105">
        <v>20</v>
      </c>
    </row>
    <row r="865" spans="1:6" x14ac:dyDescent="0.25">
      <c r="A865" s="105">
        <f t="shared" si="13"/>
        <v>2000258</v>
      </c>
      <c r="B865" s="105" t="s">
        <v>1365</v>
      </c>
      <c r="C865" s="105" t="s">
        <v>1366</v>
      </c>
      <c r="D865" s="105">
        <v>1257.8599999999999</v>
      </c>
      <c r="E865" s="105">
        <v>754.72</v>
      </c>
      <c r="F865" s="105">
        <v>64</v>
      </c>
    </row>
    <row r="866" spans="1:6" x14ac:dyDescent="0.25">
      <c r="A866" s="105">
        <f t="shared" si="13"/>
        <v>2000386</v>
      </c>
      <c r="B866" s="105" t="s">
        <v>1367</v>
      </c>
      <c r="C866" s="105" t="s">
        <v>1368</v>
      </c>
      <c r="D866" s="105">
        <v>1397.64</v>
      </c>
      <c r="E866" s="105">
        <v>838.58</v>
      </c>
      <c r="F866" s="105">
        <v>7</v>
      </c>
    </row>
    <row r="867" spans="1:6" x14ac:dyDescent="0.25">
      <c r="A867" s="105" t="str">
        <f t="shared" si="13"/>
        <v/>
      </c>
      <c r="B867" s="105" t="s">
        <v>1369</v>
      </c>
      <c r="C867" s="105" t="s">
        <v>8</v>
      </c>
      <c r="D867" s="105">
        <v>0</v>
      </c>
      <c r="E867" s="105">
        <v>0</v>
      </c>
      <c r="F867" s="105">
        <v>0</v>
      </c>
    </row>
    <row r="868" spans="1:6" x14ac:dyDescent="0.25">
      <c r="A868" s="105">
        <f t="shared" si="13"/>
        <v>2014109</v>
      </c>
      <c r="B868" s="105" t="s">
        <v>1370</v>
      </c>
      <c r="C868" s="105" t="s">
        <v>1371</v>
      </c>
      <c r="D868" s="105">
        <v>0</v>
      </c>
      <c r="E868" s="105">
        <v>0</v>
      </c>
      <c r="F868" s="105">
        <v>0</v>
      </c>
    </row>
    <row r="869" spans="1:6" x14ac:dyDescent="0.25">
      <c r="A869" s="105" t="str">
        <f t="shared" si="13"/>
        <v/>
      </c>
      <c r="B869" s="105" t="s">
        <v>1372</v>
      </c>
      <c r="C869" s="105" t="s">
        <v>8</v>
      </c>
      <c r="D869" s="105">
        <v>0</v>
      </c>
      <c r="E869" s="105">
        <v>0</v>
      </c>
      <c r="F869" s="105">
        <v>0</v>
      </c>
    </row>
    <row r="870" spans="1:6" x14ac:dyDescent="0.25">
      <c r="A870" s="105">
        <f t="shared" si="13"/>
        <v>2101000</v>
      </c>
      <c r="B870" s="105" t="s">
        <v>1373</v>
      </c>
      <c r="C870" s="105" t="s">
        <v>1374</v>
      </c>
      <c r="D870" s="105">
        <v>3604</v>
      </c>
      <c r="E870" s="105">
        <v>2162.4</v>
      </c>
      <c r="F870" s="105">
        <v>128</v>
      </c>
    </row>
    <row r="871" spans="1:6" x14ac:dyDescent="0.25">
      <c r="A871" s="105">
        <f t="shared" si="13"/>
        <v>2101001</v>
      </c>
      <c r="B871" s="105" t="s">
        <v>1375</v>
      </c>
      <c r="C871" s="105" t="s">
        <v>1376</v>
      </c>
      <c r="D871" s="105">
        <v>3763</v>
      </c>
      <c r="E871" s="105">
        <v>2257.8000000000002</v>
      </c>
      <c r="F871" s="105">
        <v>0</v>
      </c>
    </row>
    <row r="872" spans="1:6" x14ac:dyDescent="0.25">
      <c r="A872" s="105">
        <f t="shared" si="13"/>
        <v>2101002</v>
      </c>
      <c r="B872" s="105" t="s">
        <v>1377</v>
      </c>
      <c r="C872" s="105" t="s">
        <v>1378</v>
      </c>
      <c r="D872" s="105">
        <v>0</v>
      </c>
      <c r="E872" s="105">
        <v>0</v>
      </c>
      <c r="F872" s="105">
        <v>0</v>
      </c>
    </row>
    <row r="873" spans="1:6" x14ac:dyDescent="0.25">
      <c r="A873" s="105" t="str">
        <f t="shared" si="13"/>
        <v/>
      </c>
      <c r="B873" s="105" t="s">
        <v>1379</v>
      </c>
      <c r="C873" s="105" t="s">
        <v>8</v>
      </c>
      <c r="D873" s="105">
        <v>0</v>
      </c>
      <c r="E873" s="105">
        <v>0</v>
      </c>
      <c r="F873" s="105">
        <v>0</v>
      </c>
    </row>
    <row r="874" spans="1:6" x14ac:dyDescent="0.25">
      <c r="A874" s="105">
        <f t="shared" si="13"/>
        <v>2101003</v>
      </c>
      <c r="B874" s="105" t="s">
        <v>1380</v>
      </c>
      <c r="C874" s="105" t="s">
        <v>1381</v>
      </c>
      <c r="D874" s="105">
        <v>4293</v>
      </c>
      <c r="E874" s="105">
        <v>2575.8000000000002</v>
      </c>
      <c r="F874" s="105">
        <v>0</v>
      </c>
    </row>
    <row r="875" spans="1:6" x14ac:dyDescent="0.25">
      <c r="A875" s="105">
        <f t="shared" si="13"/>
        <v>2101004</v>
      </c>
      <c r="B875" s="105" t="s">
        <v>1382</v>
      </c>
      <c r="C875" s="105" t="s">
        <v>1383</v>
      </c>
      <c r="D875" s="105">
        <v>3063.4</v>
      </c>
      <c r="E875" s="105">
        <v>1838.04</v>
      </c>
      <c r="F875" s="105">
        <v>0</v>
      </c>
    </row>
    <row r="876" spans="1:6" x14ac:dyDescent="0.25">
      <c r="A876" s="105" t="str">
        <f t="shared" si="13"/>
        <v/>
      </c>
      <c r="B876" s="105" t="s">
        <v>1384</v>
      </c>
      <c r="C876" s="105" t="s">
        <v>8</v>
      </c>
      <c r="D876" s="105">
        <v>0</v>
      </c>
      <c r="E876" s="105">
        <v>0</v>
      </c>
      <c r="F876" s="105">
        <v>0</v>
      </c>
    </row>
    <row r="877" spans="1:6" x14ac:dyDescent="0.25">
      <c r="A877" s="105">
        <f t="shared" si="13"/>
        <v>2101005</v>
      </c>
      <c r="B877" s="105" t="s">
        <v>1385</v>
      </c>
      <c r="C877" s="105" t="s">
        <v>1386</v>
      </c>
      <c r="D877" s="105">
        <v>3487.4</v>
      </c>
      <c r="E877" s="105">
        <v>2092.44</v>
      </c>
      <c r="F877" s="105">
        <v>0</v>
      </c>
    </row>
    <row r="878" spans="1:6" x14ac:dyDescent="0.25">
      <c r="A878" s="105" t="str">
        <f t="shared" si="13"/>
        <v/>
      </c>
      <c r="B878" s="105" t="s">
        <v>1387</v>
      </c>
      <c r="C878" s="105" t="s">
        <v>8</v>
      </c>
      <c r="D878" s="105">
        <v>0</v>
      </c>
      <c r="E878" s="105">
        <v>0</v>
      </c>
      <c r="F878" s="105">
        <v>0</v>
      </c>
    </row>
    <row r="879" spans="1:6" x14ac:dyDescent="0.25">
      <c r="A879" s="105">
        <f t="shared" si="13"/>
        <v>2101006</v>
      </c>
      <c r="B879" s="105" t="s">
        <v>1388</v>
      </c>
      <c r="C879" s="105" t="s">
        <v>1389</v>
      </c>
      <c r="D879" s="105">
        <v>3911.4</v>
      </c>
      <c r="E879" s="105">
        <v>2346.84</v>
      </c>
      <c r="F879" s="105">
        <v>0</v>
      </c>
    </row>
    <row r="880" spans="1:6" x14ac:dyDescent="0.25">
      <c r="A880" s="105" t="str">
        <f t="shared" si="13"/>
        <v/>
      </c>
      <c r="B880" s="105" t="s">
        <v>1390</v>
      </c>
      <c r="C880" s="105" t="s">
        <v>8</v>
      </c>
      <c r="D880" s="105">
        <v>0</v>
      </c>
      <c r="E880" s="105">
        <v>0</v>
      </c>
      <c r="F880" s="105">
        <v>0</v>
      </c>
    </row>
    <row r="881" spans="1:6" x14ac:dyDescent="0.25">
      <c r="A881" s="105">
        <f t="shared" si="13"/>
        <v>2101007</v>
      </c>
      <c r="B881" s="105" t="s">
        <v>1391</v>
      </c>
      <c r="C881" s="105" t="s">
        <v>1392</v>
      </c>
      <c r="D881" s="105">
        <v>0</v>
      </c>
      <c r="E881" s="105">
        <v>0</v>
      </c>
      <c r="F881" s="105">
        <v>0</v>
      </c>
    </row>
    <row r="882" spans="1:6" x14ac:dyDescent="0.25">
      <c r="A882" s="105" t="str">
        <f t="shared" si="13"/>
        <v/>
      </c>
      <c r="B882" s="105" t="s">
        <v>1393</v>
      </c>
      <c r="C882" s="105" t="s">
        <v>8</v>
      </c>
      <c r="D882" s="105">
        <v>0</v>
      </c>
      <c r="E882" s="105">
        <v>0</v>
      </c>
      <c r="F882" s="105">
        <v>0</v>
      </c>
    </row>
    <row r="883" spans="1:6" x14ac:dyDescent="0.25">
      <c r="A883" s="105">
        <f t="shared" si="13"/>
        <v>2101008</v>
      </c>
      <c r="B883" s="105" t="s">
        <v>1394</v>
      </c>
      <c r="C883" s="105" t="s">
        <v>1395</v>
      </c>
      <c r="D883" s="105">
        <v>0</v>
      </c>
      <c r="E883" s="105">
        <v>0</v>
      </c>
      <c r="F883" s="105">
        <v>0</v>
      </c>
    </row>
    <row r="884" spans="1:6" x14ac:dyDescent="0.25">
      <c r="A884" s="105">
        <f t="shared" si="13"/>
        <v>2101010</v>
      </c>
      <c r="B884" s="105" t="s">
        <v>1396</v>
      </c>
      <c r="C884" s="105" t="s">
        <v>1397</v>
      </c>
      <c r="D884" s="105">
        <v>0</v>
      </c>
      <c r="E884" s="105">
        <v>0</v>
      </c>
      <c r="F884" s="105">
        <v>4</v>
      </c>
    </row>
    <row r="885" spans="1:6" x14ac:dyDescent="0.25">
      <c r="A885" s="105">
        <f t="shared" si="13"/>
        <v>2101011</v>
      </c>
      <c r="B885" s="105" t="s">
        <v>1398</v>
      </c>
      <c r="C885" s="105" t="s">
        <v>1399</v>
      </c>
      <c r="D885" s="105">
        <v>0</v>
      </c>
      <c r="E885" s="105">
        <v>0</v>
      </c>
      <c r="F885" s="105">
        <v>0</v>
      </c>
    </row>
    <row r="886" spans="1:6" x14ac:dyDescent="0.25">
      <c r="A886" s="105" t="str">
        <f t="shared" si="13"/>
        <v/>
      </c>
      <c r="B886" s="105" t="s">
        <v>1400</v>
      </c>
      <c r="C886" s="105" t="s">
        <v>8</v>
      </c>
      <c r="D886" s="105">
        <v>0</v>
      </c>
      <c r="E886" s="105">
        <v>0</v>
      </c>
      <c r="F886" s="105">
        <v>0</v>
      </c>
    </row>
    <row r="887" spans="1:6" x14ac:dyDescent="0.25">
      <c r="A887" s="105">
        <f t="shared" si="13"/>
        <v>2101012</v>
      </c>
      <c r="B887" s="105" t="s">
        <v>1401</v>
      </c>
      <c r="C887" s="105" t="s">
        <v>1402</v>
      </c>
      <c r="D887" s="105">
        <v>0</v>
      </c>
      <c r="E887" s="105">
        <v>0</v>
      </c>
      <c r="F887" s="105">
        <v>0</v>
      </c>
    </row>
    <row r="888" spans="1:6" x14ac:dyDescent="0.25">
      <c r="A888" s="105" t="str">
        <f t="shared" si="13"/>
        <v/>
      </c>
      <c r="B888" s="105" t="s">
        <v>1403</v>
      </c>
      <c r="C888" s="105" t="s">
        <v>8</v>
      </c>
      <c r="D888" s="105">
        <v>0</v>
      </c>
      <c r="E888" s="105">
        <v>0</v>
      </c>
      <c r="F888" s="105">
        <v>0</v>
      </c>
    </row>
    <row r="889" spans="1:6" x14ac:dyDescent="0.25">
      <c r="A889" s="105">
        <f t="shared" si="13"/>
        <v>2101013</v>
      </c>
      <c r="B889" s="105" t="s">
        <v>1404</v>
      </c>
      <c r="C889" s="105" t="s">
        <v>1405</v>
      </c>
      <c r="D889" s="105">
        <v>3224</v>
      </c>
      <c r="E889" s="105">
        <v>1934.4</v>
      </c>
      <c r="F889" s="105">
        <v>0</v>
      </c>
    </row>
    <row r="890" spans="1:6" x14ac:dyDescent="0.25">
      <c r="A890" s="105" t="str">
        <f t="shared" si="13"/>
        <v/>
      </c>
      <c r="B890" s="105" t="s">
        <v>1406</v>
      </c>
      <c r="C890" s="105" t="s">
        <v>8</v>
      </c>
      <c r="D890" s="105">
        <v>0</v>
      </c>
      <c r="E890" s="105">
        <v>0</v>
      </c>
      <c r="F890" s="105">
        <v>0</v>
      </c>
    </row>
    <row r="891" spans="1:6" x14ac:dyDescent="0.25">
      <c r="A891" s="105">
        <f t="shared" si="13"/>
        <v>2101014</v>
      </c>
      <c r="B891" s="105" t="s">
        <v>1407</v>
      </c>
      <c r="C891" s="105" t="s">
        <v>1408</v>
      </c>
      <c r="D891" s="105">
        <v>3380</v>
      </c>
      <c r="E891" s="105">
        <v>2028</v>
      </c>
      <c r="F891" s="105">
        <v>0</v>
      </c>
    </row>
    <row r="892" spans="1:6" x14ac:dyDescent="0.25">
      <c r="A892" s="105" t="str">
        <f t="shared" si="13"/>
        <v/>
      </c>
      <c r="B892" s="105" t="s">
        <v>1409</v>
      </c>
      <c r="C892" s="105" t="s">
        <v>8</v>
      </c>
      <c r="D892" s="105">
        <v>0</v>
      </c>
      <c r="E892" s="105">
        <v>0</v>
      </c>
      <c r="F892" s="105">
        <v>0</v>
      </c>
    </row>
    <row r="893" spans="1:6" x14ac:dyDescent="0.25">
      <c r="A893" s="105">
        <f t="shared" si="13"/>
        <v>2101015</v>
      </c>
      <c r="B893" s="105" t="s">
        <v>1410</v>
      </c>
      <c r="C893" s="105" t="s">
        <v>1411</v>
      </c>
      <c r="D893" s="105">
        <v>0</v>
      </c>
      <c r="E893" s="105">
        <v>0</v>
      </c>
      <c r="F893" s="105">
        <v>0</v>
      </c>
    </row>
    <row r="894" spans="1:6" x14ac:dyDescent="0.25">
      <c r="A894" s="105" t="str">
        <f t="shared" si="13"/>
        <v/>
      </c>
      <c r="B894" s="105" t="s">
        <v>1412</v>
      </c>
      <c r="C894" s="105" t="s">
        <v>8</v>
      </c>
      <c r="D894" s="105">
        <v>0</v>
      </c>
      <c r="E894" s="105">
        <v>0</v>
      </c>
      <c r="F894" s="105">
        <v>0</v>
      </c>
    </row>
    <row r="895" spans="1:6" x14ac:dyDescent="0.25">
      <c r="A895" s="105">
        <f t="shared" si="13"/>
        <v>2101016</v>
      </c>
      <c r="B895" s="105" t="s">
        <v>1413</v>
      </c>
      <c r="C895" s="105" t="s">
        <v>1414</v>
      </c>
      <c r="D895" s="105">
        <v>3380</v>
      </c>
      <c r="E895" s="105">
        <v>2028</v>
      </c>
      <c r="F895" s="105">
        <v>0</v>
      </c>
    </row>
    <row r="896" spans="1:6" x14ac:dyDescent="0.25">
      <c r="A896" s="105" t="str">
        <f t="shared" si="13"/>
        <v/>
      </c>
      <c r="B896" s="105" t="s">
        <v>1415</v>
      </c>
      <c r="C896" s="105" t="s">
        <v>8</v>
      </c>
      <c r="D896" s="105">
        <v>0</v>
      </c>
      <c r="E896" s="105">
        <v>0</v>
      </c>
      <c r="F896" s="105">
        <v>0</v>
      </c>
    </row>
    <row r="897" spans="1:6" x14ac:dyDescent="0.25">
      <c r="A897" s="105">
        <f t="shared" si="13"/>
        <v>2101060</v>
      </c>
      <c r="B897" s="105" t="s">
        <v>1416</v>
      </c>
      <c r="C897" s="105" t="s">
        <v>1417</v>
      </c>
      <c r="D897" s="105">
        <v>2620.8000000000002</v>
      </c>
      <c r="E897" s="105">
        <v>1572.48</v>
      </c>
      <c r="F897" s="105">
        <v>0</v>
      </c>
    </row>
    <row r="898" spans="1:6" x14ac:dyDescent="0.25">
      <c r="A898" s="105" t="str">
        <f t="shared" si="13"/>
        <v/>
      </c>
      <c r="B898" s="105" t="s">
        <v>1418</v>
      </c>
      <c r="C898" s="105" t="s">
        <v>8</v>
      </c>
      <c r="D898" s="105">
        <v>0</v>
      </c>
      <c r="E898" s="105">
        <v>0</v>
      </c>
      <c r="F898" s="105">
        <v>0</v>
      </c>
    </row>
    <row r="899" spans="1:6" x14ac:dyDescent="0.25">
      <c r="A899" s="105">
        <f t="shared" ref="A899:A962" si="14">IF(B899&lt;&gt;"",IFERROR(B899*1,""),"")</f>
        <v>2101098</v>
      </c>
      <c r="B899" s="105" t="s">
        <v>1419</v>
      </c>
      <c r="C899" s="105" t="s">
        <v>1420</v>
      </c>
      <c r="D899" s="105">
        <v>0</v>
      </c>
      <c r="E899" s="105">
        <v>0</v>
      </c>
      <c r="F899" s="105">
        <v>0</v>
      </c>
    </row>
    <row r="900" spans="1:6" x14ac:dyDescent="0.25">
      <c r="A900" s="105">
        <f t="shared" si="14"/>
        <v>2101100</v>
      </c>
      <c r="B900" s="105" t="s">
        <v>1421</v>
      </c>
      <c r="C900" s="105" t="s">
        <v>1422</v>
      </c>
      <c r="D900" s="105">
        <v>3392</v>
      </c>
      <c r="E900" s="105">
        <v>2035.2</v>
      </c>
      <c r="F900" s="105">
        <v>51</v>
      </c>
    </row>
    <row r="901" spans="1:6" x14ac:dyDescent="0.25">
      <c r="A901" s="105">
        <f t="shared" si="14"/>
        <v>2101101</v>
      </c>
      <c r="B901" s="105" t="s">
        <v>1423</v>
      </c>
      <c r="C901" s="105" t="s">
        <v>1424</v>
      </c>
      <c r="D901" s="105">
        <v>3816</v>
      </c>
      <c r="E901" s="105">
        <v>2289.6</v>
      </c>
      <c r="F901" s="105">
        <v>0</v>
      </c>
    </row>
    <row r="902" spans="1:6" x14ac:dyDescent="0.25">
      <c r="A902" s="105" t="str">
        <f t="shared" si="14"/>
        <v/>
      </c>
      <c r="B902" s="105" t="s">
        <v>1425</v>
      </c>
      <c r="C902" s="105" t="s">
        <v>8</v>
      </c>
      <c r="D902" s="105">
        <v>0</v>
      </c>
      <c r="E902" s="105">
        <v>0</v>
      </c>
      <c r="F902" s="105">
        <v>0</v>
      </c>
    </row>
    <row r="903" spans="1:6" x14ac:dyDescent="0.25">
      <c r="A903" s="105">
        <f t="shared" si="14"/>
        <v>2101102</v>
      </c>
      <c r="B903" s="105" t="s">
        <v>1426</v>
      </c>
      <c r="C903" s="105" t="s">
        <v>1427</v>
      </c>
      <c r="D903" s="105">
        <v>0</v>
      </c>
      <c r="E903" s="105">
        <v>0</v>
      </c>
      <c r="F903" s="105">
        <v>0</v>
      </c>
    </row>
    <row r="904" spans="1:6" x14ac:dyDescent="0.25">
      <c r="A904" s="105">
        <f t="shared" si="14"/>
        <v>2101103</v>
      </c>
      <c r="B904" s="105" t="s">
        <v>1428</v>
      </c>
      <c r="C904" s="105" t="s">
        <v>1429</v>
      </c>
      <c r="D904" s="105">
        <v>3816</v>
      </c>
      <c r="E904" s="105">
        <v>2289.6</v>
      </c>
      <c r="F904" s="105">
        <v>2</v>
      </c>
    </row>
    <row r="905" spans="1:6" x14ac:dyDescent="0.25">
      <c r="A905" s="105">
        <f t="shared" si="14"/>
        <v>2101105</v>
      </c>
      <c r="B905" s="105" t="s">
        <v>1430</v>
      </c>
      <c r="C905" s="105" t="s">
        <v>1431</v>
      </c>
      <c r="D905" s="105">
        <v>4876</v>
      </c>
      <c r="E905" s="105">
        <v>2925.6</v>
      </c>
      <c r="F905" s="105">
        <v>0</v>
      </c>
    </row>
    <row r="906" spans="1:6" x14ac:dyDescent="0.25">
      <c r="A906" s="105">
        <f t="shared" si="14"/>
        <v>2101106</v>
      </c>
      <c r="B906" s="105" t="s">
        <v>1432</v>
      </c>
      <c r="C906" s="105" t="s">
        <v>1433</v>
      </c>
      <c r="D906" s="105">
        <v>5300</v>
      </c>
      <c r="E906" s="105">
        <v>3180</v>
      </c>
      <c r="F906" s="105">
        <v>0</v>
      </c>
    </row>
    <row r="907" spans="1:6" x14ac:dyDescent="0.25">
      <c r="A907" s="105">
        <f t="shared" si="14"/>
        <v>2101110</v>
      </c>
      <c r="B907" s="105" t="s">
        <v>1434</v>
      </c>
      <c r="C907" s="105" t="s">
        <v>1435</v>
      </c>
      <c r="D907" s="105">
        <v>3392</v>
      </c>
      <c r="E907" s="105">
        <v>2035.2</v>
      </c>
      <c r="F907" s="105">
        <v>54</v>
      </c>
    </row>
    <row r="908" spans="1:6" x14ac:dyDescent="0.25">
      <c r="A908" s="105">
        <f t="shared" si="14"/>
        <v>2101111</v>
      </c>
      <c r="B908" s="105" t="s">
        <v>1436</v>
      </c>
      <c r="C908" s="105" t="s">
        <v>1437</v>
      </c>
      <c r="D908" s="105">
        <v>4134</v>
      </c>
      <c r="E908" s="105">
        <v>2480.4</v>
      </c>
      <c r="F908" s="105">
        <v>13</v>
      </c>
    </row>
    <row r="909" spans="1:6" x14ac:dyDescent="0.25">
      <c r="A909" s="105" t="str">
        <f t="shared" si="14"/>
        <v/>
      </c>
      <c r="B909" s="105" t="s">
        <v>1438</v>
      </c>
      <c r="C909" s="105" t="s">
        <v>8</v>
      </c>
      <c r="D909" s="105">
        <v>0</v>
      </c>
      <c r="E909" s="105">
        <v>0</v>
      </c>
      <c r="F909" s="105">
        <v>0</v>
      </c>
    </row>
    <row r="910" spans="1:6" x14ac:dyDescent="0.25">
      <c r="A910" s="105">
        <f t="shared" si="14"/>
        <v>2101113</v>
      </c>
      <c r="B910" s="105" t="s">
        <v>1439</v>
      </c>
      <c r="C910" s="105" t="s">
        <v>1440</v>
      </c>
      <c r="D910" s="105">
        <v>0</v>
      </c>
      <c r="E910" s="105">
        <v>0</v>
      </c>
      <c r="F910" s="105">
        <v>0</v>
      </c>
    </row>
    <row r="911" spans="1:6" x14ac:dyDescent="0.25">
      <c r="A911" s="105" t="str">
        <f t="shared" si="14"/>
        <v/>
      </c>
      <c r="B911" s="105" t="s">
        <v>1441</v>
      </c>
      <c r="C911" s="105" t="s">
        <v>8</v>
      </c>
      <c r="D911" s="105">
        <v>0</v>
      </c>
      <c r="E911" s="105">
        <v>0</v>
      </c>
      <c r="F911" s="105">
        <v>0</v>
      </c>
    </row>
    <row r="912" spans="1:6" x14ac:dyDescent="0.25">
      <c r="A912" s="105">
        <f t="shared" si="14"/>
        <v>2101114</v>
      </c>
      <c r="B912" s="105" t="s">
        <v>1442</v>
      </c>
      <c r="C912" s="105" t="s">
        <v>1443</v>
      </c>
      <c r="D912" s="105">
        <v>0</v>
      </c>
      <c r="E912" s="105">
        <v>0</v>
      </c>
      <c r="F912" s="105">
        <v>0</v>
      </c>
    </row>
    <row r="913" spans="1:6" x14ac:dyDescent="0.25">
      <c r="A913" s="105">
        <f t="shared" si="14"/>
        <v>2101115</v>
      </c>
      <c r="B913" s="105" t="s">
        <v>1444</v>
      </c>
      <c r="C913" s="105" t="s">
        <v>1445</v>
      </c>
      <c r="D913" s="105">
        <v>4664</v>
      </c>
      <c r="E913" s="105">
        <v>2798.4</v>
      </c>
      <c r="F913" s="105">
        <v>1</v>
      </c>
    </row>
    <row r="914" spans="1:6" x14ac:dyDescent="0.25">
      <c r="A914" s="105" t="str">
        <f t="shared" si="14"/>
        <v/>
      </c>
      <c r="B914" s="105" t="s">
        <v>1446</v>
      </c>
      <c r="C914" s="105" t="s">
        <v>8</v>
      </c>
      <c r="D914" s="105">
        <v>0</v>
      </c>
      <c r="E914" s="105">
        <v>0</v>
      </c>
      <c r="F914" s="105">
        <v>0</v>
      </c>
    </row>
    <row r="915" spans="1:6" x14ac:dyDescent="0.25">
      <c r="A915" s="105">
        <f t="shared" si="14"/>
        <v>2101116</v>
      </c>
      <c r="B915" s="105" t="s">
        <v>1447</v>
      </c>
      <c r="C915" s="105" t="s">
        <v>1448</v>
      </c>
      <c r="D915" s="105">
        <v>4823</v>
      </c>
      <c r="E915" s="105">
        <v>2893.8</v>
      </c>
      <c r="F915" s="105">
        <v>0</v>
      </c>
    </row>
    <row r="916" spans="1:6" x14ac:dyDescent="0.25">
      <c r="A916" s="105" t="str">
        <f t="shared" si="14"/>
        <v/>
      </c>
      <c r="B916" s="105" t="s">
        <v>1449</v>
      </c>
      <c r="C916" s="105" t="s">
        <v>8</v>
      </c>
      <c r="D916" s="105">
        <v>0</v>
      </c>
      <c r="E916" s="105">
        <v>0</v>
      </c>
      <c r="F916" s="105">
        <v>0</v>
      </c>
    </row>
    <row r="917" spans="1:6" x14ac:dyDescent="0.25">
      <c r="A917" s="105">
        <f t="shared" si="14"/>
        <v>2101117</v>
      </c>
      <c r="B917" s="105" t="s">
        <v>1450</v>
      </c>
      <c r="C917" s="105" t="s">
        <v>1451</v>
      </c>
      <c r="D917" s="105">
        <v>3816</v>
      </c>
      <c r="E917" s="105">
        <v>2289.6</v>
      </c>
      <c r="F917" s="105">
        <v>0</v>
      </c>
    </row>
    <row r="918" spans="1:6" x14ac:dyDescent="0.25">
      <c r="A918" s="105" t="str">
        <f t="shared" si="14"/>
        <v/>
      </c>
      <c r="B918" s="105" t="s">
        <v>1452</v>
      </c>
      <c r="C918" s="105" t="s">
        <v>8</v>
      </c>
      <c r="D918" s="105">
        <v>0</v>
      </c>
      <c r="E918" s="105">
        <v>0</v>
      </c>
      <c r="F918" s="105">
        <v>0</v>
      </c>
    </row>
    <row r="919" spans="1:6" x14ac:dyDescent="0.25">
      <c r="A919" s="105">
        <f t="shared" si="14"/>
        <v>2101158</v>
      </c>
      <c r="B919" s="105" t="s">
        <v>1453</v>
      </c>
      <c r="C919" s="105" t="s">
        <v>1454</v>
      </c>
      <c r="D919" s="105">
        <v>0</v>
      </c>
      <c r="E919" s="105">
        <v>0</v>
      </c>
      <c r="F919" s="105">
        <v>0</v>
      </c>
    </row>
    <row r="920" spans="1:6" x14ac:dyDescent="0.25">
      <c r="A920" s="105">
        <f t="shared" si="14"/>
        <v>2101200</v>
      </c>
      <c r="B920" s="105" t="s">
        <v>1455</v>
      </c>
      <c r="C920" s="105" t="s">
        <v>1456</v>
      </c>
      <c r="D920" s="105">
        <v>3763</v>
      </c>
      <c r="E920" s="105">
        <v>2257.8000000000002</v>
      </c>
      <c r="F920" s="105">
        <v>0</v>
      </c>
    </row>
    <row r="921" spans="1:6" x14ac:dyDescent="0.25">
      <c r="A921" s="105" t="str">
        <f t="shared" si="14"/>
        <v/>
      </c>
      <c r="B921" s="105" t="s">
        <v>1457</v>
      </c>
      <c r="C921" s="105" t="s">
        <v>8</v>
      </c>
      <c r="D921" s="105">
        <v>0</v>
      </c>
      <c r="E921" s="105">
        <v>0</v>
      </c>
      <c r="F921" s="105">
        <v>0</v>
      </c>
    </row>
    <row r="922" spans="1:6" x14ac:dyDescent="0.25">
      <c r="A922" s="105">
        <f t="shared" si="14"/>
        <v>2101201</v>
      </c>
      <c r="B922" s="105" t="s">
        <v>1458</v>
      </c>
      <c r="C922" s="105" t="s">
        <v>1459</v>
      </c>
      <c r="D922" s="105">
        <v>0</v>
      </c>
      <c r="E922" s="105">
        <v>0</v>
      </c>
      <c r="F922" s="105">
        <v>0</v>
      </c>
    </row>
    <row r="923" spans="1:6" x14ac:dyDescent="0.25">
      <c r="A923" s="105">
        <f t="shared" si="14"/>
        <v>2101202</v>
      </c>
      <c r="B923" s="105" t="s">
        <v>1460</v>
      </c>
      <c r="C923" s="105" t="s">
        <v>1461</v>
      </c>
      <c r="D923" s="105">
        <v>3604</v>
      </c>
      <c r="E923" s="105">
        <v>2162.4</v>
      </c>
      <c r="F923" s="105">
        <v>31</v>
      </c>
    </row>
    <row r="924" spans="1:6" x14ac:dyDescent="0.25">
      <c r="A924" s="105">
        <f t="shared" si="14"/>
        <v>2101203</v>
      </c>
      <c r="B924" s="105" t="s">
        <v>1462</v>
      </c>
      <c r="C924" s="105" t="s">
        <v>1463</v>
      </c>
      <c r="D924" s="105">
        <v>4134</v>
      </c>
      <c r="E924" s="105">
        <v>2480.4</v>
      </c>
      <c r="F924" s="105">
        <v>6</v>
      </c>
    </row>
    <row r="925" spans="1:6" x14ac:dyDescent="0.25">
      <c r="A925" s="105" t="str">
        <f t="shared" si="14"/>
        <v/>
      </c>
      <c r="B925" s="105" t="s">
        <v>1464</v>
      </c>
      <c r="C925" s="105" t="s">
        <v>8</v>
      </c>
      <c r="D925" s="105">
        <v>0</v>
      </c>
      <c r="E925" s="105">
        <v>0</v>
      </c>
      <c r="F925" s="105">
        <v>0</v>
      </c>
    </row>
    <row r="926" spans="1:6" x14ac:dyDescent="0.25">
      <c r="A926" s="105">
        <f t="shared" si="14"/>
        <v>2101210</v>
      </c>
      <c r="B926" s="105" t="s">
        <v>1465</v>
      </c>
      <c r="C926" s="105" t="s">
        <v>1466</v>
      </c>
      <c r="D926" s="105">
        <v>0</v>
      </c>
      <c r="E926" s="105">
        <v>0</v>
      </c>
      <c r="F926" s="105">
        <v>0</v>
      </c>
    </row>
    <row r="927" spans="1:6" x14ac:dyDescent="0.25">
      <c r="A927" s="105" t="str">
        <f t="shared" si="14"/>
        <v/>
      </c>
      <c r="B927" s="105" t="s">
        <v>1467</v>
      </c>
      <c r="C927" s="105" t="s">
        <v>8</v>
      </c>
      <c r="D927" s="105">
        <v>0</v>
      </c>
      <c r="E927" s="105">
        <v>0</v>
      </c>
      <c r="F927" s="105">
        <v>0</v>
      </c>
    </row>
    <row r="928" spans="1:6" x14ac:dyDescent="0.25">
      <c r="A928" s="105">
        <f t="shared" si="14"/>
        <v>2101211</v>
      </c>
      <c r="B928" s="105" t="s">
        <v>1468</v>
      </c>
      <c r="C928" s="105" t="s">
        <v>1469</v>
      </c>
      <c r="D928" s="105">
        <v>4293</v>
      </c>
      <c r="E928" s="105">
        <v>2575.8000000000002</v>
      </c>
      <c r="F928" s="105">
        <v>0</v>
      </c>
    </row>
    <row r="929" spans="1:6" x14ac:dyDescent="0.25">
      <c r="A929" s="105" t="str">
        <f t="shared" si="14"/>
        <v/>
      </c>
      <c r="B929" s="105" t="s">
        <v>1470</v>
      </c>
      <c r="C929" s="105" t="s">
        <v>8</v>
      </c>
      <c r="D929" s="105">
        <v>0</v>
      </c>
      <c r="E929" s="105">
        <v>0</v>
      </c>
      <c r="F929" s="105">
        <v>0</v>
      </c>
    </row>
    <row r="930" spans="1:6" x14ac:dyDescent="0.25">
      <c r="A930" s="105">
        <f t="shared" si="14"/>
        <v>2101220</v>
      </c>
      <c r="B930" s="105" t="s">
        <v>1471</v>
      </c>
      <c r="C930" s="105" t="s">
        <v>1472</v>
      </c>
      <c r="D930" s="105">
        <v>0</v>
      </c>
      <c r="E930" s="105">
        <v>0</v>
      </c>
      <c r="F930" s="105">
        <v>0</v>
      </c>
    </row>
    <row r="931" spans="1:6" x14ac:dyDescent="0.25">
      <c r="A931" s="105">
        <f t="shared" si="14"/>
        <v>2101251</v>
      </c>
      <c r="B931" s="105" t="s">
        <v>1474</v>
      </c>
      <c r="C931" s="105" t="s">
        <v>1475</v>
      </c>
      <c r="D931" s="105">
        <v>2571.5100000000002</v>
      </c>
      <c r="E931" s="105">
        <v>1542.91</v>
      </c>
      <c r="F931" s="105">
        <v>0</v>
      </c>
    </row>
    <row r="932" spans="1:6" x14ac:dyDescent="0.25">
      <c r="A932" s="105">
        <f t="shared" si="14"/>
        <v>2101300</v>
      </c>
      <c r="B932" s="105" t="s">
        <v>1476</v>
      </c>
      <c r="C932" s="105" t="s">
        <v>1477</v>
      </c>
      <c r="D932" s="105">
        <v>3975</v>
      </c>
      <c r="E932" s="105">
        <v>2385</v>
      </c>
      <c r="F932" s="105">
        <v>15</v>
      </c>
    </row>
    <row r="933" spans="1:6" x14ac:dyDescent="0.25">
      <c r="A933" s="105">
        <f t="shared" si="14"/>
        <v>2101301</v>
      </c>
      <c r="B933" s="105" t="s">
        <v>1478</v>
      </c>
      <c r="C933" s="105" t="s">
        <v>1479</v>
      </c>
      <c r="D933" s="105">
        <v>0</v>
      </c>
      <c r="E933" s="105">
        <v>0</v>
      </c>
      <c r="F933" s="105">
        <v>7</v>
      </c>
    </row>
    <row r="934" spans="1:6" x14ac:dyDescent="0.25">
      <c r="A934" s="105">
        <f t="shared" si="14"/>
        <v>2101321</v>
      </c>
      <c r="B934" s="105" t="s">
        <v>1480</v>
      </c>
      <c r="C934" s="105" t="s">
        <v>1481</v>
      </c>
      <c r="D934" s="105">
        <v>0</v>
      </c>
      <c r="E934" s="105">
        <v>0</v>
      </c>
      <c r="F934" s="105">
        <v>4</v>
      </c>
    </row>
    <row r="935" spans="1:6" x14ac:dyDescent="0.25">
      <c r="A935" s="105" t="str">
        <f t="shared" si="14"/>
        <v/>
      </c>
      <c r="B935" s="105" t="s">
        <v>1482</v>
      </c>
      <c r="C935" s="105" t="s">
        <v>8</v>
      </c>
      <c r="D935" s="105">
        <v>0</v>
      </c>
      <c r="E935" s="105">
        <v>0</v>
      </c>
      <c r="F935" s="105">
        <v>0</v>
      </c>
    </row>
    <row r="936" spans="1:6" x14ac:dyDescent="0.25">
      <c r="A936" s="105">
        <f t="shared" si="14"/>
        <v>2101322</v>
      </c>
      <c r="B936" s="105" t="s">
        <v>1483</v>
      </c>
      <c r="C936" s="105" t="s">
        <v>1484</v>
      </c>
      <c r="D936" s="105">
        <v>0</v>
      </c>
      <c r="E936" s="105">
        <v>0</v>
      </c>
      <c r="F936" s="105">
        <v>0</v>
      </c>
    </row>
    <row r="937" spans="1:6" x14ac:dyDescent="0.25">
      <c r="A937" s="105" t="str">
        <f t="shared" si="14"/>
        <v/>
      </c>
      <c r="B937" s="105" t="s">
        <v>1485</v>
      </c>
      <c r="C937" s="105" t="s">
        <v>8</v>
      </c>
      <c r="D937" s="105">
        <v>0</v>
      </c>
      <c r="E937" s="105">
        <v>0</v>
      </c>
      <c r="F937" s="105">
        <v>0</v>
      </c>
    </row>
    <row r="938" spans="1:6" x14ac:dyDescent="0.25">
      <c r="A938" s="105">
        <f t="shared" si="14"/>
        <v>2101333</v>
      </c>
      <c r="B938" s="105" t="s">
        <v>1486</v>
      </c>
      <c r="C938" s="105" t="s">
        <v>1487</v>
      </c>
      <c r="D938" s="105">
        <v>0</v>
      </c>
      <c r="E938" s="105">
        <v>0</v>
      </c>
      <c r="F938" s="105">
        <v>0</v>
      </c>
    </row>
    <row r="939" spans="1:6" x14ac:dyDescent="0.25">
      <c r="A939" s="105">
        <f t="shared" si="14"/>
        <v>2101350</v>
      </c>
      <c r="B939" s="105" t="s">
        <v>1488</v>
      </c>
      <c r="C939" s="105" t="s">
        <v>1489</v>
      </c>
      <c r="D939" s="105">
        <v>3063.4</v>
      </c>
      <c r="E939" s="105">
        <v>1838.04</v>
      </c>
      <c r="F939" s="105">
        <v>62</v>
      </c>
    </row>
    <row r="940" spans="1:6" x14ac:dyDescent="0.25">
      <c r="A940" s="105">
        <f t="shared" si="14"/>
        <v>2101351</v>
      </c>
      <c r="B940" s="105" t="s">
        <v>1490</v>
      </c>
      <c r="C940" s="105" t="s">
        <v>1491</v>
      </c>
      <c r="D940" s="105">
        <v>3487.4</v>
      </c>
      <c r="E940" s="105">
        <v>2092.44</v>
      </c>
      <c r="F940" s="105">
        <v>1</v>
      </c>
    </row>
    <row r="941" spans="1:6" x14ac:dyDescent="0.25">
      <c r="A941" s="105" t="str">
        <f t="shared" si="14"/>
        <v/>
      </c>
      <c r="B941" s="105" t="s">
        <v>1492</v>
      </c>
      <c r="C941" s="105" t="s">
        <v>8</v>
      </c>
      <c r="D941" s="105">
        <v>0</v>
      </c>
      <c r="E941" s="105">
        <v>0</v>
      </c>
      <c r="F941" s="105">
        <v>0</v>
      </c>
    </row>
    <row r="942" spans="1:6" x14ac:dyDescent="0.25">
      <c r="A942" s="105">
        <f t="shared" si="14"/>
        <v>2101369</v>
      </c>
      <c r="B942" s="105" t="s">
        <v>1493</v>
      </c>
      <c r="C942" s="105" t="s">
        <v>1494</v>
      </c>
      <c r="D942" s="105">
        <v>0</v>
      </c>
      <c r="E942" s="105">
        <v>0</v>
      </c>
      <c r="F942" s="105">
        <v>0</v>
      </c>
    </row>
    <row r="943" spans="1:6" x14ac:dyDescent="0.25">
      <c r="A943" s="105">
        <f t="shared" si="14"/>
        <v>2101395</v>
      </c>
      <c r="B943" s="105" t="s">
        <v>1495</v>
      </c>
      <c r="C943" s="105" t="s">
        <v>1496</v>
      </c>
      <c r="D943" s="105">
        <v>3551</v>
      </c>
      <c r="E943" s="105">
        <v>2130.6</v>
      </c>
      <c r="F943" s="105">
        <v>2</v>
      </c>
    </row>
    <row r="944" spans="1:6" x14ac:dyDescent="0.25">
      <c r="A944" s="105" t="str">
        <f t="shared" si="14"/>
        <v/>
      </c>
      <c r="B944" s="105" t="s">
        <v>1497</v>
      </c>
      <c r="C944" s="105" t="s">
        <v>8</v>
      </c>
      <c r="D944" s="105">
        <v>0</v>
      </c>
      <c r="E944" s="105">
        <v>0</v>
      </c>
      <c r="F944" s="105">
        <v>0</v>
      </c>
    </row>
    <row r="945" spans="1:6" x14ac:dyDescent="0.25">
      <c r="A945" s="105">
        <f t="shared" si="14"/>
        <v>2101396</v>
      </c>
      <c r="B945" s="105" t="s">
        <v>1498</v>
      </c>
      <c r="C945" s="105" t="s">
        <v>1499</v>
      </c>
      <c r="D945" s="105">
        <v>3858.4</v>
      </c>
      <c r="E945" s="105">
        <v>2315.04</v>
      </c>
      <c r="F945" s="105">
        <v>0</v>
      </c>
    </row>
    <row r="946" spans="1:6" x14ac:dyDescent="0.25">
      <c r="A946" s="105" t="str">
        <f t="shared" si="14"/>
        <v/>
      </c>
      <c r="B946" s="105" t="s">
        <v>1500</v>
      </c>
      <c r="C946" s="105" t="s">
        <v>8</v>
      </c>
      <c r="D946" s="105">
        <v>0</v>
      </c>
      <c r="E946" s="105">
        <v>0</v>
      </c>
      <c r="F946" s="105">
        <v>0</v>
      </c>
    </row>
    <row r="947" spans="1:6" x14ac:dyDescent="0.25">
      <c r="A947" s="105">
        <f t="shared" si="14"/>
        <v>2101397</v>
      </c>
      <c r="B947" s="105" t="s">
        <v>1501</v>
      </c>
      <c r="C947" s="105" t="s">
        <v>1502</v>
      </c>
      <c r="D947" s="105">
        <v>3858.4</v>
      </c>
      <c r="E947" s="105">
        <v>2315.04</v>
      </c>
      <c r="F947" s="105">
        <v>0</v>
      </c>
    </row>
    <row r="948" spans="1:6" x14ac:dyDescent="0.25">
      <c r="A948" s="105">
        <f t="shared" si="14"/>
        <v>2101493</v>
      </c>
      <c r="B948" s="105" t="s">
        <v>1503</v>
      </c>
      <c r="C948" s="105" t="s">
        <v>1504</v>
      </c>
      <c r="D948" s="105">
        <v>4346</v>
      </c>
      <c r="E948" s="105">
        <v>2607.6</v>
      </c>
      <c r="F948" s="105">
        <v>69</v>
      </c>
    </row>
    <row r="949" spans="1:6" x14ac:dyDescent="0.25">
      <c r="A949" s="105" t="str">
        <f t="shared" si="14"/>
        <v/>
      </c>
      <c r="B949" s="105" t="s">
        <v>1505</v>
      </c>
      <c r="C949" s="105" t="s">
        <v>8</v>
      </c>
      <c r="D949" s="105">
        <v>0</v>
      </c>
      <c r="E949" s="105">
        <v>0</v>
      </c>
      <c r="F949" s="105">
        <v>0</v>
      </c>
    </row>
    <row r="950" spans="1:6" x14ac:dyDescent="0.25">
      <c r="A950" s="105">
        <f t="shared" si="14"/>
        <v>2101494</v>
      </c>
      <c r="B950" s="105" t="s">
        <v>1506</v>
      </c>
      <c r="C950" s="105" t="s">
        <v>1507</v>
      </c>
      <c r="D950" s="105">
        <v>4505</v>
      </c>
      <c r="E950" s="105">
        <v>2703</v>
      </c>
      <c r="F950" s="105">
        <v>0</v>
      </c>
    </row>
    <row r="951" spans="1:6" x14ac:dyDescent="0.25">
      <c r="A951" s="105">
        <f t="shared" si="14"/>
        <v>2101495</v>
      </c>
      <c r="B951" s="105" t="s">
        <v>1508</v>
      </c>
      <c r="C951" s="105" t="s">
        <v>1509</v>
      </c>
      <c r="D951" s="105">
        <v>3392</v>
      </c>
      <c r="E951" s="105">
        <v>2035.2</v>
      </c>
      <c r="F951" s="105">
        <v>317</v>
      </c>
    </row>
    <row r="952" spans="1:6" x14ac:dyDescent="0.25">
      <c r="A952" s="105">
        <f t="shared" si="14"/>
        <v>210149503</v>
      </c>
      <c r="B952" s="105" t="s">
        <v>1510</v>
      </c>
      <c r="C952" s="105" t="s">
        <v>8</v>
      </c>
      <c r="D952" s="105">
        <v>0</v>
      </c>
      <c r="E952" s="105">
        <v>0</v>
      </c>
      <c r="F952" s="105">
        <v>0</v>
      </c>
    </row>
    <row r="953" spans="1:6" x14ac:dyDescent="0.25">
      <c r="A953" s="105">
        <f t="shared" si="14"/>
        <v>2101496</v>
      </c>
      <c r="B953" s="105" t="s">
        <v>1511</v>
      </c>
      <c r="C953" s="105" t="s">
        <v>1512</v>
      </c>
      <c r="D953" s="105">
        <v>3922</v>
      </c>
      <c r="E953" s="105">
        <v>2353.1999999999998</v>
      </c>
      <c r="F953" s="105">
        <v>306</v>
      </c>
    </row>
    <row r="954" spans="1:6" x14ac:dyDescent="0.25">
      <c r="A954" s="105" t="str">
        <f t="shared" si="14"/>
        <v/>
      </c>
      <c r="B954" s="105" t="s">
        <v>1513</v>
      </c>
      <c r="C954" s="105" t="s">
        <v>8</v>
      </c>
      <c r="D954" s="105">
        <v>0</v>
      </c>
      <c r="E954" s="105">
        <v>0</v>
      </c>
      <c r="F954" s="105">
        <v>0</v>
      </c>
    </row>
    <row r="955" spans="1:6" x14ac:dyDescent="0.25">
      <c r="A955" s="105">
        <f t="shared" si="14"/>
        <v>2101497</v>
      </c>
      <c r="B955" s="105" t="s">
        <v>1514</v>
      </c>
      <c r="C955" s="105" t="s">
        <v>1515</v>
      </c>
      <c r="D955" s="105">
        <v>4081</v>
      </c>
      <c r="E955" s="105">
        <v>2448.6</v>
      </c>
      <c r="F955" s="105">
        <v>0</v>
      </c>
    </row>
    <row r="956" spans="1:6" x14ac:dyDescent="0.25">
      <c r="A956" s="105">
        <f t="shared" si="14"/>
        <v>2101499</v>
      </c>
      <c r="B956" s="105" t="s">
        <v>1516</v>
      </c>
      <c r="C956" s="105" t="s">
        <v>1517</v>
      </c>
      <c r="D956" s="105">
        <v>3816</v>
      </c>
      <c r="E956" s="105">
        <v>2289.6</v>
      </c>
      <c r="F956" s="105">
        <v>92</v>
      </c>
    </row>
    <row r="957" spans="1:6" x14ac:dyDescent="0.25">
      <c r="A957" s="105">
        <f t="shared" si="14"/>
        <v>2101500</v>
      </c>
      <c r="B957" s="105" t="s">
        <v>1518</v>
      </c>
      <c r="C957" s="105" t="s">
        <v>1519</v>
      </c>
      <c r="D957" s="105">
        <v>3763</v>
      </c>
      <c r="E957" s="105">
        <v>2257.8000000000002</v>
      </c>
      <c r="F957" s="105">
        <v>13</v>
      </c>
    </row>
    <row r="958" spans="1:6" x14ac:dyDescent="0.25">
      <c r="A958" s="105" t="str">
        <f t="shared" si="14"/>
        <v/>
      </c>
      <c r="B958" s="105" t="s">
        <v>1520</v>
      </c>
      <c r="C958" s="105" t="s">
        <v>8</v>
      </c>
      <c r="D958" s="105">
        <v>0</v>
      </c>
      <c r="E958" s="105">
        <v>0</v>
      </c>
      <c r="F958" s="105">
        <v>0</v>
      </c>
    </row>
    <row r="959" spans="1:6" x14ac:dyDescent="0.25">
      <c r="A959" s="105">
        <f t="shared" si="14"/>
        <v>2101501</v>
      </c>
      <c r="B959" s="105" t="s">
        <v>1521</v>
      </c>
      <c r="C959" s="105" t="s">
        <v>1522</v>
      </c>
      <c r="D959" s="105">
        <v>4293</v>
      </c>
      <c r="E959" s="105">
        <v>2575.8000000000002</v>
      </c>
      <c r="F959" s="105">
        <v>0</v>
      </c>
    </row>
    <row r="960" spans="1:6" x14ac:dyDescent="0.25">
      <c r="A960" s="105">
        <f t="shared" si="14"/>
        <v>2101550</v>
      </c>
      <c r="B960" s="105" t="s">
        <v>1523</v>
      </c>
      <c r="C960" s="105" t="s">
        <v>1524</v>
      </c>
      <c r="D960" s="105">
        <v>3063.4</v>
      </c>
      <c r="E960" s="105">
        <v>1838.04</v>
      </c>
      <c r="F960" s="105">
        <v>274</v>
      </c>
    </row>
    <row r="961" spans="1:6" x14ac:dyDescent="0.25">
      <c r="A961" s="105">
        <f t="shared" si="14"/>
        <v>2101551</v>
      </c>
      <c r="B961" s="105" t="s">
        <v>1525</v>
      </c>
      <c r="C961" s="105" t="s">
        <v>1526</v>
      </c>
      <c r="D961" s="105">
        <v>3487.4</v>
      </c>
      <c r="E961" s="105">
        <v>2092.44</v>
      </c>
      <c r="F961" s="105">
        <v>54</v>
      </c>
    </row>
    <row r="962" spans="1:6" x14ac:dyDescent="0.25">
      <c r="A962" s="105">
        <f t="shared" si="14"/>
        <v>2101552</v>
      </c>
      <c r="B962" s="105" t="s">
        <v>1527</v>
      </c>
      <c r="C962" s="105" t="s">
        <v>1528</v>
      </c>
      <c r="D962" s="105">
        <v>0</v>
      </c>
      <c r="E962" s="105">
        <v>0</v>
      </c>
      <c r="F962" s="105">
        <v>0</v>
      </c>
    </row>
    <row r="963" spans="1:6" x14ac:dyDescent="0.25">
      <c r="A963" s="105" t="str">
        <f t="shared" ref="A963:A1026" si="15">IF(B963&lt;&gt;"",IFERROR(B963*1,""),"")</f>
        <v/>
      </c>
      <c r="B963" s="105" t="s">
        <v>1529</v>
      </c>
      <c r="C963" s="105" t="s">
        <v>8</v>
      </c>
      <c r="D963" s="105">
        <v>0</v>
      </c>
      <c r="E963" s="105">
        <v>0</v>
      </c>
      <c r="F963" s="105">
        <v>0</v>
      </c>
    </row>
    <row r="964" spans="1:6" x14ac:dyDescent="0.25">
      <c r="A964" s="105">
        <f t="shared" si="15"/>
        <v>2101553</v>
      </c>
      <c r="B964" s="105" t="s">
        <v>1530</v>
      </c>
      <c r="C964" s="105" t="s">
        <v>1531</v>
      </c>
      <c r="D964" s="105">
        <v>0</v>
      </c>
      <c r="E964" s="105">
        <v>0</v>
      </c>
      <c r="F964" s="105">
        <v>0</v>
      </c>
    </row>
    <row r="965" spans="1:6" x14ac:dyDescent="0.25">
      <c r="A965" s="105">
        <f t="shared" si="15"/>
        <v>2101555</v>
      </c>
      <c r="B965" s="105" t="s">
        <v>1532</v>
      </c>
      <c r="C965" s="105" t="s">
        <v>1533</v>
      </c>
      <c r="D965" s="105">
        <v>3063.4</v>
      </c>
      <c r="E965" s="105">
        <v>1838.04</v>
      </c>
      <c r="F965" s="105">
        <v>253</v>
      </c>
    </row>
    <row r="966" spans="1:6" x14ac:dyDescent="0.25">
      <c r="A966" s="105">
        <f t="shared" si="15"/>
        <v>2101556</v>
      </c>
      <c r="B966" s="105" t="s">
        <v>1534</v>
      </c>
      <c r="C966" s="105" t="s">
        <v>1535</v>
      </c>
      <c r="D966" s="105">
        <v>3487.4</v>
      </c>
      <c r="E966" s="105">
        <v>2092.44</v>
      </c>
      <c r="F966" s="105">
        <v>43</v>
      </c>
    </row>
    <row r="967" spans="1:6" x14ac:dyDescent="0.25">
      <c r="A967" s="105" t="str">
        <f t="shared" si="15"/>
        <v/>
      </c>
      <c r="B967" s="105" t="s">
        <v>1536</v>
      </c>
      <c r="C967" s="105" t="s">
        <v>8</v>
      </c>
      <c r="D967" s="105">
        <v>0</v>
      </c>
      <c r="E967" s="105">
        <v>0</v>
      </c>
      <c r="F967" s="105">
        <v>0</v>
      </c>
    </row>
    <row r="968" spans="1:6" x14ac:dyDescent="0.25">
      <c r="A968" s="105">
        <f t="shared" si="15"/>
        <v>2101557</v>
      </c>
      <c r="B968" s="105" t="s">
        <v>1537</v>
      </c>
      <c r="C968" s="105" t="s">
        <v>1538</v>
      </c>
      <c r="D968" s="105">
        <v>0</v>
      </c>
      <c r="E968" s="105">
        <v>0</v>
      </c>
      <c r="F968" s="105">
        <v>0</v>
      </c>
    </row>
    <row r="969" spans="1:6" x14ac:dyDescent="0.25">
      <c r="A969" s="105" t="str">
        <f t="shared" si="15"/>
        <v/>
      </c>
      <c r="B969" s="105" t="s">
        <v>1539</v>
      </c>
      <c r="C969" s="105" t="s">
        <v>8</v>
      </c>
      <c r="D969" s="105">
        <v>0</v>
      </c>
      <c r="E969" s="105">
        <v>0</v>
      </c>
      <c r="F969" s="105">
        <v>0</v>
      </c>
    </row>
    <row r="970" spans="1:6" x14ac:dyDescent="0.25">
      <c r="A970" s="105">
        <f t="shared" si="15"/>
        <v>2101558</v>
      </c>
      <c r="B970" s="105" t="s">
        <v>1540</v>
      </c>
      <c r="C970" s="105" t="s">
        <v>1541</v>
      </c>
      <c r="D970" s="105">
        <v>0</v>
      </c>
      <c r="E970" s="105">
        <v>0</v>
      </c>
      <c r="F970" s="105">
        <v>0</v>
      </c>
    </row>
    <row r="971" spans="1:6" x14ac:dyDescent="0.25">
      <c r="A971" s="105" t="str">
        <f t="shared" si="15"/>
        <v/>
      </c>
      <c r="B971" s="105" t="s">
        <v>1542</v>
      </c>
      <c r="C971" s="105" t="s">
        <v>8</v>
      </c>
      <c r="D971" s="105">
        <v>0</v>
      </c>
      <c r="E971" s="105">
        <v>0</v>
      </c>
      <c r="F971" s="105">
        <v>0</v>
      </c>
    </row>
    <row r="972" spans="1:6" x14ac:dyDescent="0.25">
      <c r="A972" s="105">
        <f t="shared" si="15"/>
        <v>2101559</v>
      </c>
      <c r="B972" s="105" t="s">
        <v>1543</v>
      </c>
      <c r="C972" s="105" t="s">
        <v>1544</v>
      </c>
      <c r="D972" s="105">
        <v>2184</v>
      </c>
      <c r="E972" s="105">
        <v>1310.4000000000001</v>
      </c>
      <c r="F972" s="105">
        <v>0</v>
      </c>
    </row>
    <row r="973" spans="1:6" x14ac:dyDescent="0.25">
      <c r="A973" s="105" t="str">
        <f t="shared" si="15"/>
        <v/>
      </c>
      <c r="B973" s="105" t="s">
        <v>1545</v>
      </c>
      <c r="C973" s="105" t="s">
        <v>8</v>
      </c>
      <c r="D973" s="105">
        <v>0</v>
      </c>
      <c r="E973" s="105">
        <v>0</v>
      </c>
      <c r="F973" s="105">
        <v>0</v>
      </c>
    </row>
    <row r="974" spans="1:6" x14ac:dyDescent="0.25">
      <c r="A974" s="105">
        <f t="shared" si="15"/>
        <v>2101560</v>
      </c>
      <c r="B974" s="105" t="s">
        <v>1546</v>
      </c>
      <c r="C974" s="105" t="s">
        <v>1547</v>
      </c>
      <c r="D974" s="105">
        <v>2184</v>
      </c>
      <c r="E974" s="105">
        <v>1310.4000000000001</v>
      </c>
      <c r="F974" s="105">
        <v>0</v>
      </c>
    </row>
    <row r="975" spans="1:6" x14ac:dyDescent="0.25">
      <c r="A975" s="105">
        <f t="shared" si="15"/>
        <v>2101561</v>
      </c>
      <c r="B975" s="105" t="s">
        <v>9252</v>
      </c>
      <c r="C975" s="105" t="s">
        <v>9253</v>
      </c>
      <c r="D975" s="105">
        <v>3222.4</v>
      </c>
      <c r="E975" s="105">
        <v>1933.44</v>
      </c>
      <c r="F975" s="105">
        <v>0</v>
      </c>
    </row>
    <row r="976" spans="1:6" x14ac:dyDescent="0.25">
      <c r="A976" s="105">
        <f t="shared" si="15"/>
        <v>2101562</v>
      </c>
      <c r="B976" s="105" t="s">
        <v>9254</v>
      </c>
      <c r="C976" s="105" t="s">
        <v>9255</v>
      </c>
      <c r="D976" s="105">
        <v>4494.3999999999996</v>
      </c>
      <c r="E976" s="105">
        <v>2696.64</v>
      </c>
      <c r="F976" s="105">
        <v>0</v>
      </c>
    </row>
    <row r="977" spans="1:6" x14ac:dyDescent="0.25">
      <c r="A977" s="105">
        <f t="shared" si="15"/>
        <v>2101563</v>
      </c>
      <c r="B977" s="105" t="s">
        <v>9256</v>
      </c>
      <c r="C977" s="105" t="s">
        <v>9257</v>
      </c>
      <c r="D977" s="105">
        <v>3222.4</v>
      </c>
      <c r="E977" s="105">
        <v>1933.44</v>
      </c>
      <c r="F977" s="105">
        <v>90</v>
      </c>
    </row>
    <row r="978" spans="1:6" x14ac:dyDescent="0.25">
      <c r="A978" s="105">
        <f t="shared" si="15"/>
        <v>2101564</v>
      </c>
      <c r="B978" s="105" t="s">
        <v>9258</v>
      </c>
      <c r="C978" s="105" t="s">
        <v>9259</v>
      </c>
      <c r="D978" s="105">
        <v>0</v>
      </c>
      <c r="E978" s="105">
        <v>0</v>
      </c>
      <c r="F978" s="105">
        <v>0</v>
      </c>
    </row>
    <row r="979" spans="1:6" x14ac:dyDescent="0.25">
      <c r="A979" s="105">
        <f t="shared" si="15"/>
        <v>2101565</v>
      </c>
      <c r="B979" s="105" t="s">
        <v>9260</v>
      </c>
      <c r="C979" s="105" t="s">
        <v>9261</v>
      </c>
      <c r="D979" s="105">
        <v>2321.4</v>
      </c>
      <c r="E979" s="105">
        <v>1392.84</v>
      </c>
      <c r="F979" s="105">
        <v>2</v>
      </c>
    </row>
    <row r="980" spans="1:6" x14ac:dyDescent="0.25">
      <c r="A980" s="105">
        <f t="shared" si="15"/>
        <v>2101566</v>
      </c>
      <c r="B980" s="105" t="s">
        <v>9262</v>
      </c>
      <c r="C980" s="105" t="s">
        <v>9263</v>
      </c>
      <c r="D980" s="105">
        <v>2745.4</v>
      </c>
      <c r="E980" s="105">
        <v>1647.24</v>
      </c>
      <c r="F980" s="105">
        <v>0</v>
      </c>
    </row>
    <row r="981" spans="1:6" x14ac:dyDescent="0.25">
      <c r="A981" s="105">
        <f t="shared" si="15"/>
        <v>2101567</v>
      </c>
      <c r="B981" s="105" t="s">
        <v>9264</v>
      </c>
      <c r="C981" s="105" t="s">
        <v>9265</v>
      </c>
      <c r="D981" s="105">
        <v>2321.4</v>
      </c>
      <c r="E981" s="105">
        <v>1392.84</v>
      </c>
      <c r="F981" s="105">
        <v>0</v>
      </c>
    </row>
    <row r="982" spans="1:6" x14ac:dyDescent="0.25">
      <c r="A982" s="105">
        <f t="shared" si="15"/>
        <v>2101568</v>
      </c>
      <c r="B982" s="105" t="s">
        <v>9266</v>
      </c>
      <c r="C982" s="105" t="s">
        <v>9267</v>
      </c>
      <c r="D982" s="105">
        <v>2745.4</v>
      </c>
      <c r="E982" s="105">
        <v>1647.24</v>
      </c>
      <c r="F982" s="105">
        <v>0</v>
      </c>
    </row>
    <row r="983" spans="1:6" x14ac:dyDescent="0.25">
      <c r="A983" s="105">
        <f t="shared" si="15"/>
        <v>2101580</v>
      </c>
      <c r="B983" s="105" t="s">
        <v>1548</v>
      </c>
      <c r="C983" s="105" t="s">
        <v>1549</v>
      </c>
      <c r="D983" s="105">
        <v>5194</v>
      </c>
      <c r="E983" s="105">
        <v>3116.4</v>
      </c>
      <c r="F983" s="105">
        <v>5</v>
      </c>
    </row>
    <row r="984" spans="1:6" x14ac:dyDescent="0.25">
      <c r="A984" s="105">
        <f t="shared" si="15"/>
        <v>2101590</v>
      </c>
      <c r="B984" s="105" t="s">
        <v>1550</v>
      </c>
      <c r="C984" s="105" t="s">
        <v>1551</v>
      </c>
      <c r="D984" s="105">
        <v>5194</v>
      </c>
      <c r="E984" s="105">
        <v>3116.4</v>
      </c>
      <c r="F984" s="105">
        <v>0</v>
      </c>
    </row>
    <row r="985" spans="1:6" x14ac:dyDescent="0.25">
      <c r="A985" s="105">
        <f t="shared" si="15"/>
        <v>2101600</v>
      </c>
      <c r="B985" s="105" t="s">
        <v>1552</v>
      </c>
      <c r="C985" s="105" t="s">
        <v>1553</v>
      </c>
      <c r="D985" s="105">
        <v>495.6</v>
      </c>
      <c r="E985" s="105">
        <v>297.36</v>
      </c>
      <c r="F985" s="105">
        <v>0</v>
      </c>
    </row>
    <row r="986" spans="1:6" x14ac:dyDescent="0.25">
      <c r="A986" s="105">
        <f t="shared" si="15"/>
        <v>2101601</v>
      </c>
      <c r="B986" s="105" t="s">
        <v>1554</v>
      </c>
      <c r="C986" s="105" t="s">
        <v>1555</v>
      </c>
      <c r="D986" s="105">
        <v>763.49</v>
      </c>
      <c r="E986" s="105">
        <v>458.09</v>
      </c>
      <c r="F986" s="105">
        <v>0</v>
      </c>
    </row>
    <row r="987" spans="1:6" x14ac:dyDescent="0.25">
      <c r="A987" s="105">
        <f t="shared" si="15"/>
        <v>2101602</v>
      </c>
      <c r="B987" s="105" t="s">
        <v>1556</v>
      </c>
      <c r="C987" s="105" t="s">
        <v>1557</v>
      </c>
      <c r="D987" s="105">
        <v>0</v>
      </c>
      <c r="E987" s="105">
        <v>0</v>
      </c>
      <c r="F987" s="105">
        <v>0</v>
      </c>
    </row>
    <row r="988" spans="1:6" x14ac:dyDescent="0.25">
      <c r="A988" s="105">
        <f t="shared" si="15"/>
        <v>2101603</v>
      </c>
      <c r="B988" s="105" t="s">
        <v>1558</v>
      </c>
      <c r="C988" s="105" t="s">
        <v>1559</v>
      </c>
      <c r="D988" s="105">
        <v>0</v>
      </c>
      <c r="E988" s="105">
        <v>0</v>
      </c>
      <c r="F988" s="105">
        <v>0</v>
      </c>
    </row>
    <row r="989" spans="1:6" x14ac:dyDescent="0.25">
      <c r="A989" s="105">
        <f t="shared" si="15"/>
        <v>2101604</v>
      </c>
      <c r="B989" s="105" t="s">
        <v>1560</v>
      </c>
      <c r="C989" s="105" t="s">
        <v>1561</v>
      </c>
      <c r="D989" s="105">
        <v>859.16</v>
      </c>
      <c r="E989" s="105">
        <v>515.5</v>
      </c>
      <c r="F989" s="105">
        <v>0</v>
      </c>
    </row>
    <row r="990" spans="1:6" x14ac:dyDescent="0.25">
      <c r="A990" s="105">
        <f t="shared" si="15"/>
        <v>2101605</v>
      </c>
      <c r="B990" s="105" t="s">
        <v>1562</v>
      </c>
      <c r="C990" s="105" t="s">
        <v>1563</v>
      </c>
      <c r="D990" s="105">
        <v>763.49</v>
      </c>
      <c r="E990" s="105">
        <v>458.09</v>
      </c>
      <c r="F990" s="105">
        <v>0</v>
      </c>
    </row>
    <row r="991" spans="1:6" x14ac:dyDescent="0.25">
      <c r="A991" s="105">
        <f t="shared" si="15"/>
        <v>2101650</v>
      </c>
      <c r="B991" s="105" t="s">
        <v>1564</v>
      </c>
      <c r="C991" s="105" t="s">
        <v>9268</v>
      </c>
      <c r="D991" s="105">
        <v>3222.4</v>
      </c>
      <c r="E991" s="105">
        <v>1933.44</v>
      </c>
      <c r="F991" s="105">
        <v>0</v>
      </c>
    </row>
    <row r="992" spans="1:6" x14ac:dyDescent="0.25">
      <c r="A992" s="105">
        <f t="shared" si="15"/>
        <v>2101651</v>
      </c>
      <c r="B992" s="105" t="s">
        <v>1565</v>
      </c>
      <c r="C992" s="105" t="s">
        <v>9269</v>
      </c>
      <c r="D992" s="105">
        <v>3646.4</v>
      </c>
      <c r="E992" s="105">
        <v>2187.84</v>
      </c>
      <c r="F992" s="105">
        <v>0</v>
      </c>
    </row>
    <row r="993" spans="1:6" x14ac:dyDescent="0.25">
      <c r="A993" s="105">
        <f t="shared" si="15"/>
        <v>2101657</v>
      </c>
      <c r="B993" s="105" t="s">
        <v>1566</v>
      </c>
      <c r="C993" s="105" t="s">
        <v>1567</v>
      </c>
      <c r="D993" s="105">
        <v>3604</v>
      </c>
      <c r="E993" s="105">
        <v>2162.4</v>
      </c>
      <c r="F993" s="105">
        <v>0</v>
      </c>
    </row>
    <row r="994" spans="1:6" x14ac:dyDescent="0.25">
      <c r="A994" s="105">
        <f t="shared" si="15"/>
        <v>2101658</v>
      </c>
      <c r="B994" s="105" t="s">
        <v>1568</v>
      </c>
      <c r="C994" s="105" t="s">
        <v>1569</v>
      </c>
      <c r="D994" s="105">
        <v>4293</v>
      </c>
      <c r="E994" s="105">
        <v>2575.8000000000002</v>
      </c>
      <c r="F994" s="105">
        <v>0</v>
      </c>
    </row>
    <row r="995" spans="1:6" x14ac:dyDescent="0.25">
      <c r="A995" s="105">
        <f t="shared" si="15"/>
        <v>2101666</v>
      </c>
      <c r="B995" s="105" t="s">
        <v>1570</v>
      </c>
      <c r="C995" s="105" t="s">
        <v>1571</v>
      </c>
      <c r="D995" s="105">
        <v>0</v>
      </c>
      <c r="E995" s="105">
        <v>0</v>
      </c>
      <c r="F995" s="105">
        <v>2</v>
      </c>
    </row>
    <row r="996" spans="1:6" x14ac:dyDescent="0.25">
      <c r="A996" s="105">
        <f t="shared" si="15"/>
        <v>2101741</v>
      </c>
      <c r="B996" s="105" t="s">
        <v>1572</v>
      </c>
      <c r="C996" s="105" t="s">
        <v>1573</v>
      </c>
      <c r="D996" s="105">
        <v>4081</v>
      </c>
      <c r="E996" s="105">
        <v>2448.6</v>
      </c>
      <c r="F996" s="105">
        <v>1</v>
      </c>
    </row>
    <row r="997" spans="1:6" x14ac:dyDescent="0.25">
      <c r="A997" s="105">
        <f t="shared" si="15"/>
        <v>2101742</v>
      </c>
      <c r="B997" s="105" t="s">
        <v>1574</v>
      </c>
      <c r="C997" s="105" t="s">
        <v>1575</v>
      </c>
      <c r="D997" s="105">
        <v>3911.4</v>
      </c>
      <c r="E997" s="105">
        <v>2346.84</v>
      </c>
      <c r="F997" s="105">
        <v>0</v>
      </c>
    </row>
    <row r="998" spans="1:6" x14ac:dyDescent="0.25">
      <c r="A998" s="105" t="str">
        <f t="shared" si="15"/>
        <v/>
      </c>
      <c r="B998" s="105" t="s">
        <v>1576</v>
      </c>
      <c r="C998" s="105" t="s">
        <v>8</v>
      </c>
      <c r="D998" s="105">
        <v>0</v>
      </c>
      <c r="E998" s="105">
        <v>0</v>
      </c>
      <c r="F998" s="105">
        <v>0</v>
      </c>
    </row>
    <row r="999" spans="1:6" x14ac:dyDescent="0.25">
      <c r="A999" s="105">
        <f t="shared" si="15"/>
        <v>2101743</v>
      </c>
      <c r="B999" s="105" t="s">
        <v>1577</v>
      </c>
      <c r="C999" s="105" t="s">
        <v>1578</v>
      </c>
      <c r="D999" s="105">
        <v>3911.4</v>
      </c>
      <c r="E999" s="105">
        <v>2346.84</v>
      </c>
      <c r="F999" s="105">
        <v>0</v>
      </c>
    </row>
    <row r="1000" spans="1:6" x14ac:dyDescent="0.25">
      <c r="A1000" s="105" t="str">
        <f t="shared" si="15"/>
        <v/>
      </c>
      <c r="B1000" s="105" t="s">
        <v>1579</v>
      </c>
      <c r="C1000" s="105" t="s">
        <v>8</v>
      </c>
      <c r="D1000" s="105">
        <v>0</v>
      </c>
      <c r="E1000" s="105">
        <v>0</v>
      </c>
      <c r="F1000" s="105">
        <v>0</v>
      </c>
    </row>
    <row r="1001" spans="1:6" x14ac:dyDescent="0.25">
      <c r="A1001" s="105">
        <f t="shared" si="15"/>
        <v>2101744</v>
      </c>
      <c r="B1001" s="105" t="s">
        <v>1580</v>
      </c>
      <c r="C1001" s="105" t="s">
        <v>1581</v>
      </c>
      <c r="D1001" s="105">
        <v>4335.3999999999996</v>
      </c>
      <c r="E1001" s="105">
        <v>2601.2399999999998</v>
      </c>
      <c r="F1001" s="105">
        <v>0</v>
      </c>
    </row>
    <row r="1002" spans="1:6" x14ac:dyDescent="0.25">
      <c r="A1002" s="105">
        <f t="shared" si="15"/>
        <v>2101750</v>
      </c>
      <c r="B1002" s="105" t="s">
        <v>1582</v>
      </c>
      <c r="C1002" s="105" t="s">
        <v>1583</v>
      </c>
      <c r="D1002" s="105">
        <v>3392</v>
      </c>
      <c r="E1002" s="105">
        <v>2035.2</v>
      </c>
      <c r="F1002" s="105">
        <v>127</v>
      </c>
    </row>
    <row r="1003" spans="1:6" x14ac:dyDescent="0.25">
      <c r="A1003" s="105">
        <f t="shared" si="15"/>
        <v>2101751</v>
      </c>
      <c r="B1003" s="105" t="s">
        <v>1584</v>
      </c>
      <c r="C1003" s="105" t="s">
        <v>1585</v>
      </c>
      <c r="D1003" s="105">
        <v>3922</v>
      </c>
      <c r="E1003" s="105">
        <v>2353.1999999999998</v>
      </c>
      <c r="F1003" s="105">
        <v>142</v>
      </c>
    </row>
    <row r="1004" spans="1:6" x14ac:dyDescent="0.25">
      <c r="A1004" s="105">
        <f t="shared" si="15"/>
        <v>2101752</v>
      </c>
      <c r="B1004" s="105" t="s">
        <v>1586</v>
      </c>
      <c r="C1004" s="105" t="s">
        <v>1587</v>
      </c>
      <c r="D1004" s="105">
        <v>4346</v>
      </c>
      <c r="E1004" s="105">
        <v>2607.6</v>
      </c>
      <c r="F1004" s="105">
        <v>9</v>
      </c>
    </row>
    <row r="1005" spans="1:6" x14ac:dyDescent="0.25">
      <c r="A1005" s="105">
        <f t="shared" si="15"/>
        <v>2101799</v>
      </c>
      <c r="B1005" s="105" t="s">
        <v>1588</v>
      </c>
      <c r="C1005" s="105" t="s">
        <v>1589</v>
      </c>
      <c r="D1005" s="105">
        <v>3816</v>
      </c>
      <c r="E1005" s="105">
        <v>2289.6</v>
      </c>
      <c r="F1005" s="105">
        <v>27</v>
      </c>
    </row>
    <row r="1006" spans="1:6" x14ac:dyDescent="0.25">
      <c r="A1006" s="105">
        <f t="shared" si="15"/>
        <v>2101851</v>
      </c>
      <c r="B1006" s="105" t="s">
        <v>1590</v>
      </c>
      <c r="C1006" s="105" t="s">
        <v>1591</v>
      </c>
      <c r="D1006" s="105">
        <v>4717</v>
      </c>
      <c r="E1006" s="105">
        <v>2830.2</v>
      </c>
      <c r="F1006" s="105">
        <v>0</v>
      </c>
    </row>
    <row r="1007" spans="1:6" x14ac:dyDescent="0.25">
      <c r="A1007" s="105">
        <f t="shared" si="15"/>
        <v>2101877</v>
      </c>
      <c r="B1007" s="105" t="s">
        <v>1592</v>
      </c>
      <c r="C1007" s="105" t="s">
        <v>1593</v>
      </c>
      <c r="D1007" s="105">
        <v>3392</v>
      </c>
      <c r="E1007" s="105">
        <v>2035.2</v>
      </c>
      <c r="F1007" s="105">
        <v>43</v>
      </c>
    </row>
    <row r="1008" spans="1:6" x14ac:dyDescent="0.25">
      <c r="A1008" s="105">
        <f t="shared" si="15"/>
        <v>2101878</v>
      </c>
      <c r="B1008" s="105" t="s">
        <v>1594</v>
      </c>
      <c r="C1008" s="105" t="s">
        <v>1595</v>
      </c>
      <c r="D1008" s="105">
        <v>3816</v>
      </c>
      <c r="E1008" s="105">
        <v>2289.6</v>
      </c>
      <c r="F1008" s="105">
        <v>7</v>
      </c>
    </row>
    <row r="1009" spans="1:6" x14ac:dyDescent="0.25">
      <c r="A1009" s="105">
        <f t="shared" si="15"/>
        <v>2101879</v>
      </c>
      <c r="B1009" s="105" t="s">
        <v>1596</v>
      </c>
      <c r="C1009" s="105" t="s">
        <v>1597</v>
      </c>
      <c r="D1009" s="105">
        <v>3604</v>
      </c>
      <c r="E1009" s="105">
        <v>2162.4</v>
      </c>
      <c r="F1009" s="105">
        <v>0</v>
      </c>
    </row>
    <row r="1010" spans="1:6" x14ac:dyDescent="0.25">
      <c r="A1010" s="105" t="str">
        <f t="shared" si="15"/>
        <v/>
      </c>
      <c r="B1010" s="105" t="s">
        <v>1598</v>
      </c>
      <c r="C1010" s="105" t="s">
        <v>8</v>
      </c>
      <c r="D1010" s="105">
        <v>0</v>
      </c>
      <c r="E1010" s="105">
        <v>0</v>
      </c>
      <c r="F1010" s="105">
        <v>0</v>
      </c>
    </row>
    <row r="1011" spans="1:6" x14ac:dyDescent="0.25">
      <c r="A1011" s="105">
        <f t="shared" si="15"/>
        <v>2101880</v>
      </c>
      <c r="B1011" s="105" t="s">
        <v>1599</v>
      </c>
      <c r="C1011" s="105" t="s">
        <v>1600</v>
      </c>
      <c r="D1011" s="105">
        <v>4134</v>
      </c>
      <c r="E1011" s="105">
        <v>2480.4</v>
      </c>
      <c r="F1011" s="105">
        <v>0</v>
      </c>
    </row>
    <row r="1012" spans="1:6" x14ac:dyDescent="0.25">
      <c r="A1012" s="105">
        <f t="shared" si="15"/>
        <v>2101888</v>
      </c>
      <c r="B1012" s="105" t="s">
        <v>1601</v>
      </c>
      <c r="C1012" s="105" t="s">
        <v>1602</v>
      </c>
      <c r="D1012" s="105">
        <v>4293</v>
      </c>
      <c r="E1012" s="105">
        <v>2575.8000000000002</v>
      </c>
      <c r="F1012" s="105">
        <v>3</v>
      </c>
    </row>
    <row r="1013" spans="1:6" x14ac:dyDescent="0.25">
      <c r="A1013" s="105" t="str">
        <f t="shared" si="15"/>
        <v/>
      </c>
      <c r="B1013" s="105" t="s">
        <v>1603</v>
      </c>
      <c r="C1013" s="105" t="s">
        <v>8</v>
      </c>
      <c r="D1013" s="105">
        <v>0</v>
      </c>
      <c r="E1013" s="105">
        <v>0</v>
      </c>
      <c r="F1013" s="105">
        <v>0</v>
      </c>
    </row>
    <row r="1014" spans="1:6" x14ac:dyDescent="0.25">
      <c r="A1014" s="105">
        <f t="shared" si="15"/>
        <v>2101889</v>
      </c>
      <c r="B1014" s="105" t="s">
        <v>1604</v>
      </c>
      <c r="C1014" s="105" t="s">
        <v>1605</v>
      </c>
      <c r="D1014" s="105">
        <v>4293</v>
      </c>
      <c r="E1014" s="105">
        <v>2575.8000000000002</v>
      </c>
      <c r="F1014" s="105">
        <v>0</v>
      </c>
    </row>
    <row r="1015" spans="1:6" x14ac:dyDescent="0.25">
      <c r="A1015" s="105">
        <f t="shared" si="15"/>
        <v>2101900</v>
      </c>
      <c r="B1015" s="105" t="s">
        <v>1606</v>
      </c>
      <c r="C1015" s="105" t="s">
        <v>1607</v>
      </c>
      <c r="D1015" s="105">
        <v>3392</v>
      </c>
      <c r="E1015" s="105">
        <v>2035.2</v>
      </c>
      <c r="F1015" s="105">
        <v>166</v>
      </c>
    </row>
    <row r="1016" spans="1:6" x14ac:dyDescent="0.25">
      <c r="A1016" s="105">
        <f t="shared" si="15"/>
        <v>2101901</v>
      </c>
      <c r="B1016" s="105" t="s">
        <v>1608</v>
      </c>
      <c r="C1016" s="105" t="s">
        <v>1609</v>
      </c>
      <c r="D1016" s="105">
        <v>3922</v>
      </c>
      <c r="E1016" s="105">
        <v>2353.1999999999998</v>
      </c>
      <c r="F1016" s="105">
        <v>115</v>
      </c>
    </row>
    <row r="1017" spans="1:6" x14ac:dyDescent="0.25">
      <c r="A1017" s="105">
        <f t="shared" si="15"/>
        <v>2101902</v>
      </c>
      <c r="B1017" s="105" t="s">
        <v>1610</v>
      </c>
      <c r="C1017" s="105" t="s">
        <v>1611</v>
      </c>
      <c r="D1017" s="105">
        <v>4346</v>
      </c>
      <c r="E1017" s="105">
        <v>2607.6</v>
      </c>
      <c r="F1017" s="105">
        <v>32</v>
      </c>
    </row>
    <row r="1018" spans="1:6" x14ac:dyDescent="0.25">
      <c r="A1018" s="105">
        <f t="shared" si="15"/>
        <v>2101903</v>
      </c>
      <c r="B1018" s="105" t="s">
        <v>9270</v>
      </c>
      <c r="C1018" s="105" t="s">
        <v>9271</v>
      </c>
      <c r="D1018" s="105">
        <v>3392</v>
      </c>
      <c r="E1018" s="105">
        <v>2035.2</v>
      </c>
      <c r="F1018" s="105">
        <v>0</v>
      </c>
    </row>
    <row r="1019" spans="1:6" x14ac:dyDescent="0.25">
      <c r="A1019" s="105">
        <f t="shared" si="15"/>
        <v>2101904</v>
      </c>
      <c r="B1019" s="105" t="s">
        <v>9272</v>
      </c>
      <c r="C1019" s="105" t="s">
        <v>9273</v>
      </c>
      <c r="D1019" s="105">
        <v>3816</v>
      </c>
      <c r="E1019" s="105">
        <v>2289.6</v>
      </c>
      <c r="F1019" s="105">
        <v>0</v>
      </c>
    </row>
    <row r="1020" spans="1:6" x14ac:dyDescent="0.25">
      <c r="A1020" s="105">
        <f t="shared" si="15"/>
        <v>2101950</v>
      </c>
      <c r="B1020" s="105" t="s">
        <v>1612</v>
      </c>
      <c r="C1020" s="105" t="s">
        <v>1613</v>
      </c>
      <c r="D1020" s="105">
        <v>3551</v>
      </c>
      <c r="E1020" s="105">
        <v>2130.6</v>
      </c>
      <c r="F1020" s="105">
        <v>3</v>
      </c>
    </row>
    <row r="1021" spans="1:6" x14ac:dyDescent="0.25">
      <c r="A1021" s="105" t="str">
        <f t="shared" si="15"/>
        <v/>
      </c>
      <c r="B1021" s="105" t="s">
        <v>1614</v>
      </c>
      <c r="C1021" s="105" t="s">
        <v>8</v>
      </c>
      <c r="D1021" s="105">
        <v>0</v>
      </c>
      <c r="E1021" s="105">
        <v>0</v>
      </c>
      <c r="F1021" s="105">
        <v>0</v>
      </c>
    </row>
    <row r="1022" spans="1:6" x14ac:dyDescent="0.25">
      <c r="A1022" s="105">
        <f t="shared" si="15"/>
        <v>2101951</v>
      </c>
      <c r="B1022" s="105" t="s">
        <v>1615</v>
      </c>
      <c r="C1022" s="105" t="s">
        <v>1616</v>
      </c>
      <c r="D1022" s="105">
        <v>3975</v>
      </c>
      <c r="E1022" s="105">
        <v>2385</v>
      </c>
      <c r="F1022" s="105">
        <v>0</v>
      </c>
    </row>
    <row r="1023" spans="1:6" x14ac:dyDescent="0.25">
      <c r="A1023" s="105" t="str">
        <f t="shared" si="15"/>
        <v/>
      </c>
      <c r="B1023" s="105" t="s">
        <v>1617</v>
      </c>
      <c r="C1023" s="105" t="s">
        <v>8</v>
      </c>
      <c r="D1023" s="105">
        <v>0</v>
      </c>
      <c r="E1023" s="105">
        <v>0</v>
      </c>
      <c r="F1023" s="105">
        <v>0</v>
      </c>
    </row>
    <row r="1024" spans="1:6" x14ac:dyDescent="0.25">
      <c r="A1024" s="105">
        <f t="shared" si="15"/>
        <v>2101987</v>
      </c>
      <c r="B1024" s="105" t="s">
        <v>1618</v>
      </c>
      <c r="C1024" s="105" t="s">
        <v>1619</v>
      </c>
      <c r="D1024" s="105">
        <v>3392</v>
      </c>
      <c r="E1024" s="105">
        <v>2035.2</v>
      </c>
      <c r="F1024" s="105">
        <v>0</v>
      </c>
    </row>
    <row r="1025" spans="1:6" x14ac:dyDescent="0.25">
      <c r="A1025" s="105">
        <f t="shared" si="15"/>
        <v>2101999</v>
      </c>
      <c r="B1025" s="105" t="s">
        <v>1620</v>
      </c>
      <c r="C1025" s="105" t="s">
        <v>1621</v>
      </c>
      <c r="D1025" s="105">
        <v>3816</v>
      </c>
      <c r="E1025" s="105">
        <v>2289.6</v>
      </c>
      <c r="F1025" s="105">
        <v>31</v>
      </c>
    </row>
    <row r="1026" spans="1:6" x14ac:dyDescent="0.25">
      <c r="A1026" s="105" t="str">
        <f t="shared" si="15"/>
        <v/>
      </c>
      <c r="B1026" s="105" t="s">
        <v>1622</v>
      </c>
      <c r="C1026" s="105" t="s">
        <v>8</v>
      </c>
      <c r="D1026" s="105">
        <v>0</v>
      </c>
      <c r="E1026" s="105">
        <v>0</v>
      </c>
      <c r="F1026" s="105">
        <v>0</v>
      </c>
    </row>
    <row r="1027" spans="1:6" x14ac:dyDescent="0.25">
      <c r="A1027" s="105">
        <f t="shared" ref="A1027:A1090" si="16">IF(B1027&lt;&gt;"",IFERROR(B1027*1,""),"")</f>
        <v>2103005</v>
      </c>
      <c r="B1027" s="105" t="s">
        <v>1623</v>
      </c>
      <c r="C1027" s="105" t="s">
        <v>1624</v>
      </c>
      <c r="D1027" s="105">
        <v>3763</v>
      </c>
      <c r="E1027" s="105">
        <v>2257.8000000000002</v>
      </c>
      <c r="F1027" s="105">
        <v>0</v>
      </c>
    </row>
    <row r="1028" spans="1:6" x14ac:dyDescent="0.25">
      <c r="A1028" s="105">
        <f t="shared" si="16"/>
        <v>2103010</v>
      </c>
      <c r="B1028" s="105" t="s">
        <v>1625</v>
      </c>
      <c r="C1028" s="105" t="s">
        <v>1626</v>
      </c>
      <c r="D1028" s="105">
        <v>4134</v>
      </c>
      <c r="E1028" s="105">
        <v>2480.4</v>
      </c>
      <c r="F1028" s="105">
        <v>0</v>
      </c>
    </row>
    <row r="1029" spans="1:6" x14ac:dyDescent="0.25">
      <c r="A1029" s="105">
        <f t="shared" si="16"/>
        <v>2103011</v>
      </c>
      <c r="B1029" s="105" t="s">
        <v>1627</v>
      </c>
      <c r="C1029" s="105" t="s">
        <v>1628</v>
      </c>
      <c r="D1029" s="105">
        <v>4293</v>
      </c>
      <c r="E1029" s="105">
        <v>2575.8000000000002</v>
      </c>
      <c r="F1029" s="105">
        <v>0</v>
      </c>
    </row>
    <row r="1030" spans="1:6" x14ac:dyDescent="0.25">
      <c r="A1030" s="105" t="str">
        <f t="shared" si="16"/>
        <v/>
      </c>
      <c r="B1030" s="105" t="s">
        <v>1629</v>
      </c>
      <c r="C1030" s="105" t="s">
        <v>8</v>
      </c>
      <c r="D1030" s="105">
        <v>0</v>
      </c>
      <c r="E1030" s="105">
        <v>0</v>
      </c>
      <c r="F1030" s="105">
        <v>0</v>
      </c>
    </row>
    <row r="1031" spans="1:6" x14ac:dyDescent="0.25">
      <c r="A1031" s="105">
        <f t="shared" si="16"/>
        <v>2103019</v>
      </c>
      <c r="B1031" s="105" t="s">
        <v>1630</v>
      </c>
      <c r="C1031" s="105" t="s">
        <v>1631</v>
      </c>
      <c r="D1031" s="105">
        <v>3604</v>
      </c>
      <c r="E1031" s="105">
        <v>2162.4</v>
      </c>
      <c r="F1031" s="105">
        <v>0</v>
      </c>
    </row>
    <row r="1032" spans="1:6" x14ac:dyDescent="0.25">
      <c r="A1032" s="105">
        <f t="shared" si="16"/>
        <v>2103050</v>
      </c>
      <c r="B1032" s="105" t="s">
        <v>1632</v>
      </c>
      <c r="C1032" s="105" t="s">
        <v>1633</v>
      </c>
      <c r="D1032" s="105">
        <v>3381.4</v>
      </c>
      <c r="E1032" s="105">
        <v>2028.84</v>
      </c>
      <c r="F1032" s="105">
        <v>286</v>
      </c>
    </row>
    <row r="1033" spans="1:6" x14ac:dyDescent="0.25">
      <c r="A1033" s="105">
        <f t="shared" si="16"/>
        <v>2103067</v>
      </c>
      <c r="B1033" s="105" t="s">
        <v>1634</v>
      </c>
      <c r="C1033" s="105" t="s">
        <v>1635</v>
      </c>
      <c r="D1033" s="105">
        <v>4293</v>
      </c>
      <c r="E1033" s="105">
        <v>2575.8000000000002</v>
      </c>
      <c r="F1033" s="105">
        <v>8</v>
      </c>
    </row>
    <row r="1034" spans="1:6" x14ac:dyDescent="0.25">
      <c r="A1034" s="105">
        <f t="shared" si="16"/>
        <v>2103068</v>
      </c>
      <c r="B1034" s="105" t="s">
        <v>1636</v>
      </c>
      <c r="C1034" s="105" t="s">
        <v>1637</v>
      </c>
      <c r="D1034" s="105">
        <v>3763</v>
      </c>
      <c r="E1034" s="105">
        <v>2257.8000000000002</v>
      </c>
      <c r="F1034" s="105">
        <v>163</v>
      </c>
    </row>
    <row r="1035" spans="1:6" x14ac:dyDescent="0.25">
      <c r="A1035" s="105" t="str">
        <f t="shared" si="16"/>
        <v/>
      </c>
      <c r="B1035" s="105" t="s">
        <v>1638</v>
      </c>
      <c r="C1035" s="105" t="s">
        <v>8</v>
      </c>
      <c r="D1035" s="105">
        <v>0</v>
      </c>
      <c r="E1035" s="105">
        <v>0</v>
      </c>
      <c r="F1035" s="105">
        <v>0</v>
      </c>
    </row>
    <row r="1036" spans="1:6" x14ac:dyDescent="0.25">
      <c r="A1036" s="105">
        <f t="shared" si="16"/>
        <v>210306807</v>
      </c>
      <c r="B1036" s="105" t="s">
        <v>1639</v>
      </c>
      <c r="C1036" s="105" t="s">
        <v>1640</v>
      </c>
      <c r="D1036" s="105">
        <v>0</v>
      </c>
      <c r="E1036" s="105">
        <v>0</v>
      </c>
      <c r="F1036" s="105">
        <v>0</v>
      </c>
    </row>
    <row r="1037" spans="1:6" x14ac:dyDescent="0.25">
      <c r="A1037" s="105">
        <f t="shared" si="16"/>
        <v>2103069</v>
      </c>
      <c r="B1037" s="105" t="s">
        <v>1641</v>
      </c>
      <c r="C1037" s="105" t="s">
        <v>1642</v>
      </c>
      <c r="D1037" s="105">
        <v>3763</v>
      </c>
      <c r="E1037" s="105">
        <v>2257.8000000000002</v>
      </c>
      <c r="F1037" s="105">
        <v>181</v>
      </c>
    </row>
    <row r="1038" spans="1:6" x14ac:dyDescent="0.25">
      <c r="A1038" s="105" t="str">
        <f t="shared" si="16"/>
        <v/>
      </c>
      <c r="B1038" s="105" t="s">
        <v>1643</v>
      </c>
      <c r="C1038" s="105" t="s">
        <v>8</v>
      </c>
      <c r="D1038" s="105">
        <v>0</v>
      </c>
      <c r="E1038" s="105">
        <v>0</v>
      </c>
      <c r="F1038" s="105">
        <v>0</v>
      </c>
    </row>
    <row r="1039" spans="1:6" x14ac:dyDescent="0.25">
      <c r="A1039" s="105">
        <f t="shared" si="16"/>
        <v>2103070</v>
      </c>
      <c r="B1039" s="105" t="s">
        <v>1644</v>
      </c>
      <c r="C1039" s="105" t="s">
        <v>1645</v>
      </c>
      <c r="D1039" s="105">
        <v>0</v>
      </c>
      <c r="E1039" s="105">
        <v>0</v>
      </c>
      <c r="F1039" s="105">
        <v>0</v>
      </c>
    </row>
    <row r="1040" spans="1:6" x14ac:dyDescent="0.25">
      <c r="A1040" s="105" t="str">
        <f t="shared" si="16"/>
        <v/>
      </c>
      <c r="B1040" s="105" t="s">
        <v>1646</v>
      </c>
      <c r="C1040" s="105" t="s">
        <v>8</v>
      </c>
      <c r="D1040" s="105">
        <v>0</v>
      </c>
      <c r="E1040" s="105">
        <v>0</v>
      </c>
      <c r="F1040" s="105">
        <v>0</v>
      </c>
    </row>
    <row r="1041" spans="1:6" x14ac:dyDescent="0.25">
      <c r="A1041" s="105">
        <f t="shared" si="16"/>
        <v>2103071</v>
      </c>
      <c r="B1041" s="105" t="s">
        <v>1647</v>
      </c>
      <c r="C1041" s="105" t="s">
        <v>1648</v>
      </c>
      <c r="D1041" s="105">
        <v>0</v>
      </c>
      <c r="E1041" s="105">
        <v>0</v>
      </c>
      <c r="F1041" s="105">
        <v>0</v>
      </c>
    </row>
    <row r="1042" spans="1:6" x14ac:dyDescent="0.25">
      <c r="A1042" s="105" t="str">
        <f t="shared" si="16"/>
        <v/>
      </c>
      <c r="B1042" s="105" t="s">
        <v>1649</v>
      </c>
      <c r="C1042" s="105" t="s">
        <v>8</v>
      </c>
      <c r="D1042" s="105">
        <v>0</v>
      </c>
      <c r="E1042" s="105">
        <v>0</v>
      </c>
      <c r="F1042" s="105">
        <v>0</v>
      </c>
    </row>
    <row r="1043" spans="1:6" x14ac:dyDescent="0.25">
      <c r="A1043" s="105">
        <f t="shared" si="16"/>
        <v>2103072</v>
      </c>
      <c r="B1043" s="105" t="s">
        <v>1650</v>
      </c>
      <c r="C1043" s="105" t="s">
        <v>1651</v>
      </c>
      <c r="D1043" s="105">
        <v>0</v>
      </c>
      <c r="E1043" s="105">
        <v>0</v>
      </c>
      <c r="F1043" s="105">
        <v>0</v>
      </c>
    </row>
    <row r="1044" spans="1:6" x14ac:dyDescent="0.25">
      <c r="A1044" s="105" t="str">
        <f t="shared" si="16"/>
        <v/>
      </c>
      <c r="B1044" s="105" t="s">
        <v>1652</v>
      </c>
      <c r="C1044" s="105" t="s">
        <v>8</v>
      </c>
      <c r="D1044" s="105">
        <v>0</v>
      </c>
      <c r="E1044" s="105">
        <v>0</v>
      </c>
      <c r="F1044" s="105">
        <v>0</v>
      </c>
    </row>
    <row r="1045" spans="1:6" x14ac:dyDescent="0.25">
      <c r="A1045" s="105">
        <f t="shared" si="16"/>
        <v>2103073</v>
      </c>
      <c r="B1045" s="105" t="s">
        <v>1653</v>
      </c>
      <c r="C1045" s="105" t="s">
        <v>1654</v>
      </c>
      <c r="D1045" s="105">
        <v>0</v>
      </c>
      <c r="E1045" s="105">
        <v>0</v>
      </c>
      <c r="F1045" s="105">
        <v>0</v>
      </c>
    </row>
    <row r="1046" spans="1:6" x14ac:dyDescent="0.25">
      <c r="A1046" s="105">
        <f t="shared" si="16"/>
        <v>2103090</v>
      </c>
      <c r="B1046" s="105" t="s">
        <v>1655</v>
      </c>
      <c r="C1046" s="105" t="s">
        <v>1656</v>
      </c>
      <c r="D1046" s="105">
        <v>3381.4</v>
      </c>
      <c r="E1046" s="105">
        <v>2028.84</v>
      </c>
      <c r="F1046" s="105">
        <v>230</v>
      </c>
    </row>
    <row r="1047" spans="1:6" x14ac:dyDescent="0.25">
      <c r="A1047" s="105" t="str">
        <f t="shared" si="16"/>
        <v/>
      </c>
      <c r="B1047" s="105" t="s">
        <v>1657</v>
      </c>
      <c r="C1047" s="105" t="s">
        <v>8</v>
      </c>
      <c r="D1047" s="105">
        <v>0</v>
      </c>
      <c r="E1047" s="105">
        <v>0</v>
      </c>
      <c r="F1047" s="105">
        <v>0</v>
      </c>
    </row>
    <row r="1048" spans="1:6" x14ac:dyDescent="0.25">
      <c r="A1048" s="105">
        <f t="shared" si="16"/>
        <v>2103135</v>
      </c>
      <c r="B1048" s="105" t="s">
        <v>1658</v>
      </c>
      <c r="C1048" s="105" t="s">
        <v>1659</v>
      </c>
      <c r="D1048" s="105">
        <v>3763</v>
      </c>
      <c r="E1048" s="105">
        <v>2257.8000000000002</v>
      </c>
      <c r="F1048" s="105">
        <v>0</v>
      </c>
    </row>
    <row r="1049" spans="1:6" x14ac:dyDescent="0.25">
      <c r="A1049" s="105">
        <f t="shared" si="16"/>
        <v>2103199</v>
      </c>
      <c r="B1049" s="105" t="s">
        <v>1660</v>
      </c>
      <c r="C1049" s="105" t="s">
        <v>1661</v>
      </c>
      <c r="D1049" s="105">
        <v>3763</v>
      </c>
      <c r="E1049" s="105">
        <v>2257.8000000000002</v>
      </c>
      <c r="F1049" s="105">
        <v>44</v>
      </c>
    </row>
    <row r="1050" spans="1:6" x14ac:dyDescent="0.25">
      <c r="A1050" s="105">
        <f t="shared" si="16"/>
        <v>2103200</v>
      </c>
      <c r="B1050" s="105" t="s">
        <v>1662</v>
      </c>
      <c r="C1050" s="105" t="s">
        <v>1663</v>
      </c>
      <c r="D1050" s="105">
        <v>0</v>
      </c>
      <c r="E1050" s="105">
        <v>0</v>
      </c>
      <c r="F1050" s="105">
        <v>2</v>
      </c>
    </row>
    <row r="1051" spans="1:6" x14ac:dyDescent="0.25">
      <c r="A1051" s="105">
        <f t="shared" si="16"/>
        <v>2103209</v>
      </c>
      <c r="B1051" s="105" t="s">
        <v>1664</v>
      </c>
      <c r="C1051" s="105" t="s">
        <v>1665</v>
      </c>
      <c r="D1051" s="105">
        <v>4070.4</v>
      </c>
      <c r="E1051" s="105">
        <v>2442.2399999999998</v>
      </c>
      <c r="F1051" s="105">
        <v>60</v>
      </c>
    </row>
    <row r="1052" spans="1:6" x14ac:dyDescent="0.25">
      <c r="A1052" s="105">
        <f t="shared" si="16"/>
        <v>2103217</v>
      </c>
      <c r="B1052" s="105" t="s">
        <v>1666</v>
      </c>
      <c r="C1052" s="105" t="s">
        <v>1667</v>
      </c>
      <c r="D1052" s="105">
        <v>4547.3999999999996</v>
      </c>
      <c r="E1052" s="105">
        <v>2728.44</v>
      </c>
      <c r="F1052" s="105">
        <v>74</v>
      </c>
    </row>
    <row r="1053" spans="1:6" x14ac:dyDescent="0.25">
      <c r="A1053" s="105">
        <f t="shared" si="16"/>
        <v>2103218</v>
      </c>
      <c r="B1053" s="105" t="s">
        <v>1668</v>
      </c>
      <c r="C1053" s="105" t="s">
        <v>1669</v>
      </c>
      <c r="D1053" s="105">
        <v>4770</v>
      </c>
      <c r="E1053" s="105">
        <v>2862</v>
      </c>
      <c r="F1053" s="105">
        <v>6</v>
      </c>
    </row>
    <row r="1054" spans="1:6" x14ac:dyDescent="0.25">
      <c r="A1054" s="105">
        <f t="shared" si="16"/>
        <v>2103219</v>
      </c>
      <c r="B1054" s="105" t="s">
        <v>1670</v>
      </c>
      <c r="C1054" s="105" t="s">
        <v>1671</v>
      </c>
      <c r="D1054" s="105">
        <v>4547.3999999999996</v>
      </c>
      <c r="E1054" s="105">
        <v>2728.44</v>
      </c>
      <c r="F1054" s="105">
        <v>7</v>
      </c>
    </row>
    <row r="1055" spans="1:6" x14ac:dyDescent="0.25">
      <c r="A1055" s="105">
        <f t="shared" si="16"/>
        <v>2103220</v>
      </c>
      <c r="B1055" s="105" t="s">
        <v>9274</v>
      </c>
      <c r="C1055" s="105" t="s">
        <v>9275</v>
      </c>
      <c r="D1055" s="105">
        <v>0</v>
      </c>
      <c r="E1055" s="105">
        <v>0</v>
      </c>
      <c r="F1055" s="105">
        <v>2</v>
      </c>
    </row>
    <row r="1056" spans="1:6" x14ac:dyDescent="0.25">
      <c r="A1056" s="105">
        <f t="shared" si="16"/>
        <v>2103221</v>
      </c>
      <c r="B1056" s="105" t="s">
        <v>9276</v>
      </c>
      <c r="C1056" s="105" t="s">
        <v>9277</v>
      </c>
      <c r="D1056" s="105">
        <v>0</v>
      </c>
      <c r="E1056" s="105">
        <v>0</v>
      </c>
      <c r="F1056" s="105">
        <v>0</v>
      </c>
    </row>
    <row r="1057" spans="1:6" x14ac:dyDescent="0.25">
      <c r="A1057" s="105">
        <f t="shared" si="16"/>
        <v>2103495</v>
      </c>
      <c r="B1057" s="105" t="s">
        <v>1672</v>
      </c>
      <c r="C1057" s="105" t="s">
        <v>1673</v>
      </c>
      <c r="D1057" s="105">
        <v>4547.3999999999996</v>
      </c>
      <c r="E1057" s="105">
        <v>2728.44</v>
      </c>
      <c r="F1057" s="105">
        <v>41</v>
      </c>
    </row>
    <row r="1058" spans="1:6" x14ac:dyDescent="0.25">
      <c r="A1058" s="105">
        <f t="shared" si="16"/>
        <v>2103500</v>
      </c>
      <c r="B1058" s="105" t="s">
        <v>1674</v>
      </c>
      <c r="C1058" s="105" t="s">
        <v>1675</v>
      </c>
      <c r="D1058" s="105">
        <v>4134</v>
      </c>
      <c r="E1058" s="105">
        <v>2480.4</v>
      </c>
      <c r="F1058" s="105">
        <v>6</v>
      </c>
    </row>
    <row r="1059" spans="1:6" x14ac:dyDescent="0.25">
      <c r="A1059" s="105" t="str">
        <f t="shared" si="16"/>
        <v/>
      </c>
      <c r="B1059" s="105" t="s">
        <v>1676</v>
      </c>
      <c r="C1059" s="105" t="s">
        <v>8</v>
      </c>
      <c r="D1059" s="105">
        <v>0</v>
      </c>
      <c r="E1059" s="105">
        <v>0</v>
      </c>
      <c r="F1059" s="105">
        <v>0</v>
      </c>
    </row>
    <row r="1060" spans="1:6" x14ac:dyDescent="0.25">
      <c r="A1060" s="105">
        <f t="shared" si="16"/>
        <v>2103785</v>
      </c>
      <c r="B1060" s="105" t="s">
        <v>1677</v>
      </c>
      <c r="C1060" s="105" t="s">
        <v>1678</v>
      </c>
      <c r="D1060" s="105">
        <v>0</v>
      </c>
      <c r="E1060" s="105">
        <v>0</v>
      </c>
      <c r="F1060" s="105">
        <v>0</v>
      </c>
    </row>
    <row r="1061" spans="1:6" x14ac:dyDescent="0.25">
      <c r="A1061" s="105">
        <f t="shared" si="16"/>
        <v>2103888</v>
      </c>
      <c r="B1061" s="105" t="s">
        <v>1679</v>
      </c>
      <c r="C1061" s="105" t="s">
        <v>1680</v>
      </c>
      <c r="D1061" s="105">
        <v>2875.28</v>
      </c>
      <c r="E1061" s="105">
        <v>1725.17</v>
      </c>
      <c r="F1061" s="105">
        <v>0</v>
      </c>
    </row>
    <row r="1062" spans="1:6" x14ac:dyDescent="0.25">
      <c r="A1062" s="105" t="str">
        <f t="shared" si="16"/>
        <v/>
      </c>
      <c r="B1062" s="105" t="s">
        <v>1681</v>
      </c>
      <c r="C1062" s="105" t="s">
        <v>8</v>
      </c>
      <c r="D1062" s="105">
        <v>0</v>
      </c>
      <c r="E1062" s="105">
        <v>0</v>
      </c>
      <c r="F1062" s="105">
        <v>0</v>
      </c>
    </row>
    <row r="1063" spans="1:6" x14ac:dyDescent="0.25">
      <c r="A1063" s="105">
        <f t="shared" si="16"/>
        <v>210388808</v>
      </c>
      <c r="B1063" s="105" t="s">
        <v>1682</v>
      </c>
      <c r="C1063" s="105" t="s">
        <v>1683</v>
      </c>
      <c r="D1063" s="105">
        <v>2778.05</v>
      </c>
      <c r="E1063" s="105">
        <v>1666.83</v>
      </c>
      <c r="F1063" s="105">
        <v>0</v>
      </c>
    </row>
    <row r="1064" spans="1:6" x14ac:dyDescent="0.25">
      <c r="A1064" s="105" t="str">
        <f t="shared" si="16"/>
        <v/>
      </c>
      <c r="B1064" s="105" t="s">
        <v>1684</v>
      </c>
      <c r="C1064" s="105" t="s">
        <v>8</v>
      </c>
      <c r="D1064" s="105">
        <v>0</v>
      </c>
      <c r="E1064" s="105">
        <v>0</v>
      </c>
      <c r="F1064" s="105">
        <v>0</v>
      </c>
    </row>
    <row r="1065" spans="1:6" x14ac:dyDescent="0.25">
      <c r="A1065" s="105">
        <f t="shared" si="16"/>
        <v>2105007</v>
      </c>
      <c r="B1065" s="105" t="s">
        <v>1685</v>
      </c>
      <c r="C1065" s="105" t="s">
        <v>1686</v>
      </c>
      <c r="D1065" s="105">
        <v>4335.3999999999996</v>
      </c>
      <c r="E1065" s="105">
        <v>2601.2399999999998</v>
      </c>
      <c r="F1065" s="105">
        <v>0</v>
      </c>
    </row>
    <row r="1066" spans="1:6" x14ac:dyDescent="0.25">
      <c r="A1066" s="105">
        <f t="shared" si="16"/>
        <v>2105008</v>
      </c>
      <c r="B1066" s="105" t="s">
        <v>1687</v>
      </c>
      <c r="C1066" s="105" t="s">
        <v>1688</v>
      </c>
      <c r="D1066" s="105">
        <v>3911.4</v>
      </c>
      <c r="E1066" s="105">
        <v>2346.84</v>
      </c>
      <c r="F1066" s="105">
        <v>45</v>
      </c>
    </row>
    <row r="1067" spans="1:6" x14ac:dyDescent="0.25">
      <c r="A1067" s="105" t="str">
        <f t="shared" si="16"/>
        <v/>
      </c>
      <c r="B1067" s="105" t="s">
        <v>1689</v>
      </c>
      <c r="C1067" s="105" t="s">
        <v>8</v>
      </c>
      <c r="D1067" s="105">
        <v>0</v>
      </c>
      <c r="E1067" s="105">
        <v>0</v>
      </c>
      <c r="F1067" s="105">
        <v>0</v>
      </c>
    </row>
    <row r="1068" spans="1:6" x14ac:dyDescent="0.25">
      <c r="A1068" s="105">
        <f t="shared" si="16"/>
        <v>2105009</v>
      </c>
      <c r="B1068" s="105" t="s">
        <v>1690</v>
      </c>
      <c r="C1068" s="105" t="s">
        <v>1691</v>
      </c>
      <c r="D1068" s="105">
        <v>4335.3999999999996</v>
      </c>
      <c r="E1068" s="105">
        <v>2601.2399999999998</v>
      </c>
      <c r="F1068" s="105">
        <v>0</v>
      </c>
    </row>
    <row r="1069" spans="1:6" x14ac:dyDescent="0.25">
      <c r="A1069" s="105">
        <f t="shared" si="16"/>
        <v>2105352</v>
      </c>
      <c r="B1069" s="105" t="s">
        <v>1692</v>
      </c>
      <c r="C1069" s="105" t="s">
        <v>1693</v>
      </c>
      <c r="D1069" s="105">
        <v>3911.4</v>
      </c>
      <c r="E1069" s="105">
        <v>2346.84</v>
      </c>
      <c r="F1069" s="105">
        <v>3</v>
      </c>
    </row>
    <row r="1070" spans="1:6" x14ac:dyDescent="0.25">
      <c r="A1070" s="105" t="str">
        <f t="shared" si="16"/>
        <v/>
      </c>
      <c r="B1070" s="105" t="s">
        <v>1694</v>
      </c>
      <c r="C1070" s="105" t="s">
        <v>8</v>
      </c>
      <c r="D1070" s="105">
        <v>0</v>
      </c>
      <c r="E1070" s="105">
        <v>0</v>
      </c>
      <c r="F1070" s="105">
        <v>0</v>
      </c>
    </row>
    <row r="1071" spans="1:6" x14ac:dyDescent="0.25">
      <c r="A1071" s="105">
        <f t="shared" si="16"/>
        <v>2105353</v>
      </c>
      <c r="B1071" s="105" t="s">
        <v>1695</v>
      </c>
      <c r="C1071" s="105" t="s">
        <v>1696</v>
      </c>
      <c r="D1071" s="105">
        <v>4335.3999999999996</v>
      </c>
      <c r="E1071" s="105">
        <v>2601.2399999999998</v>
      </c>
      <c r="F1071" s="105">
        <v>0</v>
      </c>
    </row>
    <row r="1072" spans="1:6" x14ac:dyDescent="0.25">
      <c r="A1072" s="105">
        <f t="shared" si="16"/>
        <v>2105552</v>
      </c>
      <c r="B1072" s="105" t="s">
        <v>1697</v>
      </c>
      <c r="C1072" s="105" t="s">
        <v>1698</v>
      </c>
      <c r="D1072" s="105">
        <v>3911.4</v>
      </c>
      <c r="E1072" s="105">
        <v>2346.84</v>
      </c>
      <c r="F1072" s="105">
        <v>11</v>
      </c>
    </row>
    <row r="1073" spans="1:6" x14ac:dyDescent="0.25">
      <c r="A1073" s="105" t="str">
        <f t="shared" si="16"/>
        <v/>
      </c>
      <c r="B1073" s="105" t="s">
        <v>1699</v>
      </c>
      <c r="C1073" s="105" t="s">
        <v>8</v>
      </c>
      <c r="D1073" s="105">
        <v>0</v>
      </c>
      <c r="E1073" s="105">
        <v>0</v>
      </c>
      <c r="F1073" s="105">
        <v>0</v>
      </c>
    </row>
    <row r="1074" spans="1:6" x14ac:dyDescent="0.25">
      <c r="A1074" s="105">
        <f t="shared" si="16"/>
        <v>2105553</v>
      </c>
      <c r="B1074" s="105" t="s">
        <v>1700</v>
      </c>
      <c r="C1074" s="105" t="s">
        <v>1701</v>
      </c>
      <c r="D1074" s="105">
        <v>4335.3999999999996</v>
      </c>
      <c r="E1074" s="105">
        <v>2601.2399999999998</v>
      </c>
      <c r="F1074" s="105">
        <v>0</v>
      </c>
    </row>
    <row r="1075" spans="1:6" x14ac:dyDescent="0.25">
      <c r="A1075" s="105">
        <f t="shared" si="16"/>
        <v>2105999</v>
      </c>
      <c r="B1075" s="105" t="s">
        <v>1702</v>
      </c>
      <c r="C1075" s="105" t="s">
        <v>1703</v>
      </c>
      <c r="D1075" s="105">
        <v>0</v>
      </c>
      <c r="E1075" s="105">
        <v>0</v>
      </c>
      <c r="F1075" s="105">
        <v>2</v>
      </c>
    </row>
    <row r="1076" spans="1:6" x14ac:dyDescent="0.25">
      <c r="A1076" s="105">
        <f t="shared" si="16"/>
        <v>220090</v>
      </c>
      <c r="B1076" s="105" t="s">
        <v>1704</v>
      </c>
      <c r="C1076" s="105" t="s">
        <v>1705</v>
      </c>
      <c r="D1076" s="105">
        <v>2100</v>
      </c>
      <c r="E1076" s="105">
        <v>1260</v>
      </c>
      <c r="F1076" s="105">
        <v>1</v>
      </c>
    </row>
    <row r="1077" spans="1:6" x14ac:dyDescent="0.25">
      <c r="A1077" s="105" t="str">
        <f t="shared" si="16"/>
        <v/>
      </c>
      <c r="B1077" s="105" t="s">
        <v>1706</v>
      </c>
      <c r="C1077" s="105" t="s">
        <v>8</v>
      </c>
      <c r="D1077" s="105">
        <v>0</v>
      </c>
      <c r="E1077" s="105">
        <v>0</v>
      </c>
      <c r="F1077" s="105">
        <v>0</v>
      </c>
    </row>
    <row r="1078" spans="1:6" x14ac:dyDescent="0.25">
      <c r="A1078" s="105">
        <f t="shared" si="16"/>
        <v>2203072</v>
      </c>
      <c r="B1078" s="105" t="s">
        <v>1707</v>
      </c>
      <c r="C1078" s="105" t="s">
        <v>1708</v>
      </c>
      <c r="D1078" s="105">
        <v>0</v>
      </c>
      <c r="E1078" s="105">
        <v>0</v>
      </c>
      <c r="F1078" s="105">
        <v>0</v>
      </c>
    </row>
    <row r="1079" spans="1:6" x14ac:dyDescent="0.25">
      <c r="A1079" s="105">
        <f t="shared" si="16"/>
        <v>222</v>
      </c>
      <c r="B1079" s="105" t="s">
        <v>1709</v>
      </c>
      <c r="C1079" s="105" t="s">
        <v>1710</v>
      </c>
      <c r="D1079" s="105">
        <v>0</v>
      </c>
      <c r="E1079" s="105">
        <v>0</v>
      </c>
      <c r="F1079" s="105">
        <v>0</v>
      </c>
    </row>
    <row r="1080" spans="1:6" x14ac:dyDescent="0.25">
      <c r="A1080" s="105">
        <f t="shared" si="16"/>
        <v>2220000</v>
      </c>
      <c r="B1080" s="105" t="s">
        <v>1711</v>
      </c>
      <c r="C1080" s="105" t="s">
        <v>1712</v>
      </c>
      <c r="D1080" s="105">
        <v>2904.4</v>
      </c>
      <c r="E1080" s="105">
        <v>1742.64</v>
      </c>
      <c r="F1080" s="105">
        <v>0</v>
      </c>
    </row>
    <row r="1081" spans="1:6" x14ac:dyDescent="0.25">
      <c r="A1081" s="105">
        <f t="shared" si="16"/>
        <v>2220004</v>
      </c>
      <c r="B1081" s="105" t="s">
        <v>1713</v>
      </c>
      <c r="C1081" s="105" t="s">
        <v>1714</v>
      </c>
      <c r="D1081" s="105">
        <v>2745.4</v>
      </c>
      <c r="E1081" s="105">
        <v>1647.24</v>
      </c>
      <c r="F1081" s="105">
        <v>247</v>
      </c>
    </row>
    <row r="1082" spans="1:6" x14ac:dyDescent="0.25">
      <c r="A1082" s="105">
        <f t="shared" si="16"/>
        <v>2220005</v>
      </c>
      <c r="B1082" s="105" t="s">
        <v>1715</v>
      </c>
      <c r="C1082" s="105" t="s">
        <v>1716</v>
      </c>
      <c r="D1082" s="105">
        <v>0</v>
      </c>
      <c r="E1082" s="105">
        <v>0</v>
      </c>
      <c r="F1082" s="105">
        <v>0</v>
      </c>
    </row>
    <row r="1083" spans="1:6" x14ac:dyDescent="0.25">
      <c r="A1083" s="105">
        <f t="shared" si="16"/>
        <v>2220024</v>
      </c>
      <c r="B1083" s="105" t="s">
        <v>1717</v>
      </c>
      <c r="C1083" s="105" t="s">
        <v>132</v>
      </c>
      <c r="D1083" s="105">
        <v>0</v>
      </c>
      <c r="E1083" s="105">
        <v>0</v>
      </c>
      <c r="F1083" s="105">
        <v>0</v>
      </c>
    </row>
    <row r="1084" spans="1:6" x14ac:dyDescent="0.25">
      <c r="A1084" s="105">
        <f t="shared" si="16"/>
        <v>2220027</v>
      </c>
      <c r="B1084" s="105" t="s">
        <v>1718</v>
      </c>
      <c r="C1084" s="105" t="s">
        <v>1719</v>
      </c>
      <c r="D1084" s="105">
        <v>0</v>
      </c>
      <c r="E1084" s="105">
        <v>0</v>
      </c>
      <c r="F1084" s="105">
        <v>19</v>
      </c>
    </row>
    <row r="1085" spans="1:6" x14ac:dyDescent="0.25">
      <c r="A1085" s="105">
        <f t="shared" si="16"/>
        <v>2220028</v>
      </c>
      <c r="B1085" s="105" t="s">
        <v>1720</v>
      </c>
      <c r="C1085" s="105" t="s">
        <v>1721</v>
      </c>
      <c r="D1085" s="105">
        <v>0</v>
      </c>
      <c r="E1085" s="105">
        <v>0</v>
      </c>
      <c r="F1085" s="105">
        <v>38</v>
      </c>
    </row>
    <row r="1086" spans="1:6" x14ac:dyDescent="0.25">
      <c r="A1086" s="105">
        <f t="shared" si="16"/>
        <v>2220030</v>
      </c>
      <c r="B1086" s="105" t="s">
        <v>1722</v>
      </c>
      <c r="C1086" s="105" t="s">
        <v>1723</v>
      </c>
      <c r="D1086" s="105">
        <v>1500.14</v>
      </c>
      <c r="E1086" s="105">
        <v>900.08</v>
      </c>
      <c r="F1086" s="105">
        <v>1</v>
      </c>
    </row>
    <row r="1087" spans="1:6" x14ac:dyDescent="0.25">
      <c r="A1087" s="105">
        <f t="shared" si="16"/>
        <v>2220032</v>
      </c>
      <c r="B1087" s="105" t="s">
        <v>1724</v>
      </c>
      <c r="C1087" s="105" t="s">
        <v>1725</v>
      </c>
      <c r="D1087" s="105">
        <v>1500.14</v>
      </c>
      <c r="E1087" s="105">
        <v>900.08</v>
      </c>
      <c r="F1087" s="105">
        <v>3</v>
      </c>
    </row>
    <row r="1088" spans="1:6" x14ac:dyDescent="0.25">
      <c r="A1088" s="105">
        <f t="shared" si="16"/>
        <v>2220034</v>
      </c>
      <c r="B1088" s="105" t="s">
        <v>1726</v>
      </c>
      <c r="C1088" s="105" t="s">
        <v>1727</v>
      </c>
      <c r="D1088" s="105">
        <v>1500.14</v>
      </c>
      <c r="E1088" s="105">
        <v>900.08</v>
      </c>
      <c r="F1088" s="105">
        <v>27</v>
      </c>
    </row>
    <row r="1089" spans="1:6" x14ac:dyDescent="0.25">
      <c r="A1089" s="105">
        <f t="shared" si="16"/>
        <v>2220037</v>
      </c>
      <c r="B1089" s="105" t="s">
        <v>1728</v>
      </c>
      <c r="C1089" s="105" t="s">
        <v>1729</v>
      </c>
      <c r="D1089" s="105">
        <v>1500.14</v>
      </c>
      <c r="E1089" s="105">
        <v>900.08</v>
      </c>
      <c r="F1089" s="105">
        <v>3</v>
      </c>
    </row>
    <row r="1090" spans="1:6" x14ac:dyDescent="0.25">
      <c r="A1090" s="105">
        <f t="shared" si="16"/>
        <v>2220053</v>
      </c>
      <c r="B1090" s="105" t="s">
        <v>1730</v>
      </c>
      <c r="C1090" s="105" t="s">
        <v>1731</v>
      </c>
      <c r="D1090" s="105">
        <v>4229.3999999999996</v>
      </c>
      <c r="E1090" s="105">
        <v>2537.64</v>
      </c>
      <c r="F1090" s="105">
        <v>0</v>
      </c>
    </row>
    <row r="1091" spans="1:6" x14ac:dyDescent="0.25">
      <c r="A1091" s="105">
        <f t="shared" ref="A1091:A1154" si="17">IF(B1091&lt;&gt;"",IFERROR(B1091*1,""),"")</f>
        <v>2220074</v>
      </c>
      <c r="B1091" s="105" t="s">
        <v>1732</v>
      </c>
      <c r="C1091" s="105" t="s">
        <v>1733</v>
      </c>
      <c r="D1091" s="105">
        <v>4229.3999999999996</v>
      </c>
      <c r="E1091" s="105">
        <v>2537.64</v>
      </c>
      <c r="F1091" s="105">
        <v>0</v>
      </c>
    </row>
    <row r="1092" spans="1:6" x14ac:dyDescent="0.25">
      <c r="A1092" s="105">
        <f t="shared" si="17"/>
        <v>2220076</v>
      </c>
      <c r="B1092" s="105" t="s">
        <v>1734</v>
      </c>
      <c r="C1092" s="105" t="s">
        <v>1735</v>
      </c>
      <c r="D1092" s="105">
        <v>4229.3999999999996</v>
      </c>
      <c r="E1092" s="105">
        <v>2537.64</v>
      </c>
      <c r="F1092" s="105">
        <v>252</v>
      </c>
    </row>
    <row r="1093" spans="1:6" x14ac:dyDescent="0.25">
      <c r="A1093" s="105">
        <f t="shared" si="17"/>
        <v>2220078</v>
      </c>
      <c r="B1093" s="105" t="s">
        <v>1736</v>
      </c>
      <c r="C1093" s="105" t="s">
        <v>1737</v>
      </c>
      <c r="D1093" s="105">
        <v>4229.3999999999996</v>
      </c>
      <c r="E1093" s="105">
        <v>2537.64</v>
      </c>
      <c r="F1093" s="105">
        <v>6</v>
      </c>
    </row>
    <row r="1094" spans="1:6" x14ac:dyDescent="0.25">
      <c r="A1094" s="105">
        <f t="shared" si="17"/>
        <v>2220080</v>
      </c>
      <c r="B1094" s="105" t="s">
        <v>1738</v>
      </c>
      <c r="C1094" s="105" t="s">
        <v>1739</v>
      </c>
      <c r="D1094" s="105">
        <v>2544</v>
      </c>
      <c r="E1094" s="105">
        <v>1526.4</v>
      </c>
      <c r="F1094" s="105">
        <v>0</v>
      </c>
    </row>
    <row r="1095" spans="1:6" x14ac:dyDescent="0.25">
      <c r="A1095" s="105">
        <f t="shared" si="17"/>
        <v>2220081</v>
      </c>
      <c r="B1095" s="105" t="s">
        <v>1740</v>
      </c>
      <c r="C1095" s="105" t="s">
        <v>1741</v>
      </c>
      <c r="D1095" s="105">
        <v>2544</v>
      </c>
      <c r="E1095" s="105">
        <v>1526.4</v>
      </c>
      <c r="F1095" s="105">
        <v>0</v>
      </c>
    </row>
    <row r="1096" spans="1:6" x14ac:dyDescent="0.25">
      <c r="A1096" s="105">
        <f t="shared" si="17"/>
        <v>2220099</v>
      </c>
      <c r="B1096" s="105" t="s">
        <v>1742</v>
      </c>
      <c r="C1096" s="105" t="s">
        <v>1743</v>
      </c>
      <c r="D1096" s="105">
        <v>1965.6</v>
      </c>
      <c r="E1096" s="105">
        <v>1179.3599999999999</v>
      </c>
      <c r="F1096" s="105">
        <v>0</v>
      </c>
    </row>
    <row r="1097" spans="1:6" x14ac:dyDescent="0.25">
      <c r="A1097" s="105">
        <f t="shared" si="17"/>
        <v>2220100</v>
      </c>
      <c r="B1097" s="105" t="s">
        <v>1744</v>
      </c>
      <c r="C1097" s="105" t="s">
        <v>1745</v>
      </c>
      <c r="D1097" s="105">
        <v>4229.3999999999996</v>
      </c>
      <c r="E1097" s="105">
        <v>2537.64</v>
      </c>
      <c r="F1097" s="105">
        <v>10</v>
      </c>
    </row>
    <row r="1098" spans="1:6" x14ac:dyDescent="0.25">
      <c r="A1098" s="105">
        <f t="shared" si="17"/>
        <v>2220128</v>
      </c>
      <c r="B1098" s="105" t="s">
        <v>1746</v>
      </c>
      <c r="C1098" s="105" t="s">
        <v>1747</v>
      </c>
      <c r="D1098" s="105">
        <v>2904.4</v>
      </c>
      <c r="E1098" s="105">
        <v>1742.64</v>
      </c>
      <c r="F1098" s="105">
        <v>39</v>
      </c>
    </row>
    <row r="1099" spans="1:6" x14ac:dyDescent="0.25">
      <c r="A1099" s="105">
        <f t="shared" si="17"/>
        <v>2220130</v>
      </c>
      <c r="B1099" s="105" t="s">
        <v>1748</v>
      </c>
      <c r="C1099" s="105" t="s">
        <v>1749</v>
      </c>
      <c r="D1099" s="105">
        <v>0</v>
      </c>
      <c r="E1099" s="105">
        <v>0</v>
      </c>
      <c r="F1099" s="105">
        <v>0</v>
      </c>
    </row>
    <row r="1100" spans="1:6" x14ac:dyDescent="0.25">
      <c r="A1100" s="105">
        <f t="shared" si="17"/>
        <v>2220136</v>
      </c>
      <c r="B1100" s="105" t="s">
        <v>1750</v>
      </c>
      <c r="C1100" s="105" t="s">
        <v>1751</v>
      </c>
      <c r="D1100" s="105">
        <v>0</v>
      </c>
      <c r="E1100" s="105">
        <v>0</v>
      </c>
      <c r="F1100" s="105">
        <v>5</v>
      </c>
    </row>
    <row r="1101" spans="1:6" x14ac:dyDescent="0.25">
      <c r="A1101" s="105">
        <f t="shared" si="17"/>
        <v>2220250</v>
      </c>
      <c r="B1101" s="105" t="s">
        <v>1752</v>
      </c>
      <c r="C1101" s="105" t="s">
        <v>1753</v>
      </c>
      <c r="D1101" s="105">
        <v>2904.4</v>
      </c>
      <c r="E1101" s="105">
        <v>1742.64</v>
      </c>
      <c r="F1101" s="105">
        <v>0</v>
      </c>
    </row>
    <row r="1102" spans="1:6" x14ac:dyDescent="0.25">
      <c r="A1102" s="105">
        <f t="shared" si="17"/>
        <v>2220253</v>
      </c>
      <c r="B1102" s="105" t="s">
        <v>1754</v>
      </c>
      <c r="C1102" s="105" t="s">
        <v>1755</v>
      </c>
      <c r="D1102" s="105">
        <v>2904.4</v>
      </c>
      <c r="E1102" s="105">
        <v>1742.64</v>
      </c>
      <c r="F1102" s="105">
        <v>23</v>
      </c>
    </row>
    <row r="1103" spans="1:6" x14ac:dyDescent="0.25">
      <c r="A1103" s="105">
        <f t="shared" si="17"/>
        <v>2220254</v>
      </c>
      <c r="B1103" s="105" t="s">
        <v>1756</v>
      </c>
      <c r="C1103" s="105" t="s">
        <v>1757</v>
      </c>
      <c r="D1103" s="105">
        <v>0</v>
      </c>
      <c r="E1103" s="105">
        <v>0</v>
      </c>
      <c r="F1103" s="105">
        <v>25</v>
      </c>
    </row>
    <row r="1104" spans="1:6" x14ac:dyDescent="0.25">
      <c r="A1104" s="105">
        <f t="shared" si="17"/>
        <v>2220255</v>
      </c>
      <c r="B1104" s="105" t="s">
        <v>1758</v>
      </c>
      <c r="C1104" s="105" t="s">
        <v>1759</v>
      </c>
      <c r="D1104" s="105">
        <v>0</v>
      </c>
      <c r="E1104" s="105">
        <v>0</v>
      </c>
      <c r="F1104" s="105">
        <v>0</v>
      </c>
    </row>
    <row r="1105" spans="1:6" x14ac:dyDescent="0.25">
      <c r="A1105" s="105">
        <f t="shared" si="17"/>
        <v>2220256</v>
      </c>
      <c r="B1105" s="105" t="s">
        <v>1760</v>
      </c>
      <c r="C1105" s="105" t="s">
        <v>1761</v>
      </c>
      <c r="D1105" s="105">
        <v>0</v>
      </c>
      <c r="E1105" s="105">
        <v>0</v>
      </c>
      <c r="F1105" s="105">
        <v>0</v>
      </c>
    </row>
    <row r="1106" spans="1:6" x14ac:dyDescent="0.25">
      <c r="A1106" s="105" t="str">
        <f t="shared" si="17"/>
        <v/>
      </c>
      <c r="B1106" s="105" t="s">
        <v>1762</v>
      </c>
      <c r="C1106" s="105" t="s">
        <v>8</v>
      </c>
      <c r="D1106" s="105">
        <v>0</v>
      </c>
      <c r="E1106" s="105">
        <v>0</v>
      </c>
      <c r="F1106" s="105">
        <v>0</v>
      </c>
    </row>
    <row r="1107" spans="1:6" x14ac:dyDescent="0.25">
      <c r="A1107" s="105">
        <f t="shared" si="17"/>
        <v>2220258</v>
      </c>
      <c r="B1107" s="105" t="s">
        <v>1763</v>
      </c>
      <c r="C1107" s="105" t="s">
        <v>1764</v>
      </c>
      <c r="D1107" s="105">
        <v>0</v>
      </c>
      <c r="E1107" s="105">
        <v>0</v>
      </c>
      <c r="F1107" s="105">
        <v>0</v>
      </c>
    </row>
    <row r="1108" spans="1:6" x14ac:dyDescent="0.25">
      <c r="A1108" s="105">
        <f t="shared" si="17"/>
        <v>2220292</v>
      </c>
      <c r="B1108" s="105" t="s">
        <v>1765</v>
      </c>
      <c r="C1108" s="105" t="s">
        <v>1766</v>
      </c>
      <c r="D1108" s="105">
        <v>2904.4</v>
      </c>
      <c r="E1108" s="105">
        <v>1742.64</v>
      </c>
      <c r="F1108" s="105">
        <v>118</v>
      </c>
    </row>
    <row r="1109" spans="1:6" x14ac:dyDescent="0.25">
      <c r="A1109" s="105">
        <f t="shared" si="17"/>
        <v>2220333</v>
      </c>
      <c r="B1109" s="105" t="s">
        <v>1767</v>
      </c>
      <c r="C1109" s="105" t="s">
        <v>1768</v>
      </c>
      <c r="D1109" s="105">
        <v>2745.4</v>
      </c>
      <c r="E1109" s="105">
        <v>1647.24</v>
      </c>
      <c r="F1109" s="105">
        <v>309</v>
      </c>
    </row>
    <row r="1110" spans="1:6" x14ac:dyDescent="0.25">
      <c r="A1110" s="105" t="str">
        <f t="shared" si="17"/>
        <v/>
      </c>
      <c r="B1110" s="105" t="s">
        <v>1769</v>
      </c>
      <c r="C1110" s="105" t="s">
        <v>8</v>
      </c>
      <c r="D1110" s="105">
        <v>0</v>
      </c>
      <c r="E1110" s="105">
        <v>0</v>
      </c>
      <c r="F1110" s="105">
        <v>0</v>
      </c>
    </row>
    <row r="1111" spans="1:6" x14ac:dyDescent="0.25">
      <c r="A1111" s="105">
        <f t="shared" si="17"/>
        <v>2220335</v>
      </c>
      <c r="B1111" s="105" t="s">
        <v>1770</v>
      </c>
      <c r="C1111" s="105" t="s">
        <v>1771</v>
      </c>
      <c r="D1111" s="105">
        <v>2745.4</v>
      </c>
      <c r="E1111" s="105">
        <v>1647.24</v>
      </c>
      <c r="F1111" s="105">
        <v>0</v>
      </c>
    </row>
    <row r="1112" spans="1:6" x14ac:dyDescent="0.25">
      <c r="A1112" s="105" t="str">
        <f t="shared" si="17"/>
        <v/>
      </c>
      <c r="B1112" s="105" t="s">
        <v>1772</v>
      </c>
      <c r="C1112" s="105" t="s">
        <v>8</v>
      </c>
      <c r="D1112" s="105">
        <v>0</v>
      </c>
      <c r="E1112" s="105">
        <v>0</v>
      </c>
      <c r="F1112" s="105">
        <v>0</v>
      </c>
    </row>
    <row r="1113" spans="1:6" x14ac:dyDescent="0.25">
      <c r="A1113" s="105">
        <f t="shared" si="17"/>
        <v>2220336</v>
      </c>
      <c r="B1113" s="105" t="s">
        <v>1773</v>
      </c>
      <c r="C1113" s="105" t="s">
        <v>1774</v>
      </c>
      <c r="D1113" s="105">
        <v>2184</v>
      </c>
      <c r="E1113" s="105">
        <v>1310.4000000000001</v>
      </c>
      <c r="F1113" s="105">
        <v>0</v>
      </c>
    </row>
    <row r="1114" spans="1:6" x14ac:dyDescent="0.25">
      <c r="A1114" s="105">
        <f t="shared" si="17"/>
        <v>2220345</v>
      </c>
      <c r="B1114" s="105" t="s">
        <v>1775</v>
      </c>
      <c r="C1114" s="105" t="s">
        <v>1776</v>
      </c>
      <c r="D1114" s="105">
        <v>2199.29</v>
      </c>
      <c r="E1114" s="105">
        <v>1319.57</v>
      </c>
      <c r="F1114" s="105">
        <v>0</v>
      </c>
    </row>
    <row r="1115" spans="1:6" x14ac:dyDescent="0.25">
      <c r="A1115" s="105" t="str">
        <f t="shared" si="17"/>
        <v/>
      </c>
      <c r="B1115" s="105" t="s">
        <v>1777</v>
      </c>
      <c r="C1115" s="105" t="s">
        <v>8</v>
      </c>
      <c r="D1115" s="105">
        <v>0</v>
      </c>
      <c r="E1115" s="105">
        <v>0</v>
      </c>
      <c r="F1115" s="105">
        <v>0</v>
      </c>
    </row>
    <row r="1116" spans="1:6" x14ac:dyDescent="0.25">
      <c r="A1116" s="105">
        <f t="shared" si="17"/>
        <v>2220389</v>
      </c>
      <c r="B1116" s="105" t="s">
        <v>1778</v>
      </c>
      <c r="C1116" s="105" t="s">
        <v>1779</v>
      </c>
      <c r="D1116" s="105">
        <v>2904.4</v>
      </c>
      <c r="E1116" s="105">
        <v>1742.64</v>
      </c>
      <c r="F1116" s="105">
        <v>0</v>
      </c>
    </row>
    <row r="1117" spans="1:6" x14ac:dyDescent="0.25">
      <c r="A1117" s="105">
        <f t="shared" si="17"/>
        <v>2220421</v>
      </c>
      <c r="B1117" s="105" t="s">
        <v>1780</v>
      </c>
      <c r="C1117" s="105" t="s">
        <v>1781</v>
      </c>
      <c r="D1117" s="105">
        <v>0</v>
      </c>
      <c r="E1117" s="105">
        <v>0</v>
      </c>
      <c r="F1117" s="105">
        <v>0</v>
      </c>
    </row>
    <row r="1118" spans="1:6" x14ac:dyDescent="0.25">
      <c r="A1118" s="105">
        <f t="shared" si="17"/>
        <v>2220444</v>
      </c>
      <c r="B1118" s="105" t="s">
        <v>1782</v>
      </c>
      <c r="C1118" s="105" t="s">
        <v>1783</v>
      </c>
      <c r="D1118" s="105">
        <v>2745.4</v>
      </c>
      <c r="E1118" s="105">
        <v>1647.24</v>
      </c>
      <c r="F1118" s="105">
        <v>356</v>
      </c>
    </row>
    <row r="1119" spans="1:6" x14ac:dyDescent="0.25">
      <c r="A1119" s="105" t="str">
        <f t="shared" si="17"/>
        <v/>
      </c>
      <c r="B1119" s="105" t="s">
        <v>1784</v>
      </c>
      <c r="C1119" s="105" t="s">
        <v>8</v>
      </c>
      <c r="D1119" s="105">
        <v>0</v>
      </c>
      <c r="E1119" s="105">
        <v>0</v>
      </c>
      <c r="F1119" s="105">
        <v>0</v>
      </c>
    </row>
    <row r="1120" spans="1:6" x14ac:dyDescent="0.25">
      <c r="A1120" s="105">
        <f t="shared" si="17"/>
        <v>2220450</v>
      </c>
      <c r="B1120" s="105" t="s">
        <v>1785</v>
      </c>
      <c r="C1120" s="105" t="s">
        <v>1786</v>
      </c>
      <c r="D1120" s="105">
        <v>0</v>
      </c>
      <c r="E1120" s="105">
        <v>0</v>
      </c>
      <c r="F1120" s="105">
        <v>0</v>
      </c>
    </row>
    <row r="1121" spans="1:6" x14ac:dyDescent="0.25">
      <c r="A1121" s="105" t="str">
        <f t="shared" si="17"/>
        <v/>
      </c>
      <c r="B1121" s="105" t="s">
        <v>1787</v>
      </c>
      <c r="C1121" s="105" t="s">
        <v>8</v>
      </c>
      <c r="D1121" s="105">
        <v>0</v>
      </c>
      <c r="E1121" s="105">
        <v>0</v>
      </c>
      <c r="F1121" s="105">
        <v>0</v>
      </c>
    </row>
    <row r="1122" spans="1:6" x14ac:dyDescent="0.25">
      <c r="A1122" s="105">
        <f t="shared" si="17"/>
        <v>2220451</v>
      </c>
      <c r="B1122" s="105" t="s">
        <v>1788</v>
      </c>
      <c r="C1122" s="105" t="s">
        <v>1789</v>
      </c>
      <c r="D1122" s="105">
        <v>0</v>
      </c>
      <c r="E1122" s="105">
        <v>0</v>
      </c>
      <c r="F1122" s="105">
        <v>0</v>
      </c>
    </row>
    <row r="1123" spans="1:6" x14ac:dyDescent="0.25">
      <c r="A1123" s="105">
        <f t="shared" si="17"/>
        <v>2220456</v>
      </c>
      <c r="B1123" s="105" t="s">
        <v>1790</v>
      </c>
      <c r="C1123" s="105" t="s">
        <v>1791</v>
      </c>
      <c r="D1123" s="105">
        <v>2904.4</v>
      </c>
      <c r="E1123" s="105">
        <v>1742.64</v>
      </c>
      <c r="F1123" s="105">
        <v>111</v>
      </c>
    </row>
    <row r="1124" spans="1:6" x14ac:dyDescent="0.25">
      <c r="A1124" s="105">
        <f t="shared" si="17"/>
        <v>2220520</v>
      </c>
      <c r="B1124" s="105" t="s">
        <v>1792</v>
      </c>
      <c r="C1124" s="105" t="s">
        <v>1793</v>
      </c>
      <c r="D1124" s="105">
        <v>2904.4</v>
      </c>
      <c r="E1124" s="105">
        <v>1742.64</v>
      </c>
      <c r="F1124" s="105">
        <v>2</v>
      </c>
    </row>
    <row r="1125" spans="1:6" x14ac:dyDescent="0.25">
      <c r="A1125" s="105" t="str">
        <f t="shared" si="17"/>
        <v/>
      </c>
      <c r="B1125" s="105" t="s">
        <v>1794</v>
      </c>
      <c r="C1125" s="105" t="s">
        <v>8</v>
      </c>
      <c r="D1125" s="105">
        <v>0</v>
      </c>
      <c r="E1125" s="105">
        <v>0</v>
      </c>
      <c r="F1125" s="105">
        <v>0</v>
      </c>
    </row>
    <row r="1126" spans="1:6" x14ac:dyDescent="0.25">
      <c r="A1126" s="105">
        <f t="shared" si="17"/>
        <v>2220555</v>
      </c>
      <c r="B1126" s="105" t="s">
        <v>1795</v>
      </c>
      <c r="C1126" s="105" t="s">
        <v>1796</v>
      </c>
      <c r="D1126" s="105">
        <v>2745.4</v>
      </c>
      <c r="E1126" s="105">
        <v>1647.24</v>
      </c>
      <c r="F1126" s="105">
        <v>0</v>
      </c>
    </row>
    <row r="1127" spans="1:6" x14ac:dyDescent="0.25">
      <c r="A1127" s="105">
        <f t="shared" si="17"/>
        <v>2220591</v>
      </c>
      <c r="B1127" s="105" t="s">
        <v>1797</v>
      </c>
      <c r="C1127" s="105" t="s">
        <v>1798</v>
      </c>
      <c r="D1127" s="105">
        <v>0</v>
      </c>
      <c r="E1127" s="105">
        <v>0</v>
      </c>
      <c r="F1127" s="105">
        <v>2</v>
      </c>
    </row>
    <row r="1128" spans="1:6" x14ac:dyDescent="0.25">
      <c r="A1128" s="105">
        <f t="shared" si="17"/>
        <v>2220601</v>
      </c>
      <c r="B1128" s="105" t="s">
        <v>1799</v>
      </c>
      <c r="C1128" s="105" t="s">
        <v>1800</v>
      </c>
      <c r="D1128" s="105">
        <v>2745.4</v>
      </c>
      <c r="E1128" s="105">
        <v>1647.24</v>
      </c>
      <c r="F1128" s="105">
        <v>122</v>
      </c>
    </row>
    <row r="1129" spans="1:6" x14ac:dyDescent="0.25">
      <c r="A1129" s="105">
        <f t="shared" si="17"/>
        <v>2220666</v>
      </c>
      <c r="B1129" s="105" t="s">
        <v>1801</v>
      </c>
      <c r="C1129" s="105" t="s">
        <v>1802</v>
      </c>
      <c r="D1129" s="105">
        <v>0</v>
      </c>
      <c r="E1129" s="105">
        <v>0</v>
      </c>
      <c r="F1129" s="105">
        <v>0</v>
      </c>
    </row>
    <row r="1130" spans="1:6" x14ac:dyDescent="0.25">
      <c r="A1130" s="105">
        <f t="shared" si="17"/>
        <v>2220750</v>
      </c>
      <c r="B1130" s="105" t="s">
        <v>1803</v>
      </c>
      <c r="C1130" s="105" t="s">
        <v>1804</v>
      </c>
      <c r="D1130" s="105">
        <v>2745.4</v>
      </c>
      <c r="E1130" s="105">
        <v>1647.24</v>
      </c>
      <c r="F1130" s="105">
        <v>46</v>
      </c>
    </row>
    <row r="1131" spans="1:6" x14ac:dyDescent="0.25">
      <c r="A1131" s="105">
        <f t="shared" si="17"/>
        <v>2220751</v>
      </c>
      <c r="B1131" s="105" t="s">
        <v>1806</v>
      </c>
      <c r="C1131" s="105" t="s">
        <v>1807</v>
      </c>
      <c r="D1131" s="105">
        <v>3169.4</v>
      </c>
      <c r="E1131" s="105">
        <v>1901.64</v>
      </c>
      <c r="F1131" s="105">
        <v>8</v>
      </c>
    </row>
    <row r="1132" spans="1:6" x14ac:dyDescent="0.25">
      <c r="A1132" s="105">
        <f t="shared" si="17"/>
        <v>2220755</v>
      </c>
      <c r="B1132" s="105" t="s">
        <v>1808</v>
      </c>
      <c r="C1132" s="105" t="s">
        <v>1809</v>
      </c>
      <c r="D1132" s="105">
        <v>2904.4</v>
      </c>
      <c r="E1132" s="105">
        <v>1742.64</v>
      </c>
      <c r="F1132" s="105">
        <v>0</v>
      </c>
    </row>
    <row r="1133" spans="1:6" x14ac:dyDescent="0.25">
      <c r="A1133" s="105" t="str">
        <f t="shared" si="17"/>
        <v/>
      </c>
      <c r="B1133" s="105" t="s">
        <v>1810</v>
      </c>
      <c r="C1133" s="105" t="s">
        <v>8</v>
      </c>
      <c r="D1133" s="105">
        <v>0</v>
      </c>
      <c r="E1133" s="105">
        <v>0</v>
      </c>
      <c r="F1133" s="105">
        <v>0</v>
      </c>
    </row>
    <row r="1134" spans="1:6" x14ac:dyDescent="0.25">
      <c r="A1134" s="105">
        <f t="shared" si="17"/>
        <v>2220756</v>
      </c>
      <c r="B1134" s="105" t="s">
        <v>1811</v>
      </c>
      <c r="C1134" s="105" t="s">
        <v>1812</v>
      </c>
      <c r="D1134" s="105">
        <v>3328.4</v>
      </c>
      <c r="E1134" s="105">
        <v>1997.04</v>
      </c>
      <c r="F1134" s="105">
        <v>0</v>
      </c>
    </row>
    <row r="1135" spans="1:6" x14ac:dyDescent="0.25">
      <c r="A1135" s="105">
        <f t="shared" si="17"/>
        <v>2220777</v>
      </c>
      <c r="B1135" s="105" t="s">
        <v>1813</v>
      </c>
      <c r="C1135" s="105" t="s">
        <v>1814</v>
      </c>
      <c r="D1135" s="105">
        <v>0</v>
      </c>
      <c r="E1135" s="105">
        <v>0</v>
      </c>
      <c r="F1135" s="105">
        <v>0</v>
      </c>
    </row>
    <row r="1136" spans="1:6" x14ac:dyDescent="0.25">
      <c r="A1136" s="105">
        <f t="shared" si="17"/>
        <v>2220856</v>
      </c>
      <c r="B1136" s="105" t="s">
        <v>1815</v>
      </c>
      <c r="C1136" s="105" t="s">
        <v>1816</v>
      </c>
      <c r="D1136" s="105">
        <v>2745.4</v>
      </c>
      <c r="E1136" s="105">
        <v>1647.24</v>
      </c>
      <c r="F1136" s="105">
        <v>76</v>
      </c>
    </row>
    <row r="1137" spans="1:6" x14ac:dyDescent="0.25">
      <c r="A1137" s="105">
        <f t="shared" si="17"/>
        <v>2220888</v>
      </c>
      <c r="B1137" s="105" t="s">
        <v>1817</v>
      </c>
      <c r="C1137" s="105" t="s">
        <v>1818</v>
      </c>
      <c r="D1137" s="105">
        <v>0</v>
      </c>
      <c r="E1137" s="105">
        <v>0</v>
      </c>
      <c r="F1137" s="105">
        <v>0</v>
      </c>
    </row>
    <row r="1138" spans="1:6" x14ac:dyDescent="0.25">
      <c r="A1138" s="105">
        <f t="shared" si="17"/>
        <v>2220900</v>
      </c>
      <c r="B1138" s="105" t="s">
        <v>1819</v>
      </c>
      <c r="C1138" s="105" t="s">
        <v>1820</v>
      </c>
      <c r="D1138" s="105">
        <v>1095.73</v>
      </c>
      <c r="E1138" s="105">
        <v>657.44</v>
      </c>
      <c r="F1138" s="105">
        <v>0</v>
      </c>
    </row>
    <row r="1139" spans="1:6" x14ac:dyDescent="0.25">
      <c r="A1139" s="105">
        <f t="shared" si="17"/>
        <v>2220901</v>
      </c>
      <c r="B1139" s="105" t="s">
        <v>1821</v>
      </c>
      <c r="C1139" s="105" t="s">
        <v>1822</v>
      </c>
      <c r="D1139" s="105">
        <v>0</v>
      </c>
      <c r="E1139" s="105">
        <v>0</v>
      </c>
      <c r="F1139" s="105">
        <v>0</v>
      </c>
    </row>
    <row r="1140" spans="1:6" x14ac:dyDescent="0.25">
      <c r="A1140" s="105">
        <f t="shared" si="17"/>
        <v>2220909</v>
      </c>
      <c r="B1140" s="105" t="s">
        <v>1823</v>
      </c>
      <c r="C1140" s="105" t="s">
        <v>1824</v>
      </c>
      <c r="D1140" s="105">
        <v>2745.4</v>
      </c>
      <c r="E1140" s="105">
        <v>1647.24</v>
      </c>
      <c r="F1140" s="105">
        <v>32</v>
      </c>
    </row>
    <row r="1141" spans="1:6" x14ac:dyDescent="0.25">
      <c r="A1141" s="105">
        <f t="shared" si="17"/>
        <v>2220999</v>
      </c>
      <c r="B1141" s="105" t="s">
        <v>1825</v>
      </c>
      <c r="C1141" s="105" t="s">
        <v>1826</v>
      </c>
      <c r="D1141" s="105">
        <v>0</v>
      </c>
      <c r="E1141" s="105">
        <v>0</v>
      </c>
      <c r="F1141" s="105">
        <v>0</v>
      </c>
    </row>
    <row r="1142" spans="1:6" x14ac:dyDescent="0.25">
      <c r="A1142" s="105">
        <f t="shared" si="17"/>
        <v>2230600</v>
      </c>
      <c r="B1142" s="105" t="s">
        <v>1827</v>
      </c>
      <c r="C1142" s="105" t="s">
        <v>1828</v>
      </c>
      <c r="D1142" s="105">
        <v>2904.4</v>
      </c>
      <c r="E1142" s="105">
        <v>1742.64</v>
      </c>
      <c r="F1142" s="105">
        <v>178</v>
      </c>
    </row>
    <row r="1143" spans="1:6" x14ac:dyDescent="0.25">
      <c r="A1143" s="105" t="str">
        <f t="shared" si="17"/>
        <v/>
      </c>
      <c r="B1143" s="105" t="s">
        <v>1829</v>
      </c>
      <c r="C1143" s="105" t="s">
        <v>8</v>
      </c>
      <c r="D1143" s="105">
        <v>0</v>
      </c>
      <c r="E1143" s="105">
        <v>0</v>
      </c>
      <c r="F1143" s="105">
        <v>0</v>
      </c>
    </row>
    <row r="1144" spans="1:6" x14ac:dyDescent="0.25">
      <c r="A1144" s="105">
        <f t="shared" si="17"/>
        <v>2301001</v>
      </c>
      <c r="B1144" s="105" t="s">
        <v>1830</v>
      </c>
      <c r="C1144" s="105" t="s">
        <v>1831</v>
      </c>
      <c r="D1144" s="105">
        <v>7102</v>
      </c>
      <c r="E1144" s="105">
        <v>4261.2</v>
      </c>
      <c r="F1144" s="105">
        <v>0</v>
      </c>
    </row>
    <row r="1145" spans="1:6" x14ac:dyDescent="0.25">
      <c r="A1145" s="105" t="str">
        <f t="shared" si="17"/>
        <v/>
      </c>
      <c r="B1145" s="105" t="s">
        <v>1832</v>
      </c>
      <c r="C1145" s="105" t="s">
        <v>8</v>
      </c>
      <c r="D1145" s="105">
        <v>0</v>
      </c>
      <c r="E1145" s="105">
        <v>0</v>
      </c>
      <c r="F1145" s="105">
        <v>0</v>
      </c>
    </row>
    <row r="1146" spans="1:6" x14ac:dyDescent="0.25">
      <c r="A1146" s="105">
        <f t="shared" si="17"/>
        <v>2301002</v>
      </c>
      <c r="B1146" s="105" t="s">
        <v>1833</v>
      </c>
      <c r="C1146" s="105" t="s">
        <v>1834</v>
      </c>
      <c r="D1146" s="105">
        <v>7102</v>
      </c>
      <c r="E1146" s="105">
        <v>4261.2</v>
      </c>
      <c r="F1146" s="105">
        <v>0</v>
      </c>
    </row>
    <row r="1147" spans="1:6" x14ac:dyDescent="0.25">
      <c r="A1147" s="105">
        <f t="shared" si="17"/>
        <v>2301046</v>
      </c>
      <c r="B1147" s="105" t="s">
        <v>1835</v>
      </c>
      <c r="C1147" s="105" t="s">
        <v>1836</v>
      </c>
      <c r="D1147" s="105">
        <v>7102</v>
      </c>
      <c r="E1147" s="105">
        <v>4261.2</v>
      </c>
      <c r="F1147" s="105">
        <v>219</v>
      </c>
    </row>
    <row r="1148" spans="1:6" x14ac:dyDescent="0.25">
      <c r="A1148" s="105">
        <f t="shared" si="17"/>
        <v>2301047</v>
      </c>
      <c r="B1148" s="105" t="s">
        <v>9278</v>
      </c>
      <c r="C1148" s="105" t="s">
        <v>9279</v>
      </c>
      <c r="D1148" s="105">
        <v>7102</v>
      </c>
      <c r="E1148" s="105">
        <v>4261.2</v>
      </c>
      <c r="F1148" s="105">
        <v>2</v>
      </c>
    </row>
    <row r="1149" spans="1:6" x14ac:dyDescent="0.25">
      <c r="A1149" s="105">
        <f t="shared" si="17"/>
        <v>2301048</v>
      </c>
      <c r="B1149" s="105" t="s">
        <v>1837</v>
      </c>
      <c r="C1149" s="105" t="s">
        <v>1838</v>
      </c>
      <c r="D1149" s="105">
        <v>7102</v>
      </c>
      <c r="E1149" s="105">
        <v>4261.2</v>
      </c>
      <c r="F1149" s="105">
        <v>272</v>
      </c>
    </row>
    <row r="1150" spans="1:6" x14ac:dyDescent="0.25">
      <c r="A1150" s="105">
        <f t="shared" si="17"/>
        <v>2301143</v>
      </c>
      <c r="B1150" s="105" t="s">
        <v>1839</v>
      </c>
      <c r="C1150" s="105" t="s">
        <v>1840</v>
      </c>
      <c r="D1150" s="105">
        <v>3494.22</v>
      </c>
      <c r="E1150" s="105">
        <v>2096.5300000000002</v>
      </c>
      <c r="F1150" s="105">
        <v>0</v>
      </c>
    </row>
    <row r="1151" spans="1:6" x14ac:dyDescent="0.25">
      <c r="A1151" s="105">
        <f t="shared" si="17"/>
        <v>2301158</v>
      </c>
      <c r="B1151" s="105" t="s">
        <v>1841</v>
      </c>
      <c r="C1151" s="105" t="s">
        <v>1842</v>
      </c>
      <c r="D1151" s="105">
        <v>7102</v>
      </c>
      <c r="E1151" s="105">
        <v>4261.2</v>
      </c>
      <c r="F1151" s="105">
        <v>358</v>
      </c>
    </row>
    <row r="1152" spans="1:6" x14ac:dyDescent="0.25">
      <c r="A1152" s="105">
        <f t="shared" si="17"/>
        <v>2301160</v>
      </c>
      <c r="B1152" s="105" t="s">
        <v>1843</v>
      </c>
      <c r="C1152" s="105" t="s">
        <v>1844</v>
      </c>
      <c r="D1152" s="105">
        <v>7102</v>
      </c>
      <c r="E1152" s="105">
        <v>4261.2</v>
      </c>
      <c r="F1152" s="105">
        <v>0</v>
      </c>
    </row>
    <row r="1153" spans="1:6" x14ac:dyDescent="0.25">
      <c r="A1153" s="105">
        <f t="shared" si="17"/>
        <v>2301175</v>
      </c>
      <c r="B1153" s="105" t="s">
        <v>1845</v>
      </c>
      <c r="C1153" s="105" t="s">
        <v>1846</v>
      </c>
      <c r="D1153" s="105">
        <v>3494.22</v>
      </c>
      <c r="E1153" s="105">
        <v>2096.5300000000002</v>
      </c>
      <c r="F1153" s="105">
        <v>10</v>
      </c>
    </row>
    <row r="1154" spans="1:6" x14ac:dyDescent="0.25">
      <c r="A1154" s="105">
        <f t="shared" si="17"/>
        <v>2301300</v>
      </c>
      <c r="B1154" s="105" t="s">
        <v>1847</v>
      </c>
      <c r="C1154" s="105" t="s">
        <v>1848</v>
      </c>
      <c r="D1154" s="105">
        <v>7102</v>
      </c>
      <c r="E1154" s="105">
        <v>4261.2</v>
      </c>
      <c r="F1154" s="105">
        <v>85</v>
      </c>
    </row>
    <row r="1155" spans="1:6" x14ac:dyDescent="0.25">
      <c r="A1155" s="105">
        <f t="shared" ref="A1155:A1218" si="18">IF(B1155&lt;&gt;"",IFERROR(B1155*1,""),"")</f>
        <v>2301333</v>
      </c>
      <c r="B1155" s="105" t="s">
        <v>1849</v>
      </c>
      <c r="C1155" s="105" t="s">
        <v>1850</v>
      </c>
      <c r="D1155" s="105">
        <v>7102</v>
      </c>
      <c r="E1155" s="105">
        <v>4261.2</v>
      </c>
      <c r="F1155" s="105">
        <v>126</v>
      </c>
    </row>
    <row r="1156" spans="1:6" x14ac:dyDescent="0.25">
      <c r="A1156" s="105">
        <f t="shared" si="18"/>
        <v>2301520</v>
      </c>
      <c r="B1156" s="105" t="s">
        <v>1851</v>
      </c>
      <c r="C1156" s="105" t="s">
        <v>1852</v>
      </c>
      <c r="D1156" s="105">
        <v>7102</v>
      </c>
      <c r="E1156" s="105">
        <v>4261.2</v>
      </c>
      <c r="F1156" s="105">
        <v>0</v>
      </c>
    </row>
    <row r="1157" spans="1:6" x14ac:dyDescent="0.25">
      <c r="A1157" s="105" t="str">
        <f t="shared" si="18"/>
        <v/>
      </c>
      <c r="B1157" s="105" t="s">
        <v>1853</v>
      </c>
      <c r="C1157" s="105" t="s">
        <v>8</v>
      </c>
      <c r="D1157" s="105">
        <v>0</v>
      </c>
      <c r="E1157" s="105">
        <v>0</v>
      </c>
      <c r="F1157" s="105">
        <v>0</v>
      </c>
    </row>
    <row r="1158" spans="1:6" x14ac:dyDescent="0.25">
      <c r="A1158" s="105">
        <f t="shared" si="18"/>
        <v>2301601</v>
      </c>
      <c r="B1158" s="105" t="s">
        <v>1854</v>
      </c>
      <c r="C1158" s="105" t="s">
        <v>1855</v>
      </c>
      <c r="D1158" s="105">
        <v>0</v>
      </c>
      <c r="E1158" s="105">
        <v>0</v>
      </c>
      <c r="F1158" s="105">
        <v>0</v>
      </c>
    </row>
    <row r="1159" spans="1:6" x14ac:dyDescent="0.25">
      <c r="A1159" s="105">
        <f t="shared" si="18"/>
        <v>2301666</v>
      </c>
      <c r="B1159" s="105" t="s">
        <v>1856</v>
      </c>
      <c r="C1159" s="105" t="s">
        <v>1857</v>
      </c>
      <c r="D1159" s="105">
        <v>7102</v>
      </c>
      <c r="E1159" s="105">
        <v>4261.2</v>
      </c>
      <c r="F1159" s="105">
        <v>307</v>
      </c>
    </row>
    <row r="1160" spans="1:6" x14ac:dyDescent="0.25">
      <c r="A1160" s="105">
        <f t="shared" si="18"/>
        <v>2301777</v>
      </c>
      <c r="B1160" s="105" t="s">
        <v>1858</v>
      </c>
      <c r="C1160" s="105" t="s">
        <v>1859</v>
      </c>
      <c r="D1160" s="105">
        <v>7102</v>
      </c>
      <c r="E1160" s="105">
        <v>4261.2</v>
      </c>
      <c r="F1160" s="105">
        <v>293</v>
      </c>
    </row>
    <row r="1161" spans="1:6" x14ac:dyDescent="0.25">
      <c r="A1161" s="105">
        <f t="shared" si="18"/>
        <v>2301852</v>
      </c>
      <c r="B1161" s="105" t="s">
        <v>1860</v>
      </c>
      <c r="C1161" s="105" t="s">
        <v>1861</v>
      </c>
      <c r="D1161" s="105">
        <v>7102</v>
      </c>
      <c r="E1161" s="105">
        <v>4261.2</v>
      </c>
      <c r="F1161" s="105">
        <v>2</v>
      </c>
    </row>
    <row r="1162" spans="1:6" x14ac:dyDescent="0.25">
      <c r="A1162" s="105">
        <f t="shared" si="18"/>
        <v>2301887</v>
      </c>
      <c r="B1162" s="105" t="s">
        <v>1862</v>
      </c>
      <c r="C1162" s="105" t="s">
        <v>1863</v>
      </c>
      <c r="D1162" s="105">
        <v>7102</v>
      </c>
      <c r="E1162" s="105">
        <v>4261.2</v>
      </c>
      <c r="F1162" s="105">
        <v>0</v>
      </c>
    </row>
    <row r="1163" spans="1:6" x14ac:dyDescent="0.25">
      <c r="A1163" s="105">
        <f t="shared" si="18"/>
        <v>2301888</v>
      </c>
      <c r="B1163" s="105" t="s">
        <v>1864</v>
      </c>
      <c r="C1163" s="105" t="s">
        <v>1865</v>
      </c>
      <c r="D1163" s="105">
        <v>7102</v>
      </c>
      <c r="E1163" s="105">
        <v>4261.2</v>
      </c>
      <c r="F1163" s="105">
        <v>457</v>
      </c>
    </row>
    <row r="1164" spans="1:6" x14ac:dyDescent="0.25">
      <c r="A1164" s="105">
        <f t="shared" si="18"/>
        <v>2301900</v>
      </c>
      <c r="B1164" s="105" t="s">
        <v>1866</v>
      </c>
      <c r="C1164" s="105" t="s">
        <v>1867</v>
      </c>
      <c r="D1164" s="105">
        <v>7102</v>
      </c>
      <c r="E1164" s="105">
        <v>4261.2</v>
      </c>
      <c r="F1164" s="105">
        <v>35</v>
      </c>
    </row>
    <row r="1165" spans="1:6" x14ac:dyDescent="0.25">
      <c r="A1165" s="105" t="str">
        <f t="shared" si="18"/>
        <v/>
      </c>
      <c r="B1165" s="105" t="s">
        <v>1868</v>
      </c>
      <c r="C1165" s="105" t="s">
        <v>8</v>
      </c>
      <c r="D1165" s="105">
        <v>0</v>
      </c>
      <c r="E1165" s="105">
        <v>0</v>
      </c>
      <c r="F1165" s="105">
        <v>0</v>
      </c>
    </row>
    <row r="1166" spans="1:6" x14ac:dyDescent="0.25">
      <c r="A1166" s="105">
        <f t="shared" si="18"/>
        <v>2401012</v>
      </c>
      <c r="B1166" s="105" t="s">
        <v>1869</v>
      </c>
      <c r="C1166" s="105" t="s">
        <v>1870</v>
      </c>
      <c r="D1166" s="105">
        <v>0</v>
      </c>
      <c r="E1166" s="105">
        <v>0</v>
      </c>
      <c r="F1166" s="105">
        <v>0</v>
      </c>
    </row>
    <row r="1167" spans="1:6" x14ac:dyDescent="0.25">
      <c r="A1167" s="105" t="str">
        <f t="shared" si="18"/>
        <v/>
      </c>
      <c r="B1167" s="105" t="s">
        <v>1871</v>
      </c>
      <c r="C1167" s="105" t="s">
        <v>8</v>
      </c>
      <c r="D1167" s="105">
        <v>0</v>
      </c>
      <c r="E1167" s="105">
        <v>0</v>
      </c>
      <c r="F1167" s="105">
        <v>0</v>
      </c>
    </row>
    <row r="1168" spans="1:6" x14ac:dyDescent="0.25">
      <c r="A1168" s="105">
        <f t="shared" si="18"/>
        <v>2401021</v>
      </c>
      <c r="B1168" s="105" t="s">
        <v>1872</v>
      </c>
      <c r="C1168" s="105" t="s">
        <v>1873</v>
      </c>
      <c r="D1168" s="105">
        <v>0</v>
      </c>
      <c r="E1168" s="105">
        <v>0</v>
      </c>
      <c r="F1168" s="105">
        <v>0</v>
      </c>
    </row>
    <row r="1169" spans="1:6" x14ac:dyDescent="0.25">
      <c r="A1169" s="105">
        <f t="shared" si="18"/>
        <v>2401022</v>
      </c>
      <c r="B1169" s="105" t="s">
        <v>1874</v>
      </c>
      <c r="C1169" s="105" t="s">
        <v>1875</v>
      </c>
      <c r="D1169" s="105">
        <v>10650</v>
      </c>
      <c r="E1169" s="105">
        <v>6390</v>
      </c>
      <c r="F1169" s="105">
        <v>138</v>
      </c>
    </row>
    <row r="1170" spans="1:6" x14ac:dyDescent="0.25">
      <c r="A1170" s="105" t="str">
        <f t="shared" si="18"/>
        <v/>
      </c>
      <c r="B1170" s="105" t="s">
        <v>1876</v>
      </c>
      <c r="C1170" s="105" t="s">
        <v>8</v>
      </c>
      <c r="D1170" s="105">
        <v>0</v>
      </c>
      <c r="E1170" s="105">
        <v>0</v>
      </c>
      <c r="F1170" s="105">
        <v>0</v>
      </c>
    </row>
    <row r="1171" spans="1:6" x14ac:dyDescent="0.25">
      <c r="A1171" s="105">
        <f t="shared" si="18"/>
        <v>2401023</v>
      </c>
      <c r="B1171" s="105" t="s">
        <v>1877</v>
      </c>
      <c r="C1171" s="105" t="s">
        <v>1878</v>
      </c>
      <c r="D1171" s="105">
        <v>0</v>
      </c>
      <c r="E1171" s="105">
        <v>0</v>
      </c>
      <c r="F1171" s="105">
        <v>0</v>
      </c>
    </row>
    <row r="1172" spans="1:6" x14ac:dyDescent="0.25">
      <c r="A1172" s="105">
        <f t="shared" si="18"/>
        <v>2401100</v>
      </c>
      <c r="B1172" s="105" t="s">
        <v>1879</v>
      </c>
      <c r="C1172" s="105" t="s">
        <v>1880</v>
      </c>
      <c r="D1172" s="105">
        <v>12510</v>
      </c>
      <c r="E1172" s="105">
        <v>7506</v>
      </c>
      <c r="F1172" s="105">
        <v>2</v>
      </c>
    </row>
    <row r="1173" spans="1:6" x14ac:dyDescent="0.25">
      <c r="A1173" s="105" t="str">
        <f t="shared" si="18"/>
        <v/>
      </c>
      <c r="B1173" s="105" t="s">
        <v>1881</v>
      </c>
      <c r="C1173" s="105" t="s">
        <v>8</v>
      </c>
      <c r="D1173" s="105">
        <v>0</v>
      </c>
      <c r="E1173" s="105">
        <v>0</v>
      </c>
      <c r="F1173" s="105">
        <v>0</v>
      </c>
    </row>
    <row r="1174" spans="1:6" x14ac:dyDescent="0.25">
      <c r="A1174" s="105">
        <f t="shared" si="18"/>
        <v>2401101</v>
      </c>
      <c r="B1174" s="105" t="s">
        <v>1882</v>
      </c>
      <c r="C1174" s="105" t="s">
        <v>1883</v>
      </c>
      <c r="D1174" s="105">
        <v>11058</v>
      </c>
      <c r="E1174" s="105">
        <v>6634.8</v>
      </c>
      <c r="F1174" s="105">
        <v>32</v>
      </c>
    </row>
    <row r="1175" spans="1:6" x14ac:dyDescent="0.25">
      <c r="A1175" s="105">
        <f t="shared" si="18"/>
        <v>2401103</v>
      </c>
      <c r="B1175" s="105" t="s">
        <v>1884</v>
      </c>
      <c r="C1175" s="105" t="s">
        <v>1885</v>
      </c>
      <c r="D1175" s="105">
        <v>11871</v>
      </c>
      <c r="E1175" s="105">
        <v>7122.6</v>
      </c>
      <c r="F1175" s="105">
        <v>74</v>
      </c>
    </row>
    <row r="1176" spans="1:6" x14ac:dyDescent="0.25">
      <c r="A1176" s="105" t="str">
        <f t="shared" si="18"/>
        <v/>
      </c>
      <c r="B1176" s="105" t="s">
        <v>1886</v>
      </c>
      <c r="C1176" s="105" t="s">
        <v>8</v>
      </c>
      <c r="D1176" s="105">
        <v>0</v>
      </c>
      <c r="E1176" s="105">
        <v>0</v>
      </c>
      <c r="F1176" s="105">
        <v>0</v>
      </c>
    </row>
    <row r="1177" spans="1:6" x14ac:dyDescent="0.25">
      <c r="A1177" s="105">
        <f t="shared" si="18"/>
        <v>2401123</v>
      </c>
      <c r="B1177" s="105" t="s">
        <v>1887</v>
      </c>
      <c r="C1177" s="105" t="s">
        <v>1888</v>
      </c>
      <c r="D1177" s="105">
        <v>0</v>
      </c>
      <c r="E1177" s="105">
        <v>0</v>
      </c>
      <c r="F1177" s="105">
        <v>0</v>
      </c>
    </row>
    <row r="1178" spans="1:6" x14ac:dyDescent="0.25">
      <c r="A1178" s="105" t="str">
        <f t="shared" si="18"/>
        <v/>
      </c>
      <c r="B1178" s="105" t="s">
        <v>1889</v>
      </c>
      <c r="C1178" s="105" t="s">
        <v>8</v>
      </c>
      <c r="D1178" s="105">
        <v>0</v>
      </c>
      <c r="E1178" s="105">
        <v>0</v>
      </c>
      <c r="F1178" s="105">
        <v>0</v>
      </c>
    </row>
    <row r="1179" spans="1:6" x14ac:dyDescent="0.25">
      <c r="A1179" s="105">
        <f t="shared" si="18"/>
        <v>2401200</v>
      </c>
      <c r="B1179" s="105" t="s">
        <v>1890</v>
      </c>
      <c r="C1179" s="105" t="s">
        <v>1891</v>
      </c>
      <c r="D1179" s="105">
        <v>0</v>
      </c>
      <c r="E1179" s="105">
        <v>0</v>
      </c>
      <c r="F1179" s="105">
        <v>0</v>
      </c>
    </row>
    <row r="1180" spans="1:6" x14ac:dyDescent="0.25">
      <c r="A1180" s="105" t="str">
        <f t="shared" si="18"/>
        <v/>
      </c>
      <c r="B1180" s="105" t="s">
        <v>1892</v>
      </c>
      <c r="C1180" s="105" t="s">
        <v>8</v>
      </c>
      <c r="D1180" s="105">
        <v>0</v>
      </c>
      <c r="E1180" s="105">
        <v>0</v>
      </c>
      <c r="F1180" s="105">
        <v>0</v>
      </c>
    </row>
    <row r="1181" spans="1:6" x14ac:dyDescent="0.25">
      <c r="A1181" s="105">
        <f t="shared" si="18"/>
        <v>2401201</v>
      </c>
      <c r="B1181" s="105" t="s">
        <v>1893</v>
      </c>
      <c r="C1181" s="105" t="s">
        <v>1894</v>
      </c>
      <c r="D1181" s="105">
        <v>0</v>
      </c>
      <c r="E1181" s="105">
        <v>0</v>
      </c>
      <c r="F1181" s="105">
        <v>0</v>
      </c>
    </row>
    <row r="1182" spans="1:6" x14ac:dyDescent="0.25">
      <c r="A1182" s="105">
        <f t="shared" si="18"/>
        <v>2401242</v>
      </c>
      <c r="B1182" s="105" t="s">
        <v>1895</v>
      </c>
      <c r="C1182" s="105" t="s">
        <v>1896</v>
      </c>
      <c r="D1182" s="105">
        <v>10458</v>
      </c>
      <c r="E1182" s="105">
        <v>6274.8</v>
      </c>
      <c r="F1182" s="105">
        <v>17</v>
      </c>
    </row>
    <row r="1183" spans="1:6" x14ac:dyDescent="0.25">
      <c r="A1183" s="105">
        <f t="shared" si="18"/>
        <v>2401249</v>
      </c>
      <c r="B1183" s="105" t="s">
        <v>1897</v>
      </c>
      <c r="C1183" s="105" t="s">
        <v>1898</v>
      </c>
      <c r="D1183" s="105">
        <v>8625.83</v>
      </c>
      <c r="E1183" s="105">
        <v>5175.5</v>
      </c>
      <c r="F1183" s="105">
        <v>25</v>
      </c>
    </row>
    <row r="1184" spans="1:6" x14ac:dyDescent="0.25">
      <c r="A1184" s="105">
        <f t="shared" si="18"/>
        <v>2401250</v>
      </c>
      <c r="B1184" s="105" t="s">
        <v>1899</v>
      </c>
      <c r="C1184" s="105" t="s">
        <v>1900</v>
      </c>
      <c r="D1184" s="105">
        <v>2515.77</v>
      </c>
      <c r="E1184" s="105">
        <v>1509.46</v>
      </c>
      <c r="F1184" s="105">
        <v>0</v>
      </c>
    </row>
    <row r="1185" spans="1:6" x14ac:dyDescent="0.25">
      <c r="A1185" s="105">
        <f t="shared" si="18"/>
        <v>2401258</v>
      </c>
      <c r="B1185" s="105" t="s">
        <v>1901</v>
      </c>
      <c r="C1185" s="105" t="s">
        <v>1902</v>
      </c>
      <c r="D1185" s="105">
        <v>734.59</v>
      </c>
      <c r="E1185" s="105">
        <v>440.75</v>
      </c>
      <c r="F1185" s="105">
        <v>0</v>
      </c>
    </row>
    <row r="1186" spans="1:6" x14ac:dyDescent="0.25">
      <c r="A1186" s="105" t="str">
        <f t="shared" si="18"/>
        <v/>
      </c>
      <c r="B1186" s="105" t="s">
        <v>1903</v>
      </c>
      <c r="C1186" s="105" t="s">
        <v>8</v>
      </c>
      <c r="D1186" s="105">
        <v>0</v>
      </c>
      <c r="E1186" s="105">
        <v>0</v>
      </c>
      <c r="F1186" s="105">
        <v>0</v>
      </c>
    </row>
    <row r="1187" spans="1:6" x14ac:dyDescent="0.25">
      <c r="A1187" s="105">
        <f t="shared" si="18"/>
        <v>2401260</v>
      </c>
      <c r="B1187" s="105" t="s">
        <v>1904</v>
      </c>
      <c r="C1187" s="105" t="s">
        <v>1905</v>
      </c>
      <c r="D1187" s="105">
        <v>0</v>
      </c>
      <c r="E1187" s="105">
        <v>0</v>
      </c>
      <c r="F1187" s="105">
        <v>0</v>
      </c>
    </row>
    <row r="1188" spans="1:6" x14ac:dyDescent="0.25">
      <c r="A1188" s="105">
        <f t="shared" si="18"/>
        <v>2401298</v>
      </c>
      <c r="B1188" s="105" t="s">
        <v>1906</v>
      </c>
      <c r="C1188" s="105" t="s">
        <v>1907</v>
      </c>
      <c r="D1188" s="105">
        <v>3059.69</v>
      </c>
      <c r="E1188" s="105">
        <v>1835.81</v>
      </c>
      <c r="F1188" s="105">
        <v>174</v>
      </c>
    </row>
    <row r="1189" spans="1:6" x14ac:dyDescent="0.25">
      <c r="A1189" s="105">
        <f t="shared" si="18"/>
        <v>2401350</v>
      </c>
      <c r="B1189" s="105" t="s">
        <v>1908</v>
      </c>
      <c r="C1189" s="105" t="s">
        <v>1909</v>
      </c>
      <c r="D1189" s="105">
        <v>8750.85</v>
      </c>
      <c r="E1189" s="105">
        <v>5250.51</v>
      </c>
      <c r="F1189" s="105">
        <v>0</v>
      </c>
    </row>
    <row r="1190" spans="1:6" x14ac:dyDescent="0.25">
      <c r="A1190" s="105" t="str">
        <f t="shared" si="18"/>
        <v/>
      </c>
      <c r="B1190" s="105" t="s">
        <v>1910</v>
      </c>
      <c r="C1190" s="105" t="s">
        <v>8</v>
      </c>
      <c r="D1190" s="105">
        <v>0</v>
      </c>
      <c r="E1190" s="105">
        <v>0</v>
      </c>
      <c r="F1190" s="105">
        <v>0</v>
      </c>
    </row>
    <row r="1191" spans="1:6" x14ac:dyDescent="0.25">
      <c r="A1191" s="105">
        <f t="shared" si="18"/>
        <v>240135000</v>
      </c>
      <c r="B1191" s="105" t="s">
        <v>1911</v>
      </c>
      <c r="C1191" s="105" t="s">
        <v>1912</v>
      </c>
      <c r="D1191" s="105">
        <v>0</v>
      </c>
      <c r="E1191" s="105">
        <v>0</v>
      </c>
      <c r="F1191" s="105">
        <v>0</v>
      </c>
    </row>
    <row r="1192" spans="1:6" x14ac:dyDescent="0.25">
      <c r="A1192" s="105">
        <f t="shared" si="18"/>
        <v>2401550</v>
      </c>
      <c r="B1192" s="105" t="s">
        <v>1913</v>
      </c>
      <c r="C1192" s="105" t="s">
        <v>1914</v>
      </c>
      <c r="D1192" s="105">
        <v>10677</v>
      </c>
      <c r="E1192" s="105">
        <v>6406.2</v>
      </c>
      <c r="F1192" s="105">
        <v>3</v>
      </c>
    </row>
    <row r="1193" spans="1:6" x14ac:dyDescent="0.25">
      <c r="A1193" s="105">
        <f t="shared" si="18"/>
        <v>2401555</v>
      </c>
      <c r="B1193" s="105" t="s">
        <v>1915</v>
      </c>
      <c r="C1193" s="105" t="s">
        <v>1916</v>
      </c>
      <c r="D1193" s="105">
        <v>456.54</v>
      </c>
      <c r="E1193" s="105">
        <v>273.92</v>
      </c>
      <c r="F1193" s="105">
        <v>0</v>
      </c>
    </row>
    <row r="1194" spans="1:6" x14ac:dyDescent="0.25">
      <c r="A1194" s="105">
        <f t="shared" si="18"/>
        <v>2401584</v>
      </c>
      <c r="B1194" s="105" t="s">
        <v>1917</v>
      </c>
      <c r="C1194" s="105" t="s">
        <v>1918</v>
      </c>
      <c r="D1194" s="105">
        <v>3059.69</v>
      </c>
      <c r="E1194" s="105">
        <v>1835.81</v>
      </c>
      <c r="F1194" s="105">
        <v>107</v>
      </c>
    </row>
    <row r="1195" spans="1:6" x14ac:dyDescent="0.25">
      <c r="A1195" s="105">
        <f t="shared" si="18"/>
        <v>2401800</v>
      </c>
      <c r="B1195" s="105" t="s">
        <v>1919</v>
      </c>
      <c r="C1195" s="105" t="s">
        <v>1920</v>
      </c>
      <c r="D1195" s="105">
        <v>4409.6000000000004</v>
      </c>
      <c r="E1195" s="105">
        <v>2645.76</v>
      </c>
      <c r="F1195" s="105">
        <v>2</v>
      </c>
    </row>
    <row r="1196" spans="1:6" x14ac:dyDescent="0.25">
      <c r="A1196" s="105" t="str">
        <f t="shared" si="18"/>
        <v/>
      </c>
      <c r="B1196" s="105" t="s">
        <v>1921</v>
      </c>
      <c r="C1196" s="105" t="s">
        <v>8</v>
      </c>
      <c r="D1196" s="105">
        <v>0</v>
      </c>
      <c r="E1196" s="105">
        <v>0</v>
      </c>
      <c r="F1196" s="105">
        <v>0</v>
      </c>
    </row>
    <row r="1197" spans="1:6" x14ac:dyDescent="0.25">
      <c r="A1197" s="105">
        <f t="shared" si="18"/>
        <v>2401803</v>
      </c>
      <c r="B1197" s="105" t="s">
        <v>1922</v>
      </c>
      <c r="C1197" s="105" t="s">
        <v>1923</v>
      </c>
      <c r="D1197" s="105">
        <v>0</v>
      </c>
      <c r="E1197" s="105">
        <v>0</v>
      </c>
      <c r="F1197" s="105">
        <v>0</v>
      </c>
    </row>
    <row r="1198" spans="1:6" x14ac:dyDescent="0.25">
      <c r="A1198" s="105">
        <f t="shared" si="18"/>
        <v>2401805</v>
      </c>
      <c r="B1198" s="105" t="s">
        <v>1924</v>
      </c>
      <c r="C1198" s="105" t="s">
        <v>1925</v>
      </c>
      <c r="D1198" s="105">
        <v>4409.6000000000004</v>
      </c>
      <c r="E1198" s="105">
        <v>2645.76</v>
      </c>
      <c r="F1198" s="105">
        <v>0</v>
      </c>
    </row>
    <row r="1199" spans="1:6" x14ac:dyDescent="0.25">
      <c r="A1199" s="105">
        <f t="shared" si="18"/>
        <v>2401806</v>
      </c>
      <c r="B1199" s="105" t="s">
        <v>1926</v>
      </c>
      <c r="C1199" s="105" t="s">
        <v>1927</v>
      </c>
      <c r="D1199" s="105">
        <v>5625.55</v>
      </c>
      <c r="E1199" s="105">
        <v>3375.33</v>
      </c>
      <c r="F1199" s="105">
        <v>1</v>
      </c>
    </row>
    <row r="1200" spans="1:6" x14ac:dyDescent="0.25">
      <c r="A1200" s="105">
        <f t="shared" si="18"/>
        <v>2601003</v>
      </c>
      <c r="B1200" s="105" t="s">
        <v>1928</v>
      </c>
      <c r="C1200" s="105" t="s">
        <v>1929</v>
      </c>
      <c r="D1200" s="105">
        <v>4759.3999999999996</v>
      </c>
      <c r="E1200" s="105">
        <v>2855.64</v>
      </c>
      <c r="F1200" s="105">
        <v>166</v>
      </c>
    </row>
    <row r="1201" spans="1:6" x14ac:dyDescent="0.25">
      <c r="A1201" s="105">
        <f t="shared" si="18"/>
        <v>2601004</v>
      </c>
      <c r="B1201" s="105" t="s">
        <v>1930</v>
      </c>
      <c r="C1201" s="105" t="s">
        <v>1931</v>
      </c>
      <c r="D1201" s="105">
        <v>4759.3999999999996</v>
      </c>
      <c r="E1201" s="105">
        <v>2855.64</v>
      </c>
      <c r="F1201" s="105">
        <v>122</v>
      </c>
    </row>
    <row r="1202" spans="1:6" x14ac:dyDescent="0.25">
      <c r="A1202" s="105">
        <f t="shared" si="18"/>
        <v>2601005</v>
      </c>
      <c r="B1202" s="105" t="s">
        <v>1932</v>
      </c>
      <c r="C1202" s="105" t="s">
        <v>1933</v>
      </c>
      <c r="D1202" s="105">
        <v>4759.3999999999996</v>
      </c>
      <c r="E1202" s="105">
        <v>2855.64</v>
      </c>
      <c r="F1202" s="105">
        <v>0</v>
      </c>
    </row>
    <row r="1203" spans="1:6" x14ac:dyDescent="0.25">
      <c r="A1203" s="105">
        <f t="shared" si="18"/>
        <v>2601495</v>
      </c>
      <c r="B1203" s="105" t="s">
        <v>1934</v>
      </c>
      <c r="C1203" s="105" t="s">
        <v>1935</v>
      </c>
      <c r="D1203" s="105">
        <v>4293</v>
      </c>
      <c r="E1203" s="105">
        <v>2575.8000000000002</v>
      </c>
      <c r="F1203" s="105">
        <v>135</v>
      </c>
    </row>
    <row r="1204" spans="1:6" x14ac:dyDescent="0.25">
      <c r="A1204" s="105" t="str">
        <f t="shared" si="18"/>
        <v/>
      </c>
      <c r="B1204" s="105" t="s">
        <v>1936</v>
      </c>
      <c r="C1204" s="105" t="s">
        <v>8</v>
      </c>
      <c r="D1204" s="105">
        <v>0</v>
      </c>
      <c r="E1204" s="105">
        <v>0</v>
      </c>
      <c r="F1204" s="105">
        <v>0</v>
      </c>
    </row>
    <row r="1205" spans="1:6" x14ac:dyDescent="0.25">
      <c r="A1205" s="105">
        <f t="shared" si="18"/>
        <v>2601496</v>
      </c>
      <c r="B1205" s="105" t="s">
        <v>1937</v>
      </c>
      <c r="C1205" s="105" t="s">
        <v>1938</v>
      </c>
      <c r="D1205" s="105">
        <v>4717</v>
      </c>
      <c r="E1205" s="105">
        <v>2830.2</v>
      </c>
      <c r="F1205" s="105">
        <v>22</v>
      </c>
    </row>
    <row r="1206" spans="1:6" x14ac:dyDescent="0.25">
      <c r="A1206" s="105">
        <f t="shared" si="18"/>
        <v>2601594</v>
      </c>
      <c r="B1206" s="105" t="s">
        <v>1939</v>
      </c>
      <c r="C1206" s="105" t="s">
        <v>1940</v>
      </c>
      <c r="D1206" s="105">
        <v>4293</v>
      </c>
      <c r="E1206" s="105">
        <v>2575.8000000000002</v>
      </c>
      <c r="F1206" s="105">
        <v>11</v>
      </c>
    </row>
    <row r="1207" spans="1:6" x14ac:dyDescent="0.25">
      <c r="A1207" s="105">
        <f t="shared" si="18"/>
        <v>2601750</v>
      </c>
      <c r="B1207" s="105" t="s">
        <v>1941</v>
      </c>
      <c r="C1207" s="105" t="s">
        <v>1942</v>
      </c>
      <c r="D1207" s="105">
        <v>4759.3999999999996</v>
      </c>
      <c r="E1207" s="105">
        <v>2855.64</v>
      </c>
      <c r="F1207" s="105">
        <v>20</v>
      </c>
    </row>
    <row r="1208" spans="1:6" x14ac:dyDescent="0.25">
      <c r="A1208" s="105" t="str">
        <f t="shared" si="18"/>
        <v/>
      </c>
      <c r="B1208" s="105" t="s">
        <v>1943</v>
      </c>
      <c r="C1208" s="105" t="s">
        <v>8</v>
      </c>
      <c r="D1208" s="105">
        <v>0</v>
      </c>
      <c r="E1208" s="105">
        <v>0</v>
      </c>
      <c r="F1208" s="105">
        <v>0</v>
      </c>
    </row>
    <row r="1209" spans="1:6" x14ac:dyDescent="0.25">
      <c r="A1209" s="105">
        <f t="shared" si="18"/>
        <v>2601850</v>
      </c>
      <c r="B1209" s="105" t="s">
        <v>1944</v>
      </c>
      <c r="C1209" s="105" t="s">
        <v>1945</v>
      </c>
      <c r="D1209" s="105">
        <v>0</v>
      </c>
      <c r="E1209" s="105">
        <v>0</v>
      </c>
      <c r="F1209" s="105">
        <v>0</v>
      </c>
    </row>
    <row r="1210" spans="1:6" x14ac:dyDescent="0.25">
      <c r="A1210" s="105" t="str">
        <f t="shared" si="18"/>
        <v/>
      </c>
      <c r="B1210" s="105" t="s">
        <v>1946</v>
      </c>
      <c r="C1210" s="105" t="s">
        <v>8</v>
      </c>
      <c r="D1210" s="105">
        <v>0</v>
      </c>
      <c r="E1210" s="105">
        <v>0</v>
      </c>
      <c r="F1210" s="105">
        <v>0</v>
      </c>
    </row>
    <row r="1211" spans="1:6" x14ac:dyDescent="0.25">
      <c r="A1211" s="105">
        <f t="shared" si="18"/>
        <v>2601851</v>
      </c>
      <c r="B1211" s="105" t="s">
        <v>1947</v>
      </c>
      <c r="C1211" s="105" t="s">
        <v>1948</v>
      </c>
      <c r="D1211" s="105">
        <v>0</v>
      </c>
      <c r="E1211" s="105">
        <v>0</v>
      </c>
      <c r="F1211" s="105">
        <v>0</v>
      </c>
    </row>
    <row r="1212" spans="1:6" x14ac:dyDescent="0.25">
      <c r="A1212" s="105">
        <f t="shared" si="18"/>
        <v>2601888</v>
      </c>
      <c r="B1212" s="105" t="s">
        <v>1949</v>
      </c>
      <c r="C1212" s="105" t="s">
        <v>1950</v>
      </c>
      <c r="D1212" s="105">
        <v>4918.3999999999996</v>
      </c>
      <c r="E1212" s="105">
        <v>2951.04</v>
      </c>
      <c r="F1212" s="105">
        <v>0</v>
      </c>
    </row>
    <row r="1213" spans="1:6" x14ac:dyDescent="0.25">
      <c r="A1213" s="105">
        <f t="shared" si="18"/>
        <v>2601900</v>
      </c>
      <c r="B1213" s="105" t="s">
        <v>1951</v>
      </c>
      <c r="C1213" s="105" t="s">
        <v>1952</v>
      </c>
      <c r="D1213" s="105">
        <v>4293</v>
      </c>
      <c r="E1213" s="105">
        <v>2575.8000000000002</v>
      </c>
      <c r="F1213" s="105">
        <v>176</v>
      </c>
    </row>
    <row r="1214" spans="1:6" x14ac:dyDescent="0.25">
      <c r="A1214" s="105">
        <f t="shared" si="18"/>
        <v>2601901</v>
      </c>
      <c r="B1214" s="105" t="s">
        <v>1953</v>
      </c>
      <c r="C1214" s="105" t="s">
        <v>1954</v>
      </c>
      <c r="D1214" s="105">
        <v>4717</v>
      </c>
      <c r="E1214" s="105">
        <v>2830.2</v>
      </c>
      <c r="F1214" s="105">
        <v>20</v>
      </c>
    </row>
    <row r="1215" spans="1:6" x14ac:dyDescent="0.25">
      <c r="A1215" s="105">
        <f t="shared" si="18"/>
        <v>2727030</v>
      </c>
      <c r="B1215" s="105" t="s">
        <v>1955</v>
      </c>
      <c r="C1215" s="105" t="s">
        <v>1956</v>
      </c>
      <c r="D1215" s="105">
        <v>199.23</v>
      </c>
      <c r="E1215" s="105">
        <v>119.54</v>
      </c>
      <c r="F1215" s="105">
        <v>0</v>
      </c>
    </row>
    <row r="1216" spans="1:6" x14ac:dyDescent="0.25">
      <c r="A1216" s="105" t="str">
        <f t="shared" si="18"/>
        <v/>
      </c>
      <c r="B1216" s="105" t="s">
        <v>1957</v>
      </c>
      <c r="C1216" s="105" t="s">
        <v>8</v>
      </c>
      <c r="D1216" s="105">
        <v>0</v>
      </c>
      <c r="E1216" s="105">
        <v>0</v>
      </c>
      <c r="F1216" s="105">
        <v>0</v>
      </c>
    </row>
    <row r="1217" spans="1:6" x14ac:dyDescent="0.25">
      <c r="A1217" s="105">
        <f t="shared" si="18"/>
        <v>2846646</v>
      </c>
      <c r="B1217" s="105" t="s">
        <v>1958</v>
      </c>
      <c r="C1217" s="105" t="s">
        <v>1959</v>
      </c>
      <c r="D1217" s="105">
        <v>0</v>
      </c>
      <c r="E1217" s="105">
        <v>0</v>
      </c>
      <c r="F1217" s="105">
        <v>0</v>
      </c>
    </row>
    <row r="1218" spans="1:6" x14ac:dyDescent="0.25">
      <c r="A1218" s="105" t="str">
        <f t="shared" si="18"/>
        <v/>
      </c>
      <c r="B1218" s="105" t="s">
        <v>1960</v>
      </c>
      <c r="C1218" s="105" t="s">
        <v>8</v>
      </c>
      <c r="D1218" s="105">
        <v>0</v>
      </c>
      <c r="E1218" s="105">
        <v>0</v>
      </c>
      <c r="F1218" s="105">
        <v>0</v>
      </c>
    </row>
    <row r="1219" spans="1:6" x14ac:dyDescent="0.25">
      <c r="A1219" s="105">
        <f t="shared" ref="A1219:A1282" si="19">IF(B1219&lt;&gt;"",IFERROR(B1219*1,""),"")</f>
        <v>2849103</v>
      </c>
      <c r="B1219" s="105" t="s">
        <v>1961</v>
      </c>
      <c r="C1219" s="105" t="s">
        <v>1962</v>
      </c>
      <c r="D1219" s="105">
        <v>0</v>
      </c>
      <c r="E1219" s="105">
        <v>0</v>
      </c>
      <c r="F1219" s="105">
        <v>0</v>
      </c>
    </row>
    <row r="1220" spans="1:6" x14ac:dyDescent="0.25">
      <c r="A1220" s="105" t="str">
        <f t="shared" si="19"/>
        <v/>
      </c>
      <c r="B1220" s="105" t="s">
        <v>1963</v>
      </c>
      <c r="C1220" s="105" t="s">
        <v>8</v>
      </c>
      <c r="D1220" s="105">
        <v>0</v>
      </c>
      <c r="E1220" s="105">
        <v>0</v>
      </c>
      <c r="F1220" s="105">
        <v>0</v>
      </c>
    </row>
    <row r="1221" spans="1:6" x14ac:dyDescent="0.25">
      <c r="A1221" s="105">
        <f t="shared" si="19"/>
        <v>2849225</v>
      </c>
      <c r="B1221" s="105" t="s">
        <v>1964</v>
      </c>
      <c r="C1221" s="105" t="s">
        <v>1965</v>
      </c>
      <c r="D1221" s="105">
        <v>0</v>
      </c>
      <c r="E1221" s="105">
        <v>0</v>
      </c>
      <c r="F1221" s="105">
        <v>0</v>
      </c>
    </row>
    <row r="1222" spans="1:6" x14ac:dyDescent="0.25">
      <c r="A1222" s="105" t="str">
        <f t="shared" si="19"/>
        <v/>
      </c>
      <c r="B1222" s="105" t="s">
        <v>1966</v>
      </c>
      <c r="C1222" s="105" t="s">
        <v>8</v>
      </c>
      <c r="D1222" s="105">
        <v>0</v>
      </c>
      <c r="E1222" s="105">
        <v>0</v>
      </c>
      <c r="F1222" s="105">
        <v>0</v>
      </c>
    </row>
    <row r="1223" spans="1:6" x14ac:dyDescent="0.25">
      <c r="A1223" s="105">
        <f t="shared" si="19"/>
        <v>2849230</v>
      </c>
      <c r="B1223" s="105" t="s">
        <v>1967</v>
      </c>
      <c r="C1223" s="105" t="s">
        <v>1968</v>
      </c>
      <c r="D1223" s="105">
        <v>0</v>
      </c>
      <c r="E1223" s="105">
        <v>0</v>
      </c>
      <c r="F1223" s="105">
        <v>0</v>
      </c>
    </row>
    <row r="1224" spans="1:6" x14ac:dyDescent="0.25">
      <c r="A1224" s="105" t="str">
        <f t="shared" si="19"/>
        <v/>
      </c>
      <c r="B1224" s="105" t="s">
        <v>1969</v>
      </c>
      <c r="C1224" s="105" t="s">
        <v>8</v>
      </c>
      <c r="D1224" s="105">
        <v>0</v>
      </c>
      <c r="E1224" s="105">
        <v>0</v>
      </c>
      <c r="F1224" s="105">
        <v>0</v>
      </c>
    </row>
    <row r="1225" spans="1:6" x14ac:dyDescent="0.25">
      <c r="A1225" s="105">
        <f t="shared" si="19"/>
        <v>2849231</v>
      </c>
      <c r="B1225" s="105" t="s">
        <v>1970</v>
      </c>
      <c r="C1225" s="105" t="s">
        <v>1971</v>
      </c>
      <c r="D1225" s="105">
        <v>0</v>
      </c>
      <c r="E1225" s="105">
        <v>0</v>
      </c>
      <c r="F1225" s="105">
        <v>0</v>
      </c>
    </row>
    <row r="1226" spans="1:6" x14ac:dyDescent="0.25">
      <c r="A1226" s="105" t="str">
        <f t="shared" si="19"/>
        <v/>
      </c>
      <c r="B1226" s="105" t="s">
        <v>1972</v>
      </c>
      <c r="C1226" s="105" t="s">
        <v>8</v>
      </c>
      <c r="D1226" s="105">
        <v>0</v>
      </c>
      <c r="E1226" s="105">
        <v>0</v>
      </c>
      <c r="F1226" s="105">
        <v>0</v>
      </c>
    </row>
    <row r="1227" spans="1:6" x14ac:dyDescent="0.25">
      <c r="A1227" s="105">
        <f t="shared" si="19"/>
        <v>2849232</v>
      </c>
      <c r="B1227" s="105" t="s">
        <v>1973</v>
      </c>
      <c r="C1227" s="105" t="s">
        <v>1974</v>
      </c>
      <c r="D1227" s="105">
        <v>0</v>
      </c>
      <c r="E1227" s="105">
        <v>0</v>
      </c>
      <c r="F1227" s="105">
        <v>0</v>
      </c>
    </row>
    <row r="1228" spans="1:6" x14ac:dyDescent="0.25">
      <c r="A1228" s="105" t="str">
        <f t="shared" si="19"/>
        <v/>
      </c>
      <c r="B1228" s="105" t="s">
        <v>1975</v>
      </c>
      <c r="C1228" s="105" t="s">
        <v>8</v>
      </c>
      <c r="D1228" s="105">
        <v>0</v>
      </c>
      <c r="E1228" s="105">
        <v>0</v>
      </c>
      <c r="F1228" s="105">
        <v>0</v>
      </c>
    </row>
    <row r="1229" spans="1:6" x14ac:dyDescent="0.25">
      <c r="A1229" s="105">
        <f t="shared" si="19"/>
        <v>2849233</v>
      </c>
      <c r="B1229" s="105" t="s">
        <v>1976</v>
      </c>
      <c r="C1229" s="105" t="s">
        <v>1977</v>
      </c>
      <c r="D1229" s="105">
        <v>0</v>
      </c>
      <c r="E1229" s="105">
        <v>0</v>
      </c>
      <c r="F1229" s="105">
        <v>0</v>
      </c>
    </row>
    <row r="1230" spans="1:6" x14ac:dyDescent="0.25">
      <c r="A1230" s="105" t="str">
        <f t="shared" si="19"/>
        <v/>
      </c>
      <c r="B1230" s="105" t="s">
        <v>1978</v>
      </c>
      <c r="C1230" s="105" t="s">
        <v>8</v>
      </c>
      <c r="D1230" s="105">
        <v>0</v>
      </c>
      <c r="E1230" s="105">
        <v>0</v>
      </c>
      <c r="F1230" s="105">
        <v>0</v>
      </c>
    </row>
    <row r="1231" spans="1:6" x14ac:dyDescent="0.25">
      <c r="A1231" s="105">
        <f t="shared" si="19"/>
        <v>2849238</v>
      </c>
      <c r="B1231" s="105" t="s">
        <v>1979</v>
      </c>
      <c r="C1231" s="105" t="s">
        <v>1980</v>
      </c>
      <c r="D1231" s="105">
        <v>0</v>
      </c>
      <c r="E1231" s="105">
        <v>0</v>
      </c>
      <c r="F1231" s="105">
        <v>0</v>
      </c>
    </row>
    <row r="1232" spans="1:6" x14ac:dyDescent="0.25">
      <c r="A1232" s="105" t="str">
        <f t="shared" si="19"/>
        <v/>
      </c>
      <c r="B1232" s="105" t="s">
        <v>1981</v>
      </c>
      <c r="C1232" s="105" t="s">
        <v>8</v>
      </c>
      <c r="D1232" s="105">
        <v>0</v>
      </c>
      <c r="E1232" s="105">
        <v>0</v>
      </c>
      <c r="F1232" s="105">
        <v>0</v>
      </c>
    </row>
    <row r="1233" spans="1:6" x14ac:dyDescent="0.25">
      <c r="A1233" s="105">
        <f t="shared" si="19"/>
        <v>2849250</v>
      </c>
      <c r="B1233" s="105" t="s">
        <v>1982</v>
      </c>
      <c r="C1233" s="105" t="s">
        <v>1983</v>
      </c>
      <c r="D1233" s="105">
        <v>0</v>
      </c>
      <c r="E1233" s="105">
        <v>0</v>
      </c>
      <c r="F1233" s="105">
        <v>0</v>
      </c>
    </row>
    <row r="1234" spans="1:6" x14ac:dyDescent="0.25">
      <c r="A1234" s="105" t="str">
        <f t="shared" si="19"/>
        <v/>
      </c>
      <c r="B1234" s="105" t="s">
        <v>1984</v>
      </c>
      <c r="C1234" s="105" t="s">
        <v>8</v>
      </c>
      <c r="D1234" s="105">
        <v>0</v>
      </c>
      <c r="E1234" s="105">
        <v>0</v>
      </c>
      <c r="F1234" s="105">
        <v>0</v>
      </c>
    </row>
    <row r="1235" spans="1:6" x14ac:dyDescent="0.25">
      <c r="A1235" s="105">
        <f t="shared" si="19"/>
        <v>2849302</v>
      </c>
      <c r="B1235" s="105" t="s">
        <v>1985</v>
      </c>
      <c r="C1235" s="105" t="s">
        <v>1986</v>
      </c>
      <c r="D1235" s="105">
        <v>0</v>
      </c>
      <c r="E1235" s="105">
        <v>0</v>
      </c>
      <c r="F1235" s="105">
        <v>0</v>
      </c>
    </row>
    <row r="1236" spans="1:6" x14ac:dyDescent="0.25">
      <c r="A1236" s="105" t="str">
        <f t="shared" si="19"/>
        <v/>
      </c>
      <c r="B1236" s="105" t="s">
        <v>1987</v>
      </c>
      <c r="C1236" s="105" t="s">
        <v>8</v>
      </c>
      <c r="D1236" s="105">
        <v>0</v>
      </c>
      <c r="E1236" s="105">
        <v>0</v>
      </c>
      <c r="F1236" s="105">
        <v>0</v>
      </c>
    </row>
    <row r="1237" spans="1:6" x14ac:dyDescent="0.25">
      <c r="A1237" s="105">
        <f t="shared" si="19"/>
        <v>2849304</v>
      </c>
      <c r="B1237" s="105" t="s">
        <v>1988</v>
      </c>
      <c r="C1237" s="105" t="s">
        <v>1989</v>
      </c>
      <c r="D1237" s="105">
        <v>0</v>
      </c>
      <c r="E1237" s="105">
        <v>0</v>
      </c>
      <c r="F1237" s="105">
        <v>0</v>
      </c>
    </row>
    <row r="1238" spans="1:6" x14ac:dyDescent="0.25">
      <c r="A1238" s="105" t="str">
        <f t="shared" si="19"/>
        <v/>
      </c>
      <c r="B1238" s="105" t="s">
        <v>1990</v>
      </c>
      <c r="C1238" s="105" t="s">
        <v>8</v>
      </c>
      <c r="D1238" s="105">
        <v>0</v>
      </c>
      <c r="E1238" s="105">
        <v>0</v>
      </c>
      <c r="F1238" s="105">
        <v>0</v>
      </c>
    </row>
    <row r="1239" spans="1:6" x14ac:dyDescent="0.25">
      <c r="A1239" s="105">
        <f t="shared" si="19"/>
        <v>2849361</v>
      </c>
      <c r="B1239" s="105" t="s">
        <v>1991</v>
      </c>
      <c r="C1239" s="105" t="s">
        <v>1992</v>
      </c>
      <c r="D1239" s="105">
        <v>0</v>
      </c>
      <c r="E1239" s="105">
        <v>0</v>
      </c>
      <c r="F1239" s="105">
        <v>0</v>
      </c>
    </row>
    <row r="1240" spans="1:6" x14ac:dyDescent="0.25">
      <c r="A1240" s="105" t="str">
        <f t="shared" si="19"/>
        <v/>
      </c>
      <c r="B1240" s="105" t="s">
        <v>1993</v>
      </c>
      <c r="C1240" s="105" t="s">
        <v>8</v>
      </c>
      <c r="D1240" s="105">
        <v>0</v>
      </c>
      <c r="E1240" s="105">
        <v>0</v>
      </c>
      <c r="F1240" s="105">
        <v>0</v>
      </c>
    </row>
    <row r="1241" spans="1:6" x14ac:dyDescent="0.25">
      <c r="A1241" s="105">
        <f t="shared" si="19"/>
        <v>2849425</v>
      </c>
      <c r="B1241" s="105" t="s">
        <v>1994</v>
      </c>
      <c r="C1241" s="105" t="s">
        <v>1995</v>
      </c>
      <c r="D1241" s="105">
        <v>0</v>
      </c>
      <c r="E1241" s="105">
        <v>0</v>
      </c>
      <c r="F1241" s="105">
        <v>0</v>
      </c>
    </row>
    <row r="1242" spans="1:6" x14ac:dyDescent="0.25">
      <c r="A1242" s="105" t="str">
        <f t="shared" si="19"/>
        <v/>
      </c>
      <c r="B1242" s="105" t="s">
        <v>1996</v>
      </c>
      <c r="C1242" s="105" t="s">
        <v>8</v>
      </c>
      <c r="D1242" s="105">
        <v>0</v>
      </c>
      <c r="E1242" s="105">
        <v>0</v>
      </c>
      <c r="F1242" s="105">
        <v>0</v>
      </c>
    </row>
    <row r="1243" spans="1:6" x14ac:dyDescent="0.25">
      <c r="A1243" s="105">
        <f t="shared" si="19"/>
        <v>2849437</v>
      </c>
      <c r="B1243" s="105" t="s">
        <v>1997</v>
      </c>
      <c r="C1243" s="105" t="s">
        <v>1998</v>
      </c>
      <c r="D1243" s="105">
        <v>0</v>
      </c>
      <c r="E1243" s="105">
        <v>0</v>
      </c>
      <c r="F1243" s="105">
        <v>0</v>
      </c>
    </row>
    <row r="1244" spans="1:6" x14ac:dyDescent="0.25">
      <c r="A1244" s="105" t="str">
        <f t="shared" si="19"/>
        <v/>
      </c>
      <c r="B1244" s="105" t="s">
        <v>1999</v>
      </c>
      <c r="C1244" s="105" t="s">
        <v>8</v>
      </c>
      <c r="D1244" s="105">
        <v>0</v>
      </c>
      <c r="E1244" s="105">
        <v>0</v>
      </c>
      <c r="F1244" s="105">
        <v>0</v>
      </c>
    </row>
    <row r="1245" spans="1:6" x14ac:dyDescent="0.25">
      <c r="A1245" s="105">
        <f t="shared" si="19"/>
        <v>2849438</v>
      </c>
      <c r="B1245" s="105" t="s">
        <v>2000</v>
      </c>
      <c r="C1245" s="105" t="s">
        <v>2001</v>
      </c>
      <c r="D1245" s="105">
        <v>0</v>
      </c>
      <c r="E1245" s="105">
        <v>0</v>
      </c>
      <c r="F1245" s="105">
        <v>0</v>
      </c>
    </row>
    <row r="1246" spans="1:6" x14ac:dyDescent="0.25">
      <c r="A1246" s="105" t="str">
        <f t="shared" si="19"/>
        <v/>
      </c>
      <c r="B1246" s="105" t="s">
        <v>2002</v>
      </c>
      <c r="C1246" s="105" t="s">
        <v>8</v>
      </c>
      <c r="D1246" s="105">
        <v>0</v>
      </c>
      <c r="E1246" s="105">
        <v>0</v>
      </c>
      <c r="F1246" s="105">
        <v>0</v>
      </c>
    </row>
    <row r="1247" spans="1:6" x14ac:dyDescent="0.25">
      <c r="A1247" s="105">
        <f t="shared" si="19"/>
        <v>2849450</v>
      </c>
      <c r="B1247" s="105" t="s">
        <v>2003</v>
      </c>
      <c r="C1247" s="105" t="s">
        <v>2004</v>
      </c>
      <c r="D1247" s="105">
        <v>0</v>
      </c>
      <c r="E1247" s="105">
        <v>0</v>
      </c>
      <c r="F1247" s="105">
        <v>0</v>
      </c>
    </row>
    <row r="1248" spans="1:6" x14ac:dyDescent="0.25">
      <c r="A1248" s="105" t="str">
        <f t="shared" si="19"/>
        <v/>
      </c>
      <c r="B1248" s="105" t="s">
        <v>2005</v>
      </c>
      <c r="C1248" s="105" t="s">
        <v>8</v>
      </c>
      <c r="D1248" s="105">
        <v>0</v>
      </c>
      <c r="E1248" s="105">
        <v>0</v>
      </c>
      <c r="F1248" s="105">
        <v>0</v>
      </c>
    </row>
    <row r="1249" spans="1:6" x14ac:dyDescent="0.25">
      <c r="A1249" s="105">
        <f t="shared" si="19"/>
        <v>2849505</v>
      </c>
      <c r="B1249" s="105" t="s">
        <v>2006</v>
      </c>
      <c r="C1249" s="105" t="s">
        <v>2007</v>
      </c>
      <c r="D1249" s="105">
        <v>0</v>
      </c>
      <c r="E1249" s="105">
        <v>0</v>
      </c>
      <c r="F1249" s="105">
        <v>0</v>
      </c>
    </row>
    <row r="1250" spans="1:6" x14ac:dyDescent="0.25">
      <c r="A1250" s="105" t="str">
        <f t="shared" si="19"/>
        <v/>
      </c>
      <c r="B1250" s="105" t="s">
        <v>2008</v>
      </c>
      <c r="C1250" s="105" t="s">
        <v>8</v>
      </c>
      <c r="D1250" s="105">
        <v>0</v>
      </c>
      <c r="E1250" s="105">
        <v>0</v>
      </c>
      <c r="F1250" s="105">
        <v>0</v>
      </c>
    </row>
    <row r="1251" spans="1:6" x14ac:dyDescent="0.25">
      <c r="A1251" s="105">
        <f t="shared" si="19"/>
        <v>2849525</v>
      </c>
      <c r="B1251" s="105" t="s">
        <v>2009</v>
      </c>
      <c r="C1251" s="105" t="s">
        <v>2010</v>
      </c>
      <c r="D1251" s="105">
        <v>0</v>
      </c>
      <c r="E1251" s="105">
        <v>0</v>
      </c>
      <c r="F1251" s="105">
        <v>0</v>
      </c>
    </row>
    <row r="1252" spans="1:6" x14ac:dyDescent="0.25">
      <c r="A1252" s="105" t="str">
        <f t="shared" si="19"/>
        <v/>
      </c>
      <c r="B1252" s="105" t="s">
        <v>2011</v>
      </c>
      <c r="C1252" s="105" t="s">
        <v>8</v>
      </c>
      <c r="D1252" s="105">
        <v>0</v>
      </c>
      <c r="E1252" s="105">
        <v>0</v>
      </c>
      <c r="F1252" s="105">
        <v>0</v>
      </c>
    </row>
    <row r="1253" spans="1:6" x14ac:dyDescent="0.25">
      <c r="A1253" s="105">
        <f t="shared" si="19"/>
        <v>2849538</v>
      </c>
      <c r="B1253" s="105" t="s">
        <v>2012</v>
      </c>
      <c r="C1253" s="105" t="s">
        <v>2013</v>
      </c>
      <c r="D1253" s="105">
        <v>0</v>
      </c>
      <c r="E1253" s="105">
        <v>0</v>
      </c>
      <c r="F1253" s="105">
        <v>0</v>
      </c>
    </row>
    <row r="1254" spans="1:6" x14ac:dyDescent="0.25">
      <c r="A1254" s="105" t="str">
        <f t="shared" si="19"/>
        <v/>
      </c>
      <c r="B1254" s="105" t="s">
        <v>2014</v>
      </c>
      <c r="C1254" s="105" t="s">
        <v>8</v>
      </c>
      <c r="D1254" s="105">
        <v>0</v>
      </c>
      <c r="E1254" s="105">
        <v>0</v>
      </c>
      <c r="F1254" s="105">
        <v>0</v>
      </c>
    </row>
    <row r="1255" spans="1:6" x14ac:dyDescent="0.25">
      <c r="A1255" s="105">
        <f t="shared" si="19"/>
        <v>2849612</v>
      </c>
      <c r="B1255" s="105" t="s">
        <v>2015</v>
      </c>
      <c r="C1255" s="105" t="s">
        <v>2016</v>
      </c>
      <c r="D1255" s="105">
        <v>0</v>
      </c>
      <c r="E1255" s="105">
        <v>0</v>
      </c>
      <c r="F1255" s="105">
        <v>0</v>
      </c>
    </row>
    <row r="1256" spans="1:6" x14ac:dyDescent="0.25">
      <c r="A1256" s="105" t="str">
        <f t="shared" si="19"/>
        <v/>
      </c>
      <c r="B1256" s="105" t="s">
        <v>2017</v>
      </c>
      <c r="C1256" s="105" t="s">
        <v>8</v>
      </c>
      <c r="D1256" s="105">
        <v>0</v>
      </c>
      <c r="E1256" s="105">
        <v>0</v>
      </c>
      <c r="F1256" s="105">
        <v>0</v>
      </c>
    </row>
    <row r="1257" spans="1:6" x14ac:dyDescent="0.25">
      <c r="A1257" s="105">
        <f t="shared" si="19"/>
        <v>2849646</v>
      </c>
      <c r="B1257" s="105" t="s">
        <v>2018</v>
      </c>
      <c r="C1257" s="105" t="s">
        <v>2019</v>
      </c>
      <c r="D1257" s="105">
        <v>0</v>
      </c>
      <c r="E1257" s="105">
        <v>0</v>
      </c>
      <c r="F1257" s="105">
        <v>0</v>
      </c>
    </row>
    <row r="1258" spans="1:6" x14ac:dyDescent="0.25">
      <c r="A1258" s="105" t="str">
        <f t="shared" si="19"/>
        <v/>
      </c>
      <c r="B1258" s="105" t="s">
        <v>2020</v>
      </c>
      <c r="C1258" s="105" t="s">
        <v>8</v>
      </c>
      <c r="D1258" s="105">
        <v>0</v>
      </c>
      <c r="E1258" s="105">
        <v>0</v>
      </c>
      <c r="F1258" s="105">
        <v>0</v>
      </c>
    </row>
    <row r="1259" spans="1:6" x14ac:dyDescent="0.25">
      <c r="A1259" s="105">
        <f t="shared" si="19"/>
        <v>2849647</v>
      </c>
      <c r="B1259" s="105" t="s">
        <v>2021</v>
      </c>
      <c r="C1259" s="105" t="s">
        <v>2022</v>
      </c>
      <c r="D1259" s="105">
        <v>0</v>
      </c>
      <c r="E1259" s="105">
        <v>0</v>
      </c>
      <c r="F1259" s="105">
        <v>0</v>
      </c>
    </row>
    <row r="1260" spans="1:6" x14ac:dyDescent="0.25">
      <c r="A1260" s="105">
        <f t="shared" si="19"/>
        <v>2849648</v>
      </c>
      <c r="B1260" s="105" t="s">
        <v>2023</v>
      </c>
      <c r="C1260" s="105" t="s">
        <v>2024</v>
      </c>
      <c r="D1260" s="105">
        <v>0</v>
      </c>
      <c r="E1260" s="105">
        <v>0</v>
      </c>
      <c r="F1260" s="105">
        <v>0</v>
      </c>
    </row>
    <row r="1261" spans="1:6" x14ac:dyDescent="0.25">
      <c r="A1261" s="105" t="str">
        <f t="shared" si="19"/>
        <v/>
      </c>
      <c r="B1261" s="105" t="s">
        <v>2025</v>
      </c>
      <c r="C1261" s="105" t="s">
        <v>8</v>
      </c>
      <c r="D1261" s="105">
        <v>0</v>
      </c>
      <c r="E1261" s="105">
        <v>0</v>
      </c>
      <c r="F1261" s="105">
        <v>0</v>
      </c>
    </row>
    <row r="1262" spans="1:6" x14ac:dyDescent="0.25">
      <c r="A1262" s="105">
        <f t="shared" si="19"/>
        <v>2849736</v>
      </c>
      <c r="B1262" s="105" t="s">
        <v>2026</v>
      </c>
      <c r="C1262" s="105" t="s">
        <v>2027</v>
      </c>
      <c r="D1262" s="105">
        <v>0</v>
      </c>
      <c r="E1262" s="105">
        <v>0</v>
      </c>
      <c r="F1262" s="105">
        <v>0</v>
      </c>
    </row>
    <row r="1263" spans="1:6" x14ac:dyDescent="0.25">
      <c r="A1263" s="105" t="str">
        <f t="shared" si="19"/>
        <v/>
      </c>
      <c r="B1263" s="105" t="s">
        <v>2028</v>
      </c>
      <c r="C1263" s="105" t="s">
        <v>8</v>
      </c>
      <c r="D1263" s="105">
        <v>0</v>
      </c>
      <c r="E1263" s="105">
        <v>0</v>
      </c>
      <c r="F1263" s="105">
        <v>0</v>
      </c>
    </row>
    <row r="1264" spans="1:6" x14ac:dyDescent="0.25">
      <c r="A1264" s="105">
        <f t="shared" si="19"/>
        <v>2849737</v>
      </c>
      <c r="B1264" s="105" t="s">
        <v>2029</v>
      </c>
      <c r="C1264" s="105" t="s">
        <v>2030</v>
      </c>
      <c r="D1264" s="105">
        <v>0</v>
      </c>
      <c r="E1264" s="105">
        <v>0</v>
      </c>
      <c r="F1264" s="105">
        <v>0</v>
      </c>
    </row>
    <row r="1265" spans="1:6" x14ac:dyDescent="0.25">
      <c r="A1265" s="105" t="str">
        <f t="shared" si="19"/>
        <v/>
      </c>
      <c r="B1265" s="105" t="s">
        <v>2031</v>
      </c>
      <c r="C1265" s="105" t="s">
        <v>8</v>
      </c>
      <c r="D1265" s="105">
        <v>0</v>
      </c>
      <c r="E1265" s="105">
        <v>0</v>
      </c>
      <c r="F1265" s="105">
        <v>0</v>
      </c>
    </row>
    <row r="1266" spans="1:6" x14ac:dyDescent="0.25">
      <c r="A1266" s="105">
        <f t="shared" si="19"/>
        <v>2849738</v>
      </c>
      <c r="B1266" s="105" t="s">
        <v>2032</v>
      </c>
      <c r="C1266" s="105" t="s">
        <v>2033</v>
      </c>
      <c r="D1266" s="105">
        <v>0</v>
      </c>
      <c r="E1266" s="105">
        <v>0</v>
      </c>
      <c r="F1266" s="105">
        <v>0</v>
      </c>
    </row>
    <row r="1267" spans="1:6" x14ac:dyDescent="0.25">
      <c r="A1267" s="105" t="str">
        <f t="shared" si="19"/>
        <v/>
      </c>
      <c r="B1267" s="105" t="s">
        <v>2034</v>
      </c>
      <c r="C1267" s="105" t="s">
        <v>8</v>
      </c>
      <c r="D1267" s="105">
        <v>0</v>
      </c>
      <c r="E1267" s="105">
        <v>0</v>
      </c>
      <c r="F1267" s="105">
        <v>0</v>
      </c>
    </row>
    <row r="1268" spans="1:6" x14ac:dyDescent="0.25">
      <c r="A1268" s="105">
        <f t="shared" si="19"/>
        <v>2849907</v>
      </c>
      <c r="B1268" s="105" t="s">
        <v>2035</v>
      </c>
      <c r="C1268" s="105" t="s">
        <v>2036</v>
      </c>
      <c r="D1268" s="105">
        <v>0</v>
      </c>
      <c r="E1268" s="105">
        <v>0</v>
      </c>
      <c r="F1268" s="105">
        <v>0</v>
      </c>
    </row>
    <row r="1269" spans="1:6" x14ac:dyDescent="0.25">
      <c r="A1269" s="105" t="str">
        <f t="shared" si="19"/>
        <v/>
      </c>
      <c r="B1269" s="105" t="s">
        <v>2037</v>
      </c>
      <c r="C1269" s="105" t="s">
        <v>8</v>
      </c>
      <c r="D1269" s="105">
        <v>0</v>
      </c>
      <c r="E1269" s="105">
        <v>0</v>
      </c>
      <c r="F1269" s="105">
        <v>0</v>
      </c>
    </row>
    <row r="1270" spans="1:6" x14ac:dyDescent="0.25">
      <c r="A1270" s="105">
        <f t="shared" si="19"/>
        <v>3</v>
      </c>
      <c r="B1270" s="105" t="s">
        <v>2038</v>
      </c>
      <c r="C1270" s="105" t="s">
        <v>2039</v>
      </c>
      <c r="D1270" s="105">
        <v>0</v>
      </c>
      <c r="E1270" s="105">
        <v>0</v>
      </c>
      <c r="F1270" s="105">
        <v>0</v>
      </c>
    </row>
    <row r="1271" spans="1:6" x14ac:dyDescent="0.25">
      <c r="A1271" s="105" t="str">
        <f t="shared" si="19"/>
        <v/>
      </c>
      <c r="B1271" s="105" t="s">
        <v>2040</v>
      </c>
      <c r="C1271" s="105" t="s">
        <v>2041</v>
      </c>
      <c r="D1271" s="105">
        <v>0</v>
      </c>
      <c r="E1271" s="105">
        <v>0</v>
      </c>
      <c r="F1271" s="105">
        <v>0</v>
      </c>
    </row>
    <row r="1272" spans="1:6" x14ac:dyDescent="0.25">
      <c r="A1272" s="105">
        <f t="shared" si="19"/>
        <v>3101024</v>
      </c>
      <c r="B1272" s="105" t="s">
        <v>2042</v>
      </c>
      <c r="C1272" s="105" t="s">
        <v>2043</v>
      </c>
      <c r="D1272" s="105">
        <v>8268</v>
      </c>
      <c r="E1272" s="105">
        <v>4960.8</v>
      </c>
      <c r="F1272" s="105">
        <v>1</v>
      </c>
    </row>
    <row r="1273" spans="1:6" x14ac:dyDescent="0.25">
      <c r="A1273" s="105">
        <f t="shared" si="19"/>
        <v>3101025</v>
      </c>
      <c r="B1273" s="105" t="s">
        <v>2044</v>
      </c>
      <c r="C1273" s="105" t="s">
        <v>2045</v>
      </c>
      <c r="D1273" s="105">
        <v>1999.57</v>
      </c>
      <c r="E1273" s="105">
        <v>1199.74</v>
      </c>
      <c r="F1273" s="105">
        <v>2</v>
      </c>
    </row>
    <row r="1274" spans="1:6" x14ac:dyDescent="0.25">
      <c r="A1274" s="105" t="str">
        <f t="shared" si="19"/>
        <v/>
      </c>
      <c r="B1274" s="105" t="s">
        <v>2046</v>
      </c>
      <c r="C1274" s="105" t="s">
        <v>8</v>
      </c>
      <c r="D1274" s="105">
        <v>0</v>
      </c>
      <c r="E1274" s="105">
        <v>0</v>
      </c>
      <c r="F1274" s="105">
        <v>0</v>
      </c>
    </row>
    <row r="1275" spans="1:6" x14ac:dyDescent="0.25">
      <c r="A1275" s="105">
        <f t="shared" si="19"/>
        <v>3101027</v>
      </c>
      <c r="B1275" s="105" t="s">
        <v>2047</v>
      </c>
      <c r="C1275" s="105" t="s">
        <v>2048</v>
      </c>
      <c r="D1275" s="105">
        <v>0</v>
      </c>
      <c r="E1275" s="105">
        <v>0</v>
      </c>
      <c r="F1275" s="105">
        <v>0</v>
      </c>
    </row>
    <row r="1276" spans="1:6" x14ac:dyDescent="0.25">
      <c r="A1276" s="105" t="str">
        <f t="shared" si="19"/>
        <v/>
      </c>
      <c r="B1276" s="105" t="s">
        <v>2049</v>
      </c>
      <c r="C1276" s="105" t="s">
        <v>8</v>
      </c>
      <c r="D1276" s="105">
        <v>0</v>
      </c>
      <c r="E1276" s="105">
        <v>0</v>
      </c>
      <c r="F1276" s="105">
        <v>0</v>
      </c>
    </row>
    <row r="1277" spans="1:6" x14ac:dyDescent="0.25">
      <c r="A1277" s="105">
        <f t="shared" si="19"/>
        <v>3101028</v>
      </c>
      <c r="B1277" s="105" t="s">
        <v>2050</v>
      </c>
      <c r="C1277" s="105" t="s">
        <v>2051</v>
      </c>
      <c r="D1277" s="105">
        <v>0</v>
      </c>
      <c r="E1277" s="105">
        <v>0</v>
      </c>
      <c r="F1277" s="105">
        <v>0</v>
      </c>
    </row>
    <row r="1278" spans="1:6" x14ac:dyDescent="0.25">
      <c r="A1278" s="105">
        <f t="shared" si="19"/>
        <v>3101100</v>
      </c>
      <c r="B1278" s="105" t="s">
        <v>2052</v>
      </c>
      <c r="C1278" s="105" t="s">
        <v>2053</v>
      </c>
      <c r="D1278" s="105">
        <v>1816.95</v>
      </c>
      <c r="E1278" s="105">
        <v>1090.17</v>
      </c>
      <c r="F1278" s="105">
        <v>0</v>
      </c>
    </row>
    <row r="1279" spans="1:6" x14ac:dyDescent="0.25">
      <c r="A1279" s="105">
        <f t="shared" si="19"/>
        <v>3101101</v>
      </c>
      <c r="B1279" s="105" t="s">
        <v>2054</v>
      </c>
      <c r="C1279" s="105" t="s">
        <v>2055</v>
      </c>
      <c r="D1279" s="105">
        <v>2792.54</v>
      </c>
      <c r="E1279" s="105">
        <v>1675.52</v>
      </c>
      <c r="F1279" s="105">
        <v>-1</v>
      </c>
    </row>
    <row r="1280" spans="1:6" x14ac:dyDescent="0.25">
      <c r="A1280" s="105">
        <f t="shared" si="19"/>
        <v>3101102</v>
      </c>
      <c r="B1280" s="105" t="s">
        <v>2056</v>
      </c>
      <c r="C1280" s="105" t="s">
        <v>2057</v>
      </c>
      <c r="D1280" s="105">
        <v>8269.09</v>
      </c>
      <c r="E1280" s="105">
        <v>4961.45</v>
      </c>
      <c r="F1280" s="105">
        <v>33</v>
      </c>
    </row>
    <row r="1281" spans="1:6" x14ac:dyDescent="0.25">
      <c r="A1281" s="105">
        <f t="shared" si="19"/>
        <v>3101103</v>
      </c>
      <c r="B1281" s="105" t="s">
        <v>2058</v>
      </c>
      <c r="C1281" s="105" t="s">
        <v>2059</v>
      </c>
      <c r="D1281" s="105">
        <v>8269.09</v>
      </c>
      <c r="E1281" s="105">
        <v>4961.45</v>
      </c>
      <c r="F1281" s="105">
        <v>11</v>
      </c>
    </row>
    <row r="1282" spans="1:6" x14ac:dyDescent="0.25">
      <c r="A1282" s="105">
        <f t="shared" si="19"/>
        <v>3101370</v>
      </c>
      <c r="B1282" s="105" t="s">
        <v>2060</v>
      </c>
      <c r="C1282" s="105" t="s">
        <v>2061</v>
      </c>
      <c r="D1282" s="105">
        <v>8269.09</v>
      </c>
      <c r="E1282" s="105">
        <v>4961.45</v>
      </c>
      <c r="F1282" s="105">
        <v>74</v>
      </c>
    </row>
    <row r="1283" spans="1:6" x14ac:dyDescent="0.25">
      <c r="A1283" s="105">
        <f t="shared" ref="A1283:A1346" si="20">IF(B1283&lt;&gt;"",IFERROR(B1283*1,""),"")</f>
        <v>3101485</v>
      </c>
      <c r="B1283" s="105" t="s">
        <v>2062</v>
      </c>
      <c r="C1283" s="105" t="s">
        <v>2063</v>
      </c>
      <c r="D1283" s="105">
        <v>3874.13</v>
      </c>
      <c r="E1283" s="105">
        <v>2324.48</v>
      </c>
      <c r="F1283" s="105">
        <v>0</v>
      </c>
    </row>
    <row r="1284" spans="1:6" x14ac:dyDescent="0.25">
      <c r="A1284" s="105">
        <f t="shared" si="20"/>
        <v>3101486</v>
      </c>
      <c r="B1284" s="105" t="s">
        <v>2064</v>
      </c>
      <c r="C1284" s="105" t="s">
        <v>2065</v>
      </c>
      <c r="D1284" s="105">
        <v>2329.46</v>
      </c>
      <c r="E1284" s="105">
        <v>1397.68</v>
      </c>
      <c r="F1284" s="105">
        <v>0</v>
      </c>
    </row>
    <row r="1285" spans="1:6" x14ac:dyDescent="0.25">
      <c r="A1285" s="105">
        <f t="shared" si="20"/>
        <v>3101487</v>
      </c>
      <c r="B1285" s="105" t="s">
        <v>2066</v>
      </c>
      <c r="C1285" s="105" t="s">
        <v>2067</v>
      </c>
      <c r="D1285" s="105">
        <v>2000.2</v>
      </c>
      <c r="E1285" s="105">
        <v>1200.1199999999999</v>
      </c>
      <c r="F1285" s="105">
        <v>0</v>
      </c>
    </row>
    <row r="1286" spans="1:6" x14ac:dyDescent="0.25">
      <c r="A1286" s="105">
        <f t="shared" si="20"/>
        <v>3101488</v>
      </c>
      <c r="B1286" s="105" t="s">
        <v>2068</v>
      </c>
      <c r="C1286" s="105" t="s">
        <v>2069</v>
      </c>
      <c r="D1286" s="105">
        <v>1856.43</v>
      </c>
      <c r="E1286" s="105">
        <v>1113.8599999999999</v>
      </c>
      <c r="F1286" s="105">
        <v>0</v>
      </c>
    </row>
    <row r="1287" spans="1:6" x14ac:dyDescent="0.25">
      <c r="A1287" s="105">
        <f t="shared" si="20"/>
        <v>3101489</v>
      </c>
      <c r="B1287" s="105" t="s">
        <v>9280</v>
      </c>
      <c r="C1287" s="105" t="s">
        <v>9281</v>
      </c>
      <c r="D1287" s="105">
        <v>0</v>
      </c>
      <c r="E1287" s="105">
        <v>0</v>
      </c>
      <c r="F1287" s="105">
        <v>14</v>
      </c>
    </row>
    <row r="1288" spans="1:6" x14ac:dyDescent="0.25">
      <c r="A1288" s="105">
        <f t="shared" si="20"/>
        <v>3101555</v>
      </c>
      <c r="B1288" s="105" t="s">
        <v>2070</v>
      </c>
      <c r="C1288" s="105" t="s">
        <v>2071</v>
      </c>
      <c r="D1288" s="105">
        <v>8268.4500000000007</v>
      </c>
      <c r="E1288" s="105">
        <v>4961.07</v>
      </c>
      <c r="F1288" s="105">
        <v>5</v>
      </c>
    </row>
    <row r="1289" spans="1:6" x14ac:dyDescent="0.25">
      <c r="A1289" s="105">
        <f t="shared" si="20"/>
        <v>3101666</v>
      </c>
      <c r="B1289" s="105" t="s">
        <v>2072</v>
      </c>
      <c r="C1289" s="105" t="s">
        <v>2073</v>
      </c>
      <c r="D1289" s="105">
        <v>8269</v>
      </c>
      <c r="E1289" s="105">
        <v>4961.3999999999996</v>
      </c>
      <c r="F1289" s="105">
        <v>1</v>
      </c>
    </row>
    <row r="1290" spans="1:6" x14ac:dyDescent="0.25">
      <c r="A1290" s="105">
        <f t="shared" si="20"/>
        <v>3101777</v>
      </c>
      <c r="B1290" s="105" t="s">
        <v>2074</v>
      </c>
      <c r="C1290" s="105" t="s">
        <v>2075</v>
      </c>
      <c r="D1290" s="105">
        <v>8268</v>
      </c>
      <c r="E1290" s="105">
        <v>4960.8</v>
      </c>
      <c r="F1290" s="105">
        <v>0</v>
      </c>
    </row>
    <row r="1291" spans="1:6" x14ac:dyDescent="0.25">
      <c r="A1291" s="105">
        <f t="shared" si="20"/>
        <v>3101888</v>
      </c>
      <c r="B1291" s="105" t="s">
        <v>2076</v>
      </c>
      <c r="C1291" s="105" t="s">
        <v>2077</v>
      </c>
      <c r="D1291" s="105">
        <v>4095.73</v>
      </c>
      <c r="E1291" s="105">
        <v>2457.44</v>
      </c>
      <c r="F1291" s="105">
        <v>9</v>
      </c>
    </row>
    <row r="1292" spans="1:6" x14ac:dyDescent="0.25">
      <c r="A1292" s="105">
        <f t="shared" si="20"/>
        <v>3101948</v>
      </c>
      <c r="B1292" s="105" t="s">
        <v>2078</v>
      </c>
      <c r="C1292" s="105" t="s">
        <v>2079</v>
      </c>
      <c r="D1292" s="105">
        <v>5830</v>
      </c>
      <c r="E1292" s="105">
        <v>3498</v>
      </c>
      <c r="F1292" s="105">
        <v>76</v>
      </c>
    </row>
    <row r="1293" spans="1:6" x14ac:dyDescent="0.25">
      <c r="A1293" s="105">
        <f t="shared" si="20"/>
        <v>3101998</v>
      </c>
      <c r="B1293" s="105" t="s">
        <v>2080</v>
      </c>
      <c r="C1293" s="105" t="s">
        <v>2081</v>
      </c>
      <c r="D1293" s="105">
        <v>0</v>
      </c>
      <c r="E1293" s="105">
        <v>0</v>
      </c>
      <c r="F1293" s="105">
        <v>0</v>
      </c>
    </row>
    <row r="1294" spans="1:6" x14ac:dyDescent="0.25">
      <c r="A1294" s="105">
        <f t="shared" si="20"/>
        <v>3101999</v>
      </c>
      <c r="B1294" s="105" t="s">
        <v>2082</v>
      </c>
      <c r="C1294" s="105" t="s">
        <v>2083</v>
      </c>
      <c r="D1294" s="105">
        <v>8268.32</v>
      </c>
      <c r="E1294" s="105">
        <v>4960.99</v>
      </c>
      <c r="F1294" s="105">
        <v>14</v>
      </c>
    </row>
    <row r="1295" spans="1:6" x14ac:dyDescent="0.25">
      <c r="A1295" s="105" t="str">
        <f t="shared" si="20"/>
        <v/>
      </c>
      <c r="B1295" s="105" t="s">
        <v>2084</v>
      </c>
      <c r="C1295" s="105" t="s">
        <v>8</v>
      </c>
      <c r="D1295" s="105">
        <v>0</v>
      </c>
      <c r="E1295" s="105">
        <v>0</v>
      </c>
      <c r="F1295" s="105">
        <v>0</v>
      </c>
    </row>
    <row r="1296" spans="1:6" x14ac:dyDescent="0.25">
      <c r="A1296" s="105">
        <f t="shared" si="20"/>
        <v>4</v>
      </c>
      <c r="B1296" s="105" t="s">
        <v>2085</v>
      </c>
      <c r="C1296" s="105" t="s">
        <v>2086</v>
      </c>
      <c r="D1296" s="105">
        <v>0</v>
      </c>
      <c r="E1296" s="105">
        <v>0</v>
      </c>
      <c r="F1296" s="105">
        <v>0</v>
      </c>
    </row>
    <row r="1297" spans="1:6" x14ac:dyDescent="0.25">
      <c r="A1297" s="105" t="str">
        <f t="shared" si="20"/>
        <v/>
      </c>
      <c r="B1297" s="105" t="s">
        <v>2087</v>
      </c>
      <c r="C1297" s="105" t="s">
        <v>8</v>
      </c>
      <c r="D1297" s="105">
        <v>0</v>
      </c>
      <c r="E1297" s="105">
        <v>0</v>
      </c>
      <c r="F1297" s="105">
        <v>0</v>
      </c>
    </row>
    <row r="1298" spans="1:6" x14ac:dyDescent="0.25">
      <c r="A1298" s="105">
        <f t="shared" si="20"/>
        <v>4027105</v>
      </c>
      <c r="B1298" s="105" t="s">
        <v>2088</v>
      </c>
      <c r="C1298" s="105" t="s">
        <v>2089</v>
      </c>
      <c r="D1298" s="105">
        <v>0</v>
      </c>
      <c r="E1298" s="105">
        <v>0</v>
      </c>
      <c r="F1298" s="105">
        <v>0</v>
      </c>
    </row>
    <row r="1299" spans="1:6" x14ac:dyDescent="0.25">
      <c r="A1299" s="105" t="str">
        <f t="shared" si="20"/>
        <v/>
      </c>
      <c r="B1299" s="105" t="s">
        <v>2090</v>
      </c>
      <c r="C1299" s="105" t="s">
        <v>8</v>
      </c>
      <c r="D1299" s="105">
        <v>0</v>
      </c>
      <c r="E1299" s="105">
        <v>0</v>
      </c>
      <c r="F1299" s="105">
        <v>0</v>
      </c>
    </row>
    <row r="1300" spans="1:6" x14ac:dyDescent="0.25">
      <c r="A1300" s="105">
        <f t="shared" si="20"/>
        <v>4027142</v>
      </c>
      <c r="B1300" s="105" t="s">
        <v>2091</v>
      </c>
      <c r="C1300" s="105" t="s">
        <v>2092</v>
      </c>
      <c r="D1300" s="105">
        <v>0</v>
      </c>
      <c r="E1300" s="105">
        <v>0</v>
      </c>
      <c r="F1300" s="105">
        <v>0</v>
      </c>
    </row>
    <row r="1301" spans="1:6" x14ac:dyDescent="0.25">
      <c r="A1301" s="105" t="str">
        <f t="shared" si="20"/>
        <v/>
      </c>
      <c r="B1301" s="105" t="s">
        <v>2093</v>
      </c>
      <c r="C1301" s="105" t="s">
        <v>8</v>
      </c>
      <c r="D1301" s="105">
        <v>0</v>
      </c>
      <c r="E1301" s="105">
        <v>0</v>
      </c>
      <c r="F1301" s="105">
        <v>0</v>
      </c>
    </row>
    <row r="1302" spans="1:6" x14ac:dyDescent="0.25">
      <c r="A1302" s="105">
        <f t="shared" si="20"/>
        <v>4027710</v>
      </c>
      <c r="B1302" s="105" t="s">
        <v>2094</v>
      </c>
      <c r="C1302" s="105" t="s">
        <v>2095</v>
      </c>
      <c r="D1302" s="105">
        <v>0</v>
      </c>
      <c r="E1302" s="105">
        <v>0</v>
      </c>
      <c r="F1302" s="105">
        <v>0</v>
      </c>
    </row>
    <row r="1303" spans="1:6" x14ac:dyDescent="0.25">
      <c r="A1303" s="105" t="str">
        <f t="shared" si="20"/>
        <v/>
      </c>
      <c r="B1303" s="105" t="s">
        <v>2096</v>
      </c>
      <c r="C1303" s="105" t="s">
        <v>8</v>
      </c>
      <c r="D1303" s="105">
        <v>0</v>
      </c>
      <c r="E1303" s="105">
        <v>0</v>
      </c>
      <c r="F1303" s="105">
        <v>0</v>
      </c>
    </row>
    <row r="1304" spans="1:6" x14ac:dyDescent="0.25">
      <c r="A1304" s="105">
        <f t="shared" si="20"/>
        <v>4027813</v>
      </c>
      <c r="B1304" s="105" t="s">
        <v>2097</v>
      </c>
      <c r="C1304" s="105" t="s">
        <v>2098</v>
      </c>
      <c r="D1304" s="105">
        <v>0</v>
      </c>
      <c r="E1304" s="105">
        <v>0</v>
      </c>
      <c r="F1304" s="105">
        <v>0</v>
      </c>
    </row>
    <row r="1305" spans="1:6" x14ac:dyDescent="0.25">
      <c r="A1305" s="105" t="str">
        <f t="shared" si="20"/>
        <v/>
      </c>
      <c r="B1305" s="105" t="s">
        <v>2099</v>
      </c>
      <c r="C1305" s="105" t="s">
        <v>8</v>
      </c>
      <c r="D1305" s="105">
        <v>0</v>
      </c>
      <c r="E1305" s="105">
        <v>0</v>
      </c>
      <c r="F1305" s="105">
        <v>0</v>
      </c>
    </row>
    <row r="1306" spans="1:6" x14ac:dyDescent="0.25">
      <c r="A1306" s="105">
        <f t="shared" si="20"/>
        <v>4101002</v>
      </c>
      <c r="B1306" s="105" t="s">
        <v>2100</v>
      </c>
      <c r="C1306" s="105" t="s">
        <v>2101</v>
      </c>
      <c r="D1306" s="105">
        <v>0</v>
      </c>
      <c r="E1306" s="105">
        <v>0</v>
      </c>
      <c r="F1306" s="105">
        <v>0</v>
      </c>
    </row>
    <row r="1307" spans="1:6" x14ac:dyDescent="0.25">
      <c r="A1307" s="105" t="str">
        <f t="shared" si="20"/>
        <v/>
      </c>
      <c r="B1307" s="105" t="s">
        <v>2102</v>
      </c>
      <c r="C1307" s="105" t="s">
        <v>8</v>
      </c>
      <c r="D1307" s="105">
        <v>0</v>
      </c>
      <c r="E1307" s="105">
        <v>0</v>
      </c>
      <c r="F1307" s="105">
        <v>0</v>
      </c>
    </row>
    <row r="1308" spans="1:6" x14ac:dyDescent="0.25">
      <c r="A1308" s="105">
        <f t="shared" si="20"/>
        <v>4101003</v>
      </c>
      <c r="B1308" s="105" t="s">
        <v>2103</v>
      </c>
      <c r="C1308" s="105" t="s">
        <v>2104</v>
      </c>
      <c r="D1308" s="105">
        <v>0</v>
      </c>
      <c r="E1308" s="105">
        <v>0</v>
      </c>
      <c r="F1308" s="105">
        <v>0</v>
      </c>
    </row>
    <row r="1309" spans="1:6" x14ac:dyDescent="0.25">
      <c r="A1309" s="105">
        <f t="shared" si="20"/>
        <v>412</v>
      </c>
      <c r="B1309" s="105" t="s">
        <v>2105</v>
      </c>
      <c r="C1309" s="105" t="s">
        <v>8</v>
      </c>
      <c r="D1309" s="105">
        <v>0</v>
      </c>
      <c r="E1309" s="105">
        <v>0</v>
      </c>
      <c r="F1309" s="105">
        <v>0</v>
      </c>
    </row>
    <row r="1310" spans="1:6" x14ac:dyDescent="0.25">
      <c r="A1310" s="105">
        <f t="shared" si="20"/>
        <v>4120000</v>
      </c>
      <c r="B1310" s="105" t="s">
        <v>2106</v>
      </c>
      <c r="C1310" s="105" t="s">
        <v>9282</v>
      </c>
      <c r="D1310" s="105">
        <v>3150</v>
      </c>
      <c r="E1310" s="105">
        <v>1890</v>
      </c>
      <c r="F1310" s="105">
        <v>1</v>
      </c>
    </row>
    <row r="1311" spans="1:6" x14ac:dyDescent="0.25">
      <c r="A1311" s="105">
        <f t="shared" si="20"/>
        <v>4120001</v>
      </c>
      <c r="B1311" s="105" t="s">
        <v>2107</v>
      </c>
      <c r="C1311" s="105" t="s">
        <v>2108</v>
      </c>
      <c r="D1311" s="105">
        <v>0</v>
      </c>
      <c r="E1311" s="105">
        <v>0</v>
      </c>
      <c r="F1311" s="105">
        <v>1</v>
      </c>
    </row>
    <row r="1312" spans="1:6" x14ac:dyDescent="0.25">
      <c r="A1312" s="105">
        <f t="shared" si="20"/>
        <v>4120003</v>
      </c>
      <c r="B1312" s="105" t="s">
        <v>2109</v>
      </c>
      <c r="C1312" s="105" t="s">
        <v>2110</v>
      </c>
      <c r="D1312" s="105">
        <v>4558</v>
      </c>
      <c r="E1312" s="105">
        <v>2734.8</v>
      </c>
      <c r="F1312" s="105">
        <v>194</v>
      </c>
    </row>
    <row r="1313" spans="1:6" x14ac:dyDescent="0.25">
      <c r="A1313" s="105">
        <f t="shared" si="20"/>
        <v>4120004</v>
      </c>
      <c r="B1313" s="105" t="s">
        <v>2111</v>
      </c>
      <c r="C1313" s="105" t="s">
        <v>2112</v>
      </c>
      <c r="D1313" s="105">
        <v>4558</v>
      </c>
      <c r="E1313" s="105">
        <v>2734.8</v>
      </c>
      <c r="F1313" s="105">
        <v>6</v>
      </c>
    </row>
    <row r="1314" spans="1:6" x14ac:dyDescent="0.25">
      <c r="A1314" s="105">
        <f t="shared" si="20"/>
        <v>4120005</v>
      </c>
      <c r="B1314" s="105" t="s">
        <v>2113</v>
      </c>
      <c r="C1314" s="105" t="s">
        <v>2114</v>
      </c>
      <c r="D1314" s="105">
        <v>4717</v>
      </c>
      <c r="E1314" s="105">
        <v>2830.2</v>
      </c>
      <c r="F1314" s="105">
        <v>68</v>
      </c>
    </row>
    <row r="1315" spans="1:6" x14ac:dyDescent="0.25">
      <c r="A1315" s="105">
        <f t="shared" si="20"/>
        <v>4120006</v>
      </c>
      <c r="B1315" s="105" t="s">
        <v>2115</v>
      </c>
      <c r="C1315" s="105" t="s">
        <v>2116</v>
      </c>
      <c r="D1315" s="105">
        <v>4876</v>
      </c>
      <c r="E1315" s="105">
        <v>2925.6</v>
      </c>
      <c r="F1315" s="105">
        <v>27</v>
      </c>
    </row>
    <row r="1316" spans="1:6" x14ac:dyDescent="0.25">
      <c r="A1316" s="105">
        <f t="shared" si="20"/>
        <v>4120007</v>
      </c>
      <c r="B1316" s="105" t="s">
        <v>2117</v>
      </c>
      <c r="C1316" s="105" t="s">
        <v>2118</v>
      </c>
      <c r="D1316" s="105">
        <v>4240</v>
      </c>
      <c r="E1316" s="105">
        <v>2544</v>
      </c>
      <c r="F1316" s="105">
        <v>26</v>
      </c>
    </row>
    <row r="1317" spans="1:6" x14ac:dyDescent="0.25">
      <c r="A1317" s="105">
        <f t="shared" si="20"/>
        <v>4120008</v>
      </c>
      <c r="B1317" s="105" t="s">
        <v>2119</v>
      </c>
      <c r="C1317" s="105" t="s">
        <v>2120</v>
      </c>
      <c r="D1317" s="105">
        <v>4399</v>
      </c>
      <c r="E1317" s="105">
        <v>2639.4</v>
      </c>
      <c r="F1317" s="105">
        <v>16</v>
      </c>
    </row>
    <row r="1318" spans="1:6" x14ac:dyDescent="0.25">
      <c r="A1318" s="105">
        <f t="shared" si="20"/>
        <v>4120009</v>
      </c>
      <c r="B1318" s="105" t="s">
        <v>2121</v>
      </c>
      <c r="C1318" s="105" t="s">
        <v>2122</v>
      </c>
      <c r="D1318" s="105">
        <v>4558</v>
      </c>
      <c r="E1318" s="105">
        <v>2734.8</v>
      </c>
      <c r="F1318" s="105">
        <v>40</v>
      </c>
    </row>
    <row r="1319" spans="1:6" x14ac:dyDescent="0.25">
      <c r="A1319" s="105">
        <f t="shared" si="20"/>
        <v>4120010</v>
      </c>
      <c r="B1319" s="105" t="s">
        <v>2123</v>
      </c>
      <c r="C1319" s="105" t="s">
        <v>2124</v>
      </c>
      <c r="D1319" s="105">
        <v>4717</v>
      </c>
      <c r="E1319" s="105">
        <v>2830.2</v>
      </c>
      <c r="F1319" s="105">
        <v>4</v>
      </c>
    </row>
    <row r="1320" spans="1:6" x14ac:dyDescent="0.25">
      <c r="A1320" s="105">
        <f t="shared" si="20"/>
        <v>4120011</v>
      </c>
      <c r="B1320" s="105" t="s">
        <v>2125</v>
      </c>
      <c r="C1320" s="105" t="s">
        <v>2126</v>
      </c>
      <c r="D1320" s="105">
        <v>4558</v>
      </c>
      <c r="E1320" s="105">
        <v>2734.8</v>
      </c>
      <c r="F1320" s="105">
        <v>10</v>
      </c>
    </row>
    <row r="1321" spans="1:6" x14ac:dyDescent="0.25">
      <c r="A1321" s="105">
        <f t="shared" si="20"/>
        <v>4120012</v>
      </c>
      <c r="B1321" s="105" t="s">
        <v>2127</v>
      </c>
      <c r="C1321" s="105" t="s">
        <v>2128</v>
      </c>
      <c r="D1321" s="105">
        <v>4717</v>
      </c>
      <c r="E1321" s="105">
        <v>2830.2</v>
      </c>
      <c r="F1321" s="105">
        <v>7</v>
      </c>
    </row>
    <row r="1322" spans="1:6" x14ac:dyDescent="0.25">
      <c r="A1322" s="105">
        <f t="shared" si="20"/>
        <v>4120013</v>
      </c>
      <c r="B1322" s="105" t="s">
        <v>2129</v>
      </c>
      <c r="C1322" s="105" t="s">
        <v>2130</v>
      </c>
      <c r="D1322" s="105">
        <v>4876</v>
      </c>
      <c r="E1322" s="105">
        <v>2925.6</v>
      </c>
      <c r="F1322" s="105">
        <v>1</v>
      </c>
    </row>
    <row r="1323" spans="1:6" x14ac:dyDescent="0.25">
      <c r="A1323" s="105">
        <f t="shared" si="20"/>
        <v>4120015</v>
      </c>
      <c r="B1323" s="105" t="s">
        <v>2131</v>
      </c>
      <c r="C1323" s="105" t="s">
        <v>2132</v>
      </c>
      <c r="D1323" s="105">
        <v>4240</v>
      </c>
      <c r="E1323" s="105">
        <v>2544</v>
      </c>
      <c r="F1323" s="105">
        <v>38</v>
      </c>
    </row>
    <row r="1324" spans="1:6" x14ac:dyDescent="0.25">
      <c r="A1324" s="105">
        <f t="shared" si="20"/>
        <v>4120016</v>
      </c>
      <c r="B1324" s="105" t="s">
        <v>2133</v>
      </c>
      <c r="C1324" s="105" t="s">
        <v>2134</v>
      </c>
      <c r="D1324" s="105">
        <v>4399</v>
      </c>
      <c r="E1324" s="105">
        <v>2639.4</v>
      </c>
      <c r="F1324" s="105">
        <v>5</v>
      </c>
    </row>
    <row r="1325" spans="1:6" x14ac:dyDescent="0.25">
      <c r="A1325" s="105">
        <f t="shared" si="20"/>
        <v>4120018</v>
      </c>
      <c r="B1325" s="105" t="s">
        <v>2135</v>
      </c>
      <c r="C1325" s="105" t="s">
        <v>2136</v>
      </c>
      <c r="D1325" s="105">
        <v>4558</v>
      </c>
      <c r="E1325" s="105">
        <v>2734.8</v>
      </c>
      <c r="F1325" s="105">
        <v>0</v>
      </c>
    </row>
    <row r="1326" spans="1:6" x14ac:dyDescent="0.25">
      <c r="A1326" s="105">
        <f t="shared" si="20"/>
        <v>4120020</v>
      </c>
      <c r="B1326" s="105" t="s">
        <v>2137</v>
      </c>
      <c r="C1326" s="105" t="s">
        <v>2138</v>
      </c>
      <c r="D1326" s="105">
        <v>4558</v>
      </c>
      <c r="E1326" s="105">
        <v>2734.8</v>
      </c>
      <c r="F1326" s="105">
        <v>0</v>
      </c>
    </row>
    <row r="1327" spans="1:6" x14ac:dyDescent="0.25">
      <c r="A1327" s="105">
        <f t="shared" si="20"/>
        <v>4120021</v>
      </c>
      <c r="B1327" s="105" t="s">
        <v>2139</v>
      </c>
      <c r="C1327" s="105" t="s">
        <v>2140</v>
      </c>
      <c r="D1327" s="105">
        <v>4717</v>
      </c>
      <c r="E1327" s="105">
        <v>2830.2</v>
      </c>
      <c r="F1327" s="105">
        <v>0</v>
      </c>
    </row>
    <row r="1328" spans="1:6" x14ac:dyDescent="0.25">
      <c r="A1328" s="105" t="str">
        <f t="shared" si="20"/>
        <v/>
      </c>
      <c r="B1328" s="105" t="s">
        <v>2141</v>
      </c>
      <c r="C1328" s="105" t="s">
        <v>8</v>
      </c>
      <c r="D1328" s="105">
        <v>0</v>
      </c>
      <c r="E1328" s="105">
        <v>0</v>
      </c>
      <c r="F1328" s="105">
        <v>0</v>
      </c>
    </row>
    <row r="1329" spans="1:6" x14ac:dyDescent="0.25">
      <c r="A1329" s="105">
        <f t="shared" si="20"/>
        <v>4120022</v>
      </c>
      <c r="B1329" s="105" t="s">
        <v>2142</v>
      </c>
      <c r="C1329" s="105" t="s">
        <v>2143</v>
      </c>
      <c r="D1329" s="105">
        <v>0</v>
      </c>
      <c r="E1329" s="105">
        <v>0</v>
      </c>
      <c r="F1329" s="105">
        <v>0</v>
      </c>
    </row>
    <row r="1330" spans="1:6" x14ac:dyDescent="0.25">
      <c r="A1330" s="105">
        <f t="shared" si="20"/>
        <v>4120023</v>
      </c>
      <c r="B1330" s="105" t="s">
        <v>2144</v>
      </c>
      <c r="C1330" s="105" t="s">
        <v>2145</v>
      </c>
      <c r="D1330" s="105">
        <v>5035</v>
      </c>
      <c r="E1330" s="105">
        <v>3021</v>
      </c>
      <c r="F1330" s="105">
        <v>0</v>
      </c>
    </row>
    <row r="1331" spans="1:6" x14ac:dyDescent="0.25">
      <c r="A1331" s="105">
        <f t="shared" si="20"/>
        <v>4120024</v>
      </c>
      <c r="B1331" s="105" t="s">
        <v>2146</v>
      </c>
      <c r="C1331" s="105" t="s">
        <v>2147</v>
      </c>
      <c r="D1331" s="105">
        <v>4558</v>
      </c>
      <c r="E1331" s="105">
        <v>2734.8</v>
      </c>
      <c r="F1331" s="105">
        <v>2</v>
      </c>
    </row>
    <row r="1332" spans="1:6" x14ac:dyDescent="0.25">
      <c r="A1332" s="105" t="str">
        <f t="shared" si="20"/>
        <v/>
      </c>
      <c r="B1332" s="105" t="s">
        <v>2148</v>
      </c>
      <c r="C1332" s="105" t="s">
        <v>8</v>
      </c>
      <c r="D1332" s="105">
        <v>0</v>
      </c>
      <c r="E1332" s="105">
        <v>0</v>
      </c>
      <c r="F1332" s="105">
        <v>0</v>
      </c>
    </row>
    <row r="1333" spans="1:6" x14ac:dyDescent="0.25">
      <c r="A1333" s="105">
        <f t="shared" si="20"/>
        <v>4120025</v>
      </c>
      <c r="B1333" s="105" t="s">
        <v>2149</v>
      </c>
      <c r="C1333" s="105" t="s">
        <v>2150</v>
      </c>
      <c r="D1333" s="105">
        <v>4717</v>
      </c>
      <c r="E1333" s="105">
        <v>2830.2</v>
      </c>
      <c r="F1333" s="105">
        <v>34</v>
      </c>
    </row>
    <row r="1334" spans="1:6" x14ac:dyDescent="0.25">
      <c r="A1334" s="105" t="str">
        <f t="shared" si="20"/>
        <v/>
      </c>
      <c r="B1334" s="105" t="s">
        <v>2151</v>
      </c>
      <c r="C1334" s="105" t="s">
        <v>8</v>
      </c>
      <c r="D1334" s="105">
        <v>0</v>
      </c>
      <c r="E1334" s="105">
        <v>0</v>
      </c>
      <c r="F1334" s="105">
        <v>0</v>
      </c>
    </row>
    <row r="1335" spans="1:6" x14ac:dyDescent="0.25">
      <c r="A1335" s="105">
        <f t="shared" si="20"/>
        <v>4120026</v>
      </c>
      <c r="B1335" s="105" t="s">
        <v>2152</v>
      </c>
      <c r="C1335" s="105" t="s">
        <v>2153</v>
      </c>
      <c r="D1335" s="105">
        <v>0</v>
      </c>
      <c r="E1335" s="105">
        <v>0</v>
      </c>
      <c r="F1335" s="105">
        <v>0</v>
      </c>
    </row>
    <row r="1336" spans="1:6" x14ac:dyDescent="0.25">
      <c r="A1336" s="105">
        <f t="shared" si="20"/>
        <v>4120027</v>
      </c>
      <c r="B1336" s="105" t="s">
        <v>2154</v>
      </c>
      <c r="C1336" s="105" t="s">
        <v>2155</v>
      </c>
      <c r="D1336" s="105">
        <v>4558</v>
      </c>
      <c r="E1336" s="105">
        <v>2734.8</v>
      </c>
      <c r="F1336" s="105">
        <v>39</v>
      </c>
    </row>
    <row r="1337" spans="1:6" x14ac:dyDescent="0.25">
      <c r="A1337" s="105">
        <f t="shared" si="20"/>
        <v>4120028</v>
      </c>
      <c r="B1337" s="105" t="s">
        <v>2156</v>
      </c>
      <c r="C1337" s="105" t="s">
        <v>2157</v>
      </c>
      <c r="D1337" s="105">
        <v>4717</v>
      </c>
      <c r="E1337" s="105">
        <v>2830.2</v>
      </c>
      <c r="F1337" s="105">
        <v>26</v>
      </c>
    </row>
    <row r="1338" spans="1:6" x14ac:dyDescent="0.25">
      <c r="A1338" s="105" t="str">
        <f t="shared" si="20"/>
        <v/>
      </c>
      <c r="B1338" s="105" t="s">
        <v>2158</v>
      </c>
      <c r="C1338" s="105" t="s">
        <v>8</v>
      </c>
      <c r="D1338" s="105">
        <v>0</v>
      </c>
      <c r="E1338" s="105">
        <v>0</v>
      </c>
      <c r="F1338" s="105">
        <v>0</v>
      </c>
    </row>
    <row r="1339" spans="1:6" x14ac:dyDescent="0.25">
      <c r="A1339" s="105">
        <f t="shared" si="20"/>
        <v>4120029</v>
      </c>
      <c r="B1339" s="105" t="s">
        <v>2159</v>
      </c>
      <c r="C1339" s="105" t="s">
        <v>2160</v>
      </c>
      <c r="D1339" s="105">
        <v>0</v>
      </c>
      <c r="E1339" s="105">
        <v>0</v>
      </c>
      <c r="F1339" s="105">
        <v>0</v>
      </c>
    </row>
    <row r="1340" spans="1:6" x14ac:dyDescent="0.25">
      <c r="A1340" s="105" t="str">
        <f t="shared" si="20"/>
        <v/>
      </c>
      <c r="B1340" s="105" t="s">
        <v>2161</v>
      </c>
      <c r="C1340" s="105" t="s">
        <v>8</v>
      </c>
      <c r="D1340" s="105">
        <v>0</v>
      </c>
      <c r="E1340" s="105">
        <v>0</v>
      </c>
      <c r="F1340" s="105">
        <v>0</v>
      </c>
    </row>
    <row r="1341" spans="1:6" x14ac:dyDescent="0.25">
      <c r="A1341" s="105">
        <f t="shared" si="20"/>
        <v>4120030</v>
      </c>
      <c r="B1341" s="105" t="s">
        <v>2162</v>
      </c>
      <c r="C1341" s="105" t="s">
        <v>2163</v>
      </c>
      <c r="D1341" s="105">
        <v>0</v>
      </c>
      <c r="E1341" s="105">
        <v>0</v>
      </c>
      <c r="F1341" s="105">
        <v>0</v>
      </c>
    </row>
    <row r="1342" spans="1:6" x14ac:dyDescent="0.25">
      <c r="A1342" s="105" t="str">
        <f t="shared" si="20"/>
        <v/>
      </c>
      <c r="B1342" s="105" t="s">
        <v>2164</v>
      </c>
      <c r="C1342" s="105" t="s">
        <v>8</v>
      </c>
      <c r="D1342" s="105">
        <v>0</v>
      </c>
      <c r="E1342" s="105">
        <v>0</v>
      </c>
      <c r="F1342" s="105">
        <v>0</v>
      </c>
    </row>
    <row r="1343" spans="1:6" x14ac:dyDescent="0.25">
      <c r="A1343" s="105">
        <f t="shared" si="20"/>
        <v>4120031</v>
      </c>
      <c r="B1343" s="105" t="s">
        <v>2165</v>
      </c>
      <c r="C1343" s="105" t="s">
        <v>2163</v>
      </c>
      <c r="D1343" s="105">
        <v>0</v>
      </c>
      <c r="E1343" s="105">
        <v>0</v>
      </c>
      <c r="F1343" s="105">
        <v>0</v>
      </c>
    </row>
    <row r="1344" spans="1:6" x14ac:dyDescent="0.25">
      <c r="A1344" s="105">
        <f t="shared" si="20"/>
        <v>4120032</v>
      </c>
      <c r="B1344" s="105" t="s">
        <v>2166</v>
      </c>
      <c r="C1344" s="105" t="s">
        <v>2163</v>
      </c>
      <c r="D1344" s="105">
        <v>0</v>
      </c>
      <c r="E1344" s="105">
        <v>0</v>
      </c>
      <c r="F1344" s="105">
        <v>0</v>
      </c>
    </row>
    <row r="1345" spans="1:6" x14ac:dyDescent="0.25">
      <c r="A1345" s="105" t="str">
        <f t="shared" si="20"/>
        <v/>
      </c>
      <c r="B1345" s="105" t="s">
        <v>2167</v>
      </c>
      <c r="C1345" s="105" t="s">
        <v>8</v>
      </c>
      <c r="D1345" s="105">
        <v>0</v>
      </c>
      <c r="E1345" s="105">
        <v>0</v>
      </c>
      <c r="F1345" s="105">
        <v>0</v>
      </c>
    </row>
    <row r="1346" spans="1:6" x14ac:dyDescent="0.25">
      <c r="A1346" s="105">
        <f t="shared" si="20"/>
        <v>4120033</v>
      </c>
      <c r="B1346" s="105" t="s">
        <v>2168</v>
      </c>
      <c r="C1346" s="105" t="s">
        <v>2163</v>
      </c>
      <c r="D1346" s="105">
        <v>0</v>
      </c>
      <c r="E1346" s="105">
        <v>0</v>
      </c>
      <c r="F1346" s="105">
        <v>0</v>
      </c>
    </row>
    <row r="1347" spans="1:6" x14ac:dyDescent="0.25">
      <c r="A1347" s="105" t="str">
        <f t="shared" ref="A1347:A1410" si="21">IF(B1347&lt;&gt;"",IFERROR(B1347*1,""),"")</f>
        <v/>
      </c>
      <c r="B1347" s="105" t="s">
        <v>2169</v>
      </c>
      <c r="C1347" s="105" t="s">
        <v>8</v>
      </c>
      <c r="D1347" s="105">
        <v>0</v>
      </c>
      <c r="E1347" s="105">
        <v>0</v>
      </c>
      <c r="F1347" s="105">
        <v>0</v>
      </c>
    </row>
    <row r="1348" spans="1:6" x14ac:dyDescent="0.25">
      <c r="A1348" s="105">
        <f t="shared" si="21"/>
        <v>4120035</v>
      </c>
      <c r="B1348" s="105" t="s">
        <v>2170</v>
      </c>
      <c r="C1348" s="105" t="s">
        <v>2171</v>
      </c>
      <c r="D1348" s="105">
        <v>0</v>
      </c>
      <c r="E1348" s="105">
        <v>0</v>
      </c>
      <c r="F1348" s="105">
        <v>0</v>
      </c>
    </row>
    <row r="1349" spans="1:6" x14ac:dyDescent="0.25">
      <c r="A1349" s="105" t="str">
        <f t="shared" si="21"/>
        <v/>
      </c>
      <c r="B1349" s="105" t="s">
        <v>2172</v>
      </c>
      <c r="C1349" s="105" t="s">
        <v>8</v>
      </c>
      <c r="D1349" s="105">
        <v>0</v>
      </c>
      <c r="E1349" s="105">
        <v>0</v>
      </c>
      <c r="F1349" s="105">
        <v>0</v>
      </c>
    </row>
    <row r="1350" spans="1:6" x14ac:dyDescent="0.25">
      <c r="A1350" s="105">
        <f t="shared" si="21"/>
        <v>4120036</v>
      </c>
      <c r="B1350" s="105" t="s">
        <v>2173</v>
      </c>
      <c r="C1350" s="105" t="s">
        <v>2174</v>
      </c>
      <c r="D1350" s="105">
        <v>0</v>
      </c>
      <c r="E1350" s="105">
        <v>0</v>
      </c>
      <c r="F1350" s="105">
        <v>0</v>
      </c>
    </row>
    <row r="1351" spans="1:6" x14ac:dyDescent="0.25">
      <c r="A1351" s="105" t="str">
        <f t="shared" si="21"/>
        <v/>
      </c>
      <c r="B1351" s="105" t="s">
        <v>2175</v>
      </c>
      <c r="C1351" s="105" t="s">
        <v>8</v>
      </c>
      <c r="D1351" s="105">
        <v>0</v>
      </c>
      <c r="E1351" s="105">
        <v>0</v>
      </c>
      <c r="F1351" s="105">
        <v>0</v>
      </c>
    </row>
    <row r="1352" spans="1:6" x14ac:dyDescent="0.25">
      <c r="A1352" s="105">
        <f t="shared" si="21"/>
        <v>4120037</v>
      </c>
      <c r="B1352" s="105" t="s">
        <v>2176</v>
      </c>
      <c r="C1352" s="105" t="s">
        <v>2177</v>
      </c>
      <c r="D1352" s="105">
        <v>0</v>
      </c>
      <c r="E1352" s="105">
        <v>0</v>
      </c>
      <c r="F1352" s="105">
        <v>0</v>
      </c>
    </row>
    <row r="1353" spans="1:6" x14ac:dyDescent="0.25">
      <c r="A1353" s="105" t="str">
        <f t="shared" si="21"/>
        <v/>
      </c>
      <c r="B1353" s="105" t="s">
        <v>2178</v>
      </c>
      <c r="C1353" s="105" t="s">
        <v>8</v>
      </c>
      <c r="D1353" s="105">
        <v>0</v>
      </c>
      <c r="E1353" s="105">
        <v>0</v>
      </c>
      <c r="F1353" s="105">
        <v>0</v>
      </c>
    </row>
    <row r="1354" spans="1:6" x14ac:dyDescent="0.25">
      <c r="A1354" s="105">
        <f t="shared" si="21"/>
        <v>4120038</v>
      </c>
      <c r="B1354" s="105" t="s">
        <v>2179</v>
      </c>
      <c r="C1354" s="105" t="s">
        <v>2180</v>
      </c>
      <c r="D1354" s="105">
        <v>0</v>
      </c>
      <c r="E1354" s="105">
        <v>0</v>
      </c>
      <c r="F1354" s="105">
        <v>14</v>
      </c>
    </row>
    <row r="1355" spans="1:6" x14ac:dyDescent="0.25">
      <c r="A1355" s="105" t="str">
        <f t="shared" si="21"/>
        <v/>
      </c>
      <c r="B1355" s="105" t="s">
        <v>2181</v>
      </c>
      <c r="C1355" s="105" t="s">
        <v>8</v>
      </c>
      <c r="D1355" s="105">
        <v>0</v>
      </c>
      <c r="E1355" s="105">
        <v>0</v>
      </c>
      <c r="F1355" s="105">
        <v>0</v>
      </c>
    </row>
    <row r="1356" spans="1:6" x14ac:dyDescent="0.25">
      <c r="A1356" s="105">
        <f t="shared" si="21"/>
        <v>4120039</v>
      </c>
      <c r="B1356" s="105" t="s">
        <v>2182</v>
      </c>
      <c r="C1356" s="105" t="s">
        <v>2183</v>
      </c>
      <c r="D1356" s="105">
        <v>0</v>
      </c>
      <c r="E1356" s="105">
        <v>0</v>
      </c>
      <c r="F1356" s="105">
        <v>11</v>
      </c>
    </row>
    <row r="1357" spans="1:6" x14ac:dyDescent="0.25">
      <c r="A1357" s="105" t="str">
        <f t="shared" si="21"/>
        <v/>
      </c>
      <c r="B1357" s="105" t="s">
        <v>2184</v>
      </c>
      <c r="C1357" s="105" t="s">
        <v>8</v>
      </c>
      <c r="D1357" s="105">
        <v>0</v>
      </c>
      <c r="E1357" s="105">
        <v>0</v>
      </c>
      <c r="F1357" s="105">
        <v>0</v>
      </c>
    </row>
    <row r="1358" spans="1:6" x14ac:dyDescent="0.25">
      <c r="A1358" s="105">
        <f t="shared" si="21"/>
        <v>4120040</v>
      </c>
      <c r="B1358" s="105" t="s">
        <v>2185</v>
      </c>
      <c r="C1358" s="105" t="s">
        <v>2186</v>
      </c>
      <c r="D1358" s="105">
        <v>0</v>
      </c>
      <c r="E1358" s="105">
        <v>0</v>
      </c>
      <c r="F1358" s="105">
        <v>0</v>
      </c>
    </row>
    <row r="1359" spans="1:6" x14ac:dyDescent="0.25">
      <c r="A1359" s="105" t="str">
        <f t="shared" si="21"/>
        <v/>
      </c>
      <c r="B1359" s="105" t="s">
        <v>2187</v>
      </c>
      <c r="C1359" s="105" t="s">
        <v>8</v>
      </c>
      <c r="D1359" s="105">
        <v>0</v>
      </c>
      <c r="E1359" s="105">
        <v>0</v>
      </c>
      <c r="F1359" s="105">
        <v>0</v>
      </c>
    </row>
    <row r="1360" spans="1:6" x14ac:dyDescent="0.25">
      <c r="A1360" s="105">
        <f t="shared" si="21"/>
        <v>4120041</v>
      </c>
      <c r="B1360" s="105" t="s">
        <v>2188</v>
      </c>
      <c r="C1360" s="105" t="s">
        <v>2189</v>
      </c>
      <c r="D1360" s="105">
        <v>0</v>
      </c>
      <c r="E1360" s="105">
        <v>0</v>
      </c>
      <c r="F1360" s="105">
        <v>0</v>
      </c>
    </row>
    <row r="1361" spans="1:6" x14ac:dyDescent="0.25">
      <c r="A1361" s="105">
        <f t="shared" si="21"/>
        <v>4120042</v>
      </c>
      <c r="B1361" s="105" t="s">
        <v>2190</v>
      </c>
      <c r="C1361" s="105" t="s">
        <v>2191</v>
      </c>
      <c r="D1361" s="105">
        <v>4240</v>
      </c>
      <c r="E1361" s="105">
        <v>2544</v>
      </c>
      <c r="F1361" s="105">
        <v>9</v>
      </c>
    </row>
    <row r="1362" spans="1:6" x14ac:dyDescent="0.25">
      <c r="A1362" s="105">
        <f t="shared" si="21"/>
        <v>4120043</v>
      </c>
      <c r="B1362" s="105" t="s">
        <v>2192</v>
      </c>
      <c r="C1362" s="105" t="s">
        <v>2193</v>
      </c>
      <c r="D1362" s="105">
        <v>4399</v>
      </c>
      <c r="E1362" s="105">
        <v>2639.4</v>
      </c>
      <c r="F1362" s="105">
        <v>2</v>
      </c>
    </row>
    <row r="1363" spans="1:6" x14ac:dyDescent="0.25">
      <c r="A1363" s="105">
        <f t="shared" si="21"/>
        <v>4120044</v>
      </c>
      <c r="B1363" s="105" t="s">
        <v>2194</v>
      </c>
      <c r="C1363" s="105" t="s">
        <v>2195</v>
      </c>
      <c r="D1363" s="105">
        <v>4558</v>
      </c>
      <c r="E1363" s="105">
        <v>2734.8</v>
      </c>
      <c r="F1363" s="105">
        <v>0</v>
      </c>
    </row>
    <row r="1364" spans="1:6" x14ac:dyDescent="0.25">
      <c r="A1364" s="105" t="str">
        <f t="shared" si="21"/>
        <v/>
      </c>
      <c r="B1364" s="105" t="s">
        <v>2196</v>
      </c>
      <c r="C1364" s="105" t="s">
        <v>8</v>
      </c>
      <c r="D1364" s="105">
        <v>0</v>
      </c>
      <c r="E1364" s="105">
        <v>0</v>
      </c>
      <c r="F1364" s="105">
        <v>0</v>
      </c>
    </row>
    <row r="1365" spans="1:6" x14ac:dyDescent="0.25">
      <c r="A1365" s="105">
        <f t="shared" si="21"/>
        <v>4120045</v>
      </c>
      <c r="B1365" s="105" t="s">
        <v>2197</v>
      </c>
      <c r="C1365" s="105" t="s">
        <v>2198</v>
      </c>
      <c r="D1365" s="105">
        <v>0</v>
      </c>
      <c r="E1365" s="105">
        <v>0</v>
      </c>
      <c r="F1365" s="105">
        <v>0</v>
      </c>
    </row>
    <row r="1366" spans="1:6" x14ac:dyDescent="0.25">
      <c r="A1366" s="105" t="str">
        <f t="shared" si="21"/>
        <v/>
      </c>
      <c r="B1366" s="105" t="s">
        <v>2199</v>
      </c>
      <c r="C1366" s="105" t="s">
        <v>8</v>
      </c>
      <c r="D1366" s="105">
        <v>0</v>
      </c>
      <c r="E1366" s="105">
        <v>0</v>
      </c>
      <c r="F1366" s="105">
        <v>0</v>
      </c>
    </row>
    <row r="1367" spans="1:6" x14ac:dyDescent="0.25">
      <c r="A1367" s="105">
        <f t="shared" si="21"/>
        <v>4120046</v>
      </c>
      <c r="B1367" s="105" t="s">
        <v>2200</v>
      </c>
      <c r="C1367" s="105" t="s">
        <v>2201</v>
      </c>
      <c r="D1367" s="105">
        <v>0</v>
      </c>
      <c r="E1367" s="105">
        <v>0</v>
      </c>
      <c r="F1367" s="105">
        <v>0</v>
      </c>
    </row>
    <row r="1368" spans="1:6" x14ac:dyDescent="0.25">
      <c r="A1368" s="105" t="str">
        <f t="shared" si="21"/>
        <v/>
      </c>
      <c r="B1368" s="105" t="s">
        <v>2202</v>
      </c>
      <c r="C1368" s="105" t="s">
        <v>8</v>
      </c>
      <c r="D1368" s="105">
        <v>0</v>
      </c>
      <c r="E1368" s="105">
        <v>0</v>
      </c>
      <c r="F1368" s="105">
        <v>0</v>
      </c>
    </row>
    <row r="1369" spans="1:6" x14ac:dyDescent="0.25">
      <c r="A1369" s="105">
        <f t="shared" si="21"/>
        <v>4120047</v>
      </c>
      <c r="B1369" s="105" t="s">
        <v>2203</v>
      </c>
      <c r="C1369" s="105" t="s">
        <v>2204</v>
      </c>
      <c r="D1369" s="105">
        <v>0</v>
      </c>
      <c r="E1369" s="105">
        <v>0</v>
      </c>
      <c r="F1369" s="105">
        <v>0</v>
      </c>
    </row>
    <row r="1370" spans="1:6" x14ac:dyDescent="0.25">
      <c r="A1370" s="105" t="str">
        <f t="shared" si="21"/>
        <v/>
      </c>
      <c r="B1370" s="105" t="s">
        <v>2205</v>
      </c>
      <c r="C1370" s="105" t="s">
        <v>8</v>
      </c>
      <c r="D1370" s="105">
        <v>0</v>
      </c>
      <c r="E1370" s="105">
        <v>0</v>
      </c>
      <c r="F1370" s="105">
        <v>0</v>
      </c>
    </row>
    <row r="1371" spans="1:6" x14ac:dyDescent="0.25">
      <c r="A1371" s="105">
        <f t="shared" si="21"/>
        <v>4120048</v>
      </c>
      <c r="B1371" s="105" t="s">
        <v>2206</v>
      </c>
      <c r="C1371" s="105" t="s">
        <v>2207</v>
      </c>
      <c r="D1371" s="105">
        <v>0</v>
      </c>
      <c r="E1371" s="105">
        <v>0</v>
      </c>
      <c r="F1371" s="105">
        <v>0</v>
      </c>
    </row>
    <row r="1372" spans="1:6" x14ac:dyDescent="0.25">
      <c r="A1372" s="105" t="str">
        <f t="shared" si="21"/>
        <v/>
      </c>
      <c r="B1372" s="105" t="s">
        <v>2208</v>
      </c>
      <c r="C1372" s="105" t="s">
        <v>8</v>
      </c>
      <c r="D1372" s="105">
        <v>0</v>
      </c>
      <c r="E1372" s="105">
        <v>0</v>
      </c>
      <c r="F1372" s="105">
        <v>0</v>
      </c>
    </row>
    <row r="1373" spans="1:6" x14ac:dyDescent="0.25">
      <c r="A1373" s="105">
        <f t="shared" si="21"/>
        <v>4120050</v>
      </c>
      <c r="B1373" s="105" t="s">
        <v>2209</v>
      </c>
      <c r="C1373" s="105" t="s">
        <v>2210</v>
      </c>
      <c r="D1373" s="105">
        <v>0</v>
      </c>
      <c r="E1373" s="105">
        <v>0</v>
      </c>
      <c r="F1373" s="105">
        <v>0</v>
      </c>
    </row>
    <row r="1374" spans="1:6" x14ac:dyDescent="0.25">
      <c r="A1374" s="105" t="str">
        <f t="shared" si="21"/>
        <v/>
      </c>
      <c r="B1374" s="105" t="s">
        <v>2211</v>
      </c>
      <c r="C1374" s="105" t="s">
        <v>8</v>
      </c>
      <c r="D1374" s="105">
        <v>0</v>
      </c>
      <c r="E1374" s="105">
        <v>0</v>
      </c>
      <c r="F1374" s="105">
        <v>0</v>
      </c>
    </row>
    <row r="1375" spans="1:6" x14ac:dyDescent="0.25">
      <c r="A1375" s="105">
        <f t="shared" si="21"/>
        <v>4120051</v>
      </c>
      <c r="B1375" s="105" t="s">
        <v>2212</v>
      </c>
      <c r="C1375" s="105" t="s">
        <v>2213</v>
      </c>
      <c r="D1375" s="105">
        <v>0</v>
      </c>
      <c r="E1375" s="105">
        <v>0</v>
      </c>
      <c r="F1375" s="105">
        <v>0</v>
      </c>
    </row>
    <row r="1376" spans="1:6" x14ac:dyDescent="0.25">
      <c r="A1376" s="105" t="str">
        <f t="shared" si="21"/>
        <v/>
      </c>
      <c r="B1376" s="105" t="s">
        <v>2214</v>
      </c>
      <c r="C1376" s="105" t="s">
        <v>8</v>
      </c>
      <c r="D1376" s="105">
        <v>0</v>
      </c>
      <c r="E1376" s="105">
        <v>0</v>
      </c>
      <c r="F1376" s="105">
        <v>0</v>
      </c>
    </row>
    <row r="1377" spans="1:6" x14ac:dyDescent="0.25">
      <c r="A1377" s="105">
        <f t="shared" si="21"/>
        <v>4120052</v>
      </c>
      <c r="B1377" s="105" t="s">
        <v>2215</v>
      </c>
      <c r="C1377" s="105" t="s">
        <v>2216</v>
      </c>
      <c r="D1377" s="105">
        <v>0</v>
      </c>
      <c r="E1377" s="105">
        <v>0</v>
      </c>
      <c r="F1377" s="105">
        <v>0</v>
      </c>
    </row>
    <row r="1378" spans="1:6" x14ac:dyDescent="0.25">
      <c r="A1378" s="105" t="str">
        <f t="shared" si="21"/>
        <v/>
      </c>
      <c r="B1378" s="105" t="s">
        <v>2217</v>
      </c>
      <c r="C1378" s="105" t="s">
        <v>8</v>
      </c>
      <c r="D1378" s="105">
        <v>0</v>
      </c>
      <c r="E1378" s="105">
        <v>0</v>
      </c>
      <c r="F1378" s="105">
        <v>0</v>
      </c>
    </row>
    <row r="1379" spans="1:6" x14ac:dyDescent="0.25">
      <c r="A1379" s="105">
        <f t="shared" si="21"/>
        <v>4120055</v>
      </c>
      <c r="B1379" s="105" t="s">
        <v>2218</v>
      </c>
      <c r="C1379" s="105" t="s">
        <v>2219</v>
      </c>
      <c r="D1379" s="105">
        <v>0</v>
      </c>
      <c r="E1379" s="105">
        <v>0</v>
      </c>
      <c r="F1379" s="105">
        <v>0</v>
      </c>
    </row>
    <row r="1380" spans="1:6" x14ac:dyDescent="0.25">
      <c r="A1380" s="105" t="str">
        <f t="shared" si="21"/>
        <v/>
      </c>
      <c r="B1380" s="105" t="s">
        <v>2220</v>
      </c>
      <c r="C1380" s="105" t="s">
        <v>8</v>
      </c>
      <c r="D1380" s="105">
        <v>0</v>
      </c>
      <c r="E1380" s="105">
        <v>0</v>
      </c>
      <c r="F1380" s="105">
        <v>0</v>
      </c>
    </row>
    <row r="1381" spans="1:6" x14ac:dyDescent="0.25">
      <c r="A1381" s="105">
        <f t="shared" si="21"/>
        <v>4120056</v>
      </c>
      <c r="B1381" s="105" t="s">
        <v>2221</v>
      </c>
      <c r="C1381" s="105" t="s">
        <v>2222</v>
      </c>
      <c r="D1381" s="105">
        <v>0</v>
      </c>
      <c r="E1381" s="105">
        <v>0</v>
      </c>
      <c r="F1381" s="105">
        <v>0</v>
      </c>
    </row>
    <row r="1382" spans="1:6" x14ac:dyDescent="0.25">
      <c r="A1382" s="105" t="str">
        <f t="shared" si="21"/>
        <v/>
      </c>
      <c r="B1382" s="105" t="s">
        <v>2223</v>
      </c>
      <c r="C1382" s="105" t="s">
        <v>8</v>
      </c>
      <c r="D1382" s="105">
        <v>0</v>
      </c>
      <c r="E1382" s="105">
        <v>0</v>
      </c>
      <c r="F1382" s="105">
        <v>0</v>
      </c>
    </row>
    <row r="1383" spans="1:6" x14ac:dyDescent="0.25">
      <c r="A1383" s="105">
        <f t="shared" si="21"/>
        <v>4120057</v>
      </c>
      <c r="B1383" s="105" t="s">
        <v>2224</v>
      </c>
      <c r="C1383" s="105" t="s">
        <v>2225</v>
      </c>
      <c r="D1383" s="105">
        <v>0</v>
      </c>
      <c r="E1383" s="105">
        <v>0</v>
      </c>
      <c r="F1383" s="105">
        <v>0</v>
      </c>
    </row>
    <row r="1384" spans="1:6" x14ac:dyDescent="0.25">
      <c r="A1384" s="105">
        <f t="shared" si="21"/>
        <v>4120058</v>
      </c>
      <c r="B1384" s="105" t="s">
        <v>2226</v>
      </c>
      <c r="C1384" s="105" t="s">
        <v>2227</v>
      </c>
      <c r="D1384" s="105">
        <v>4558</v>
      </c>
      <c r="E1384" s="105">
        <v>2734.8</v>
      </c>
      <c r="F1384" s="105">
        <v>138</v>
      </c>
    </row>
    <row r="1385" spans="1:6" x14ac:dyDescent="0.25">
      <c r="A1385" s="105">
        <f t="shared" si="21"/>
        <v>4120059</v>
      </c>
      <c r="B1385" s="105" t="s">
        <v>2228</v>
      </c>
      <c r="C1385" s="105" t="s">
        <v>2229</v>
      </c>
      <c r="D1385" s="105">
        <v>4717</v>
      </c>
      <c r="E1385" s="105">
        <v>2830.2</v>
      </c>
      <c r="F1385" s="105">
        <v>25</v>
      </c>
    </row>
    <row r="1386" spans="1:6" x14ac:dyDescent="0.25">
      <c r="A1386" s="105">
        <f t="shared" si="21"/>
        <v>4120060</v>
      </c>
      <c r="B1386" s="105" t="s">
        <v>2230</v>
      </c>
      <c r="C1386" s="105" t="s">
        <v>2231</v>
      </c>
      <c r="D1386" s="105">
        <v>4876</v>
      </c>
      <c r="E1386" s="105">
        <v>2925.6</v>
      </c>
      <c r="F1386" s="105">
        <v>9</v>
      </c>
    </row>
    <row r="1387" spans="1:6" x14ac:dyDescent="0.25">
      <c r="A1387" s="105">
        <f t="shared" si="21"/>
        <v>4120061</v>
      </c>
      <c r="B1387" s="105" t="s">
        <v>2232</v>
      </c>
      <c r="C1387" s="105" t="s">
        <v>2233</v>
      </c>
      <c r="D1387" s="105">
        <v>5035</v>
      </c>
      <c r="E1387" s="105">
        <v>3021</v>
      </c>
      <c r="F1387" s="105">
        <v>0</v>
      </c>
    </row>
    <row r="1388" spans="1:6" x14ac:dyDescent="0.25">
      <c r="A1388" s="105">
        <f t="shared" si="21"/>
        <v>4120062</v>
      </c>
      <c r="B1388" s="105" t="s">
        <v>2234</v>
      </c>
      <c r="C1388" s="105" t="s">
        <v>2235</v>
      </c>
      <c r="D1388" s="105">
        <v>4346</v>
      </c>
      <c r="E1388" s="105">
        <v>2607.6</v>
      </c>
      <c r="F1388" s="105">
        <v>115</v>
      </c>
    </row>
    <row r="1389" spans="1:6" x14ac:dyDescent="0.25">
      <c r="A1389" s="105">
        <f t="shared" si="21"/>
        <v>4120063</v>
      </c>
      <c r="B1389" s="105" t="s">
        <v>2236</v>
      </c>
      <c r="C1389" s="105" t="s">
        <v>2237</v>
      </c>
      <c r="D1389" s="105">
        <v>4505</v>
      </c>
      <c r="E1389" s="105">
        <v>2703</v>
      </c>
      <c r="F1389" s="105">
        <v>54</v>
      </c>
    </row>
    <row r="1390" spans="1:6" x14ac:dyDescent="0.25">
      <c r="A1390" s="105">
        <f t="shared" si="21"/>
        <v>4120064</v>
      </c>
      <c r="B1390" s="105" t="s">
        <v>2238</v>
      </c>
      <c r="C1390" s="105" t="s">
        <v>2239</v>
      </c>
      <c r="D1390" s="105">
        <v>4664</v>
      </c>
      <c r="E1390" s="105">
        <v>2798.4</v>
      </c>
      <c r="F1390" s="105">
        <v>20</v>
      </c>
    </row>
    <row r="1391" spans="1:6" x14ac:dyDescent="0.25">
      <c r="A1391" s="105" t="str">
        <f t="shared" si="21"/>
        <v/>
      </c>
      <c r="B1391" s="105" t="s">
        <v>2240</v>
      </c>
      <c r="C1391" s="105" t="s">
        <v>8</v>
      </c>
      <c r="D1391" s="105">
        <v>0</v>
      </c>
      <c r="E1391" s="105">
        <v>0</v>
      </c>
      <c r="F1391" s="105">
        <v>0</v>
      </c>
    </row>
    <row r="1392" spans="1:6" x14ac:dyDescent="0.25">
      <c r="A1392" s="105">
        <f t="shared" si="21"/>
        <v>4120065</v>
      </c>
      <c r="B1392" s="105" t="s">
        <v>2241</v>
      </c>
      <c r="C1392" s="105" t="s">
        <v>2242</v>
      </c>
      <c r="D1392" s="105">
        <v>0</v>
      </c>
      <c r="E1392" s="105">
        <v>0</v>
      </c>
      <c r="F1392" s="105">
        <v>0</v>
      </c>
    </row>
    <row r="1393" spans="1:6" x14ac:dyDescent="0.25">
      <c r="A1393" s="105">
        <f t="shared" si="21"/>
        <v>4120066</v>
      </c>
      <c r="B1393" s="105" t="s">
        <v>2243</v>
      </c>
      <c r="C1393" s="105" t="s">
        <v>2244</v>
      </c>
      <c r="D1393" s="105">
        <v>4558</v>
      </c>
      <c r="E1393" s="105">
        <v>2734.8</v>
      </c>
      <c r="F1393" s="105">
        <v>0</v>
      </c>
    </row>
    <row r="1394" spans="1:6" x14ac:dyDescent="0.25">
      <c r="A1394" s="105">
        <f t="shared" si="21"/>
        <v>4120067</v>
      </c>
      <c r="B1394" s="105" t="s">
        <v>2245</v>
      </c>
      <c r="C1394" s="105" t="s">
        <v>2246</v>
      </c>
      <c r="D1394" s="105">
        <v>4717</v>
      </c>
      <c r="E1394" s="105">
        <v>2830.2</v>
      </c>
      <c r="F1394" s="105">
        <v>2</v>
      </c>
    </row>
    <row r="1395" spans="1:6" x14ac:dyDescent="0.25">
      <c r="A1395" s="105">
        <f t="shared" si="21"/>
        <v>4120068</v>
      </c>
      <c r="B1395" s="105" t="s">
        <v>2247</v>
      </c>
      <c r="C1395" s="105" t="s">
        <v>2248</v>
      </c>
      <c r="D1395" s="105">
        <v>4876</v>
      </c>
      <c r="E1395" s="105">
        <v>2925.6</v>
      </c>
      <c r="F1395" s="105">
        <v>19</v>
      </c>
    </row>
    <row r="1396" spans="1:6" x14ac:dyDescent="0.25">
      <c r="A1396" s="105">
        <f t="shared" si="21"/>
        <v>4120069</v>
      </c>
      <c r="B1396" s="105" t="s">
        <v>2249</v>
      </c>
      <c r="C1396" s="105" t="s">
        <v>2250</v>
      </c>
      <c r="D1396" s="105">
        <v>5035</v>
      </c>
      <c r="E1396" s="105">
        <v>3021</v>
      </c>
      <c r="F1396" s="105">
        <v>4</v>
      </c>
    </row>
    <row r="1397" spans="1:6" x14ac:dyDescent="0.25">
      <c r="A1397" s="105">
        <f t="shared" si="21"/>
        <v>4120070</v>
      </c>
      <c r="B1397" s="105" t="s">
        <v>2251</v>
      </c>
      <c r="C1397" s="105" t="s">
        <v>2252</v>
      </c>
      <c r="D1397" s="105">
        <v>4240</v>
      </c>
      <c r="E1397" s="105">
        <v>2544</v>
      </c>
      <c r="F1397" s="105">
        <v>0</v>
      </c>
    </row>
    <row r="1398" spans="1:6" x14ac:dyDescent="0.25">
      <c r="A1398" s="105">
        <f t="shared" si="21"/>
        <v>4120071</v>
      </c>
      <c r="B1398" s="105" t="s">
        <v>2253</v>
      </c>
      <c r="C1398" s="105" t="s">
        <v>2254</v>
      </c>
      <c r="D1398" s="105">
        <v>4399</v>
      </c>
      <c r="E1398" s="105">
        <v>2639.4</v>
      </c>
      <c r="F1398" s="105">
        <v>7</v>
      </c>
    </row>
    <row r="1399" spans="1:6" x14ac:dyDescent="0.25">
      <c r="A1399" s="105">
        <f t="shared" si="21"/>
        <v>4120072</v>
      </c>
      <c r="B1399" s="105" t="s">
        <v>2255</v>
      </c>
      <c r="C1399" s="105" t="s">
        <v>2256</v>
      </c>
      <c r="D1399" s="105">
        <v>4558</v>
      </c>
      <c r="E1399" s="105">
        <v>2734.8</v>
      </c>
      <c r="F1399" s="105">
        <v>29</v>
      </c>
    </row>
    <row r="1400" spans="1:6" x14ac:dyDescent="0.25">
      <c r="A1400" s="105">
        <f t="shared" si="21"/>
        <v>4120073</v>
      </c>
      <c r="B1400" s="105" t="s">
        <v>2257</v>
      </c>
      <c r="C1400" s="105" t="s">
        <v>2258</v>
      </c>
      <c r="D1400" s="105">
        <v>4717</v>
      </c>
      <c r="E1400" s="105">
        <v>2830.2</v>
      </c>
      <c r="F1400" s="105">
        <v>0</v>
      </c>
    </row>
    <row r="1401" spans="1:6" x14ac:dyDescent="0.25">
      <c r="A1401" s="105">
        <f t="shared" si="21"/>
        <v>4120074</v>
      </c>
      <c r="B1401" s="105" t="s">
        <v>2259</v>
      </c>
      <c r="C1401" s="105" t="s">
        <v>2260</v>
      </c>
      <c r="D1401" s="105">
        <v>4134</v>
      </c>
      <c r="E1401" s="105">
        <v>2480.4</v>
      </c>
      <c r="F1401" s="105">
        <v>46</v>
      </c>
    </row>
    <row r="1402" spans="1:6" x14ac:dyDescent="0.25">
      <c r="A1402" s="105">
        <f t="shared" si="21"/>
        <v>4120075</v>
      </c>
      <c r="B1402" s="105" t="s">
        <v>2261</v>
      </c>
      <c r="C1402" s="105" t="s">
        <v>2262</v>
      </c>
      <c r="D1402" s="105">
        <v>4293</v>
      </c>
      <c r="E1402" s="105">
        <v>2575.8000000000002</v>
      </c>
      <c r="F1402" s="105">
        <v>33</v>
      </c>
    </row>
    <row r="1403" spans="1:6" x14ac:dyDescent="0.25">
      <c r="A1403" s="105">
        <f t="shared" si="21"/>
        <v>4120076</v>
      </c>
      <c r="B1403" s="105" t="s">
        <v>2263</v>
      </c>
      <c r="C1403" s="105" t="s">
        <v>2264</v>
      </c>
      <c r="D1403" s="105">
        <v>4452</v>
      </c>
      <c r="E1403" s="105">
        <v>2671.2</v>
      </c>
      <c r="F1403" s="105">
        <v>16</v>
      </c>
    </row>
    <row r="1404" spans="1:6" x14ac:dyDescent="0.25">
      <c r="A1404" s="105">
        <f t="shared" si="21"/>
        <v>4120077</v>
      </c>
      <c r="B1404" s="105" t="s">
        <v>2265</v>
      </c>
      <c r="C1404" s="105" t="s">
        <v>2266</v>
      </c>
      <c r="D1404" s="105">
        <v>4717</v>
      </c>
      <c r="E1404" s="105">
        <v>2830.2</v>
      </c>
      <c r="F1404" s="105">
        <v>0</v>
      </c>
    </row>
    <row r="1405" spans="1:6" x14ac:dyDescent="0.25">
      <c r="A1405" s="105">
        <f t="shared" si="21"/>
        <v>4120078</v>
      </c>
      <c r="B1405" s="105" t="s">
        <v>2267</v>
      </c>
      <c r="C1405" s="105" t="s">
        <v>2268</v>
      </c>
      <c r="D1405" s="105">
        <v>4240</v>
      </c>
      <c r="E1405" s="105">
        <v>2544</v>
      </c>
      <c r="F1405" s="105">
        <v>0</v>
      </c>
    </row>
    <row r="1406" spans="1:6" x14ac:dyDescent="0.25">
      <c r="A1406" s="105">
        <f t="shared" si="21"/>
        <v>4120079</v>
      </c>
      <c r="B1406" s="105" t="s">
        <v>2269</v>
      </c>
      <c r="C1406" s="105" t="s">
        <v>2270</v>
      </c>
      <c r="D1406" s="105">
        <v>4399</v>
      </c>
      <c r="E1406" s="105">
        <v>2639.4</v>
      </c>
      <c r="F1406" s="105">
        <v>9</v>
      </c>
    </row>
    <row r="1407" spans="1:6" x14ac:dyDescent="0.25">
      <c r="A1407" s="105">
        <f t="shared" si="21"/>
        <v>4120080</v>
      </c>
      <c r="B1407" s="105" t="s">
        <v>2271</v>
      </c>
      <c r="C1407" s="105" t="s">
        <v>2272</v>
      </c>
      <c r="D1407" s="105">
        <v>4558</v>
      </c>
      <c r="E1407" s="105">
        <v>2734.8</v>
      </c>
      <c r="F1407" s="105">
        <v>6</v>
      </c>
    </row>
    <row r="1408" spans="1:6" x14ac:dyDescent="0.25">
      <c r="A1408" s="105">
        <f t="shared" si="21"/>
        <v>4120081</v>
      </c>
      <c r="B1408" s="105" t="s">
        <v>2273</v>
      </c>
      <c r="C1408" s="105" t="s">
        <v>2274</v>
      </c>
      <c r="D1408" s="105">
        <v>4717</v>
      </c>
      <c r="E1408" s="105">
        <v>2830.2</v>
      </c>
      <c r="F1408" s="105">
        <v>0</v>
      </c>
    </row>
    <row r="1409" spans="1:6" x14ac:dyDescent="0.25">
      <c r="A1409" s="105">
        <f t="shared" si="21"/>
        <v>4120082</v>
      </c>
      <c r="B1409" s="105" t="s">
        <v>2275</v>
      </c>
      <c r="C1409" s="105" t="s">
        <v>2276</v>
      </c>
      <c r="D1409" s="105">
        <v>4240</v>
      </c>
      <c r="E1409" s="105">
        <v>2544</v>
      </c>
      <c r="F1409" s="105">
        <v>9</v>
      </c>
    </row>
    <row r="1410" spans="1:6" x14ac:dyDescent="0.25">
      <c r="A1410" s="105">
        <f t="shared" si="21"/>
        <v>4120083</v>
      </c>
      <c r="B1410" s="105" t="s">
        <v>2277</v>
      </c>
      <c r="C1410" s="105" t="s">
        <v>2278</v>
      </c>
      <c r="D1410" s="105">
        <v>4399</v>
      </c>
      <c r="E1410" s="105">
        <v>2639.4</v>
      </c>
      <c r="F1410" s="105">
        <v>21</v>
      </c>
    </row>
    <row r="1411" spans="1:6" x14ac:dyDescent="0.25">
      <c r="A1411" s="105">
        <f t="shared" ref="A1411:A1474" si="22">IF(B1411&lt;&gt;"",IFERROR(B1411*1,""),"")</f>
        <v>4120084</v>
      </c>
      <c r="B1411" s="105" t="s">
        <v>2279</v>
      </c>
      <c r="C1411" s="105" t="s">
        <v>2280</v>
      </c>
      <c r="D1411" s="105">
        <v>4558</v>
      </c>
      <c r="E1411" s="105">
        <v>2734.8</v>
      </c>
      <c r="F1411" s="105">
        <v>0</v>
      </c>
    </row>
    <row r="1412" spans="1:6" x14ac:dyDescent="0.25">
      <c r="A1412" s="105">
        <f t="shared" si="22"/>
        <v>4120085</v>
      </c>
      <c r="B1412" s="105" t="s">
        <v>2281</v>
      </c>
      <c r="C1412" s="105" t="s">
        <v>2282</v>
      </c>
      <c r="D1412" s="105">
        <v>4717</v>
      </c>
      <c r="E1412" s="105">
        <v>2830.2</v>
      </c>
      <c r="F1412" s="105">
        <v>0</v>
      </c>
    </row>
    <row r="1413" spans="1:6" x14ac:dyDescent="0.25">
      <c r="A1413" s="105">
        <f t="shared" si="22"/>
        <v>4120086</v>
      </c>
      <c r="B1413" s="105" t="s">
        <v>2283</v>
      </c>
      <c r="C1413" s="105" t="s">
        <v>2284</v>
      </c>
      <c r="D1413" s="105">
        <v>4240</v>
      </c>
      <c r="E1413" s="105">
        <v>2544</v>
      </c>
      <c r="F1413" s="105">
        <v>0</v>
      </c>
    </row>
    <row r="1414" spans="1:6" x14ac:dyDescent="0.25">
      <c r="A1414" s="105">
        <f t="shared" si="22"/>
        <v>4120087</v>
      </c>
      <c r="B1414" s="105" t="s">
        <v>2285</v>
      </c>
      <c r="C1414" s="105" t="s">
        <v>2286</v>
      </c>
      <c r="D1414" s="105">
        <v>4399</v>
      </c>
      <c r="E1414" s="105">
        <v>2639.4</v>
      </c>
      <c r="F1414" s="105">
        <v>11</v>
      </c>
    </row>
    <row r="1415" spans="1:6" x14ac:dyDescent="0.25">
      <c r="A1415" s="105">
        <f t="shared" si="22"/>
        <v>4120088</v>
      </c>
      <c r="B1415" s="105" t="s">
        <v>2287</v>
      </c>
      <c r="C1415" s="105" t="s">
        <v>2288</v>
      </c>
      <c r="D1415" s="105">
        <v>4558</v>
      </c>
      <c r="E1415" s="105">
        <v>2734.8</v>
      </c>
      <c r="F1415" s="105">
        <v>27</v>
      </c>
    </row>
    <row r="1416" spans="1:6" x14ac:dyDescent="0.25">
      <c r="A1416" s="105">
        <f t="shared" si="22"/>
        <v>4120089</v>
      </c>
      <c r="B1416" s="105" t="s">
        <v>2289</v>
      </c>
      <c r="C1416" s="105" t="s">
        <v>2290</v>
      </c>
      <c r="D1416" s="105">
        <v>4717</v>
      </c>
      <c r="E1416" s="105">
        <v>2830.2</v>
      </c>
      <c r="F1416" s="105">
        <v>0</v>
      </c>
    </row>
    <row r="1417" spans="1:6" x14ac:dyDescent="0.25">
      <c r="A1417" s="105">
        <f t="shared" si="22"/>
        <v>4120100</v>
      </c>
      <c r="B1417" s="105" t="s">
        <v>2291</v>
      </c>
      <c r="C1417" s="105" t="s">
        <v>2292</v>
      </c>
      <c r="D1417" s="105">
        <v>4346</v>
      </c>
      <c r="E1417" s="105">
        <v>2607.6</v>
      </c>
      <c r="F1417" s="105">
        <v>56</v>
      </c>
    </row>
    <row r="1418" spans="1:6" x14ac:dyDescent="0.25">
      <c r="A1418" s="105">
        <f t="shared" si="22"/>
        <v>4120101</v>
      </c>
      <c r="B1418" s="105" t="s">
        <v>2293</v>
      </c>
      <c r="C1418" s="105" t="s">
        <v>2294</v>
      </c>
      <c r="D1418" s="105">
        <v>4505</v>
      </c>
      <c r="E1418" s="105">
        <v>2703</v>
      </c>
      <c r="F1418" s="105">
        <v>15</v>
      </c>
    </row>
    <row r="1419" spans="1:6" x14ac:dyDescent="0.25">
      <c r="A1419" s="105">
        <f t="shared" si="22"/>
        <v>4120103</v>
      </c>
      <c r="B1419" s="105" t="s">
        <v>2295</v>
      </c>
      <c r="C1419" s="105" t="s">
        <v>2296</v>
      </c>
      <c r="D1419" s="105">
        <v>4664</v>
      </c>
      <c r="E1419" s="105">
        <v>2798.4</v>
      </c>
      <c r="F1419" s="105">
        <v>21</v>
      </c>
    </row>
    <row r="1420" spans="1:6" x14ac:dyDescent="0.25">
      <c r="A1420" s="105">
        <f t="shared" si="22"/>
        <v>4120104</v>
      </c>
      <c r="B1420" s="105" t="s">
        <v>2297</v>
      </c>
      <c r="C1420" s="105" t="s">
        <v>2298</v>
      </c>
      <c r="D1420" s="105">
        <v>4823</v>
      </c>
      <c r="E1420" s="105">
        <v>2893.8</v>
      </c>
      <c r="F1420" s="105">
        <v>7</v>
      </c>
    </row>
    <row r="1421" spans="1:6" x14ac:dyDescent="0.25">
      <c r="A1421" s="105">
        <f t="shared" si="22"/>
        <v>4120105</v>
      </c>
      <c r="B1421" s="105" t="s">
        <v>2299</v>
      </c>
      <c r="C1421" s="105" t="s">
        <v>2300</v>
      </c>
      <c r="D1421" s="105">
        <v>4240</v>
      </c>
      <c r="E1421" s="105">
        <v>2544</v>
      </c>
      <c r="F1421" s="105">
        <v>0</v>
      </c>
    </row>
    <row r="1422" spans="1:6" x14ac:dyDescent="0.25">
      <c r="A1422" s="105">
        <f t="shared" si="22"/>
        <v>412010562</v>
      </c>
      <c r="B1422" s="105" t="s">
        <v>2301</v>
      </c>
      <c r="C1422" s="105" t="s">
        <v>132</v>
      </c>
      <c r="D1422" s="105">
        <v>0</v>
      </c>
      <c r="E1422" s="105">
        <v>0</v>
      </c>
      <c r="F1422" s="105">
        <v>0</v>
      </c>
    </row>
    <row r="1423" spans="1:6" x14ac:dyDescent="0.25">
      <c r="A1423" s="105">
        <f t="shared" si="22"/>
        <v>412010564</v>
      </c>
      <c r="B1423" s="105" t="s">
        <v>2302</v>
      </c>
      <c r="C1423" s="105" t="s">
        <v>132</v>
      </c>
      <c r="D1423" s="105">
        <v>0</v>
      </c>
      <c r="E1423" s="105">
        <v>0</v>
      </c>
      <c r="F1423" s="105">
        <v>0</v>
      </c>
    </row>
    <row r="1424" spans="1:6" x14ac:dyDescent="0.25">
      <c r="A1424" s="105">
        <f t="shared" si="22"/>
        <v>412010566</v>
      </c>
      <c r="B1424" s="105" t="s">
        <v>2303</v>
      </c>
      <c r="C1424" s="105" t="s">
        <v>132</v>
      </c>
      <c r="D1424" s="105">
        <v>0</v>
      </c>
      <c r="E1424" s="105">
        <v>0</v>
      </c>
      <c r="F1424" s="105">
        <v>0</v>
      </c>
    </row>
    <row r="1425" spans="1:6" x14ac:dyDescent="0.25">
      <c r="A1425" s="105">
        <f t="shared" si="22"/>
        <v>4120106</v>
      </c>
      <c r="B1425" s="105" t="s">
        <v>2304</v>
      </c>
      <c r="C1425" s="105" t="s">
        <v>2305</v>
      </c>
      <c r="D1425" s="105">
        <v>4664</v>
      </c>
      <c r="E1425" s="105">
        <v>2798.4</v>
      </c>
      <c r="F1425" s="105">
        <v>0</v>
      </c>
    </row>
    <row r="1426" spans="1:6" x14ac:dyDescent="0.25">
      <c r="A1426" s="105">
        <f t="shared" si="22"/>
        <v>4120107</v>
      </c>
      <c r="B1426" s="105" t="s">
        <v>2306</v>
      </c>
      <c r="C1426" s="105" t="s">
        <v>2307</v>
      </c>
      <c r="D1426" s="105">
        <v>4823</v>
      </c>
      <c r="E1426" s="105">
        <v>2893.8</v>
      </c>
      <c r="F1426" s="105">
        <v>0</v>
      </c>
    </row>
    <row r="1427" spans="1:6" x14ac:dyDescent="0.25">
      <c r="A1427" s="105">
        <f t="shared" si="22"/>
        <v>4120108</v>
      </c>
      <c r="B1427" s="105" t="s">
        <v>2308</v>
      </c>
      <c r="C1427" s="105" t="s">
        <v>2309</v>
      </c>
      <c r="D1427" s="105">
        <v>0</v>
      </c>
      <c r="E1427" s="105">
        <v>0</v>
      </c>
      <c r="F1427" s="105">
        <v>0</v>
      </c>
    </row>
    <row r="1428" spans="1:6" x14ac:dyDescent="0.25">
      <c r="A1428" s="105" t="str">
        <f t="shared" si="22"/>
        <v/>
      </c>
      <c r="B1428" s="105" t="s">
        <v>2310</v>
      </c>
      <c r="C1428" s="105" t="s">
        <v>8</v>
      </c>
      <c r="D1428" s="105">
        <v>0</v>
      </c>
      <c r="E1428" s="105">
        <v>0</v>
      </c>
      <c r="F1428" s="105">
        <v>0</v>
      </c>
    </row>
    <row r="1429" spans="1:6" x14ac:dyDescent="0.25">
      <c r="A1429" s="105">
        <f t="shared" si="22"/>
        <v>4120109</v>
      </c>
      <c r="B1429" s="105" t="s">
        <v>2311</v>
      </c>
      <c r="C1429" s="105" t="s">
        <v>2312</v>
      </c>
      <c r="D1429" s="105">
        <v>0</v>
      </c>
      <c r="E1429" s="105">
        <v>0</v>
      </c>
      <c r="F1429" s="105">
        <v>0</v>
      </c>
    </row>
    <row r="1430" spans="1:6" x14ac:dyDescent="0.25">
      <c r="A1430" s="105">
        <f t="shared" si="22"/>
        <v>4120110</v>
      </c>
      <c r="B1430" s="105" t="s">
        <v>2313</v>
      </c>
      <c r="C1430" s="105" t="s">
        <v>2314</v>
      </c>
      <c r="D1430" s="105">
        <v>4134</v>
      </c>
      <c r="E1430" s="105">
        <v>2480.4</v>
      </c>
      <c r="F1430" s="105">
        <v>64</v>
      </c>
    </row>
    <row r="1431" spans="1:6" x14ac:dyDescent="0.25">
      <c r="A1431" s="105">
        <f t="shared" si="22"/>
        <v>4120111</v>
      </c>
      <c r="B1431" s="105" t="s">
        <v>2315</v>
      </c>
      <c r="C1431" s="105" t="s">
        <v>2316</v>
      </c>
      <c r="D1431" s="105">
        <v>4876</v>
      </c>
      <c r="E1431" s="105">
        <v>2925.6</v>
      </c>
      <c r="F1431" s="105">
        <v>3</v>
      </c>
    </row>
    <row r="1432" spans="1:6" x14ac:dyDescent="0.25">
      <c r="A1432" s="105" t="str">
        <f t="shared" si="22"/>
        <v/>
      </c>
      <c r="B1432" s="105" t="s">
        <v>2317</v>
      </c>
      <c r="C1432" s="105" t="s">
        <v>8</v>
      </c>
      <c r="D1432" s="105">
        <v>0</v>
      </c>
      <c r="E1432" s="105">
        <v>0</v>
      </c>
      <c r="F1432" s="105">
        <v>0</v>
      </c>
    </row>
    <row r="1433" spans="1:6" x14ac:dyDescent="0.25">
      <c r="A1433" s="105">
        <f t="shared" si="22"/>
        <v>4120112</v>
      </c>
      <c r="B1433" s="105" t="s">
        <v>2318</v>
      </c>
      <c r="C1433" s="105" t="s">
        <v>2309</v>
      </c>
      <c r="D1433" s="105">
        <v>0</v>
      </c>
      <c r="E1433" s="105">
        <v>0</v>
      </c>
      <c r="F1433" s="105">
        <v>0</v>
      </c>
    </row>
    <row r="1434" spans="1:6" x14ac:dyDescent="0.25">
      <c r="A1434" s="105" t="str">
        <f t="shared" si="22"/>
        <v/>
      </c>
      <c r="B1434" s="105" t="s">
        <v>2319</v>
      </c>
      <c r="C1434" s="105" t="s">
        <v>8</v>
      </c>
      <c r="D1434" s="105">
        <v>0</v>
      </c>
      <c r="E1434" s="105">
        <v>0</v>
      </c>
      <c r="F1434" s="105">
        <v>0</v>
      </c>
    </row>
    <row r="1435" spans="1:6" x14ac:dyDescent="0.25">
      <c r="A1435" s="105">
        <f t="shared" si="22"/>
        <v>4120113</v>
      </c>
      <c r="B1435" s="105" t="s">
        <v>2320</v>
      </c>
      <c r="C1435" s="105" t="s">
        <v>2309</v>
      </c>
      <c r="D1435" s="105">
        <v>0</v>
      </c>
      <c r="E1435" s="105">
        <v>0</v>
      </c>
      <c r="F1435" s="105">
        <v>0</v>
      </c>
    </row>
    <row r="1436" spans="1:6" x14ac:dyDescent="0.25">
      <c r="A1436" s="105">
        <f t="shared" si="22"/>
        <v>4120115</v>
      </c>
      <c r="B1436" s="105" t="s">
        <v>2321</v>
      </c>
      <c r="C1436" s="105" t="s">
        <v>2322</v>
      </c>
      <c r="D1436" s="105">
        <v>4293</v>
      </c>
      <c r="E1436" s="105">
        <v>2575.8000000000002</v>
      </c>
      <c r="F1436" s="105">
        <v>68</v>
      </c>
    </row>
    <row r="1437" spans="1:6" x14ac:dyDescent="0.25">
      <c r="A1437" s="105">
        <f t="shared" si="22"/>
        <v>4120116</v>
      </c>
      <c r="B1437" s="105" t="s">
        <v>2323</v>
      </c>
      <c r="C1437" s="105" t="s">
        <v>2324</v>
      </c>
      <c r="D1437" s="105">
        <v>0</v>
      </c>
      <c r="E1437" s="105">
        <v>0</v>
      </c>
      <c r="F1437" s="105">
        <v>0</v>
      </c>
    </row>
    <row r="1438" spans="1:6" x14ac:dyDescent="0.25">
      <c r="A1438" s="105">
        <f t="shared" si="22"/>
        <v>4120120</v>
      </c>
      <c r="B1438" s="105" t="s">
        <v>2325</v>
      </c>
      <c r="C1438" s="105" t="s">
        <v>2326</v>
      </c>
      <c r="D1438" s="105">
        <v>4240</v>
      </c>
      <c r="E1438" s="105">
        <v>2544</v>
      </c>
      <c r="F1438" s="105">
        <v>0</v>
      </c>
    </row>
    <row r="1439" spans="1:6" x14ac:dyDescent="0.25">
      <c r="A1439" s="105">
        <f t="shared" si="22"/>
        <v>4120121</v>
      </c>
      <c r="B1439" s="105" t="s">
        <v>2327</v>
      </c>
      <c r="C1439" s="105" t="s">
        <v>2328</v>
      </c>
      <c r="D1439" s="105">
        <v>4399</v>
      </c>
      <c r="E1439" s="105">
        <v>2639.4</v>
      </c>
      <c r="F1439" s="105">
        <v>0</v>
      </c>
    </row>
    <row r="1440" spans="1:6" x14ac:dyDescent="0.25">
      <c r="A1440" s="105">
        <f t="shared" si="22"/>
        <v>4120123</v>
      </c>
      <c r="B1440" s="105" t="s">
        <v>2329</v>
      </c>
      <c r="C1440" s="105" t="s">
        <v>2330</v>
      </c>
      <c r="D1440" s="105">
        <v>4558</v>
      </c>
      <c r="E1440" s="105">
        <v>2734.8</v>
      </c>
      <c r="F1440" s="105">
        <v>0</v>
      </c>
    </row>
    <row r="1441" spans="1:6" x14ac:dyDescent="0.25">
      <c r="A1441" s="105" t="str">
        <f t="shared" si="22"/>
        <v/>
      </c>
      <c r="B1441" s="105" t="s">
        <v>2331</v>
      </c>
      <c r="C1441" s="105" t="s">
        <v>8</v>
      </c>
      <c r="D1441" s="105">
        <v>0</v>
      </c>
      <c r="E1441" s="105">
        <v>0</v>
      </c>
      <c r="F1441" s="105">
        <v>0</v>
      </c>
    </row>
    <row r="1442" spans="1:6" x14ac:dyDescent="0.25">
      <c r="A1442" s="105">
        <f t="shared" si="22"/>
        <v>4120124</v>
      </c>
      <c r="B1442" s="105" t="s">
        <v>2332</v>
      </c>
      <c r="C1442" s="105" t="s">
        <v>2333</v>
      </c>
      <c r="D1442" s="105">
        <v>0</v>
      </c>
      <c r="E1442" s="105">
        <v>0</v>
      </c>
      <c r="F1442" s="105">
        <v>0</v>
      </c>
    </row>
    <row r="1443" spans="1:6" x14ac:dyDescent="0.25">
      <c r="A1443" s="105">
        <f t="shared" si="22"/>
        <v>4120130</v>
      </c>
      <c r="B1443" s="105" t="s">
        <v>2334</v>
      </c>
      <c r="C1443" s="105" t="s">
        <v>2335</v>
      </c>
      <c r="D1443" s="105">
        <v>4558</v>
      </c>
      <c r="E1443" s="105">
        <v>2734.8</v>
      </c>
      <c r="F1443" s="105">
        <v>4</v>
      </c>
    </row>
    <row r="1444" spans="1:6" x14ac:dyDescent="0.25">
      <c r="A1444" s="105">
        <f t="shared" si="22"/>
        <v>4120131</v>
      </c>
      <c r="B1444" s="105" t="s">
        <v>2336</v>
      </c>
      <c r="C1444" s="105" t="s">
        <v>2337</v>
      </c>
      <c r="D1444" s="105">
        <v>4717</v>
      </c>
      <c r="E1444" s="105">
        <v>2830.2</v>
      </c>
      <c r="F1444" s="105">
        <v>1</v>
      </c>
    </row>
    <row r="1445" spans="1:6" x14ac:dyDescent="0.25">
      <c r="A1445" s="105" t="str">
        <f t="shared" si="22"/>
        <v/>
      </c>
      <c r="B1445" s="105" t="s">
        <v>2338</v>
      </c>
      <c r="C1445" s="105" t="s">
        <v>8</v>
      </c>
      <c r="D1445" s="105">
        <v>0</v>
      </c>
      <c r="E1445" s="105">
        <v>0</v>
      </c>
      <c r="F1445" s="105">
        <v>0</v>
      </c>
    </row>
    <row r="1446" spans="1:6" x14ac:dyDescent="0.25">
      <c r="A1446" s="105">
        <f t="shared" si="22"/>
        <v>4120138</v>
      </c>
      <c r="B1446" s="105" t="s">
        <v>2339</v>
      </c>
      <c r="C1446" s="105" t="s">
        <v>2340</v>
      </c>
      <c r="D1446" s="105">
        <v>0</v>
      </c>
      <c r="E1446" s="105">
        <v>0</v>
      </c>
      <c r="F1446" s="105">
        <v>1</v>
      </c>
    </row>
    <row r="1447" spans="1:6" x14ac:dyDescent="0.25">
      <c r="A1447" s="105" t="str">
        <f t="shared" si="22"/>
        <v/>
      </c>
      <c r="B1447" s="105" t="s">
        <v>2341</v>
      </c>
      <c r="C1447" s="105" t="s">
        <v>8</v>
      </c>
      <c r="D1447" s="105">
        <v>0</v>
      </c>
      <c r="E1447" s="105">
        <v>0</v>
      </c>
      <c r="F1447" s="105">
        <v>0</v>
      </c>
    </row>
    <row r="1448" spans="1:6" x14ac:dyDescent="0.25">
      <c r="A1448" s="105">
        <f t="shared" si="22"/>
        <v>4120139</v>
      </c>
      <c r="B1448" s="105" t="s">
        <v>2342</v>
      </c>
      <c r="C1448" s="105" t="s">
        <v>2343</v>
      </c>
      <c r="D1448" s="105">
        <v>0</v>
      </c>
      <c r="E1448" s="105">
        <v>0</v>
      </c>
      <c r="F1448" s="105">
        <v>0</v>
      </c>
    </row>
    <row r="1449" spans="1:6" x14ac:dyDescent="0.25">
      <c r="A1449" s="105" t="str">
        <f t="shared" si="22"/>
        <v/>
      </c>
      <c r="B1449" s="105" t="s">
        <v>2344</v>
      </c>
      <c r="C1449" s="105" t="s">
        <v>8</v>
      </c>
      <c r="D1449" s="105">
        <v>0</v>
      </c>
      <c r="E1449" s="105">
        <v>0</v>
      </c>
      <c r="F1449" s="105">
        <v>0</v>
      </c>
    </row>
    <row r="1450" spans="1:6" x14ac:dyDescent="0.25">
      <c r="A1450" s="105">
        <f t="shared" si="22"/>
        <v>4120150</v>
      </c>
      <c r="B1450" s="105" t="s">
        <v>2345</v>
      </c>
      <c r="C1450" s="105" t="s">
        <v>2346</v>
      </c>
      <c r="D1450" s="105">
        <v>0</v>
      </c>
      <c r="E1450" s="105">
        <v>0</v>
      </c>
      <c r="F1450" s="105">
        <v>0</v>
      </c>
    </row>
    <row r="1451" spans="1:6" x14ac:dyDescent="0.25">
      <c r="A1451" s="105" t="str">
        <f t="shared" si="22"/>
        <v/>
      </c>
      <c r="B1451" s="105" t="s">
        <v>2347</v>
      </c>
      <c r="C1451" s="105" t="s">
        <v>8</v>
      </c>
      <c r="D1451" s="105">
        <v>0</v>
      </c>
      <c r="E1451" s="105">
        <v>0</v>
      </c>
      <c r="F1451" s="105">
        <v>0</v>
      </c>
    </row>
    <row r="1452" spans="1:6" x14ac:dyDescent="0.25">
      <c r="A1452" s="105">
        <f t="shared" si="22"/>
        <v>4120151</v>
      </c>
      <c r="B1452" s="105" t="s">
        <v>2348</v>
      </c>
      <c r="C1452" s="105" t="s">
        <v>2349</v>
      </c>
      <c r="D1452" s="105">
        <v>0</v>
      </c>
      <c r="E1452" s="105">
        <v>0</v>
      </c>
      <c r="F1452" s="105">
        <v>0</v>
      </c>
    </row>
    <row r="1453" spans="1:6" x14ac:dyDescent="0.25">
      <c r="A1453" s="105">
        <f t="shared" si="22"/>
        <v>4120159</v>
      </c>
      <c r="B1453" s="105" t="s">
        <v>2350</v>
      </c>
      <c r="C1453" s="105" t="s">
        <v>2351</v>
      </c>
      <c r="D1453" s="105">
        <v>0</v>
      </c>
      <c r="E1453" s="105">
        <v>0</v>
      </c>
      <c r="F1453" s="105">
        <v>0</v>
      </c>
    </row>
    <row r="1454" spans="1:6" x14ac:dyDescent="0.25">
      <c r="A1454" s="105">
        <f t="shared" si="22"/>
        <v>4120160</v>
      </c>
      <c r="B1454" s="105" t="s">
        <v>2352</v>
      </c>
      <c r="C1454" s="105" t="s">
        <v>2353</v>
      </c>
      <c r="D1454" s="105">
        <v>0</v>
      </c>
      <c r="E1454" s="105">
        <v>0</v>
      </c>
      <c r="F1454" s="105">
        <v>0</v>
      </c>
    </row>
    <row r="1455" spans="1:6" x14ac:dyDescent="0.25">
      <c r="A1455" s="105" t="str">
        <f t="shared" si="22"/>
        <v/>
      </c>
      <c r="B1455" s="105" t="s">
        <v>2354</v>
      </c>
      <c r="C1455" s="105" t="s">
        <v>2355</v>
      </c>
      <c r="D1455" s="105">
        <v>747.48</v>
      </c>
      <c r="E1455" s="105">
        <v>448.49</v>
      </c>
      <c r="F1455" s="105">
        <v>0</v>
      </c>
    </row>
    <row r="1456" spans="1:6" x14ac:dyDescent="0.25">
      <c r="A1456" s="105">
        <f t="shared" si="22"/>
        <v>4120161</v>
      </c>
      <c r="B1456" s="105" t="s">
        <v>2356</v>
      </c>
      <c r="C1456" s="105" t="s">
        <v>2357</v>
      </c>
      <c r="D1456" s="105">
        <v>0</v>
      </c>
      <c r="E1456" s="105">
        <v>0</v>
      </c>
      <c r="F1456" s="105">
        <v>0</v>
      </c>
    </row>
    <row r="1457" spans="1:6" x14ac:dyDescent="0.25">
      <c r="A1457" s="105" t="str">
        <f t="shared" si="22"/>
        <v/>
      </c>
      <c r="B1457" s="105" t="s">
        <v>2358</v>
      </c>
      <c r="C1457" s="105" t="s">
        <v>8</v>
      </c>
      <c r="D1457" s="105">
        <v>0</v>
      </c>
      <c r="E1457" s="105">
        <v>0</v>
      </c>
      <c r="F1457" s="105">
        <v>0</v>
      </c>
    </row>
    <row r="1458" spans="1:6" x14ac:dyDescent="0.25">
      <c r="A1458" s="105" t="str">
        <f t="shared" si="22"/>
        <v/>
      </c>
      <c r="B1458" s="105" t="s">
        <v>2359</v>
      </c>
      <c r="C1458" s="105" t="s">
        <v>2360</v>
      </c>
      <c r="D1458" s="105">
        <v>0</v>
      </c>
      <c r="E1458" s="105">
        <v>0</v>
      </c>
      <c r="F1458" s="105">
        <v>0</v>
      </c>
    </row>
    <row r="1459" spans="1:6" x14ac:dyDescent="0.25">
      <c r="A1459" s="105" t="str">
        <f t="shared" si="22"/>
        <v/>
      </c>
      <c r="B1459" s="105" t="s">
        <v>2361</v>
      </c>
      <c r="C1459" s="105" t="s">
        <v>8</v>
      </c>
      <c r="D1459" s="105">
        <v>0</v>
      </c>
      <c r="E1459" s="105">
        <v>0</v>
      </c>
      <c r="F1459" s="105">
        <v>0</v>
      </c>
    </row>
    <row r="1460" spans="1:6" x14ac:dyDescent="0.25">
      <c r="A1460" s="105">
        <f t="shared" si="22"/>
        <v>4120162</v>
      </c>
      <c r="B1460" s="105" t="s">
        <v>2362</v>
      </c>
      <c r="C1460" s="105" t="s">
        <v>2363</v>
      </c>
      <c r="D1460" s="105">
        <v>0</v>
      </c>
      <c r="E1460" s="105">
        <v>0</v>
      </c>
      <c r="F1460" s="105">
        <v>0</v>
      </c>
    </row>
    <row r="1461" spans="1:6" x14ac:dyDescent="0.25">
      <c r="A1461" s="105">
        <f t="shared" si="22"/>
        <v>4120170</v>
      </c>
      <c r="B1461" s="105" t="s">
        <v>9283</v>
      </c>
      <c r="C1461" s="105" t="s">
        <v>9284</v>
      </c>
      <c r="D1461" s="105">
        <v>0</v>
      </c>
      <c r="E1461" s="105">
        <v>0</v>
      </c>
      <c r="F1461" s="105">
        <v>21</v>
      </c>
    </row>
    <row r="1462" spans="1:6" x14ac:dyDescent="0.25">
      <c r="A1462" s="105">
        <f t="shared" si="22"/>
        <v>4120171</v>
      </c>
      <c r="B1462" s="105" t="s">
        <v>9285</v>
      </c>
      <c r="C1462" s="105" t="s">
        <v>9286</v>
      </c>
      <c r="D1462" s="105">
        <v>0</v>
      </c>
      <c r="E1462" s="105">
        <v>0</v>
      </c>
      <c r="F1462" s="105">
        <v>6</v>
      </c>
    </row>
    <row r="1463" spans="1:6" x14ac:dyDescent="0.25">
      <c r="A1463" s="105">
        <f t="shared" si="22"/>
        <v>4120172</v>
      </c>
      <c r="B1463" s="105" t="s">
        <v>9287</v>
      </c>
      <c r="C1463" s="105" t="s">
        <v>9288</v>
      </c>
      <c r="D1463" s="105">
        <v>0</v>
      </c>
      <c r="E1463" s="105">
        <v>0</v>
      </c>
      <c r="F1463" s="105">
        <v>0</v>
      </c>
    </row>
    <row r="1464" spans="1:6" x14ac:dyDescent="0.25">
      <c r="A1464" s="105">
        <f t="shared" si="22"/>
        <v>4120200</v>
      </c>
      <c r="B1464" s="105" t="s">
        <v>2364</v>
      </c>
      <c r="C1464" s="105" t="s">
        <v>2365</v>
      </c>
      <c r="D1464" s="105">
        <v>4240</v>
      </c>
      <c r="E1464" s="105">
        <v>2544</v>
      </c>
      <c r="F1464" s="105">
        <v>1</v>
      </c>
    </row>
    <row r="1465" spans="1:6" x14ac:dyDescent="0.25">
      <c r="A1465" s="105" t="str">
        <f t="shared" si="22"/>
        <v/>
      </c>
      <c r="B1465" s="105" t="s">
        <v>2366</v>
      </c>
      <c r="C1465" s="105" t="s">
        <v>8</v>
      </c>
      <c r="D1465" s="105">
        <v>0</v>
      </c>
      <c r="E1465" s="105">
        <v>0</v>
      </c>
      <c r="F1465" s="105">
        <v>0</v>
      </c>
    </row>
    <row r="1466" spans="1:6" x14ac:dyDescent="0.25">
      <c r="A1466" s="105">
        <f t="shared" si="22"/>
        <v>4120201</v>
      </c>
      <c r="B1466" s="105" t="s">
        <v>2367</v>
      </c>
      <c r="C1466" s="105" t="s">
        <v>2368</v>
      </c>
      <c r="D1466" s="105">
        <v>0</v>
      </c>
      <c r="E1466" s="105">
        <v>0</v>
      </c>
      <c r="F1466" s="105">
        <v>0</v>
      </c>
    </row>
    <row r="1467" spans="1:6" x14ac:dyDescent="0.25">
      <c r="A1467" s="105" t="str">
        <f t="shared" si="22"/>
        <v/>
      </c>
      <c r="B1467" s="105" t="s">
        <v>2369</v>
      </c>
      <c r="C1467" s="105" t="s">
        <v>8</v>
      </c>
      <c r="D1467" s="105">
        <v>0</v>
      </c>
      <c r="E1467" s="105">
        <v>0</v>
      </c>
      <c r="F1467" s="105">
        <v>0</v>
      </c>
    </row>
    <row r="1468" spans="1:6" x14ac:dyDescent="0.25">
      <c r="A1468" s="105">
        <f t="shared" si="22"/>
        <v>4120202</v>
      </c>
      <c r="B1468" s="105" t="s">
        <v>2370</v>
      </c>
      <c r="C1468" s="105" t="s">
        <v>2371</v>
      </c>
      <c r="D1468" s="105">
        <v>0</v>
      </c>
      <c r="E1468" s="105">
        <v>0</v>
      </c>
      <c r="F1468" s="105">
        <v>0</v>
      </c>
    </row>
    <row r="1469" spans="1:6" x14ac:dyDescent="0.25">
      <c r="A1469" s="105">
        <f t="shared" si="22"/>
        <v>4120220</v>
      </c>
      <c r="B1469" s="105" t="s">
        <v>2372</v>
      </c>
      <c r="C1469" s="105" t="s">
        <v>2373</v>
      </c>
      <c r="D1469" s="105">
        <v>4452</v>
      </c>
      <c r="E1469" s="105">
        <v>2671.2</v>
      </c>
      <c r="F1469" s="105">
        <v>25</v>
      </c>
    </row>
    <row r="1470" spans="1:6" x14ac:dyDescent="0.25">
      <c r="A1470" s="105">
        <f t="shared" si="22"/>
        <v>4120221</v>
      </c>
      <c r="B1470" s="105" t="s">
        <v>2374</v>
      </c>
      <c r="C1470" s="105" t="s">
        <v>2375</v>
      </c>
      <c r="D1470" s="105">
        <v>4717</v>
      </c>
      <c r="E1470" s="105">
        <v>2830.2</v>
      </c>
      <c r="F1470" s="105">
        <v>0</v>
      </c>
    </row>
    <row r="1471" spans="1:6" x14ac:dyDescent="0.25">
      <c r="A1471" s="105">
        <f t="shared" si="22"/>
        <v>412022158</v>
      </c>
      <c r="B1471" s="105" t="s">
        <v>2376</v>
      </c>
      <c r="C1471" s="105" t="s">
        <v>132</v>
      </c>
      <c r="D1471" s="105">
        <v>0</v>
      </c>
      <c r="E1471" s="105">
        <v>0</v>
      </c>
      <c r="F1471" s="105">
        <v>0</v>
      </c>
    </row>
    <row r="1472" spans="1:6" x14ac:dyDescent="0.25">
      <c r="A1472" s="105">
        <f t="shared" si="22"/>
        <v>412022160</v>
      </c>
      <c r="B1472" s="105" t="s">
        <v>2377</v>
      </c>
      <c r="C1472" s="105" t="s">
        <v>132</v>
      </c>
      <c r="D1472" s="105">
        <v>0</v>
      </c>
      <c r="E1472" s="105">
        <v>0</v>
      </c>
      <c r="F1472" s="105">
        <v>0</v>
      </c>
    </row>
    <row r="1473" spans="1:6" x14ac:dyDescent="0.25">
      <c r="A1473" s="105">
        <f t="shared" si="22"/>
        <v>412022162</v>
      </c>
      <c r="B1473" s="105" t="s">
        <v>2378</v>
      </c>
      <c r="C1473" s="105" t="s">
        <v>132</v>
      </c>
      <c r="D1473" s="105">
        <v>0</v>
      </c>
      <c r="E1473" s="105">
        <v>0</v>
      </c>
      <c r="F1473" s="105">
        <v>0</v>
      </c>
    </row>
    <row r="1474" spans="1:6" x14ac:dyDescent="0.25">
      <c r="A1474" s="105">
        <f t="shared" si="22"/>
        <v>4120222</v>
      </c>
      <c r="B1474" s="105" t="s">
        <v>2379</v>
      </c>
      <c r="C1474" s="105" t="s">
        <v>2380</v>
      </c>
      <c r="D1474" s="105">
        <v>4134</v>
      </c>
      <c r="E1474" s="105">
        <v>2480.4</v>
      </c>
      <c r="F1474" s="105">
        <v>0</v>
      </c>
    </row>
    <row r="1475" spans="1:6" x14ac:dyDescent="0.25">
      <c r="A1475" s="105">
        <f t="shared" ref="A1475:A1538" si="23">IF(B1475&lt;&gt;"",IFERROR(B1475*1,""),"")</f>
        <v>4120223</v>
      </c>
      <c r="B1475" s="105" t="s">
        <v>2381</v>
      </c>
      <c r="C1475" s="105" t="s">
        <v>2382</v>
      </c>
      <c r="D1475" s="105">
        <v>4293</v>
      </c>
      <c r="E1475" s="105">
        <v>2575.8000000000002</v>
      </c>
      <c r="F1475" s="105">
        <v>0</v>
      </c>
    </row>
    <row r="1476" spans="1:6" x14ac:dyDescent="0.25">
      <c r="A1476" s="105">
        <f t="shared" si="23"/>
        <v>4120224</v>
      </c>
      <c r="B1476" s="105" t="s">
        <v>2383</v>
      </c>
      <c r="C1476" s="105" t="s">
        <v>2384</v>
      </c>
      <c r="D1476" s="105">
        <v>4452</v>
      </c>
      <c r="E1476" s="105">
        <v>2671.2</v>
      </c>
      <c r="F1476" s="105">
        <v>0</v>
      </c>
    </row>
    <row r="1477" spans="1:6" x14ac:dyDescent="0.25">
      <c r="A1477" s="105">
        <f t="shared" si="23"/>
        <v>4120232</v>
      </c>
      <c r="B1477" s="105" t="s">
        <v>2385</v>
      </c>
      <c r="C1477" s="105" t="s">
        <v>2386</v>
      </c>
      <c r="D1477" s="105">
        <v>5035</v>
      </c>
      <c r="E1477" s="105">
        <v>3021</v>
      </c>
      <c r="F1477" s="105">
        <v>10</v>
      </c>
    </row>
    <row r="1478" spans="1:6" x14ac:dyDescent="0.25">
      <c r="A1478" s="105" t="str">
        <f t="shared" si="23"/>
        <v/>
      </c>
      <c r="B1478" s="105" t="s">
        <v>2387</v>
      </c>
      <c r="C1478" s="105" t="s">
        <v>8</v>
      </c>
      <c r="D1478" s="105">
        <v>0</v>
      </c>
      <c r="E1478" s="105">
        <v>0</v>
      </c>
      <c r="F1478" s="105">
        <v>0</v>
      </c>
    </row>
    <row r="1479" spans="1:6" x14ac:dyDescent="0.25">
      <c r="A1479" s="105">
        <f t="shared" si="23"/>
        <v>4120233</v>
      </c>
      <c r="B1479" s="105" t="s">
        <v>2388</v>
      </c>
      <c r="C1479" s="105" t="s">
        <v>2389</v>
      </c>
      <c r="D1479" s="105">
        <v>0</v>
      </c>
      <c r="E1479" s="105">
        <v>0</v>
      </c>
      <c r="F1479" s="105">
        <v>0</v>
      </c>
    </row>
    <row r="1480" spans="1:6" x14ac:dyDescent="0.25">
      <c r="A1480" s="105">
        <f t="shared" si="23"/>
        <v>4120234</v>
      </c>
      <c r="B1480" s="105" t="s">
        <v>2390</v>
      </c>
      <c r="C1480" s="105" t="s">
        <v>2391</v>
      </c>
      <c r="D1480" s="105">
        <v>0</v>
      </c>
      <c r="E1480" s="105">
        <v>0</v>
      </c>
      <c r="F1480" s="105">
        <v>0</v>
      </c>
    </row>
    <row r="1481" spans="1:6" x14ac:dyDescent="0.25">
      <c r="A1481" s="105" t="str">
        <f t="shared" si="23"/>
        <v/>
      </c>
      <c r="B1481" s="105" t="s">
        <v>2392</v>
      </c>
      <c r="C1481" s="105" t="s">
        <v>8</v>
      </c>
      <c r="D1481" s="105">
        <v>0</v>
      </c>
      <c r="E1481" s="105">
        <v>0</v>
      </c>
      <c r="F1481" s="105">
        <v>0</v>
      </c>
    </row>
    <row r="1482" spans="1:6" x14ac:dyDescent="0.25">
      <c r="A1482" s="105">
        <f t="shared" si="23"/>
        <v>4120235</v>
      </c>
      <c r="B1482" s="105" t="s">
        <v>2393</v>
      </c>
      <c r="C1482" s="105" t="s">
        <v>2394</v>
      </c>
      <c r="D1482" s="105">
        <v>0</v>
      </c>
      <c r="E1482" s="105">
        <v>0</v>
      </c>
      <c r="F1482" s="105">
        <v>0</v>
      </c>
    </row>
    <row r="1483" spans="1:6" x14ac:dyDescent="0.25">
      <c r="A1483" s="105">
        <f t="shared" si="23"/>
        <v>4120236</v>
      </c>
      <c r="B1483" s="105" t="s">
        <v>2395</v>
      </c>
      <c r="C1483" s="105" t="s">
        <v>2396</v>
      </c>
      <c r="D1483" s="105">
        <v>4558</v>
      </c>
      <c r="E1483" s="105">
        <v>2734.8</v>
      </c>
      <c r="F1483" s="105">
        <v>0</v>
      </c>
    </row>
    <row r="1484" spans="1:6" x14ac:dyDescent="0.25">
      <c r="A1484" s="105">
        <f t="shared" si="23"/>
        <v>4120237</v>
      </c>
      <c r="B1484" s="105" t="s">
        <v>2397</v>
      </c>
      <c r="C1484" s="105" t="s">
        <v>2398</v>
      </c>
      <c r="D1484" s="105">
        <v>4717</v>
      </c>
      <c r="E1484" s="105">
        <v>2830.2</v>
      </c>
      <c r="F1484" s="105">
        <v>2</v>
      </c>
    </row>
    <row r="1485" spans="1:6" x14ac:dyDescent="0.25">
      <c r="A1485" s="105">
        <f t="shared" si="23"/>
        <v>4120238</v>
      </c>
      <c r="B1485" s="105" t="s">
        <v>2399</v>
      </c>
      <c r="C1485" s="105" t="s">
        <v>2400</v>
      </c>
      <c r="D1485" s="105">
        <v>4876</v>
      </c>
      <c r="E1485" s="105">
        <v>2925.6</v>
      </c>
      <c r="F1485" s="105">
        <v>0</v>
      </c>
    </row>
    <row r="1486" spans="1:6" x14ac:dyDescent="0.25">
      <c r="A1486" s="105">
        <f t="shared" si="23"/>
        <v>4120239</v>
      </c>
      <c r="B1486" s="105" t="s">
        <v>2401</v>
      </c>
      <c r="C1486" s="105" t="s">
        <v>2402</v>
      </c>
      <c r="D1486" s="105">
        <v>4240</v>
      </c>
      <c r="E1486" s="105">
        <v>2544</v>
      </c>
      <c r="F1486" s="105">
        <v>100</v>
      </c>
    </row>
    <row r="1487" spans="1:6" x14ac:dyDescent="0.25">
      <c r="A1487" s="105">
        <f t="shared" si="23"/>
        <v>4120240</v>
      </c>
      <c r="B1487" s="105" t="s">
        <v>2403</v>
      </c>
      <c r="C1487" s="105" t="s">
        <v>2404</v>
      </c>
      <c r="D1487" s="105">
        <v>4399</v>
      </c>
      <c r="E1487" s="105">
        <v>2639.4</v>
      </c>
      <c r="F1487" s="105">
        <v>23</v>
      </c>
    </row>
    <row r="1488" spans="1:6" x14ac:dyDescent="0.25">
      <c r="A1488" s="105">
        <f t="shared" si="23"/>
        <v>4120241</v>
      </c>
      <c r="B1488" s="105" t="s">
        <v>2405</v>
      </c>
      <c r="C1488" s="105" t="s">
        <v>2406</v>
      </c>
      <c r="D1488" s="105">
        <v>4558</v>
      </c>
      <c r="E1488" s="105">
        <v>2734.8</v>
      </c>
      <c r="F1488" s="105">
        <v>0</v>
      </c>
    </row>
    <row r="1489" spans="1:6" x14ac:dyDescent="0.25">
      <c r="A1489" s="105" t="str">
        <f t="shared" si="23"/>
        <v/>
      </c>
      <c r="B1489" s="105" t="s">
        <v>2407</v>
      </c>
      <c r="C1489" s="105" t="s">
        <v>8</v>
      </c>
      <c r="D1489" s="105">
        <v>0</v>
      </c>
      <c r="E1489" s="105">
        <v>0</v>
      </c>
      <c r="F1489" s="105">
        <v>0</v>
      </c>
    </row>
    <row r="1490" spans="1:6" x14ac:dyDescent="0.25">
      <c r="A1490" s="105">
        <f t="shared" si="23"/>
        <v>4120242</v>
      </c>
      <c r="B1490" s="105" t="s">
        <v>2408</v>
      </c>
      <c r="C1490" s="105" t="s">
        <v>2409</v>
      </c>
      <c r="D1490" s="105">
        <v>0</v>
      </c>
      <c r="E1490" s="105">
        <v>0</v>
      </c>
      <c r="F1490" s="105">
        <v>0</v>
      </c>
    </row>
    <row r="1491" spans="1:6" x14ac:dyDescent="0.25">
      <c r="A1491" s="105">
        <f t="shared" si="23"/>
        <v>4120243</v>
      </c>
      <c r="B1491" s="105" t="s">
        <v>2410</v>
      </c>
      <c r="C1491" s="105" t="s">
        <v>2411</v>
      </c>
      <c r="D1491" s="105">
        <v>0</v>
      </c>
      <c r="E1491" s="105">
        <v>0</v>
      </c>
      <c r="F1491" s="105">
        <v>0</v>
      </c>
    </row>
    <row r="1492" spans="1:6" x14ac:dyDescent="0.25">
      <c r="A1492" s="105">
        <f t="shared" si="23"/>
        <v>4120244</v>
      </c>
      <c r="B1492" s="105" t="s">
        <v>2412</v>
      </c>
      <c r="C1492" s="105" t="s">
        <v>2413</v>
      </c>
      <c r="D1492" s="105">
        <v>0</v>
      </c>
      <c r="E1492" s="105">
        <v>0</v>
      </c>
      <c r="F1492" s="105">
        <v>0</v>
      </c>
    </row>
    <row r="1493" spans="1:6" x14ac:dyDescent="0.25">
      <c r="A1493" s="105">
        <f t="shared" si="23"/>
        <v>4120245</v>
      </c>
      <c r="B1493" s="105" t="s">
        <v>2414</v>
      </c>
      <c r="C1493" s="105" t="s">
        <v>2415</v>
      </c>
      <c r="D1493" s="105">
        <v>4240</v>
      </c>
      <c r="E1493" s="105">
        <v>2544</v>
      </c>
      <c r="F1493" s="105">
        <v>1</v>
      </c>
    </row>
    <row r="1494" spans="1:6" x14ac:dyDescent="0.25">
      <c r="A1494" s="105">
        <f t="shared" si="23"/>
        <v>4120246</v>
      </c>
      <c r="B1494" s="105" t="s">
        <v>2416</v>
      </c>
      <c r="C1494" s="105" t="s">
        <v>2417</v>
      </c>
      <c r="D1494" s="105">
        <v>4717</v>
      </c>
      <c r="E1494" s="105">
        <v>2830.2</v>
      </c>
      <c r="F1494" s="105">
        <v>0</v>
      </c>
    </row>
    <row r="1495" spans="1:6" x14ac:dyDescent="0.25">
      <c r="A1495" s="105">
        <f t="shared" si="23"/>
        <v>4120247</v>
      </c>
      <c r="B1495" s="105" t="s">
        <v>2418</v>
      </c>
      <c r="C1495" s="105" t="s">
        <v>2419</v>
      </c>
      <c r="D1495" s="105">
        <v>4876</v>
      </c>
      <c r="E1495" s="105">
        <v>2925.6</v>
      </c>
      <c r="F1495" s="105">
        <v>0</v>
      </c>
    </row>
    <row r="1496" spans="1:6" x14ac:dyDescent="0.25">
      <c r="A1496" s="105">
        <f t="shared" si="23"/>
        <v>4120250</v>
      </c>
      <c r="B1496" s="105" t="s">
        <v>2420</v>
      </c>
      <c r="C1496" s="105" t="s">
        <v>2421</v>
      </c>
      <c r="D1496" s="105">
        <v>0</v>
      </c>
      <c r="E1496" s="105">
        <v>0</v>
      </c>
      <c r="F1496" s="105">
        <v>0</v>
      </c>
    </row>
    <row r="1497" spans="1:6" x14ac:dyDescent="0.25">
      <c r="A1497" s="105">
        <f t="shared" si="23"/>
        <v>4120251</v>
      </c>
      <c r="B1497" s="105" t="s">
        <v>2422</v>
      </c>
      <c r="C1497" s="105" t="s">
        <v>2421</v>
      </c>
      <c r="D1497" s="105">
        <v>0</v>
      </c>
      <c r="E1497" s="105">
        <v>0</v>
      </c>
      <c r="F1497" s="105">
        <v>0</v>
      </c>
    </row>
    <row r="1498" spans="1:6" x14ac:dyDescent="0.25">
      <c r="A1498" s="105">
        <f t="shared" si="23"/>
        <v>4120252</v>
      </c>
      <c r="B1498" s="105" t="s">
        <v>2423</v>
      </c>
      <c r="C1498" s="105" t="s">
        <v>2421</v>
      </c>
      <c r="D1498" s="105">
        <v>0</v>
      </c>
      <c r="E1498" s="105">
        <v>0</v>
      </c>
      <c r="F1498" s="105">
        <v>0</v>
      </c>
    </row>
    <row r="1499" spans="1:6" x14ac:dyDescent="0.25">
      <c r="A1499" s="105">
        <f t="shared" si="23"/>
        <v>4120254</v>
      </c>
      <c r="B1499" s="105" t="s">
        <v>2424</v>
      </c>
      <c r="C1499" s="105" t="s">
        <v>2425</v>
      </c>
      <c r="D1499" s="105">
        <v>0</v>
      </c>
      <c r="E1499" s="105">
        <v>0</v>
      </c>
      <c r="F1499" s="105">
        <v>0</v>
      </c>
    </row>
    <row r="1500" spans="1:6" x14ac:dyDescent="0.25">
      <c r="A1500" s="105">
        <f t="shared" si="23"/>
        <v>4120255</v>
      </c>
      <c r="B1500" s="105" t="s">
        <v>2426</v>
      </c>
      <c r="C1500" s="105" t="s">
        <v>2427</v>
      </c>
      <c r="D1500" s="105">
        <v>0</v>
      </c>
      <c r="E1500" s="105">
        <v>0</v>
      </c>
      <c r="F1500" s="105">
        <v>0</v>
      </c>
    </row>
    <row r="1501" spans="1:6" x14ac:dyDescent="0.25">
      <c r="A1501" s="105">
        <f t="shared" si="23"/>
        <v>4120256</v>
      </c>
      <c r="B1501" s="105" t="s">
        <v>2428</v>
      </c>
      <c r="C1501" s="105" t="s">
        <v>2429</v>
      </c>
      <c r="D1501" s="105">
        <v>0</v>
      </c>
      <c r="E1501" s="105">
        <v>0</v>
      </c>
      <c r="F1501" s="105">
        <v>0</v>
      </c>
    </row>
    <row r="1502" spans="1:6" x14ac:dyDescent="0.25">
      <c r="A1502" s="105">
        <f t="shared" si="23"/>
        <v>4120270</v>
      </c>
      <c r="B1502" s="105" t="s">
        <v>2430</v>
      </c>
      <c r="C1502" s="105" t="s">
        <v>2431</v>
      </c>
      <c r="D1502" s="105">
        <v>4558</v>
      </c>
      <c r="E1502" s="105">
        <v>2734.8</v>
      </c>
      <c r="F1502" s="105">
        <v>27</v>
      </c>
    </row>
    <row r="1503" spans="1:6" x14ac:dyDescent="0.25">
      <c r="A1503" s="105">
        <f t="shared" si="23"/>
        <v>4120271</v>
      </c>
      <c r="B1503" s="105" t="s">
        <v>2432</v>
      </c>
      <c r="C1503" s="105" t="s">
        <v>2433</v>
      </c>
      <c r="D1503" s="105">
        <v>4717</v>
      </c>
      <c r="E1503" s="105">
        <v>2830.2</v>
      </c>
      <c r="F1503" s="105">
        <v>11</v>
      </c>
    </row>
    <row r="1504" spans="1:6" x14ac:dyDescent="0.25">
      <c r="A1504" s="105">
        <f t="shared" si="23"/>
        <v>4120272</v>
      </c>
      <c r="B1504" s="105" t="s">
        <v>2434</v>
      </c>
      <c r="C1504" s="105" t="s">
        <v>2435</v>
      </c>
      <c r="D1504" s="105">
        <v>4876</v>
      </c>
      <c r="E1504" s="105">
        <v>2925.6</v>
      </c>
      <c r="F1504" s="105">
        <v>4</v>
      </c>
    </row>
    <row r="1505" spans="1:6" x14ac:dyDescent="0.25">
      <c r="A1505" s="105">
        <f t="shared" si="23"/>
        <v>4120300</v>
      </c>
      <c r="B1505" s="105" t="s">
        <v>2436</v>
      </c>
      <c r="C1505" s="105" t="s">
        <v>2437</v>
      </c>
      <c r="D1505" s="105">
        <v>4240</v>
      </c>
      <c r="E1505" s="105">
        <v>2544</v>
      </c>
      <c r="F1505" s="105">
        <v>7</v>
      </c>
    </row>
    <row r="1506" spans="1:6" x14ac:dyDescent="0.25">
      <c r="A1506" s="105">
        <f t="shared" si="23"/>
        <v>4120301</v>
      </c>
      <c r="B1506" s="105" t="s">
        <v>2438</v>
      </c>
      <c r="C1506" s="105" t="s">
        <v>2439</v>
      </c>
      <c r="D1506" s="105">
        <v>0</v>
      </c>
      <c r="E1506" s="105">
        <v>0</v>
      </c>
      <c r="F1506" s="105">
        <v>0</v>
      </c>
    </row>
    <row r="1507" spans="1:6" x14ac:dyDescent="0.25">
      <c r="A1507" s="105">
        <f t="shared" si="23"/>
        <v>4120302</v>
      </c>
      <c r="B1507" s="105" t="s">
        <v>2440</v>
      </c>
      <c r="C1507" s="105" t="s">
        <v>2441</v>
      </c>
      <c r="D1507" s="105">
        <v>0</v>
      </c>
      <c r="E1507" s="105">
        <v>0</v>
      </c>
      <c r="F1507" s="105">
        <v>0</v>
      </c>
    </row>
    <row r="1508" spans="1:6" x14ac:dyDescent="0.25">
      <c r="A1508" s="105">
        <f t="shared" si="23"/>
        <v>4120303</v>
      </c>
      <c r="B1508" s="105" t="s">
        <v>2442</v>
      </c>
      <c r="C1508" s="105" t="s">
        <v>2443</v>
      </c>
      <c r="D1508" s="105">
        <v>4399</v>
      </c>
      <c r="E1508" s="105">
        <v>2639.4</v>
      </c>
      <c r="F1508" s="105">
        <v>3</v>
      </c>
    </row>
    <row r="1509" spans="1:6" x14ac:dyDescent="0.25">
      <c r="A1509" s="105">
        <f t="shared" si="23"/>
        <v>4120304</v>
      </c>
      <c r="B1509" s="105" t="s">
        <v>2444</v>
      </c>
      <c r="C1509" s="105" t="s">
        <v>2445</v>
      </c>
      <c r="D1509" s="105">
        <v>4558</v>
      </c>
      <c r="E1509" s="105">
        <v>2734.8</v>
      </c>
      <c r="F1509" s="105">
        <v>0</v>
      </c>
    </row>
    <row r="1510" spans="1:6" x14ac:dyDescent="0.25">
      <c r="A1510" s="105">
        <f t="shared" si="23"/>
        <v>4120334</v>
      </c>
      <c r="B1510" s="105" t="s">
        <v>2446</v>
      </c>
      <c r="C1510" s="105" t="s">
        <v>2447</v>
      </c>
      <c r="D1510" s="105">
        <v>4399</v>
      </c>
      <c r="E1510" s="105">
        <v>2639.4</v>
      </c>
      <c r="F1510" s="105">
        <v>13</v>
      </c>
    </row>
    <row r="1511" spans="1:6" x14ac:dyDescent="0.25">
      <c r="A1511" s="105">
        <f t="shared" si="23"/>
        <v>4120335</v>
      </c>
      <c r="B1511" s="105" t="s">
        <v>2448</v>
      </c>
      <c r="C1511" s="105" t="s">
        <v>2449</v>
      </c>
      <c r="D1511" s="105">
        <v>4558</v>
      </c>
      <c r="E1511" s="105">
        <v>2734.8</v>
      </c>
      <c r="F1511" s="105">
        <v>4</v>
      </c>
    </row>
    <row r="1512" spans="1:6" x14ac:dyDescent="0.25">
      <c r="A1512" s="105">
        <f t="shared" si="23"/>
        <v>4120350</v>
      </c>
      <c r="B1512" s="105" t="s">
        <v>2450</v>
      </c>
      <c r="C1512" s="105" t="s">
        <v>2451</v>
      </c>
      <c r="D1512" s="105">
        <v>0</v>
      </c>
      <c r="E1512" s="105">
        <v>0</v>
      </c>
      <c r="F1512" s="105">
        <v>1</v>
      </c>
    </row>
    <row r="1513" spans="1:6" x14ac:dyDescent="0.25">
      <c r="A1513" s="105">
        <f t="shared" si="23"/>
        <v>4120351</v>
      </c>
      <c r="B1513" s="105" t="s">
        <v>2452</v>
      </c>
      <c r="C1513" s="105" t="s">
        <v>2453</v>
      </c>
      <c r="D1513" s="105">
        <v>0</v>
      </c>
      <c r="E1513" s="105">
        <v>0</v>
      </c>
      <c r="F1513" s="105">
        <v>3</v>
      </c>
    </row>
    <row r="1514" spans="1:6" x14ac:dyDescent="0.25">
      <c r="A1514" s="105" t="str">
        <f t="shared" si="23"/>
        <v/>
      </c>
      <c r="B1514" s="105" t="s">
        <v>2454</v>
      </c>
      <c r="C1514" s="105" t="s">
        <v>8</v>
      </c>
      <c r="D1514" s="105">
        <v>0</v>
      </c>
      <c r="E1514" s="105">
        <v>0</v>
      </c>
      <c r="F1514" s="105">
        <v>0</v>
      </c>
    </row>
    <row r="1515" spans="1:6" x14ac:dyDescent="0.25">
      <c r="A1515" s="105">
        <f t="shared" si="23"/>
        <v>4120352</v>
      </c>
      <c r="B1515" s="105" t="s">
        <v>2455</v>
      </c>
      <c r="C1515" s="105" t="s">
        <v>2456</v>
      </c>
      <c r="D1515" s="105">
        <v>0</v>
      </c>
      <c r="E1515" s="105">
        <v>0</v>
      </c>
      <c r="F1515" s="105">
        <v>1</v>
      </c>
    </row>
    <row r="1516" spans="1:6" x14ac:dyDescent="0.25">
      <c r="A1516" s="105" t="str">
        <f t="shared" si="23"/>
        <v/>
      </c>
      <c r="B1516" s="105" t="s">
        <v>2457</v>
      </c>
      <c r="C1516" s="105" t="s">
        <v>8</v>
      </c>
      <c r="D1516" s="105">
        <v>0</v>
      </c>
      <c r="E1516" s="105">
        <v>0</v>
      </c>
      <c r="F1516" s="105">
        <v>0</v>
      </c>
    </row>
    <row r="1517" spans="1:6" x14ac:dyDescent="0.25">
      <c r="A1517" s="105">
        <f t="shared" si="23"/>
        <v>4120353</v>
      </c>
      <c r="B1517" s="105" t="s">
        <v>2458</v>
      </c>
      <c r="C1517" s="105" t="s">
        <v>2459</v>
      </c>
      <c r="D1517" s="105">
        <v>0</v>
      </c>
      <c r="E1517" s="105">
        <v>0</v>
      </c>
      <c r="F1517" s="105">
        <v>0</v>
      </c>
    </row>
    <row r="1518" spans="1:6" x14ac:dyDescent="0.25">
      <c r="A1518" s="105" t="str">
        <f t="shared" si="23"/>
        <v/>
      </c>
      <c r="B1518" s="105" t="s">
        <v>2460</v>
      </c>
      <c r="C1518" s="105" t="s">
        <v>8</v>
      </c>
      <c r="D1518" s="105">
        <v>0</v>
      </c>
      <c r="E1518" s="105">
        <v>0</v>
      </c>
      <c r="F1518" s="105">
        <v>0</v>
      </c>
    </row>
    <row r="1519" spans="1:6" x14ac:dyDescent="0.25">
      <c r="A1519" s="105">
        <f t="shared" si="23"/>
        <v>4120354</v>
      </c>
      <c r="B1519" s="105" t="s">
        <v>2461</v>
      </c>
      <c r="C1519" s="105" t="s">
        <v>2462</v>
      </c>
      <c r="D1519" s="105">
        <v>0</v>
      </c>
      <c r="E1519" s="105">
        <v>0</v>
      </c>
      <c r="F1519" s="105">
        <v>0</v>
      </c>
    </row>
    <row r="1520" spans="1:6" x14ac:dyDescent="0.25">
      <c r="A1520" s="105" t="str">
        <f t="shared" si="23"/>
        <v/>
      </c>
      <c r="B1520" s="105" t="s">
        <v>2463</v>
      </c>
      <c r="C1520" s="105" t="s">
        <v>8</v>
      </c>
      <c r="D1520" s="105">
        <v>0</v>
      </c>
      <c r="E1520" s="105">
        <v>0</v>
      </c>
      <c r="F1520" s="105">
        <v>0</v>
      </c>
    </row>
    <row r="1521" spans="1:6" x14ac:dyDescent="0.25">
      <c r="A1521" s="105">
        <f t="shared" si="23"/>
        <v>4120355</v>
      </c>
      <c r="B1521" s="105" t="s">
        <v>2464</v>
      </c>
      <c r="C1521" s="105" t="s">
        <v>2465</v>
      </c>
      <c r="D1521" s="105">
        <v>0</v>
      </c>
      <c r="E1521" s="105">
        <v>0</v>
      </c>
      <c r="F1521" s="105">
        <v>0</v>
      </c>
    </row>
    <row r="1522" spans="1:6" x14ac:dyDescent="0.25">
      <c r="A1522" s="105" t="str">
        <f t="shared" si="23"/>
        <v/>
      </c>
      <c r="B1522" s="105" t="s">
        <v>2466</v>
      </c>
      <c r="C1522" s="105" t="s">
        <v>8</v>
      </c>
      <c r="D1522" s="105">
        <v>0</v>
      </c>
      <c r="E1522" s="105">
        <v>0</v>
      </c>
      <c r="F1522" s="105">
        <v>0</v>
      </c>
    </row>
    <row r="1523" spans="1:6" x14ac:dyDescent="0.25">
      <c r="A1523" s="105">
        <f t="shared" si="23"/>
        <v>4120356</v>
      </c>
      <c r="B1523" s="105" t="s">
        <v>2467</v>
      </c>
      <c r="C1523" s="105" t="s">
        <v>2468</v>
      </c>
      <c r="D1523" s="105">
        <v>0</v>
      </c>
      <c r="E1523" s="105">
        <v>0</v>
      </c>
      <c r="F1523" s="105">
        <v>0</v>
      </c>
    </row>
    <row r="1524" spans="1:6" x14ac:dyDescent="0.25">
      <c r="A1524" s="105" t="str">
        <f t="shared" si="23"/>
        <v/>
      </c>
      <c r="B1524" s="105" t="s">
        <v>2469</v>
      </c>
      <c r="C1524" s="105" t="s">
        <v>8</v>
      </c>
      <c r="D1524" s="105">
        <v>0</v>
      </c>
      <c r="E1524" s="105">
        <v>0</v>
      </c>
      <c r="F1524" s="105">
        <v>0</v>
      </c>
    </row>
    <row r="1525" spans="1:6" x14ac:dyDescent="0.25">
      <c r="A1525" s="105">
        <f t="shared" si="23"/>
        <v>4120357</v>
      </c>
      <c r="B1525" s="105" t="s">
        <v>2470</v>
      </c>
      <c r="C1525" s="105" t="s">
        <v>2471</v>
      </c>
      <c r="D1525" s="105">
        <v>0</v>
      </c>
      <c r="E1525" s="105">
        <v>0</v>
      </c>
      <c r="F1525" s="105">
        <v>0</v>
      </c>
    </row>
    <row r="1526" spans="1:6" x14ac:dyDescent="0.25">
      <c r="A1526" s="105" t="str">
        <f t="shared" si="23"/>
        <v/>
      </c>
      <c r="B1526" s="105" t="s">
        <v>2472</v>
      </c>
      <c r="C1526" s="105" t="s">
        <v>8</v>
      </c>
      <c r="D1526" s="105">
        <v>0</v>
      </c>
      <c r="E1526" s="105">
        <v>0</v>
      </c>
      <c r="F1526" s="105">
        <v>0</v>
      </c>
    </row>
    <row r="1527" spans="1:6" x14ac:dyDescent="0.25">
      <c r="A1527" s="105">
        <f t="shared" si="23"/>
        <v>4120358</v>
      </c>
      <c r="B1527" s="105" t="s">
        <v>2473</v>
      </c>
      <c r="C1527" s="105" t="s">
        <v>2474</v>
      </c>
      <c r="D1527" s="105">
        <v>0</v>
      </c>
      <c r="E1527" s="105">
        <v>0</v>
      </c>
      <c r="F1527" s="105">
        <v>0</v>
      </c>
    </row>
    <row r="1528" spans="1:6" x14ac:dyDescent="0.25">
      <c r="A1528" s="105" t="str">
        <f t="shared" si="23"/>
        <v/>
      </c>
      <c r="B1528" s="105" t="s">
        <v>2475</v>
      </c>
      <c r="C1528" s="105" t="s">
        <v>8</v>
      </c>
      <c r="D1528" s="105">
        <v>0</v>
      </c>
      <c r="E1528" s="105">
        <v>0</v>
      </c>
      <c r="F1528" s="105">
        <v>0</v>
      </c>
    </row>
    <row r="1529" spans="1:6" x14ac:dyDescent="0.25">
      <c r="A1529" s="105">
        <f t="shared" si="23"/>
        <v>4120359</v>
      </c>
      <c r="B1529" s="105" t="s">
        <v>2476</v>
      </c>
      <c r="C1529" s="105" t="s">
        <v>2477</v>
      </c>
      <c r="D1529" s="105">
        <v>0</v>
      </c>
      <c r="E1529" s="105">
        <v>0</v>
      </c>
      <c r="F1529" s="105">
        <v>0</v>
      </c>
    </row>
    <row r="1530" spans="1:6" x14ac:dyDescent="0.25">
      <c r="A1530" s="105">
        <f t="shared" si="23"/>
        <v>4120400</v>
      </c>
      <c r="B1530" s="105" t="s">
        <v>2478</v>
      </c>
      <c r="C1530" s="105" t="s">
        <v>2479</v>
      </c>
      <c r="D1530" s="105">
        <v>4134</v>
      </c>
      <c r="E1530" s="105">
        <v>2480.4</v>
      </c>
      <c r="F1530" s="105">
        <v>2</v>
      </c>
    </row>
    <row r="1531" spans="1:6" x14ac:dyDescent="0.25">
      <c r="A1531" s="105" t="str">
        <f t="shared" si="23"/>
        <v/>
      </c>
      <c r="B1531" s="105" t="s">
        <v>2480</v>
      </c>
      <c r="C1531" s="105" t="s">
        <v>8</v>
      </c>
      <c r="D1531" s="105">
        <v>0</v>
      </c>
      <c r="E1531" s="105">
        <v>0</v>
      </c>
      <c r="F1531" s="105">
        <v>0</v>
      </c>
    </row>
    <row r="1532" spans="1:6" x14ac:dyDescent="0.25">
      <c r="A1532" s="105">
        <f t="shared" si="23"/>
        <v>4120401</v>
      </c>
      <c r="B1532" s="105" t="s">
        <v>2481</v>
      </c>
      <c r="C1532" s="105" t="s">
        <v>2482</v>
      </c>
      <c r="D1532" s="105">
        <v>0</v>
      </c>
      <c r="E1532" s="105">
        <v>0</v>
      </c>
      <c r="F1532" s="105">
        <v>0</v>
      </c>
    </row>
    <row r="1533" spans="1:6" x14ac:dyDescent="0.25">
      <c r="A1533" s="105" t="str">
        <f t="shared" si="23"/>
        <v/>
      </c>
      <c r="B1533" s="105" t="s">
        <v>2483</v>
      </c>
      <c r="C1533" s="105" t="s">
        <v>8</v>
      </c>
      <c r="D1533" s="105">
        <v>0</v>
      </c>
      <c r="E1533" s="105">
        <v>0</v>
      </c>
      <c r="F1533" s="105">
        <v>0</v>
      </c>
    </row>
    <row r="1534" spans="1:6" x14ac:dyDescent="0.25">
      <c r="A1534" s="105">
        <f t="shared" si="23"/>
        <v>4120402</v>
      </c>
      <c r="B1534" s="105" t="s">
        <v>2484</v>
      </c>
      <c r="C1534" s="105" t="s">
        <v>2485</v>
      </c>
      <c r="D1534" s="105">
        <v>0</v>
      </c>
      <c r="E1534" s="105">
        <v>0</v>
      </c>
      <c r="F1534" s="105">
        <v>0</v>
      </c>
    </row>
    <row r="1535" spans="1:6" x14ac:dyDescent="0.25">
      <c r="A1535" s="105" t="str">
        <f t="shared" si="23"/>
        <v/>
      </c>
      <c r="B1535" s="105" t="s">
        <v>2486</v>
      </c>
      <c r="C1535" s="105" t="s">
        <v>8</v>
      </c>
      <c r="D1535" s="105">
        <v>0</v>
      </c>
      <c r="E1535" s="105">
        <v>0</v>
      </c>
      <c r="F1535" s="105">
        <v>0</v>
      </c>
    </row>
    <row r="1536" spans="1:6" x14ac:dyDescent="0.25">
      <c r="A1536" s="105">
        <f t="shared" si="23"/>
        <v>4120418</v>
      </c>
      <c r="B1536" s="105" t="s">
        <v>2487</v>
      </c>
      <c r="C1536" s="105" t="s">
        <v>2488</v>
      </c>
      <c r="D1536" s="105">
        <v>0</v>
      </c>
      <c r="E1536" s="105">
        <v>0</v>
      </c>
      <c r="F1536" s="105">
        <v>0</v>
      </c>
    </row>
    <row r="1537" spans="1:6" x14ac:dyDescent="0.25">
      <c r="A1537" s="105" t="str">
        <f t="shared" si="23"/>
        <v/>
      </c>
      <c r="B1537" s="105" t="s">
        <v>2489</v>
      </c>
      <c r="C1537" s="105" t="s">
        <v>8</v>
      </c>
      <c r="D1537" s="105">
        <v>0</v>
      </c>
      <c r="E1537" s="105">
        <v>0</v>
      </c>
      <c r="F1537" s="105">
        <v>0</v>
      </c>
    </row>
    <row r="1538" spans="1:6" x14ac:dyDescent="0.25">
      <c r="A1538" s="105">
        <f t="shared" si="23"/>
        <v>4120419</v>
      </c>
      <c r="B1538" s="105" t="s">
        <v>2490</v>
      </c>
      <c r="C1538" s="105" t="s">
        <v>2491</v>
      </c>
      <c r="D1538" s="105">
        <v>0</v>
      </c>
      <c r="E1538" s="105">
        <v>0</v>
      </c>
      <c r="F1538" s="105">
        <v>0</v>
      </c>
    </row>
    <row r="1539" spans="1:6" x14ac:dyDescent="0.25">
      <c r="A1539" s="105" t="str">
        <f t="shared" ref="A1539:A1602" si="24">IF(B1539&lt;&gt;"",IFERROR(B1539*1,""),"")</f>
        <v/>
      </c>
      <c r="B1539" s="105" t="s">
        <v>2492</v>
      </c>
      <c r="C1539" s="105" t="s">
        <v>8</v>
      </c>
      <c r="D1539" s="105">
        <v>0</v>
      </c>
      <c r="E1539" s="105">
        <v>0</v>
      </c>
      <c r="F1539" s="105">
        <v>0</v>
      </c>
    </row>
    <row r="1540" spans="1:6" x14ac:dyDescent="0.25">
      <c r="A1540" s="105">
        <f t="shared" si="24"/>
        <v>4120420</v>
      </c>
      <c r="B1540" s="105" t="s">
        <v>2493</v>
      </c>
      <c r="C1540" s="105" t="s">
        <v>2494</v>
      </c>
      <c r="D1540" s="105">
        <v>0</v>
      </c>
      <c r="E1540" s="105">
        <v>0</v>
      </c>
      <c r="F1540" s="105">
        <v>0</v>
      </c>
    </row>
    <row r="1541" spans="1:6" x14ac:dyDescent="0.25">
      <c r="A1541" s="105" t="str">
        <f t="shared" si="24"/>
        <v/>
      </c>
      <c r="B1541" s="105" t="s">
        <v>2495</v>
      </c>
      <c r="C1541" s="105" t="s">
        <v>8</v>
      </c>
      <c r="D1541" s="105">
        <v>0</v>
      </c>
      <c r="E1541" s="105">
        <v>0</v>
      </c>
      <c r="F1541" s="105">
        <v>0</v>
      </c>
    </row>
    <row r="1542" spans="1:6" x14ac:dyDescent="0.25">
      <c r="A1542" s="105">
        <f t="shared" si="24"/>
        <v>4120421</v>
      </c>
      <c r="B1542" s="105" t="s">
        <v>2496</v>
      </c>
      <c r="C1542" s="105" t="s">
        <v>2497</v>
      </c>
      <c r="D1542" s="105">
        <v>0</v>
      </c>
      <c r="E1542" s="105">
        <v>0</v>
      </c>
      <c r="F1542" s="105">
        <v>0</v>
      </c>
    </row>
    <row r="1543" spans="1:6" x14ac:dyDescent="0.25">
      <c r="A1543" s="105" t="str">
        <f t="shared" si="24"/>
        <v/>
      </c>
      <c r="B1543" s="105" t="s">
        <v>2498</v>
      </c>
      <c r="C1543" s="105" t="s">
        <v>8</v>
      </c>
      <c r="D1543" s="105">
        <v>0</v>
      </c>
      <c r="E1543" s="105">
        <v>0</v>
      </c>
      <c r="F1543" s="105">
        <v>0</v>
      </c>
    </row>
    <row r="1544" spans="1:6" x14ac:dyDescent="0.25">
      <c r="A1544" s="105">
        <f t="shared" si="24"/>
        <v>4120442</v>
      </c>
      <c r="B1544" s="105" t="s">
        <v>2499</v>
      </c>
      <c r="C1544" s="105" t="s">
        <v>2500</v>
      </c>
      <c r="D1544" s="105">
        <v>0</v>
      </c>
      <c r="E1544" s="105">
        <v>0</v>
      </c>
      <c r="F1544" s="105">
        <v>0</v>
      </c>
    </row>
    <row r="1545" spans="1:6" x14ac:dyDescent="0.25">
      <c r="A1545" s="105" t="str">
        <f t="shared" si="24"/>
        <v/>
      </c>
      <c r="B1545" s="105" t="s">
        <v>2501</v>
      </c>
      <c r="C1545" s="105" t="s">
        <v>8</v>
      </c>
      <c r="D1545" s="105">
        <v>0</v>
      </c>
      <c r="E1545" s="105">
        <v>0</v>
      </c>
      <c r="F1545" s="105">
        <v>0</v>
      </c>
    </row>
    <row r="1546" spans="1:6" x14ac:dyDescent="0.25">
      <c r="A1546" s="105">
        <f t="shared" si="24"/>
        <v>4120443</v>
      </c>
      <c r="B1546" s="105" t="s">
        <v>2502</v>
      </c>
      <c r="C1546" s="105" t="s">
        <v>2503</v>
      </c>
      <c r="D1546" s="105">
        <v>0</v>
      </c>
      <c r="E1546" s="105">
        <v>0</v>
      </c>
      <c r="F1546" s="105">
        <v>0</v>
      </c>
    </row>
    <row r="1547" spans="1:6" x14ac:dyDescent="0.25">
      <c r="A1547" s="105">
        <f t="shared" si="24"/>
        <v>4120444</v>
      </c>
      <c r="B1547" s="105" t="s">
        <v>2504</v>
      </c>
      <c r="C1547" s="105" t="s">
        <v>2505</v>
      </c>
      <c r="D1547" s="105">
        <v>0</v>
      </c>
      <c r="E1547" s="105">
        <v>0</v>
      </c>
      <c r="F1547" s="105">
        <v>0</v>
      </c>
    </row>
    <row r="1548" spans="1:6" x14ac:dyDescent="0.25">
      <c r="A1548" s="105" t="str">
        <f t="shared" si="24"/>
        <v/>
      </c>
      <c r="B1548" s="105" t="s">
        <v>2506</v>
      </c>
      <c r="C1548" s="105" t="s">
        <v>8</v>
      </c>
      <c r="D1548" s="105">
        <v>0</v>
      </c>
      <c r="E1548" s="105">
        <v>0</v>
      </c>
      <c r="F1548" s="105">
        <v>0</v>
      </c>
    </row>
    <row r="1549" spans="1:6" x14ac:dyDescent="0.25">
      <c r="A1549" s="105">
        <f t="shared" si="24"/>
        <v>4120450</v>
      </c>
      <c r="B1549" s="105" t="s">
        <v>2507</v>
      </c>
      <c r="C1549" s="105" t="s">
        <v>2508</v>
      </c>
      <c r="D1549" s="105">
        <v>0</v>
      </c>
      <c r="E1549" s="105">
        <v>0</v>
      </c>
      <c r="F1549" s="105">
        <v>0</v>
      </c>
    </row>
    <row r="1550" spans="1:6" x14ac:dyDescent="0.25">
      <c r="A1550" s="105" t="str">
        <f t="shared" si="24"/>
        <v/>
      </c>
      <c r="B1550" s="105" t="s">
        <v>2509</v>
      </c>
      <c r="C1550" s="105" t="s">
        <v>8</v>
      </c>
      <c r="D1550" s="105">
        <v>0</v>
      </c>
      <c r="E1550" s="105">
        <v>0</v>
      </c>
      <c r="F1550" s="105">
        <v>0</v>
      </c>
    </row>
    <row r="1551" spans="1:6" x14ac:dyDescent="0.25">
      <c r="A1551" s="105">
        <f t="shared" si="24"/>
        <v>4120451</v>
      </c>
      <c r="B1551" s="105" t="s">
        <v>2510</v>
      </c>
      <c r="C1551" s="105" t="s">
        <v>2511</v>
      </c>
      <c r="D1551" s="105">
        <v>0</v>
      </c>
      <c r="E1551" s="105">
        <v>0</v>
      </c>
      <c r="F1551" s="105">
        <v>0</v>
      </c>
    </row>
    <row r="1552" spans="1:6" x14ac:dyDescent="0.25">
      <c r="A1552" s="105" t="str">
        <f t="shared" si="24"/>
        <v/>
      </c>
      <c r="B1552" s="105" t="s">
        <v>2512</v>
      </c>
      <c r="C1552" s="105" t="s">
        <v>8</v>
      </c>
      <c r="D1552" s="105">
        <v>0</v>
      </c>
      <c r="E1552" s="105">
        <v>0</v>
      </c>
      <c r="F1552" s="105">
        <v>0</v>
      </c>
    </row>
    <row r="1553" spans="1:6" x14ac:dyDescent="0.25">
      <c r="A1553" s="105">
        <f t="shared" si="24"/>
        <v>4120454</v>
      </c>
      <c r="B1553" s="105" t="s">
        <v>2513</v>
      </c>
      <c r="C1553" s="105" t="s">
        <v>2514</v>
      </c>
      <c r="D1553" s="105">
        <v>0</v>
      </c>
      <c r="E1553" s="105">
        <v>0</v>
      </c>
      <c r="F1553" s="105">
        <v>0</v>
      </c>
    </row>
    <row r="1554" spans="1:6" x14ac:dyDescent="0.25">
      <c r="A1554" s="105" t="str">
        <f t="shared" si="24"/>
        <v/>
      </c>
      <c r="B1554" s="105" t="s">
        <v>2515</v>
      </c>
      <c r="C1554" s="105" t="s">
        <v>8</v>
      </c>
      <c r="D1554" s="105">
        <v>0</v>
      </c>
      <c r="E1554" s="105">
        <v>0</v>
      </c>
      <c r="F1554" s="105">
        <v>0</v>
      </c>
    </row>
    <row r="1555" spans="1:6" x14ac:dyDescent="0.25">
      <c r="A1555" s="105">
        <f t="shared" si="24"/>
        <v>4120455</v>
      </c>
      <c r="B1555" s="105" t="s">
        <v>2516</v>
      </c>
      <c r="C1555" s="105" t="s">
        <v>2517</v>
      </c>
      <c r="D1555" s="105">
        <v>0</v>
      </c>
      <c r="E1555" s="105">
        <v>0</v>
      </c>
      <c r="F1555" s="105">
        <v>0</v>
      </c>
    </row>
    <row r="1556" spans="1:6" x14ac:dyDescent="0.25">
      <c r="A1556" s="105" t="str">
        <f t="shared" si="24"/>
        <v/>
      </c>
      <c r="B1556" s="105" t="s">
        <v>2518</v>
      </c>
      <c r="C1556" s="105" t="s">
        <v>8</v>
      </c>
      <c r="D1556" s="105">
        <v>0</v>
      </c>
      <c r="E1556" s="105">
        <v>0</v>
      </c>
      <c r="F1556" s="105">
        <v>0</v>
      </c>
    </row>
    <row r="1557" spans="1:6" x14ac:dyDescent="0.25">
      <c r="A1557" s="105">
        <f t="shared" si="24"/>
        <v>4120456</v>
      </c>
      <c r="B1557" s="105" t="s">
        <v>2519</v>
      </c>
      <c r="C1557" s="105" t="s">
        <v>2520</v>
      </c>
      <c r="D1557" s="105">
        <v>0</v>
      </c>
      <c r="E1557" s="105">
        <v>0</v>
      </c>
      <c r="F1557" s="105">
        <v>0</v>
      </c>
    </row>
    <row r="1558" spans="1:6" x14ac:dyDescent="0.25">
      <c r="A1558" s="105" t="str">
        <f t="shared" si="24"/>
        <v/>
      </c>
      <c r="B1558" s="105" t="s">
        <v>2521</v>
      </c>
      <c r="C1558" s="105" t="s">
        <v>8</v>
      </c>
      <c r="D1558" s="105">
        <v>0</v>
      </c>
      <c r="E1558" s="105">
        <v>0</v>
      </c>
      <c r="F1558" s="105">
        <v>0</v>
      </c>
    </row>
    <row r="1559" spans="1:6" x14ac:dyDescent="0.25">
      <c r="A1559" s="105">
        <f t="shared" si="24"/>
        <v>4120457</v>
      </c>
      <c r="B1559" s="105" t="s">
        <v>2522</v>
      </c>
      <c r="C1559" s="105" t="s">
        <v>2523</v>
      </c>
      <c r="D1559" s="105">
        <v>4558</v>
      </c>
      <c r="E1559" s="105">
        <v>2734.8</v>
      </c>
      <c r="F1559" s="105">
        <v>0</v>
      </c>
    </row>
    <row r="1560" spans="1:6" x14ac:dyDescent="0.25">
      <c r="A1560" s="105" t="str">
        <f t="shared" si="24"/>
        <v/>
      </c>
      <c r="B1560" s="105" t="s">
        <v>2524</v>
      </c>
      <c r="C1560" s="105" t="s">
        <v>8</v>
      </c>
      <c r="D1560" s="105">
        <v>0</v>
      </c>
      <c r="E1560" s="105">
        <v>0</v>
      </c>
      <c r="F1560" s="105">
        <v>0</v>
      </c>
    </row>
    <row r="1561" spans="1:6" x14ac:dyDescent="0.25">
      <c r="A1561" s="105">
        <f t="shared" si="24"/>
        <v>4120458</v>
      </c>
      <c r="B1561" s="105" t="s">
        <v>2525</v>
      </c>
      <c r="C1561" s="105" t="s">
        <v>2526</v>
      </c>
      <c r="D1561" s="105">
        <v>0</v>
      </c>
      <c r="E1561" s="105">
        <v>0</v>
      </c>
      <c r="F1561" s="105">
        <v>0</v>
      </c>
    </row>
    <row r="1562" spans="1:6" x14ac:dyDescent="0.25">
      <c r="A1562" s="105" t="str">
        <f t="shared" si="24"/>
        <v/>
      </c>
      <c r="B1562" s="105" t="s">
        <v>2527</v>
      </c>
      <c r="C1562" s="105" t="s">
        <v>8</v>
      </c>
      <c r="D1562" s="105">
        <v>0</v>
      </c>
      <c r="E1562" s="105">
        <v>0</v>
      </c>
      <c r="F1562" s="105">
        <v>0</v>
      </c>
    </row>
    <row r="1563" spans="1:6" x14ac:dyDescent="0.25">
      <c r="A1563" s="105">
        <f t="shared" si="24"/>
        <v>4120459</v>
      </c>
      <c r="B1563" s="105" t="s">
        <v>2528</v>
      </c>
      <c r="C1563" s="105" t="s">
        <v>2529</v>
      </c>
      <c r="D1563" s="105">
        <v>0</v>
      </c>
      <c r="E1563" s="105">
        <v>0</v>
      </c>
      <c r="F1563" s="105">
        <v>0</v>
      </c>
    </row>
    <row r="1564" spans="1:6" x14ac:dyDescent="0.25">
      <c r="A1564" s="105">
        <f t="shared" si="24"/>
        <v>4120460</v>
      </c>
      <c r="B1564" s="105" t="s">
        <v>2530</v>
      </c>
      <c r="C1564" s="105" t="s">
        <v>2531</v>
      </c>
      <c r="D1564" s="105">
        <v>4558</v>
      </c>
      <c r="E1564" s="105">
        <v>2734.8</v>
      </c>
      <c r="F1564" s="105">
        <v>5</v>
      </c>
    </row>
    <row r="1565" spans="1:6" x14ac:dyDescent="0.25">
      <c r="A1565" s="105">
        <f t="shared" si="24"/>
        <v>4120461</v>
      </c>
      <c r="B1565" s="105" t="s">
        <v>2532</v>
      </c>
      <c r="C1565" s="105" t="s">
        <v>2533</v>
      </c>
      <c r="D1565" s="105">
        <v>4717</v>
      </c>
      <c r="E1565" s="105">
        <v>2830.2</v>
      </c>
      <c r="F1565" s="105">
        <v>1</v>
      </c>
    </row>
    <row r="1566" spans="1:6" x14ac:dyDescent="0.25">
      <c r="A1566" s="105" t="str">
        <f t="shared" si="24"/>
        <v/>
      </c>
      <c r="B1566" s="105" t="s">
        <v>2534</v>
      </c>
      <c r="C1566" s="105" t="s">
        <v>8</v>
      </c>
      <c r="D1566" s="105">
        <v>0</v>
      </c>
      <c r="E1566" s="105">
        <v>0</v>
      </c>
      <c r="F1566" s="105">
        <v>0</v>
      </c>
    </row>
    <row r="1567" spans="1:6" x14ac:dyDescent="0.25">
      <c r="A1567" s="105">
        <f t="shared" si="24"/>
        <v>4120462</v>
      </c>
      <c r="B1567" s="105" t="s">
        <v>2535</v>
      </c>
      <c r="C1567" s="105" t="s">
        <v>2536</v>
      </c>
      <c r="D1567" s="105">
        <v>0</v>
      </c>
      <c r="E1567" s="105">
        <v>0</v>
      </c>
      <c r="F1567" s="105">
        <v>0</v>
      </c>
    </row>
    <row r="1568" spans="1:6" x14ac:dyDescent="0.25">
      <c r="A1568" s="105" t="str">
        <f t="shared" si="24"/>
        <v/>
      </c>
      <c r="B1568" s="105" t="s">
        <v>2537</v>
      </c>
      <c r="C1568" s="105" t="s">
        <v>8</v>
      </c>
      <c r="D1568" s="105">
        <v>0</v>
      </c>
      <c r="E1568" s="105">
        <v>0</v>
      </c>
      <c r="F1568" s="105">
        <v>0</v>
      </c>
    </row>
    <row r="1569" spans="1:6" x14ac:dyDescent="0.25">
      <c r="A1569" s="105">
        <f t="shared" si="24"/>
        <v>4120464</v>
      </c>
      <c r="B1569" s="105" t="s">
        <v>2538</v>
      </c>
      <c r="C1569" s="105" t="s">
        <v>2539</v>
      </c>
      <c r="D1569" s="105">
        <v>0</v>
      </c>
      <c r="E1569" s="105">
        <v>0</v>
      </c>
      <c r="F1569" s="105">
        <v>0</v>
      </c>
    </row>
    <row r="1570" spans="1:6" x14ac:dyDescent="0.25">
      <c r="A1570" s="105" t="str">
        <f t="shared" si="24"/>
        <v/>
      </c>
      <c r="B1570" s="105" t="s">
        <v>2540</v>
      </c>
      <c r="C1570" s="105" t="s">
        <v>8</v>
      </c>
      <c r="D1570" s="105">
        <v>0</v>
      </c>
      <c r="E1570" s="105">
        <v>0</v>
      </c>
      <c r="F1570" s="105">
        <v>0</v>
      </c>
    </row>
    <row r="1571" spans="1:6" x14ac:dyDescent="0.25">
      <c r="A1571" s="105">
        <f t="shared" si="24"/>
        <v>4120465</v>
      </c>
      <c r="B1571" s="105" t="s">
        <v>2541</v>
      </c>
      <c r="C1571" s="105" t="s">
        <v>2542</v>
      </c>
      <c r="D1571" s="105">
        <v>0</v>
      </c>
      <c r="E1571" s="105">
        <v>0</v>
      </c>
      <c r="F1571" s="105">
        <v>0</v>
      </c>
    </row>
    <row r="1572" spans="1:6" x14ac:dyDescent="0.25">
      <c r="A1572" s="105" t="str">
        <f t="shared" si="24"/>
        <v/>
      </c>
      <c r="B1572" s="105" t="s">
        <v>2543</v>
      </c>
      <c r="C1572" s="105" t="s">
        <v>8</v>
      </c>
      <c r="D1572" s="105">
        <v>0</v>
      </c>
      <c r="E1572" s="105">
        <v>0</v>
      </c>
      <c r="F1572" s="105">
        <v>0</v>
      </c>
    </row>
    <row r="1573" spans="1:6" x14ac:dyDescent="0.25">
      <c r="A1573" s="105">
        <f t="shared" si="24"/>
        <v>4120466</v>
      </c>
      <c r="B1573" s="105" t="s">
        <v>2544</v>
      </c>
      <c r="C1573" s="105" t="s">
        <v>2545</v>
      </c>
      <c r="D1573" s="105">
        <v>0</v>
      </c>
      <c r="E1573" s="105">
        <v>0</v>
      </c>
      <c r="F1573" s="105">
        <v>0</v>
      </c>
    </row>
    <row r="1574" spans="1:6" x14ac:dyDescent="0.25">
      <c r="A1574" s="105" t="str">
        <f t="shared" si="24"/>
        <v/>
      </c>
      <c r="B1574" s="105" t="s">
        <v>2546</v>
      </c>
      <c r="C1574" s="105" t="s">
        <v>8</v>
      </c>
      <c r="D1574" s="105">
        <v>0</v>
      </c>
      <c r="E1574" s="105">
        <v>0</v>
      </c>
      <c r="F1574" s="105">
        <v>0</v>
      </c>
    </row>
    <row r="1575" spans="1:6" x14ac:dyDescent="0.25">
      <c r="A1575" s="105">
        <f t="shared" si="24"/>
        <v>4120467</v>
      </c>
      <c r="B1575" s="105" t="s">
        <v>2547</v>
      </c>
      <c r="C1575" s="105" t="s">
        <v>2548</v>
      </c>
      <c r="D1575" s="105">
        <v>0</v>
      </c>
      <c r="E1575" s="105">
        <v>0</v>
      </c>
      <c r="F1575" s="105">
        <v>0</v>
      </c>
    </row>
    <row r="1576" spans="1:6" x14ac:dyDescent="0.25">
      <c r="A1576" s="105">
        <f t="shared" si="24"/>
        <v>4120495</v>
      </c>
      <c r="B1576" s="105" t="s">
        <v>2549</v>
      </c>
      <c r="C1576" s="105" t="s">
        <v>2550</v>
      </c>
      <c r="D1576" s="105">
        <v>4558</v>
      </c>
      <c r="E1576" s="105">
        <v>2734.8</v>
      </c>
      <c r="F1576" s="105">
        <v>0</v>
      </c>
    </row>
    <row r="1577" spans="1:6" x14ac:dyDescent="0.25">
      <c r="A1577" s="105">
        <f t="shared" si="24"/>
        <v>4120496</v>
      </c>
      <c r="B1577" s="105" t="s">
        <v>2551</v>
      </c>
      <c r="C1577" s="105" t="s">
        <v>2552</v>
      </c>
      <c r="D1577" s="105">
        <v>4717</v>
      </c>
      <c r="E1577" s="105">
        <v>2830.2</v>
      </c>
      <c r="F1577" s="105">
        <v>0</v>
      </c>
    </row>
    <row r="1578" spans="1:6" x14ac:dyDescent="0.25">
      <c r="A1578" s="105">
        <f t="shared" si="24"/>
        <v>4120497</v>
      </c>
      <c r="B1578" s="105" t="s">
        <v>2553</v>
      </c>
      <c r="C1578" s="105" t="s">
        <v>2554</v>
      </c>
      <c r="D1578" s="105">
        <v>4876</v>
      </c>
      <c r="E1578" s="105">
        <v>2925.6</v>
      </c>
      <c r="F1578" s="105">
        <v>0</v>
      </c>
    </row>
    <row r="1579" spans="1:6" x14ac:dyDescent="0.25">
      <c r="A1579" s="105">
        <f t="shared" si="24"/>
        <v>4120544</v>
      </c>
      <c r="B1579" s="105" t="s">
        <v>2555</v>
      </c>
      <c r="C1579" s="105" t="s">
        <v>2556</v>
      </c>
      <c r="D1579" s="105">
        <v>4399</v>
      </c>
      <c r="E1579" s="105">
        <v>2639.4</v>
      </c>
      <c r="F1579" s="105">
        <v>72</v>
      </c>
    </row>
    <row r="1580" spans="1:6" x14ac:dyDescent="0.25">
      <c r="A1580" s="105">
        <f t="shared" si="24"/>
        <v>4120545</v>
      </c>
      <c r="B1580" s="105" t="s">
        <v>2557</v>
      </c>
      <c r="C1580" s="105" t="s">
        <v>2558</v>
      </c>
      <c r="D1580" s="105">
        <v>4717</v>
      </c>
      <c r="E1580" s="105">
        <v>2830.2</v>
      </c>
      <c r="F1580" s="105">
        <v>2</v>
      </c>
    </row>
    <row r="1581" spans="1:6" x14ac:dyDescent="0.25">
      <c r="A1581" s="105" t="str">
        <f t="shared" si="24"/>
        <v/>
      </c>
      <c r="B1581" s="105" t="s">
        <v>2559</v>
      </c>
      <c r="C1581" s="105" t="s">
        <v>8</v>
      </c>
      <c r="D1581" s="105">
        <v>0</v>
      </c>
      <c r="E1581" s="105">
        <v>0</v>
      </c>
      <c r="F1581" s="105">
        <v>0</v>
      </c>
    </row>
    <row r="1582" spans="1:6" x14ac:dyDescent="0.25">
      <c r="A1582" s="105">
        <f t="shared" si="24"/>
        <v>4120546</v>
      </c>
      <c r="B1582" s="105" t="s">
        <v>2560</v>
      </c>
      <c r="C1582" s="105" t="s">
        <v>2561</v>
      </c>
      <c r="D1582" s="105">
        <v>0</v>
      </c>
      <c r="E1582" s="105">
        <v>0</v>
      </c>
      <c r="F1582" s="105">
        <v>0</v>
      </c>
    </row>
    <row r="1583" spans="1:6" x14ac:dyDescent="0.25">
      <c r="A1583" s="105" t="str">
        <f t="shared" si="24"/>
        <v/>
      </c>
      <c r="B1583" s="105" t="s">
        <v>2562</v>
      </c>
      <c r="C1583" s="105" t="s">
        <v>8</v>
      </c>
      <c r="D1583" s="105">
        <v>0</v>
      </c>
      <c r="E1583" s="105">
        <v>0</v>
      </c>
      <c r="F1583" s="105">
        <v>0</v>
      </c>
    </row>
    <row r="1584" spans="1:6" x14ac:dyDescent="0.25">
      <c r="A1584" s="105">
        <f t="shared" si="24"/>
        <v>4120549</v>
      </c>
      <c r="B1584" s="105" t="s">
        <v>2563</v>
      </c>
      <c r="C1584" s="105" t="s">
        <v>2564</v>
      </c>
      <c r="D1584" s="105">
        <v>0</v>
      </c>
      <c r="E1584" s="105">
        <v>0</v>
      </c>
      <c r="F1584" s="105">
        <v>0</v>
      </c>
    </row>
    <row r="1585" spans="1:6" x14ac:dyDescent="0.25">
      <c r="A1585" s="105">
        <f t="shared" si="24"/>
        <v>4120567</v>
      </c>
      <c r="B1585" s="105" t="s">
        <v>2565</v>
      </c>
      <c r="C1585" s="105" t="s">
        <v>2566</v>
      </c>
      <c r="D1585" s="105">
        <v>4240</v>
      </c>
      <c r="E1585" s="105">
        <v>2544</v>
      </c>
      <c r="F1585" s="105">
        <v>134</v>
      </c>
    </row>
    <row r="1586" spans="1:6" x14ac:dyDescent="0.25">
      <c r="A1586" s="105">
        <f t="shared" si="24"/>
        <v>4120568</v>
      </c>
      <c r="B1586" s="105" t="s">
        <v>2567</v>
      </c>
      <c r="C1586" s="105" t="s">
        <v>2568</v>
      </c>
      <c r="D1586" s="105">
        <v>4399</v>
      </c>
      <c r="E1586" s="105">
        <v>2639.4</v>
      </c>
      <c r="F1586" s="105">
        <v>67</v>
      </c>
    </row>
    <row r="1587" spans="1:6" x14ac:dyDescent="0.25">
      <c r="A1587" s="105">
        <f t="shared" si="24"/>
        <v>4120569</v>
      </c>
      <c r="B1587" s="105" t="s">
        <v>2569</v>
      </c>
      <c r="C1587" s="105" t="s">
        <v>2570</v>
      </c>
      <c r="D1587" s="105">
        <v>4558</v>
      </c>
      <c r="E1587" s="105">
        <v>2734.8</v>
      </c>
      <c r="F1587" s="105">
        <v>0</v>
      </c>
    </row>
    <row r="1588" spans="1:6" x14ac:dyDescent="0.25">
      <c r="A1588" s="105" t="str">
        <f t="shared" si="24"/>
        <v/>
      </c>
      <c r="B1588" s="105" t="s">
        <v>2571</v>
      </c>
      <c r="C1588" s="105" t="s">
        <v>8</v>
      </c>
      <c r="D1588" s="105">
        <v>0</v>
      </c>
      <c r="E1588" s="105">
        <v>0</v>
      </c>
      <c r="F1588" s="105">
        <v>0</v>
      </c>
    </row>
    <row r="1589" spans="1:6" x14ac:dyDescent="0.25">
      <c r="A1589" s="105">
        <f t="shared" si="24"/>
        <v>4120570</v>
      </c>
      <c r="B1589" s="105" t="s">
        <v>2572</v>
      </c>
      <c r="C1589" s="105" t="s">
        <v>2573</v>
      </c>
      <c r="D1589" s="105">
        <v>0</v>
      </c>
      <c r="E1589" s="105">
        <v>0</v>
      </c>
      <c r="F1589" s="105">
        <v>0</v>
      </c>
    </row>
    <row r="1590" spans="1:6" x14ac:dyDescent="0.25">
      <c r="A1590" s="105">
        <f t="shared" si="24"/>
        <v>4120600</v>
      </c>
      <c r="B1590" s="105" t="s">
        <v>2574</v>
      </c>
      <c r="C1590" s="105" t="s">
        <v>2575</v>
      </c>
      <c r="D1590" s="105">
        <v>4240</v>
      </c>
      <c r="E1590" s="105">
        <v>2544</v>
      </c>
      <c r="F1590" s="105">
        <v>2</v>
      </c>
    </row>
    <row r="1591" spans="1:6" x14ac:dyDescent="0.25">
      <c r="A1591" s="105">
        <f t="shared" si="24"/>
        <v>4120601</v>
      </c>
      <c r="B1591" s="105" t="s">
        <v>2576</v>
      </c>
      <c r="C1591" s="105" t="s">
        <v>2577</v>
      </c>
      <c r="D1591" s="105">
        <v>4399</v>
      </c>
      <c r="E1591" s="105">
        <v>2639.4</v>
      </c>
      <c r="F1591" s="105">
        <v>0</v>
      </c>
    </row>
    <row r="1592" spans="1:6" x14ac:dyDescent="0.25">
      <c r="A1592" s="105">
        <f t="shared" si="24"/>
        <v>4120602</v>
      </c>
      <c r="B1592" s="105" t="s">
        <v>2578</v>
      </c>
      <c r="C1592" s="105" t="s">
        <v>2579</v>
      </c>
      <c r="D1592" s="105">
        <v>4558</v>
      </c>
      <c r="E1592" s="105">
        <v>2734.8</v>
      </c>
      <c r="F1592" s="105">
        <v>0</v>
      </c>
    </row>
    <row r="1593" spans="1:6" x14ac:dyDescent="0.25">
      <c r="A1593" s="105">
        <f t="shared" si="24"/>
        <v>4120625</v>
      </c>
      <c r="B1593" s="105" t="s">
        <v>2580</v>
      </c>
      <c r="C1593" s="105" t="s">
        <v>2581</v>
      </c>
      <c r="D1593" s="105">
        <v>4399</v>
      </c>
      <c r="E1593" s="105">
        <v>2639.4</v>
      </c>
      <c r="F1593" s="105">
        <v>2</v>
      </c>
    </row>
    <row r="1594" spans="1:6" x14ac:dyDescent="0.25">
      <c r="A1594" s="105">
        <f t="shared" si="24"/>
        <v>4120627</v>
      </c>
      <c r="B1594" s="105" t="s">
        <v>2582</v>
      </c>
      <c r="C1594" s="105" t="s">
        <v>2583</v>
      </c>
      <c r="D1594" s="105">
        <v>4558</v>
      </c>
      <c r="E1594" s="105">
        <v>2734.8</v>
      </c>
      <c r="F1594" s="105">
        <v>0</v>
      </c>
    </row>
    <row r="1595" spans="1:6" x14ac:dyDescent="0.25">
      <c r="A1595" s="105" t="str">
        <f t="shared" si="24"/>
        <v/>
      </c>
      <c r="B1595" s="105" t="s">
        <v>2584</v>
      </c>
      <c r="C1595" s="105" t="s">
        <v>8</v>
      </c>
      <c r="D1595" s="105">
        <v>0</v>
      </c>
      <c r="E1595" s="105">
        <v>0</v>
      </c>
      <c r="F1595" s="105">
        <v>0</v>
      </c>
    </row>
    <row r="1596" spans="1:6" x14ac:dyDescent="0.25">
      <c r="A1596" s="105">
        <f t="shared" si="24"/>
        <v>4120628</v>
      </c>
      <c r="B1596" s="105" t="s">
        <v>2585</v>
      </c>
      <c r="C1596" s="105" t="s">
        <v>2586</v>
      </c>
      <c r="D1596" s="105">
        <v>0</v>
      </c>
      <c r="E1596" s="105">
        <v>0</v>
      </c>
      <c r="F1596" s="105">
        <v>0</v>
      </c>
    </row>
    <row r="1597" spans="1:6" x14ac:dyDescent="0.25">
      <c r="A1597" s="105">
        <f t="shared" si="24"/>
        <v>4120670</v>
      </c>
      <c r="B1597" s="105" t="s">
        <v>2587</v>
      </c>
      <c r="C1597" s="105" t="s">
        <v>2588</v>
      </c>
      <c r="D1597" s="105">
        <v>4240</v>
      </c>
      <c r="E1597" s="105">
        <v>2544</v>
      </c>
      <c r="F1597" s="105">
        <v>0</v>
      </c>
    </row>
    <row r="1598" spans="1:6" x14ac:dyDescent="0.25">
      <c r="A1598" s="105">
        <f t="shared" si="24"/>
        <v>4120672</v>
      </c>
      <c r="B1598" s="105" t="s">
        <v>2589</v>
      </c>
      <c r="C1598" s="105" t="s">
        <v>2590</v>
      </c>
      <c r="D1598" s="105">
        <v>4399</v>
      </c>
      <c r="E1598" s="105">
        <v>2639.4</v>
      </c>
      <c r="F1598" s="105">
        <v>4</v>
      </c>
    </row>
    <row r="1599" spans="1:6" x14ac:dyDescent="0.25">
      <c r="A1599" s="105" t="str">
        <f t="shared" si="24"/>
        <v/>
      </c>
      <c r="B1599" s="105" t="s">
        <v>2591</v>
      </c>
      <c r="C1599" s="105" t="s">
        <v>8</v>
      </c>
      <c r="D1599" s="105">
        <v>0</v>
      </c>
      <c r="E1599" s="105">
        <v>0</v>
      </c>
      <c r="F1599" s="105">
        <v>0</v>
      </c>
    </row>
    <row r="1600" spans="1:6" x14ac:dyDescent="0.25">
      <c r="A1600" s="105">
        <f t="shared" si="24"/>
        <v>4120674</v>
      </c>
      <c r="B1600" s="105" t="s">
        <v>2592</v>
      </c>
      <c r="C1600" s="105" t="s">
        <v>2593</v>
      </c>
      <c r="D1600" s="105">
        <v>0</v>
      </c>
      <c r="E1600" s="105">
        <v>0</v>
      </c>
      <c r="F1600" s="105">
        <v>0</v>
      </c>
    </row>
    <row r="1601" spans="1:6" x14ac:dyDescent="0.25">
      <c r="A1601" s="105" t="str">
        <f t="shared" si="24"/>
        <v/>
      </c>
      <c r="B1601" s="105" t="s">
        <v>2594</v>
      </c>
      <c r="C1601" s="105" t="s">
        <v>8</v>
      </c>
      <c r="D1601" s="105">
        <v>0</v>
      </c>
      <c r="E1601" s="105">
        <v>0</v>
      </c>
      <c r="F1601" s="105">
        <v>0</v>
      </c>
    </row>
    <row r="1602" spans="1:6" x14ac:dyDescent="0.25">
      <c r="A1602" s="105">
        <f t="shared" si="24"/>
        <v>4120676</v>
      </c>
      <c r="B1602" s="105" t="s">
        <v>2595</v>
      </c>
      <c r="C1602" s="105" t="s">
        <v>2596</v>
      </c>
      <c r="D1602" s="105">
        <v>0</v>
      </c>
      <c r="E1602" s="105">
        <v>0</v>
      </c>
      <c r="F1602" s="105">
        <v>0</v>
      </c>
    </row>
    <row r="1603" spans="1:6" x14ac:dyDescent="0.25">
      <c r="A1603" s="105">
        <f t="shared" ref="A1603:A1666" si="25">IF(B1603&lt;&gt;"",IFERROR(B1603*1,""),"")</f>
        <v>4120700</v>
      </c>
      <c r="B1603" s="105" t="s">
        <v>2597</v>
      </c>
      <c r="C1603" s="105" t="s">
        <v>2598</v>
      </c>
      <c r="D1603" s="105">
        <v>4240</v>
      </c>
      <c r="E1603" s="105">
        <v>2544</v>
      </c>
      <c r="F1603" s="105">
        <v>8</v>
      </c>
    </row>
    <row r="1604" spans="1:6" x14ac:dyDescent="0.25">
      <c r="A1604" s="105">
        <f t="shared" si="25"/>
        <v>4120701</v>
      </c>
      <c r="B1604" s="105" t="s">
        <v>2599</v>
      </c>
      <c r="C1604" s="105" t="s">
        <v>2600</v>
      </c>
      <c r="D1604" s="105">
        <v>4399</v>
      </c>
      <c r="E1604" s="105">
        <v>2639.4</v>
      </c>
      <c r="F1604" s="105">
        <v>0</v>
      </c>
    </row>
    <row r="1605" spans="1:6" x14ac:dyDescent="0.25">
      <c r="A1605" s="105">
        <f t="shared" si="25"/>
        <v>4120702</v>
      </c>
      <c r="B1605" s="105" t="s">
        <v>2601</v>
      </c>
      <c r="C1605" s="105" t="s">
        <v>2602</v>
      </c>
      <c r="D1605" s="105">
        <v>4558</v>
      </c>
      <c r="E1605" s="105">
        <v>2734.8</v>
      </c>
      <c r="F1605" s="105">
        <v>0</v>
      </c>
    </row>
    <row r="1606" spans="1:6" x14ac:dyDescent="0.25">
      <c r="A1606" s="105" t="str">
        <f t="shared" si="25"/>
        <v/>
      </c>
      <c r="B1606" s="105" t="s">
        <v>2603</v>
      </c>
      <c r="C1606" s="105" t="s">
        <v>8</v>
      </c>
      <c r="D1606" s="105">
        <v>0</v>
      </c>
      <c r="E1606" s="105">
        <v>0</v>
      </c>
      <c r="F1606" s="105">
        <v>0</v>
      </c>
    </row>
    <row r="1607" spans="1:6" x14ac:dyDescent="0.25">
      <c r="A1607" s="105">
        <f t="shared" si="25"/>
        <v>4120750</v>
      </c>
      <c r="B1607" s="105" t="s">
        <v>2604</v>
      </c>
      <c r="C1607" s="105" t="s">
        <v>2605</v>
      </c>
      <c r="D1607" s="105">
        <v>0</v>
      </c>
      <c r="E1607" s="105">
        <v>0</v>
      </c>
      <c r="F1607" s="105">
        <v>6</v>
      </c>
    </row>
    <row r="1608" spans="1:6" x14ac:dyDescent="0.25">
      <c r="A1608" s="105" t="str">
        <f t="shared" si="25"/>
        <v/>
      </c>
      <c r="B1608" s="105" t="s">
        <v>2606</v>
      </c>
      <c r="C1608" s="105" t="s">
        <v>8</v>
      </c>
      <c r="D1608" s="105">
        <v>0</v>
      </c>
      <c r="E1608" s="105">
        <v>0</v>
      </c>
      <c r="F1608" s="105">
        <v>0</v>
      </c>
    </row>
    <row r="1609" spans="1:6" x14ac:dyDescent="0.25">
      <c r="A1609" s="105">
        <f t="shared" si="25"/>
        <v>4120751</v>
      </c>
      <c r="B1609" s="105" t="s">
        <v>2607</v>
      </c>
      <c r="C1609" s="105" t="s">
        <v>2608</v>
      </c>
      <c r="D1609" s="105">
        <v>0</v>
      </c>
      <c r="E1609" s="105">
        <v>0</v>
      </c>
      <c r="F1609" s="105">
        <v>1</v>
      </c>
    </row>
    <row r="1610" spans="1:6" x14ac:dyDescent="0.25">
      <c r="A1610" s="105" t="str">
        <f t="shared" si="25"/>
        <v/>
      </c>
      <c r="B1610" s="105" t="s">
        <v>2609</v>
      </c>
      <c r="C1610" s="105" t="s">
        <v>8</v>
      </c>
      <c r="D1610" s="105">
        <v>0</v>
      </c>
      <c r="E1610" s="105">
        <v>0</v>
      </c>
      <c r="F1610" s="105">
        <v>0</v>
      </c>
    </row>
    <row r="1611" spans="1:6" x14ac:dyDescent="0.25">
      <c r="A1611" s="105">
        <f t="shared" si="25"/>
        <v>4120752</v>
      </c>
      <c r="B1611" s="105" t="s">
        <v>2610</v>
      </c>
      <c r="C1611" s="105" t="s">
        <v>2611</v>
      </c>
      <c r="D1611" s="105">
        <v>0</v>
      </c>
      <c r="E1611" s="105">
        <v>0</v>
      </c>
      <c r="F1611" s="105">
        <v>0</v>
      </c>
    </row>
    <row r="1612" spans="1:6" x14ac:dyDescent="0.25">
      <c r="A1612" s="105">
        <f t="shared" si="25"/>
        <v>4120753</v>
      </c>
      <c r="B1612" s="105" t="s">
        <v>2612</v>
      </c>
      <c r="C1612" s="105" t="s">
        <v>2613</v>
      </c>
      <c r="D1612" s="105">
        <v>4876</v>
      </c>
      <c r="E1612" s="105">
        <v>2925.6</v>
      </c>
      <c r="F1612" s="105">
        <v>4</v>
      </c>
    </row>
    <row r="1613" spans="1:6" x14ac:dyDescent="0.25">
      <c r="A1613" s="105">
        <f t="shared" si="25"/>
        <v>4120754</v>
      </c>
      <c r="B1613" s="105" t="s">
        <v>2614</v>
      </c>
      <c r="C1613" s="105" t="s">
        <v>2615</v>
      </c>
      <c r="D1613" s="105">
        <v>5035</v>
      </c>
      <c r="E1613" s="105">
        <v>3021</v>
      </c>
      <c r="F1613" s="105">
        <v>0</v>
      </c>
    </row>
    <row r="1614" spans="1:6" x14ac:dyDescent="0.25">
      <c r="A1614" s="105">
        <f t="shared" si="25"/>
        <v>4120755</v>
      </c>
      <c r="B1614" s="105" t="s">
        <v>2616</v>
      </c>
      <c r="C1614" s="105" t="s">
        <v>2617</v>
      </c>
      <c r="D1614" s="105">
        <v>5035</v>
      </c>
      <c r="E1614" s="105">
        <v>3021</v>
      </c>
      <c r="F1614" s="105">
        <v>0</v>
      </c>
    </row>
    <row r="1615" spans="1:6" x14ac:dyDescent="0.25">
      <c r="A1615" s="105">
        <f t="shared" si="25"/>
        <v>4120770</v>
      </c>
      <c r="B1615" s="105" t="s">
        <v>2618</v>
      </c>
      <c r="C1615" s="105" t="s">
        <v>2619</v>
      </c>
      <c r="D1615" s="105">
        <v>4558</v>
      </c>
      <c r="E1615" s="105">
        <v>2734.8</v>
      </c>
      <c r="F1615" s="105">
        <v>0</v>
      </c>
    </row>
    <row r="1616" spans="1:6" x14ac:dyDescent="0.25">
      <c r="A1616" s="105">
        <f t="shared" si="25"/>
        <v>4120771</v>
      </c>
      <c r="B1616" s="105" t="s">
        <v>2620</v>
      </c>
      <c r="C1616" s="105" t="s">
        <v>2621</v>
      </c>
      <c r="D1616" s="105">
        <v>4717</v>
      </c>
      <c r="E1616" s="105">
        <v>2830.2</v>
      </c>
      <c r="F1616" s="105">
        <v>26</v>
      </c>
    </row>
    <row r="1617" spans="1:6" x14ac:dyDescent="0.25">
      <c r="A1617" s="105">
        <f t="shared" si="25"/>
        <v>4120772</v>
      </c>
      <c r="B1617" s="105" t="s">
        <v>2622</v>
      </c>
      <c r="C1617" s="105" t="s">
        <v>2623</v>
      </c>
      <c r="D1617" s="105">
        <v>4876</v>
      </c>
      <c r="E1617" s="105">
        <v>2925.6</v>
      </c>
      <c r="F1617" s="105">
        <v>71</v>
      </c>
    </row>
    <row r="1618" spans="1:6" x14ac:dyDescent="0.25">
      <c r="A1618" s="105">
        <f t="shared" si="25"/>
        <v>4120773</v>
      </c>
      <c r="B1618" s="105" t="s">
        <v>2624</v>
      </c>
      <c r="C1618" s="105" t="s">
        <v>2625</v>
      </c>
      <c r="D1618" s="105">
        <v>5035</v>
      </c>
      <c r="E1618" s="105">
        <v>3021</v>
      </c>
      <c r="F1618" s="105">
        <v>0</v>
      </c>
    </row>
    <row r="1619" spans="1:6" x14ac:dyDescent="0.25">
      <c r="A1619" s="105">
        <f t="shared" si="25"/>
        <v>4120778</v>
      </c>
      <c r="B1619" s="105" t="s">
        <v>2626</v>
      </c>
      <c r="C1619" s="105" t="s">
        <v>2627</v>
      </c>
      <c r="D1619" s="105">
        <v>4558</v>
      </c>
      <c r="E1619" s="105">
        <v>2734.8</v>
      </c>
      <c r="F1619" s="105">
        <v>0</v>
      </c>
    </row>
    <row r="1620" spans="1:6" x14ac:dyDescent="0.25">
      <c r="A1620" s="105">
        <f t="shared" si="25"/>
        <v>4120790</v>
      </c>
      <c r="B1620" s="105" t="s">
        <v>9289</v>
      </c>
      <c r="C1620" s="105" t="s">
        <v>9290</v>
      </c>
      <c r="D1620" s="105">
        <v>0</v>
      </c>
      <c r="E1620" s="105">
        <v>0</v>
      </c>
      <c r="F1620" s="105">
        <v>116</v>
      </c>
    </row>
    <row r="1621" spans="1:6" x14ac:dyDescent="0.25">
      <c r="A1621" s="105">
        <f t="shared" si="25"/>
        <v>4120791</v>
      </c>
      <c r="B1621" s="105" t="s">
        <v>9291</v>
      </c>
      <c r="C1621" s="105" t="s">
        <v>9292</v>
      </c>
      <c r="D1621" s="105">
        <v>0</v>
      </c>
      <c r="E1621" s="105">
        <v>0</v>
      </c>
      <c r="F1621" s="105">
        <v>42</v>
      </c>
    </row>
    <row r="1622" spans="1:6" x14ac:dyDescent="0.25">
      <c r="A1622" s="105">
        <f t="shared" si="25"/>
        <v>4120792</v>
      </c>
      <c r="B1622" s="105" t="s">
        <v>9293</v>
      </c>
      <c r="C1622" s="105" t="s">
        <v>9294</v>
      </c>
      <c r="D1622" s="105">
        <v>0</v>
      </c>
      <c r="E1622" s="105">
        <v>0</v>
      </c>
      <c r="F1622" s="105">
        <v>0</v>
      </c>
    </row>
    <row r="1623" spans="1:6" x14ac:dyDescent="0.25">
      <c r="A1623" s="105">
        <f t="shared" si="25"/>
        <v>4120800</v>
      </c>
      <c r="B1623" s="105" t="s">
        <v>2628</v>
      </c>
      <c r="C1623" s="105" t="s">
        <v>2629</v>
      </c>
      <c r="D1623" s="105">
        <v>4240</v>
      </c>
      <c r="E1623" s="105">
        <v>2544</v>
      </c>
      <c r="F1623" s="105">
        <v>213</v>
      </c>
    </row>
    <row r="1624" spans="1:6" x14ac:dyDescent="0.25">
      <c r="A1624" s="105" t="str">
        <f t="shared" si="25"/>
        <v/>
      </c>
      <c r="B1624" s="105" t="s">
        <v>2630</v>
      </c>
      <c r="C1624" s="105" t="s">
        <v>8</v>
      </c>
      <c r="D1624" s="105">
        <v>0</v>
      </c>
      <c r="E1624" s="105">
        <v>0</v>
      </c>
      <c r="F1624" s="105">
        <v>0</v>
      </c>
    </row>
    <row r="1625" spans="1:6" x14ac:dyDescent="0.25">
      <c r="A1625" s="105">
        <f t="shared" si="25"/>
        <v>4120813</v>
      </c>
      <c r="B1625" s="105" t="s">
        <v>2631</v>
      </c>
      <c r="C1625" s="105" t="s">
        <v>2098</v>
      </c>
      <c r="D1625" s="105">
        <v>0</v>
      </c>
      <c r="E1625" s="105">
        <v>0</v>
      </c>
      <c r="F1625" s="105">
        <v>0</v>
      </c>
    </row>
    <row r="1626" spans="1:6" x14ac:dyDescent="0.25">
      <c r="A1626" s="105">
        <f t="shared" si="25"/>
        <v>4120845</v>
      </c>
      <c r="B1626" s="105" t="s">
        <v>2632</v>
      </c>
      <c r="C1626" s="105" t="s">
        <v>2633</v>
      </c>
      <c r="D1626" s="105">
        <v>0</v>
      </c>
      <c r="E1626" s="105">
        <v>0</v>
      </c>
      <c r="F1626" s="105">
        <v>0</v>
      </c>
    </row>
    <row r="1627" spans="1:6" x14ac:dyDescent="0.25">
      <c r="A1627" s="105" t="str">
        <f t="shared" si="25"/>
        <v/>
      </c>
      <c r="B1627" s="105" t="s">
        <v>2634</v>
      </c>
      <c r="C1627" s="105" t="s">
        <v>8</v>
      </c>
      <c r="D1627" s="105">
        <v>0</v>
      </c>
      <c r="E1627" s="105">
        <v>0</v>
      </c>
      <c r="F1627" s="105">
        <v>0</v>
      </c>
    </row>
    <row r="1628" spans="1:6" x14ac:dyDescent="0.25">
      <c r="A1628" s="105">
        <f t="shared" si="25"/>
        <v>4120846</v>
      </c>
      <c r="B1628" s="105" t="s">
        <v>2635</v>
      </c>
      <c r="C1628" s="105" t="s">
        <v>2636</v>
      </c>
      <c r="D1628" s="105">
        <v>0</v>
      </c>
      <c r="E1628" s="105">
        <v>0</v>
      </c>
      <c r="F1628" s="105">
        <v>0</v>
      </c>
    </row>
    <row r="1629" spans="1:6" x14ac:dyDescent="0.25">
      <c r="A1629" s="105">
        <f t="shared" si="25"/>
        <v>4120850</v>
      </c>
      <c r="B1629" s="105" t="s">
        <v>2637</v>
      </c>
      <c r="C1629" s="105" t="s">
        <v>2638</v>
      </c>
      <c r="D1629" s="105">
        <v>4558</v>
      </c>
      <c r="E1629" s="105">
        <v>2734.8</v>
      </c>
      <c r="F1629" s="105">
        <v>46</v>
      </c>
    </row>
    <row r="1630" spans="1:6" x14ac:dyDescent="0.25">
      <c r="A1630" s="105" t="str">
        <f t="shared" si="25"/>
        <v/>
      </c>
      <c r="B1630" s="105" t="s">
        <v>2639</v>
      </c>
      <c r="C1630" s="105" t="s">
        <v>8</v>
      </c>
      <c r="D1630" s="105">
        <v>0</v>
      </c>
      <c r="E1630" s="105">
        <v>0</v>
      </c>
      <c r="F1630" s="105">
        <v>0</v>
      </c>
    </row>
    <row r="1631" spans="1:6" x14ac:dyDescent="0.25">
      <c r="A1631" s="105">
        <f t="shared" si="25"/>
        <v>4120851</v>
      </c>
      <c r="B1631" s="105" t="s">
        <v>2640</v>
      </c>
      <c r="C1631" s="105" t="s">
        <v>2641</v>
      </c>
      <c r="D1631" s="105">
        <v>0</v>
      </c>
      <c r="E1631" s="105">
        <v>0</v>
      </c>
      <c r="F1631" s="105">
        <v>0</v>
      </c>
    </row>
    <row r="1632" spans="1:6" x14ac:dyDescent="0.25">
      <c r="A1632" s="105">
        <f t="shared" si="25"/>
        <v>4120852</v>
      </c>
      <c r="B1632" s="105" t="s">
        <v>2642</v>
      </c>
      <c r="C1632" s="105" t="s">
        <v>2643</v>
      </c>
      <c r="D1632" s="105">
        <v>4717</v>
      </c>
      <c r="E1632" s="105">
        <v>2830.2</v>
      </c>
      <c r="F1632" s="105">
        <v>12</v>
      </c>
    </row>
    <row r="1633" spans="1:6" x14ac:dyDescent="0.25">
      <c r="A1633" s="105">
        <f t="shared" si="25"/>
        <v>4120853</v>
      </c>
      <c r="B1633" s="105" t="s">
        <v>2644</v>
      </c>
      <c r="C1633" s="105" t="s">
        <v>2645</v>
      </c>
      <c r="D1633" s="105">
        <v>4558</v>
      </c>
      <c r="E1633" s="105">
        <v>2734.8</v>
      </c>
      <c r="F1633" s="105">
        <v>60</v>
      </c>
    </row>
    <row r="1634" spans="1:6" x14ac:dyDescent="0.25">
      <c r="A1634" s="105">
        <f t="shared" si="25"/>
        <v>4120854</v>
      </c>
      <c r="B1634" s="105" t="s">
        <v>2646</v>
      </c>
      <c r="C1634" s="105" t="s">
        <v>2647</v>
      </c>
      <c r="D1634" s="105">
        <v>4240</v>
      </c>
      <c r="E1634" s="105">
        <v>2544</v>
      </c>
      <c r="F1634" s="105">
        <v>69</v>
      </c>
    </row>
    <row r="1635" spans="1:6" x14ac:dyDescent="0.25">
      <c r="A1635" s="105">
        <f t="shared" si="25"/>
        <v>4120855</v>
      </c>
      <c r="B1635" s="105" t="s">
        <v>2648</v>
      </c>
      <c r="C1635" s="105" t="s">
        <v>2649</v>
      </c>
      <c r="D1635" s="105">
        <v>4717</v>
      </c>
      <c r="E1635" s="105">
        <v>2830.2</v>
      </c>
      <c r="F1635" s="105">
        <v>22</v>
      </c>
    </row>
    <row r="1636" spans="1:6" x14ac:dyDescent="0.25">
      <c r="A1636" s="105">
        <f t="shared" si="25"/>
        <v>4120857</v>
      </c>
      <c r="B1636" s="105" t="s">
        <v>2650</v>
      </c>
      <c r="C1636" s="105" t="s">
        <v>2651</v>
      </c>
      <c r="D1636" s="105">
        <v>4876</v>
      </c>
      <c r="E1636" s="105">
        <v>2925.6</v>
      </c>
      <c r="F1636" s="105">
        <v>17</v>
      </c>
    </row>
    <row r="1637" spans="1:6" x14ac:dyDescent="0.25">
      <c r="A1637" s="105">
        <f t="shared" si="25"/>
        <v>4120860</v>
      </c>
      <c r="B1637" s="105" t="s">
        <v>2652</v>
      </c>
      <c r="C1637" s="105" t="s">
        <v>2653</v>
      </c>
      <c r="D1637" s="105">
        <v>4240</v>
      </c>
      <c r="E1637" s="105">
        <v>2544</v>
      </c>
      <c r="F1637" s="105">
        <v>2</v>
      </c>
    </row>
    <row r="1638" spans="1:6" x14ac:dyDescent="0.25">
      <c r="A1638" s="105">
        <f t="shared" si="25"/>
        <v>4120870</v>
      </c>
      <c r="B1638" s="105" t="s">
        <v>2654</v>
      </c>
      <c r="C1638" s="105" t="s">
        <v>2655</v>
      </c>
      <c r="D1638" s="105">
        <v>4399</v>
      </c>
      <c r="E1638" s="105">
        <v>2639.4</v>
      </c>
      <c r="F1638" s="105">
        <v>1</v>
      </c>
    </row>
    <row r="1639" spans="1:6" x14ac:dyDescent="0.25">
      <c r="A1639" s="105">
        <f t="shared" si="25"/>
        <v>4120880</v>
      </c>
      <c r="B1639" s="105" t="s">
        <v>2656</v>
      </c>
      <c r="C1639" s="105" t="s">
        <v>2657</v>
      </c>
      <c r="D1639" s="105">
        <v>4558</v>
      </c>
      <c r="E1639" s="105">
        <v>2734.8</v>
      </c>
      <c r="F1639" s="105">
        <v>1</v>
      </c>
    </row>
    <row r="1640" spans="1:6" x14ac:dyDescent="0.25">
      <c r="A1640" s="105" t="str">
        <f t="shared" si="25"/>
        <v/>
      </c>
      <c r="B1640" s="105" t="s">
        <v>2658</v>
      </c>
      <c r="C1640" s="105" t="s">
        <v>8</v>
      </c>
      <c r="D1640" s="105">
        <v>0</v>
      </c>
      <c r="E1640" s="105">
        <v>0</v>
      </c>
      <c r="F1640" s="105">
        <v>0</v>
      </c>
    </row>
    <row r="1641" spans="1:6" x14ac:dyDescent="0.25">
      <c r="A1641" s="105">
        <f t="shared" si="25"/>
        <v>4120881</v>
      </c>
      <c r="B1641" s="105" t="s">
        <v>2659</v>
      </c>
      <c r="C1641" s="105" t="s">
        <v>2660</v>
      </c>
      <c r="D1641" s="105">
        <v>0</v>
      </c>
      <c r="E1641" s="105">
        <v>0</v>
      </c>
      <c r="F1641" s="105">
        <v>0</v>
      </c>
    </row>
    <row r="1642" spans="1:6" x14ac:dyDescent="0.25">
      <c r="A1642" s="105">
        <f t="shared" si="25"/>
        <v>4120890</v>
      </c>
      <c r="B1642" s="105" t="s">
        <v>2661</v>
      </c>
      <c r="C1642" s="105" t="s">
        <v>2662</v>
      </c>
      <c r="D1642" s="105">
        <v>4717</v>
      </c>
      <c r="E1642" s="105">
        <v>2830.2</v>
      </c>
      <c r="F1642" s="105">
        <v>0</v>
      </c>
    </row>
    <row r="1643" spans="1:6" x14ac:dyDescent="0.25">
      <c r="A1643" s="105">
        <f t="shared" si="25"/>
        <v>4120900</v>
      </c>
      <c r="B1643" s="105" t="s">
        <v>2663</v>
      </c>
      <c r="C1643" s="105" t="s">
        <v>2664</v>
      </c>
      <c r="D1643" s="105">
        <v>4558</v>
      </c>
      <c r="E1643" s="105">
        <v>2734.8</v>
      </c>
      <c r="F1643" s="105">
        <v>4</v>
      </c>
    </row>
    <row r="1644" spans="1:6" x14ac:dyDescent="0.25">
      <c r="A1644" s="105">
        <f t="shared" si="25"/>
        <v>4120901</v>
      </c>
      <c r="B1644" s="105" t="s">
        <v>2665</v>
      </c>
      <c r="C1644" s="105" t="s">
        <v>2666</v>
      </c>
      <c r="D1644" s="105">
        <v>4717</v>
      </c>
      <c r="E1644" s="105">
        <v>2830.2</v>
      </c>
      <c r="F1644" s="105">
        <v>0</v>
      </c>
    </row>
    <row r="1645" spans="1:6" x14ac:dyDescent="0.25">
      <c r="A1645" s="105">
        <f t="shared" si="25"/>
        <v>4120902</v>
      </c>
      <c r="B1645" s="105" t="s">
        <v>2667</v>
      </c>
      <c r="C1645" s="105" t="s">
        <v>2668</v>
      </c>
      <c r="D1645" s="105">
        <v>4876</v>
      </c>
      <c r="E1645" s="105">
        <v>2925.6</v>
      </c>
      <c r="F1645" s="105">
        <v>0</v>
      </c>
    </row>
    <row r="1646" spans="1:6" x14ac:dyDescent="0.25">
      <c r="A1646" s="105">
        <f t="shared" si="25"/>
        <v>4120903</v>
      </c>
      <c r="B1646" s="105" t="s">
        <v>2669</v>
      </c>
      <c r="C1646" s="105" t="s">
        <v>2670</v>
      </c>
      <c r="D1646" s="105">
        <v>5035</v>
      </c>
      <c r="E1646" s="105">
        <v>3021</v>
      </c>
      <c r="F1646" s="105">
        <v>0</v>
      </c>
    </row>
    <row r="1647" spans="1:6" x14ac:dyDescent="0.25">
      <c r="A1647" s="105">
        <f t="shared" si="25"/>
        <v>4120905</v>
      </c>
      <c r="B1647" s="105" t="s">
        <v>2671</v>
      </c>
      <c r="C1647" s="105" t="s">
        <v>2672</v>
      </c>
      <c r="D1647" s="105">
        <v>4240</v>
      </c>
      <c r="E1647" s="105">
        <v>2544</v>
      </c>
      <c r="F1647" s="105">
        <v>0</v>
      </c>
    </row>
    <row r="1648" spans="1:6" x14ac:dyDescent="0.25">
      <c r="A1648" s="105">
        <f t="shared" si="25"/>
        <v>4120906</v>
      </c>
      <c r="B1648" s="105" t="s">
        <v>2673</v>
      </c>
      <c r="C1648" s="105" t="s">
        <v>2674</v>
      </c>
      <c r="D1648" s="105">
        <v>4399</v>
      </c>
      <c r="E1648" s="105">
        <v>2639.4</v>
      </c>
      <c r="F1648" s="105">
        <v>0</v>
      </c>
    </row>
    <row r="1649" spans="1:6" x14ac:dyDescent="0.25">
      <c r="A1649" s="105">
        <f t="shared" si="25"/>
        <v>4120910</v>
      </c>
      <c r="B1649" s="105" t="s">
        <v>2675</v>
      </c>
      <c r="C1649" s="105" t="s">
        <v>2676</v>
      </c>
      <c r="D1649" s="105">
        <v>4558</v>
      </c>
      <c r="E1649" s="105">
        <v>2734.8</v>
      </c>
      <c r="F1649" s="105">
        <v>0</v>
      </c>
    </row>
    <row r="1650" spans="1:6" x14ac:dyDescent="0.25">
      <c r="A1650" s="105" t="str">
        <f t="shared" si="25"/>
        <v/>
      </c>
      <c r="B1650" s="105" t="s">
        <v>2677</v>
      </c>
      <c r="C1650" s="105" t="s">
        <v>8</v>
      </c>
      <c r="D1650" s="105">
        <v>0</v>
      </c>
      <c r="E1650" s="105">
        <v>0</v>
      </c>
      <c r="F1650" s="105">
        <v>0</v>
      </c>
    </row>
    <row r="1651" spans="1:6" x14ac:dyDescent="0.25">
      <c r="A1651" s="105">
        <f t="shared" si="25"/>
        <v>4120911</v>
      </c>
      <c r="B1651" s="105" t="s">
        <v>2678</v>
      </c>
      <c r="C1651" s="105" t="s">
        <v>2679</v>
      </c>
      <c r="D1651" s="105">
        <v>4717</v>
      </c>
      <c r="E1651" s="105">
        <v>2830.2</v>
      </c>
      <c r="F1651" s="105">
        <v>0</v>
      </c>
    </row>
    <row r="1652" spans="1:6" x14ac:dyDescent="0.25">
      <c r="A1652" s="105" t="str">
        <f t="shared" si="25"/>
        <v/>
      </c>
      <c r="B1652" s="105" t="s">
        <v>2680</v>
      </c>
      <c r="C1652" s="105" t="s">
        <v>8</v>
      </c>
      <c r="D1652" s="105">
        <v>0</v>
      </c>
      <c r="E1652" s="105">
        <v>0</v>
      </c>
      <c r="F1652" s="105">
        <v>0</v>
      </c>
    </row>
    <row r="1653" spans="1:6" x14ac:dyDescent="0.25">
      <c r="A1653" s="105">
        <f t="shared" si="25"/>
        <v>4120912</v>
      </c>
      <c r="B1653" s="105" t="s">
        <v>2681</v>
      </c>
      <c r="C1653" s="105" t="s">
        <v>2682</v>
      </c>
      <c r="D1653" s="105">
        <v>4876</v>
      </c>
      <c r="E1653" s="105">
        <v>2925.6</v>
      </c>
      <c r="F1653" s="105">
        <v>0</v>
      </c>
    </row>
    <row r="1654" spans="1:6" x14ac:dyDescent="0.25">
      <c r="A1654" s="105">
        <f t="shared" si="25"/>
        <v>4120913</v>
      </c>
      <c r="B1654" s="105" t="s">
        <v>2683</v>
      </c>
      <c r="C1654" s="105" t="s">
        <v>2684</v>
      </c>
      <c r="D1654" s="105">
        <v>4558</v>
      </c>
      <c r="E1654" s="105">
        <v>2734.8</v>
      </c>
      <c r="F1654" s="105">
        <v>18</v>
      </c>
    </row>
    <row r="1655" spans="1:6" x14ac:dyDescent="0.25">
      <c r="A1655" s="105">
        <f t="shared" si="25"/>
        <v>4120914</v>
      </c>
      <c r="B1655" s="105" t="s">
        <v>2685</v>
      </c>
      <c r="C1655" s="105" t="s">
        <v>2686</v>
      </c>
      <c r="D1655" s="105">
        <v>4717</v>
      </c>
      <c r="E1655" s="105">
        <v>2830.2</v>
      </c>
      <c r="F1655" s="105">
        <v>6</v>
      </c>
    </row>
    <row r="1656" spans="1:6" x14ac:dyDescent="0.25">
      <c r="A1656" s="105">
        <f t="shared" si="25"/>
        <v>4120915</v>
      </c>
      <c r="B1656" s="105" t="s">
        <v>2687</v>
      </c>
      <c r="C1656" s="105" t="s">
        <v>2688</v>
      </c>
      <c r="D1656" s="105">
        <v>4876</v>
      </c>
      <c r="E1656" s="105">
        <v>2925.6</v>
      </c>
      <c r="F1656" s="105">
        <v>1</v>
      </c>
    </row>
    <row r="1657" spans="1:6" x14ac:dyDescent="0.25">
      <c r="A1657" s="105">
        <f t="shared" si="25"/>
        <v>4120916</v>
      </c>
      <c r="B1657" s="105" t="s">
        <v>2689</v>
      </c>
      <c r="C1657" s="105" t="s">
        <v>2690</v>
      </c>
      <c r="D1657" s="105">
        <v>5035</v>
      </c>
      <c r="E1657" s="105">
        <v>3021</v>
      </c>
      <c r="F1657" s="105">
        <v>0</v>
      </c>
    </row>
    <row r="1658" spans="1:6" x14ac:dyDescent="0.25">
      <c r="A1658" s="105" t="str">
        <f t="shared" si="25"/>
        <v/>
      </c>
      <c r="B1658" s="105" t="s">
        <v>2691</v>
      </c>
      <c r="C1658" s="105" t="s">
        <v>8</v>
      </c>
      <c r="D1658" s="105">
        <v>0</v>
      </c>
      <c r="E1658" s="105">
        <v>0</v>
      </c>
      <c r="F1658" s="105">
        <v>0</v>
      </c>
    </row>
    <row r="1659" spans="1:6" x14ac:dyDescent="0.25">
      <c r="A1659" s="105">
        <f t="shared" si="25"/>
        <v>4120917</v>
      </c>
      <c r="B1659" s="105" t="s">
        <v>2692</v>
      </c>
      <c r="C1659" s="105" t="s">
        <v>2693</v>
      </c>
      <c r="D1659" s="105">
        <v>0</v>
      </c>
      <c r="E1659" s="105">
        <v>0</v>
      </c>
      <c r="F1659" s="105">
        <v>0</v>
      </c>
    </row>
    <row r="1660" spans="1:6" x14ac:dyDescent="0.25">
      <c r="A1660" s="105">
        <f t="shared" si="25"/>
        <v>4120950</v>
      </c>
      <c r="B1660" s="105" t="s">
        <v>2694</v>
      </c>
      <c r="C1660" s="105" t="s">
        <v>2695</v>
      </c>
      <c r="D1660" s="105">
        <v>4558</v>
      </c>
      <c r="E1660" s="105">
        <v>2734.8</v>
      </c>
      <c r="F1660" s="105">
        <v>0</v>
      </c>
    </row>
    <row r="1661" spans="1:6" x14ac:dyDescent="0.25">
      <c r="A1661" s="105">
        <f t="shared" si="25"/>
        <v>4120951</v>
      </c>
      <c r="B1661" s="105" t="s">
        <v>2696</v>
      </c>
      <c r="C1661" s="105" t="s">
        <v>2697</v>
      </c>
      <c r="D1661" s="105">
        <v>4717</v>
      </c>
      <c r="E1661" s="105">
        <v>2830.2</v>
      </c>
      <c r="F1661" s="105">
        <v>8</v>
      </c>
    </row>
    <row r="1662" spans="1:6" x14ac:dyDescent="0.25">
      <c r="A1662" s="105">
        <f t="shared" si="25"/>
        <v>4120952</v>
      </c>
      <c r="B1662" s="105" t="s">
        <v>2698</v>
      </c>
      <c r="C1662" s="105" t="s">
        <v>2699</v>
      </c>
      <c r="D1662" s="105">
        <v>4876</v>
      </c>
      <c r="E1662" s="105">
        <v>2925.6</v>
      </c>
      <c r="F1662" s="105">
        <v>27</v>
      </c>
    </row>
    <row r="1663" spans="1:6" x14ac:dyDescent="0.25">
      <c r="A1663" s="105">
        <f t="shared" si="25"/>
        <v>4120953</v>
      </c>
      <c r="B1663" s="105" t="s">
        <v>2700</v>
      </c>
      <c r="C1663" s="105" t="s">
        <v>2701</v>
      </c>
      <c r="D1663" s="105">
        <v>5035</v>
      </c>
      <c r="E1663" s="105">
        <v>3021</v>
      </c>
      <c r="F1663" s="105">
        <v>0</v>
      </c>
    </row>
    <row r="1664" spans="1:6" x14ac:dyDescent="0.25">
      <c r="A1664" s="105" t="str">
        <f t="shared" si="25"/>
        <v/>
      </c>
      <c r="B1664" s="105" t="s">
        <v>2702</v>
      </c>
      <c r="C1664" s="105" t="s">
        <v>8</v>
      </c>
      <c r="D1664" s="105">
        <v>0</v>
      </c>
      <c r="E1664" s="105">
        <v>0</v>
      </c>
      <c r="F1664" s="105">
        <v>0</v>
      </c>
    </row>
    <row r="1665" spans="1:6" x14ac:dyDescent="0.25">
      <c r="A1665" s="105">
        <f t="shared" si="25"/>
        <v>4120954</v>
      </c>
      <c r="B1665" s="105" t="s">
        <v>2703</v>
      </c>
      <c r="C1665" s="105" t="s">
        <v>2704</v>
      </c>
      <c r="D1665" s="105">
        <v>0</v>
      </c>
      <c r="E1665" s="105">
        <v>0</v>
      </c>
      <c r="F1665" s="105">
        <v>0</v>
      </c>
    </row>
    <row r="1666" spans="1:6" x14ac:dyDescent="0.25">
      <c r="A1666" s="105">
        <f t="shared" si="25"/>
        <v>4120963</v>
      </c>
      <c r="B1666" s="105" t="s">
        <v>2705</v>
      </c>
      <c r="C1666" s="105" t="s">
        <v>2706</v>
      </c>
      <c r="D1666" s="105">
        <v>4346</v>
      </c>
      <c r="E1666" s="105">
        <v>2607.6</v>
      </c>
      <c r="F1666" s="105">
        <v>21</v>
      </c>
    </row>
    <row r="1667" spans="1:6" x14ac:dyDescent="0.25">
      <c r="A1667" s="105">
        <f t="shared" ref="A1667:A1730" si="26">IF(B1667&lt;&gt;"",IFERROR(B1667*1,""),"")</f>
        <v>4120982</v>
      </c>
      <c r="B1667" s="105" t="s">
        <v>2707</v>
      </c>
      <c r="C1667" s="105" t="s">
        <v>2708</v>
      </c>
      <c r="D1667" s="105">
        <v>4240</v>
      </c>
      <c r="E1667" s="105">
        <v>2544</v>
      </c>
      <c r="F1667" s="105">
        <v>59</v>
      </c>
    </row>
    <row r="1668" spans="1:6" x14ac:dyDescent="0.25">
      <c r="A1668" s="105">
        <f t="shared" si="26"/>
        <v>4120987</v>
      </c>
      <c r="B1668" s="105" t="s">
        <v>2709</v>
      </c>
      <c r="C1668" s="105" t="s">
        <v>2710</v>
      </c>
      <c r="D1668" s="105">
        <v>4558</v>
      </c>
      <c r="E1668" s="105">
        <v>2734.8</v>
      </c>
      <c r="F1668" s="105">
        <v>0</v>
      </c>
    </row>
    <row r="1669" spans="1:6" x14ac:dyDescent="0.25">
      <c r="A1669" s="105">
        <f t="shared" si="26"/>
        <v>4120988</v>
      </c>
      <c r="B1669" s="105" t="s">
        <v>2711</v>
      </c>
      <c r="C1669" s="105" t="s">
        <v>2712</v>
      </c>
      <c r="D1669" s="105">
        <v>4717</v>
      </c>
      <c r="E1669" s="105">
        <v>2830.2</v>
      </c>
      <c r="F1669" s="105">
        <v>0</v>
      </c>
    </row>
    <row r="1670" spans="1:6" x14ac:dyDescent="0.25">
      <c r="A1670" s="105" t="str">
        <f t="shared" si="26"/>
        <v/>
      </c>
      <c r="B1670" s="105" t="s">
        <v>2713</v>
      </c>
      <c r="C1670" s="105" t="s">
        <v>8</v>
      </c>
      <c r="D1670" s="105">
        <v>0</v>
      </c>
      <c r="E1670" s="105">
        <v>0</v>
      </c>
      <c r="F1670" s="105">
        <v>0</v>
      </c>
    </row>
    <row r="1671" spans="1:6" x14ac:dyDescent="0.25">
      <c r="A1671" s="105">
        <f t="shared" si="26"/>
        <v>4120989</v>
      </c>
      <c r="B1671" s="105" t="s">
        <v>2714</v>
      </c>
      <c r="C1671" s="105" t="s">
        <v>2715</v>
      </c>
      <c r="D1671" s="105">
        <v>0</v>
      </c>
      <c r="E1671" s="105">
        <v>0</v>
      </c>
      <c r="F1671" s="105">
        <v>0</v>
      </c>
    </row>
    <row r="1672" spans="1:6" x14ac:dyDescent="0.25">
      <c r="A1672" s="105">
        <f t="shared" si="26"/>
        <v>4129001</v>
      </c>
      <c r="B1672" s="105" t="s">
        <v>2716</v>
      </c>
      <c r="C1672" s="105" t="s">
        <v>2717</v>
      </c>
      <c r="D1672" s="105">
        <v>0</v>
      </c>
      <c r="E1672" s="105">
        <v>0</v>
      </c>
      <c r="F1672" s="105">
        <v>15</v>
      </c>
    </row>
    <row r="1673" spans="1:6" x14ac:dyDescent="0.25">
      <c r="A1673" s="105" t="str">
        <f t="shared" si="26"/>
        <v/>
      </c>
      <c r="B1673" s="105" t="s">
        <v>2718</v>
      </c>
      <c r="C1673" s="105" t="s">
        <v>8</v>
      </c>
      <c r="D1673" s="105">
        <v>0</v>
      </c>
      <c r="E1673" s="105">
        <v>0</v>
      </c>
      <c r="F1673" s="105">
        <v>0</v>
      </c>
    </row>
    <row r="1674" spans="1:6" x14ac:dyDescent="0.25">
      <c r="A1674" s="105">
        <f t="shared" si="26"/>
        <v>4130123</v>
      </c>
      <c r="B1674" s="105" t="s">
        <v>2719</v>
      </c>
      <c r="C1674" s="105" t="s">
        <v>2720</v>
      </c>
      <c r="D1674" s="105">
        <v>0</v>
      </c>
      <c r="E1674" s="105">
        <v>0</v>
      </c>
      <c r="F1674" s="105">
        <v>0</v>
      </c>
    </row>
    <row r="1675" spans="1:6" x14ac:dyDescent="0.25">
      <c r="A1675" s="105" t="str">
        <f t="shared" si="26"/>
        <v/>
      </c>
      <c r="B1675" s="105" t="s">
        <v>2721</v>
      </c>
      <c r="C1675" s="105" t="s">
        <v>8</v>
      </c>
      <c r="D1675" s="105">
        <v>0</v>
      </c>
      <c r="E1675" s="105">
        <v>0</v>
      </c>
      <c r="F1675" s="105">
        <v>0</v>
      </c>
    </row>
    <row r="1676" spans="1:6" x14ac:dyDescent="0.25">
      <c r="A1676" s="105">
        <f t="shared" si="26"/>
        <v>4130124</v>
      </c>
      <c r="B1676" s="105" t="s">
        <v>2722</v>
      </c>
      <c r="C1676" s="105" t="s">
        <v>2723</v>
      </c>
      <c r="D1676" s="105">
        <v>0</v>
      </c>
      <c r="E1676" s="105">
        <v>0</v>
      </c>
      <c r="F1676" s="105">
        <v>0</v>
      </c>
    </row>
    <row r="1677" spans="1:6" x14ac:dyDescent="0.25">
      <c r="A1677" s="105" t="str">
        <f t="shared" si="26"/>
        <v/>
      </c>
      <c r="B1677" s="105" t="s">
        <v>2724</v>
      </c>
      <c r="C1677" s="105" t="s">
        <v>8</v>
      </c>
      <c r="D1677" s="105">
        <v>0</v>
      </c>
      <c r="E1677" s="105">
        <v>0</v>
      </c>
      <c r="F1677" s="105">
        <v>0</v>
      </c>
    </row>
    <row r="1678" spans="1:6" x14ac:dyDescent="0.25">
      <c r="A1678" s="105">
        <f t="shared" si="26"/>
        <v>4130125</v>
      </c>
      <c r="B1678" s="105" t="s">
        <v>2725</v>
      </c>
      <c r="C1678" s="105" t="s">
        <v>2726</v>
      </c>
      <c r="D1678" s="105">
        <v>0</v>
      </c>
      <c r="E1678" s="105">
        <v>0</v>
      </c>
      <c r="F1678" s="105">
        <v>0</v>
      </c>
    </row>
    <row r="1679" spans="1:6" x14ac:dyDescent="0.25">
      <c r="A1679" s="105" t="str">
        <f t="shared" si="26"/>
        <v/>
      </c>
      <c r="B1679" s="105" t="s">
        <v>2727</v>
      </c>
      <c r="C1679" s="105" t="s">
        <v>8</v>
      </c>
      <c r="D1679" s="105">
        <v>0</v>
      </c>
      <c r="E1679" s="105">
        <v>0</v>
      </c>
      <c r="F1679" s="105">
        <v>0</v>
      </c>
    </row>
    <row r="1680" spans="1:6" x14ac:dyDescent="0.25">
      <c r="A1680" s="105">
        <f t="shared" si="26"/>
        <v>4130126</v>
      </c>
      <c r="B1680" s="105" t="s">
        <v>2728</v>
      </c>
      <c r="C1680" s="105" t="s">
        <v>2729</v>
      </c>
      <c r="D1680" s="105">
        <v>0</v>
      </c>
      <c r="E1680" s="105">
        <v>0</v>
      </c>
      <c r="F1680" s="105">
        <v>0</v>
      </c>
    </row>
    <row r="1681" spans="1:6" x14ac:dyDescent="0.25">
      <c r="A1681" s="105" t="str">
        <f t="shared" si="26"/>
        <v/>
      </c>
      <c r="B1681" s="105" t="s">
        <v>2730</v>
      </c>
      <c r="C1681" s="105" t="s">
        <v>8</v>
      </c>
      <c r="D1681" s="105">
        <v>0</v>
      </c>
      <c r="E1681" s="105">
        <v>0</v>
      </c>
      <c r="F1681" s="105">
        <v>0</v>
      </c>
    </row>
    <row r="1682" spans="1:6" x14ac:dyDescent="0.25">
      <c r="A1682" s="105">
        <f t="shared" si="26"/>
        <v>4130127</v>
      </c>
      <c r="B1682" s="105" t="s">
        <v>2731</v>
      </c>
      <c r="C1682" s="105" t="s">
        <v>2732</v>
      </c>
      <c r="D1682" s="105">
        <v>0</v>
      </c>
      <c r="E1682" s="105">
        <v>0</v>
      </c>
      <c r="F1682" s="105">
        <v>0</v>
      </c>
    </row>
    <row r="1683" spans="1:6" x14ac:dyDescent="0.25">
      <c r="A1683" s="105" t="str">
        <f t="shared" si="26"/>
        <v/>
      </c>
      <c r="B1683" s="105" t="s">
        <v>2733</v>
      </c>
      <c r="C1683" s="105" t="s">
        <v>8</v>
      </c>
      <c r="D1683" s="105">
        <v>0</v>
      </c>
      <c r="E1683" s="105">
        <v>0</v>
      </c>
      <c r="F1683" s="105">
        <v>0</v>
      </c>
    </row>
    <row r="1684" spans="1:6" x14ac:dyDescent="0.25">
      <c r="A1684" s="105">
        <f t="shared" si="26"/>
        <v>4130128</v>
      </c>
      <c r="B1684" s="105" t="s">
        <v>2734</v>
      </c>
      <c r="C1684" s="105" t="s">
        <v>2735</v>
      </c>
      <c r="D1684" s="105">
        <v>0</v>
      </c>
      <c r="E1684" s="105">
        <v>0</v>
      </c>
      <c r="F1684" s="105">
        <v>0</v>
      </c>
    </row>
    <row r="1685" spans="1:6" x14ac:dyDescent="0.25">
      <c r="A1685" s="105">
        <f t="shared" si="26"/>
        <v>4130150</v>
      </c>
      <c r="B1685" s="105" t="s">
        <v>2736</v>
      </c>
      <c r="C1685" s="105" t="s">
        <v>2737</v>
      </c>
      <c r="D1685" s="105">
        <v>4399</v>
      </c>
      <c r="E1685" s="105">
        <v>2639.4</v>
      </c>
      <c r="F1685" s="105">
        <v>6</v>
      </c>
    </row>
    <row r="1686" spans="1:6" x14ac:dyDescent="0.25">
      <c r="A1686" s="105" t="str">
        <f t="shared" si="26"/>
        <v/>
      </c>
      <c r="B1686" s="105" t="s">
        <v>2738</v>
      </c>
      <c r="C1686" s="105" t="s">
        <v>8</v>
      </c>
      <c r="D1686" s="105">
        <v>0</v>
      </c>
      <c r="E1686" s="105">
        <v>0</v>
      </c>
      <c r="F1686" s="105">
        <v>0</v>
      </c>
    </row>
    <row r="1687" spans="1:6" x14ac:dyDescent="0.25">
      <c r="A1687" s="105">
        <f t="shared" si="26"/>
        <v>4130151</v>
      </c>
      <c r="B1687" s="105" t="s">
        <v>2739</v>
      </c>
      <c r="C1687" s="105" t="s">
        <v>2740</v>
      </c>
      <c r="D1687" s="105">
        <v>4558</v>
      </c>
      <c r="E1687" s="105">
        <v>2734.8</v>
      </c>
      <c r="F1687" s="105">
        <v>0</v>
      </c>
    </row>
    <row r="1688" spans="1:6" x14ac:dyDescent="0.25">
      <c r="A1688" s="105">
        <f t="shared" si="26"/>
        <v>4130152</v>
      </c>
      <c r="B1688" s="105" t="s">
        <v>2741</v>
      </c>
      <c r="C1688" s="105" t="s">
        <v>2742</v>
      </c>
      <c r="D1688" s="105">
        <v>4717</v>
      </c>
      <c r="E1688" s="105">
        <v>2830.2</v>
      </c>
      <c r="F1688" s="105">
        <v>1</v>
      </c>
    </row>
    <row r="1689" spans="1:6" x14ac:dyDescent="0.25">
      <c r="A1689" s="105" t="str">
        <f t="shared" si="26"/>
        <v/>
      </c>
      <c r="B1689" s="105" t="s">
        <v>2743</v>
      </c>
      <c r="C1689" s="105" t="s">
        <v>8</v>
      </c>
      <c r="D1689" s="105">
        <v>0</v>
      </c>
      <c r="E1689" s="105">
        <v>0</v>
      </c>
      <c r="F1689" s="105">
        <v>0</v>
      </c>
    </row>
    <row r="1690" spans="1:6" x14ac:dyDescent="0.25">
      <c r="A1690" s="105">
        <f t="shared" si="26"/>
        <v>4130234</v>
      </c>
      <c r="B1690" s="105" t="s">
        <v>2744</v>
      </c>
      <c r="C1690" s="105" t="s">
        <v>2745</v>
      </c>
      <c r="D1690" s="105">
        <v>0</v>
      </c>
      <c r="E1690" s="105">
        <v>0</v>
      </c>
      <c r="F1690" s="105">
        <v>0</v>
      </c>
    </row>
    <row r="1691" spans="1:6" x14ac:dyDescent="0.25">
      <c r="A1691" s="105">
        <f t="shared" si="26"/>
        <v>4130771</v>
      </c>
      <c r="B1691" s="105" t="s">
        <v>2746</v>
      </c>
      <c r="C1691" s="105" t="s">
        <v>2747</v>
      </c>
      <c r="D1691" s="105">
        <v>4558</v>
      </c>
      <c r="E1691" s="105">
        <v>2734.8</v>
      </c>
      <c r="F1691" s="105">
        <v>42</v>
      </c>
    </row>
    <row r="1692" spans="1:6" x14ac:dyDescent="0.25">
      <c r="A1692" s="105" t="str">
        <f t="shared" si="26"/>
        <v/>
      </c>
      <c r="B1692" s="105" t="s">
        <v>2748</v>
      </c>
      <c r="C1692" s="105" t="s">
        <v>8</v>
      </c>
      <c r="D1692" s="105">
        <v>0</v>
      </c>
      <c r="E1692" s="105">
        <v>0</v>
      </c>
      <c r="F1692" s="105">
        <v>0</v>
      </c>
    </row>
    <row r="1693" spans="1:6" x14ac:dyDescent="0.25">
      <c r="A1693" s="105">
        <f t="shared" si="26"/>
        <v>4130776</v>
      </c>
      <c r="B1693" s="105" t="s">
        <v>2749</v>
      </c>
      <c r="C1693" s="105" t="s">
        <v>2750</v>
      </c>
      <c r="D1693" s="105">
        <v>0</v>
      </c>
      <c r="E1693" s="105">
        <v>0</v>
      </c>
      <c r="F1693" s="105">
        <v>0</v>
      </c>
    </row>
    <row r="1694" spans="1:6" x14ac:dyDescent="0.25">
      <c r="A1694" s="105">
        <f t="shared" si="26"/>
        <v>4130777</v>
      </c>
      <c r="B1694" s="105" t="s">
        <v>2751</v>
      </c>
      <c r="C1694" s="105" t="s">
        <v>2752</v>
      </c>
      <c r="D1694" s="105">
        <v>4240</v>
      </c>
      <c r="E1694" s="105">
        <v>2544</v>
      </c>
      <c r="F1694" s="105">
        <v>49</v>
      </c>
    </row>
    <row r="1695" spans="1:6" x14ac:dyDescent="0.25">
      <c r="A1695" s="105">
        <f t="shared" si="26"/>
        <v>4130950</v>
      </c>
      <c r="B1695" s="105" t="s">
        <v>2753</v>
      </c>
      <c r="C1695" s="105" t="s">
        <v>2754</v>
      </c>
      <c r="D1695" s="105">
        <v>4717</v>
      </c>
      <c r="E1695" s="105">
        <v>2830.2</v>
      </c>
      <c r="F1695" s="105">
        <v>4</v>
      </c>
    </row>
    <row r="1696" spans="1:6" x14ac:dyDescent="0.25">
      <c r="A1696" s="105" t="str">
        <f t="shared" si="26"/>
        <v/>
      </c>
      <c r="B1696" s="105" t="s">
        <v>2755</v>
      </c>
      <c r="C1696" s="105" t="s">
        <v>8</v>
      </c>
      <c r="D1696" s="105">
        <v>0</v>
      </c>
      <c r="E1696" s="105">
        <v>0</v>
      </c>
      <c r="F1696" s="105">
        <v>0</v>
      </c>
    </row>
    <row r="1697" spans="1:6" x14ac:dyDescent="0.25">
      <c r="A1697" s="105">
        <f t="shared" si="26"/>
        <v>4307349</v>
      </c>
      <c r="B1697" s="105" t="s">
        <v>2756</v>
      </c>
      <c r="C1697" s="105" t="s">
        <v>2757</v>
      </c>
      <c r="D1697" s="105">
        <v>0</v>
      </c>
      <c r="E1697" s="105">
        <v>0</v>
      </c>
      <c r="F1697" s="105">
        <v>0</v>
      </c>
    </row>
    <row r="1698" spans="1:6" x14ac:dyDescent="0.25">
      <c r="A1698" s="105" t="str">
        <f t="shared" si="26"/>
        <v/>
      </c>
      <c r="B1698" s="105" t="s">
        <v>2758</v>
      </c>
      <c r="C1698" s="105" t="s">
        <v>8</v>
      </c>
      <c r="D1698" s="105">
        <v>0</v>
      </c>
      <c r="E1698" s="105">
        <v>0</v>
      </c>
      <c r="F1698" s="105">
        <v>0</v>
      </c>
    </row>
    <row r="1699" spans="1:6" x14ac:dyDescent="0.25">
      <c r="A1699" s="105">
        <f t="shared" si="26"/>
        <v>4829230</v>
      </c>
      <c r="B1699" s="105" t="s">
        <v>2759</v>
      </c>
      <c r="C1699" s="105" t="s">
        <v>1968</v>
      </c>
      <c r="D1699" s="105">
        <v>0</v>
      </c>
      <c r="E1699" s="105">
        <v>0</v>
      </c>
      <c r="F1699" s="105">
        <v>0</v>
      </c>
    </row>
    <row r="1700" spans="1:6" x14ac:dyDescent="0.25">
      <c r="A1700" s="105">
        <f t="shared" si="26"/>
        <v>5</v>
      </c>
      <c r="B1700" s="105" t="s">
        <v>2760</v>
      </c>
      <c r="C1700" s="105" t="s">
        <v>2761</v>
      </c>
      <c r="D1700" s="105">
        <v>2.8</v>
      </c>
      <c r="E1700" s="105">
        <v>1.68</v>
      </c>
      <c r="F1700" s="105">
        <v>0</v>
      </c>
    </row>
    <row r="1701" spans="1:6" x14ac:dyDescent="0.25">
      <c r="A1701" s="105" t="str">
        <f t="shared" si="26"/>
        <v/>
      </c>
      <c r="B1701" s="105" t="s">
        <v>2762</v>
      </c>
      <c r="C1701" s="105" t="s">
        <v>8</v>
      </c>
      <c r="D1701" s="105">
        <v>0</v>
      </c>
      <c r="E1701" s="105">
        <v>0</v>
      </c>
      <c r="F1701" s="105">
        <v>0</v>
      </c>
    </row>
    <row r="1702" spans="1:6" x14ac:dyDescent="0.25">
      <c r="A1702" s="105">
        <f t="shared" si="26"/>
        <v>5101001</v>
      </c>
      <c r="B1702" s="105" t="s">
        <v>2763</v>
      </c>
      <c r="C1702" s="105" t="s">
        <v>2764</v>
      </c>
      <c r="D1702" s="105">
        <v>10803.51</v>
      </c>
      <c r="E1702" s="105">
        <v>6482.11</v>
      </c>
      <c r="F1702" s="105">
        <v>157</v>
      </c>
    </row>
    <row r="1703" spans="1:6" x14ac:dyDescent="0.25">
      <c r="A1703" s="105">
        <f t="shared" si="26"/>
        <v>5101002</v>
      </c>
      <c r="B1703" s="105" t="s">
        <v>2765</v>
      </c>
      <c r="C1703" s="105" t="s">
        <v>2766</v>
      </c>
      <c r="D1703" s="105">
        <v>12900</v>
      </c>
      <c r="E1703" s="105">
        <v>7740</v>
      </c>
      <c r="F1703" s="105">
        <v>9</v>
      </c>
    </row>
    <row r="1704" spans="1:6" x14ac:dyDescent="0.25">
      <c r="A1704" s="105">
        <f t="shared" si="26"/>
        <v>5101003</v>
      </c>
      <c r="B1704" s="105" t="s">
        <v>2767</v>
      </c>
      <c r="C1704" s="105" t="s">
        <v>2768</v>
      </c>
      <c r="D1704" s="105">
        <v>10803.51</v>
      </c>
      <c r="E1704" s="105">
        <v>6482.11</v>
      </c>
      <c r="F1704" s="105">
        <v>11</v>
      </c>
    </row>
    <row r="1705" spans="1:6" x14ac:dyDescent="0.25">
      <c r="A1705" s="105">
        <f t="shared" si="26"/>
        <v>5101004</v>
      </c>
      <c r="B1705" s="105" t="s">
        <v>2769</v>
      </c>
      <c r="C1705" s="105" t="s">
        <v>2770</v>
      </c>
      <c r="D1705" s="105">
        <v>7652.09</v>
      </c>
      <c r="E1705" s="105">
        <v>4591.25</v>
      </c>
      <c r="F1705" s="105">
        <v>0</v>
      </c>
    </row>
    <row r="1706" spans="1:6" x14ac:dyDescent="0.25">
      <c r="A1706" s="105">
        <f t="shared" si="26"/>
        <v>5101005</v>
      </c>
      <c r="B1706" s="105" t="s">
        <v>2771</v>
      </c>
      <c r="C1706" s="105" t="s">
        <v>2772</v>
      </c>
      <c r="D1706" s="105">
        <v>4781.8500000000004</v>
      </c>
      <c r="E1706" s="105">
        <v>2869.11</v>
      </c>
      <c r="F1706" s="105">
        <v>7</v>
      </c>
    </row>
    <row r="1707" spans="1:6" x14ac:dyDescent="0.25">
      <c r="A1707" s="105">
        <f t="shared" si="26"/>
        <v>5101006</v>
      </c>
      <c r="B1707" s="105" t="s">
        <v>2773</v>
      </c>
      <c r="C1707" s="105" t="s">
        <v>2774</v>
      </c>
      <c r="D1707" s="105">
        <v>12900</v>
      </c>
      <c r="E1707" s="105">
        <v>7740</v>
      </c>
      <c r="F1707" s="105">
        <v>0</v>
      </c>
    </row>
    <row r="1708" spans="1:6" x14ac:dyDescent="0.25">
      <c r="A1708" s="105" t="str">
        <f t="shared" si="26"/>
        <v/>
      </c>
      <c r="B1708" s="105" t="s">
        <v>2775</v>
      </c>
      <c r="C1708" s="105" t="s">
        <v>8</v>
      </c>
      <c r="D1708" s="105">
        <v>0</v>
      </c>
      <c r="E1708" s="105">
        <v>0</v>
      </c>
      <c r="F1708" s="105">
        <v>0</v>
      </c>
    </row>
    <row r="1709" spans="1:6" x14ac:dyDescent="0.25">
      <c r="A1709" s="105">
        <f t="shared" si="26"/>
        <v>5101007</v>
      </c>
      <c r="B1709" s="105" t="s">
        <v>2776</v>
      </c>
      <c r="C1709" s="105" t="s">
        <v>2777</v>
      </c>
      <c r="D1709" s="105">
        <v>0</v>
      </c>
      <c r="E1709" s="105">
        <v>0</v>
      </c>
      <c r="F1709" s="105">
        <v>0</v>
      </c>
    </row>
    <row r="1710" spans="1:6" x14ac:dyDescent="0.25">
      <c r="A1710" s="105">
        <f t="shared" si="26"/>
        <v>5101008</v>
      </c>
      <c r="B1710" s="105" t="s">
        <v>9295</v>
      </c>
      <c r="C1710" s="105" t="s">
        <v>9296</v>
      </c>
      <c r="D1710" s="105">
        <v>0</v>
      </c>
      <c r="E1710" s="105">
        <v>0</v>
      </c>
      <c r="F1710" s="105">
        <v>0</v>
      </c>
    </row>
    <row r="1711" spans="1:6" x14ac:dyDescent="0.25">
      <c r="A1711" s="105">
        <f t="shared" si="26"/>
        <v>5101009</v>
      </c>
      <c r="B1711" s="105" t="s">
        <v>2778</v>
      </c>
      <c r="C1711" s="105" t="s">
        <v>2779</v>
      </c>
      <c r="D1711" s="105">
        <v>8500</v>
      </c>
      <c r="E1711" s="105">
        <v>5100</v>
      </c>
      <c r="F1711" s="105">
        <v>67</v>
      </c>
    </row>
    <row r="1712" spans="1:6" x14ac:dyDescent="0.25">
      <c r="A1712" s="105">
        <f t="shared" si="26"/>
        <v>5101010</v>
      </c>
      <c r="B1712" s="105" t="s">
        <v>2780</v>
      </c>
      <c r="C1712" s="105" t="s">
        <v>2781</v>
      </c>
      <c r="D1712" s="105">
        <v>978.35</v>
      </c>
      <c r="E1712" s="105">
        <v>587.01</v>
      </c>
      <c r="F1712" s="105">
        <v>0</v>
      </c>
    </row>
    <row r="1713" spans="1:6" x14ac:dyDescent="0.25">
      <c r="A1713" s="105">
        <f t="shared" si="26"/>
        <v>5101011</v>
      </c>
      <c r="B1713" s="105" t="s">
        <v>2782</v>
      </c>
      <c r="C1713" s="105" t="s">
        <v>2783</v>
      </c>
      <c r="D1713" s="105">
        <v>8500</v>
      </c>
      <c r="E1713" s="105">
        <v>5100</v>
      </c>
      <c r="F1713" s="105">
        <v>138</v>
      </c>
    </row>
    <row r="1714" spans="1:6" x14ac:dyDescent="0.25">
      <c r="A1714" s="105">
        <f t="shared" si="26"/>
        <v>5101013</v>
      </c>
      <c r="B1714" s="105" t="s">
        <v>2784</v>
      </c>
      <c r="C1714" s="105" t="s">
        <v>2785</v>
      </c>
      <c r="D1714" s="105">
        <v>2125.1999999999998</v>
      </c>
      <c r="E1714" s="105">
        <v>1275.1199999999999</v>
      </c>
      <c r="F1714" s="105">
        <v>1</v>
      </c>
    </row>
    <row r="1715" spans="1:6" x14ac:dyDescent="0.25">
      <c r="A1715" s="105">
        <f t="shared" si="26"/>
        <v>5101014</v>
      </c>
      <c r="B1715" s="105" t="s">
        <v>2786</v>
      </c>
      <c r="C1715" s="105" t="s">
        <v>2787</v>
      </c>
      <c r="D1715" s="105">
        <v>0</v>
      </c>
      <c r="E1715" s="105">
        <v>0</v>
      </c>
      <c r="F1715" s="105">
        <v>19</v>
      </c>
    </row>
    <row r="1716" spans="1:6" x14ac:dyDescent="0.25">
      <c r="A1716" s="105" t="str">
        <f t="shared" si="26"/>
        <v/>
      </c>
      <c r="B1716" s="105" t="s">
        <v>2788</v>
      </c>
      <c r="C1716" s="105" t="s">
        <v>8</v>
      </c>
      <c r="D1716" s="105">
        <v>0</v>
      </c>
      <c r="E1716" s="105">
        <v>0</v>
      </c>
      <c r="F1716" s="105">
        <v>0</v>
      </c>
    </row>
    <row r="1717" spans="1:6" x14ac:dyDescent="0.25">
      <c r="A1717" s="105">
        <f t="shared" si="26"/>
        <v>5101015</v>
      </c>
      <c r="B1717" s="105" t="s">
        <v>2789</v>
      </c>
      <c r="C1717" s="105" t="s">
        <v>2790</v>
      </c>
      <c r="D1717" s="105">
        <v>0</v>
      </c>
      <c r="E1717" s="105">
        <v>0</v>
      </c>
      <c r="F1717" s="105">
        <v>0</v>
      </c>
    </row>
    <row r="1718" spans="1:6" x14ac:dyDescent="0.25">
      <c r="A1718" s="105">
        <f t="shared" si="26"/>
        <v>5101016</v>
      </c>
      <c r="B1718" s="105" t="s">
        <v>2791</v>
      </c>
      <c r="C1718" s="105" t="s">
        <v>2792</v>
      </c>
      <c r="D1718" s="105">
        <v>0</v>
      </c>
      <c r="E1718" s="105">
        <v>0</v>
      </c>
      <c r="F1718" s="105">
        <v>-19</v>
      </c>
    </row>
    <row r="1719" spans="1:6" x14ac:dyDescent="0.25">
      <c r="A1719" s="105" t="str">
        <f t="shared" si="26"/>
        <v/>
      </c>
      <c r="B1719" s="105" t="s">
        <v>2793</v>
      </c>
      <c r="C1719" s="105" t="s">
        <v>8</v>
      </c>
      <c r="D1719" s="105">
        <v>0</v>
      </c>
      <c r="E1719" s="105">
        <v>0</v>
      </c>
      <c r="F1719" s="105">
        <v>0</v>
      </c>
    </row>
    <row r="1720" spans="1:6" x14ac:dyDescent="0.25">
      <c r="A1720" s="105">
        <f t="shared" si="26"/>
        <v>5101017</v>
      </c>
      <c r="B1720" s="105" t="s">
        <v>2794</v>
      </c>
      <c r="C1720" s="105" t="s">
        <v>2795</v>
      </c>
      <c r="D1720" s="105">
        <v>0</v>
      </c>
      <c r="E1720" s="105">
        <v>0</v>
      </c>
      <c r="F1720" s="105">
        <v>0</v>
      </c>
    </row>
    <row r="1721" spans="1:6" x14ac:dyDescent="0.25">
      <c r="A1721" s="105" t="str">
        <f t="shared" si="26"/>
        <v/>
      </c>
      <c r="B1721" s="105" t="s">
        <v>2796</v>
      </c>
      <c r="C1721" s="105" t="s">
        <v>8</v>
      </c>
      <c r="D1721" s="105">
        <v>0</v>
      </c>
      <c r="E1721" s="105">
        <v>0</v>
      </c>
      <c r="F1721" s="105">
        <v>0</v>
      </c>
    </row>
    <row r="1722" spans="1:6" x14ac:dyDescent="0.25">
      <c r="A1722" s="105">
        <f t="shared" si="26"/>
        <v>5101018</v>
      </c>
      <c r="B1722" s="105" t="s">
        <v>2797</v>
      </c>
      <c r="C1722" s="105" t="s">
        <v>2798</v>
      </c>
      <c r="D1722" s="105">
        <v>0</v>
      </c>
      <c r="E1722" s="105">
        <v>0</v>
      </c>
      <c r="F1722" s="105">
        <v>0</v>
      </c>
    </row>
    <row r="1723" spans="1:6" x14ac:dyDescent="0.25">
      <c r="A1723" s="105">
        <f t="shared" si="26"/>
        <v>5101022</v>
      </c>
      <c r="B1723" s="105" t="s">
        <v>2799</v>
      </c>
      <c r="C1723" s="105" t="s">
        <v>2800</v>
      </c>
      <c r="D1723" s="105">
        <v>4781.8500000000004</v>
      </c>
      <c r="E1723" s="105">
        <v>2869.11</v>
      </c>
      <c r="F1723" s="105">
        <v>8</v>
      </c>
    </row>
    <row r="1724" spans="1:6" x14ac:dyDescent="0.25">
      <c r="A1724" s="105">
        <f t="shared" si="26"/>
        <v>5101026</v>
      </c>
      <c r="B1724" s="105" t="s">
        <v>2801</v>
      </c>
      <c r="C1724" s="105" t="s">
        <v>2802</v>
      </c>
      <c r="D1724" s="105">
        <v>12900</v>
      </c>
      <c r="E1724" s="105">
        <v>7740</v>
      </c>
      <c r="F1724" s="105">
        <v>4</v>
      </c>
    </row>
    <row r="1725" spans="1:6" x14ac:dyDescent="0.25">
      <c r="A1725" s="105" t="str">
        <f t="shared" si="26"/>
        <v/>
      </c>
      <c r="B1725" s="105" t="s">
        <v>2803</v>
      </c>
      <c r="C1725" s="105" t="s">
        <v>8</v>
      </c>
      <c r="D1725" s="105">
        <v>0</v>
      </c>
      <c r="E1725" s="105">
        <v>0</v>
      </c>
      <c r="F1725" s="105">
        <v>0</v>
      </c>
    </row>
    <row r="1726" spans="1:6" x14ac:dyDescent="0.25">
      <c r="A1726" s="105">
        <f t="shared" si="26"/>
        <v>5101027</v>
      </c>
      <c r="B1726" s="105" t="s">
        <v>2804</v>
      </c>
      <c r="C1726" s="105" t="s">
        <v>2805</v>
      </c>
      <c r="D1726" s="105">
        <v>13400</v>
      </c>
      <c r="E1726" s="105">
        <v>8040</v>
      </c>
      <c r="F1726" s="105">
        <v>0</v>
      </c>
    </row>
    <row r="1727" spans="1:6" x14ac:dyDescent="0.25">
      <c r="A1727" s="105">
        <f t="shared" si="26"/>
        <v>5101028</v>
      </c>
      <c r="B1727" s="105" t="s">
        <v>2806</v>
      </c>
      <c r="C1727" s="105" t="s">
        <v>2807</v>
      </c>
      <c r="D1727" s="105">
        <v>13400</v>
      </c>
      <c r="E1727" s="105">
        <v>8040</v>
      </c>
      <c r="F1727" s="105">
        <v>10</v>
      </c>
    </row>
    <row r="1728" spans="1:6" x14ac:dyDescent="0.25">
      <c r="A1728" s="105">
        <f t="shared" si="26"/>
        <v>5101029</v>
      </c>
      <c r="B1728" s="105" t="s">
        <v>2808</v>
      </c>
      <c r="C1728" s="105" t="s">
        <v>2809</v>
      </c>
      <c r="D1728" s="105">
        <v>12900</v>
      </c>
      <c r="E1728" s="105">
        <v>7740</v>
      </c>
      <c r="F1728" s="105">
        <v>14</v>
      </c>
    </row>
    <row r="1729" spans="1:6" x14ac:dyDescent="0.25">
      <c r="A1729" s="105">
        <f t="shared" si="26"/>
        <v>5101030</v>
      </c>
      <c r="B1729" s="105" t="s">
        <v>2810</v>
      </c>
      <c r="C1729" s="105" t="s">
        <v>2811</v>
      </c>
      <c r="D1729" s="105">
        <v>0</v>
      </c>
      <c r="E1729" s="105">
        <v>0</v>
      </c>
      <c r="F1729" s="105">
        <v>0</v>
      </c>
    </row>
    <row r="1730" spans="1:6" x14ac:dyDescent="0.25">
      <c r="A1730" s="105">
        <f t="shared" si="26"/>
        <v>5101031</v>
      </c>
      <c r="B1730" s="105" t="s">
        <v>2812</v>
      </c>
      <c r="C1730" s="105" t="s">
        <v>2813</v>
      </c>
      <c r="D1730" s="105">
        <v>0</v>
      </c>
      <c r="E1730" s="105">
        <v>0</v>
      </c>
      <c r="F1730" s="105">
        <v>1</v>
      </c>
    </row>
    <row r="1731" spans="1:6" x14ac:dyDescent="0.25">
      <c r="A1731" s="105" t="str">
        <f t="shared" ref="A1731:A1794" si="27">IF(B1731&lt;&gt;"",IFERROR(B1731*1,""),"")</f>
        <v/>
      </c>
      <c r="B1731" s="105" t="s">
        <v>2814</v>
      </c>
      <c r="C1731" s="105" t="s">
        <v>8</v>
      </c>
      <c r="D1731" s="105">
        <v>0</v>
      </c>
      <c r="E1731" s="105">
        <v>0</v>
      </c>
      <c r="F1731" s="105">
        <v>0</v>
      </c>
    </row>
    <row r="1732" spans="1:6" x14ac:dyDescent="0.25">
      <c r="A1732" s="105">
        <f t="shared" si="27"/>
        <v>5101032</v>
      </c>
      <c r="B1732" s="105" t="s">
        <v>2815</v>
      </c>
      <c r="C1732" s="105" t="s">
        <v>2816</v>
      </c>
      <c r="D1732" s="105">
        <v>0</v>
      </c>
      <c r="E1732" s="105">
        <v>0</v>
      </c>
      <c r="F1732" s="105">
        <v>0</v>
      </c>
    </row>
    <row r="1733" spans="1:6" x14ac:dyDescent="0.25">
      <c r="A1733" s="105">
        <f t="shared" si="27"/>
        <v>5101033</v>
      </c>
      <c r="B1733" s="105" t="s">
        <v>2817</v>
      </c>
      <c r="C1733" s="105" t="s">
        <v>2818</v>
      </c>
      <c r="D1733" s="105">
        <v>13500</v>
      </c>
      <c r="E1733" s="105">
        <v>8100</v>
      </c>
      <c r="F1733" s="105">
        <v>38</v>
      </c>
    </row>
    <row r="1734" spans="1:6" x14ac:dyDescent="0.25">
      <c r="A1734" s="105">
        <f t="shared" si="27"/>
        <v>51010331</v>
      </c>
      <c r="B1734" s="105" t="s">
        <v>2819</v>
      </c>
      <c r="C1734" s="105" t="s">
        <v>814</v>
      </c>
      <c r="D1734" s="105">
        <v>0</v>
      </c>
      <c r="E1734" s="105">
        <v>0</v>
      </c>
      <c r="F1734" s="105">
        <v>0</v>
      </c>
    </row>
    <row r="1735" spans="1:6" x14ac:dyDescent="0.25">
      <c r="A1735" s="105">
        <f t="shared" si="27"/>
        <v>51010332</v>
      </c>
      <c r="B1735" s="105" t="s">
        <v>2820</v>
      </c>
      <c r="C1735" s="105" t="s">
        <v>814</v>
      </c>
      <c r="D1735" s="105">
        <v>0</v>
      </c>
      <c r="E1735" s="105">
        <v>0</v>
      </c>
      <c r="F1735" s="105">
        <v>0</v>
      </c>
    </row>
    <row r="1736" spans="1:6" x14ac:dyDescent="0.25">
      <c r="A1736" s="105">
        <f t="shared" si="27"/>
        <v>5101034</v>
      </c>
      <c r="B1736" s="105" t="s">
        <v>2821</v>
      </c>
      <c r="C1736" s="105" t="s">
        <v>2822</v>
      </c>
      <c r="D1736" s="105">
        <v>14500</v>
      </c>
      <c r="E1736" s="105">
        <v>8700</v>
      </c>
      <c r="F1736" s="105">
        <v>1</v>
      </c>
    </row>
    <row r="1737" spans="1:6" x14ac:dyDescent="0.25">
      <c r="A1737" s="105">
        <f t="shared" si="27"/>
        <v>51010347</v>
      </c>
      <c r="B1737" s="105" t="s">
        <v>2823</v>
      </c>
      <c r="C1737" s="105" t="s">
        <v>2824</v>
      </c>
      <c r="D1737" s="105">
        <v>0</v>
      </c>
      <c r="E1737" s="105">
        <v>0</v>
      </c>
      <c r="F1737" s="105">
        <v>0</v>
      </c>
    </row>
    <row r="1738" spans="1:6" x14ac:dyDescent="0.25">
      <c r="A1738" s="105" t="str">
        <f t="shared" si="27"/>
        <v/>
      </c>
      <c r="B1738" s="105" t="s">
        <v>2825</v>
      </c>
      <c r="C1738" s="105" t="s">
        <v>8</v>
      </c>
      <c r="D1738" s="105">
        <v>0</v>
      </c>
      <c r="E1738" s="105">
        <v>0</v>
      </c>
      <c r="F1738" s="105">
        <v>0</v>
      </c>
    </row>
    <row r="1739" spans="1:6" x14ac:dyDescent="0.25">
      <c r="A1739" s="105">
        <f t="shared" si="27"/>
        <v>5101035</v>
      </c>
      <c r="B1739" s="105" t="s">
        <v>2826</v>
      </c>
      <c r="C1739" s="105" t="s">
        <v>2827</v>
      </c>
      <c r="D1739" s="105">
        <v>0</v>
      </c>
      <c r="E1739" s="105">
        <v>0</v>
      </c>
      <c r="F1739" s="105">
        <v>0</v>
      </c>
    </row>
    <row r="1740" spans="1:6" x14ac:dyDescent="0.25">
      <c r="A1740" s="105" t="str">
        <f t="shared" si="27"/>
        <v/>
      </c>
      <c r="B1740" s="105" t="s">
        <v>2828</v>
      </c>
      <c r="C1740" s="105" t="s">
        <v>8</v>
      </c>
      <c r="D1740" s="105">
        <v>0</v>
      </c>
      <c r="E1740" s="105">
        <v>0</v>
      </c>
      <c r="F1740" s="105">
        <v>0</v>
      </c>
    </row>
    <row r="1741" spans="1:6" x14ac:dyDescent="0.25">
      <c r="A1741" s="105">
        <f t="shared" si="27"/>
        <v>5101036</v>
      </c>
      <c r="B1741" s="105" t="s">
        <v>2829</v>
      </c>
      <c r="C1741" s="105" t="s">
        <v>2830</v>
      </c>
      <c r="D1741" s="105">
        <v>0</v>
      </c>
      <c r="E1741" s="105">
        <v>0</v>
      </c>
      <c r="F1741" s="105">
        <v>0</v>
      </c>
    </row>
    <row r="1742" spans="1:6" x14ac:dyDescent="0.25">
      <c r="A1742" s="105" t="str">
        <f t="shared" si="27"/>
        <v/>
      </c>
      <c r="B1742" s="105" t="s">
        <v>2831</v>
      </c>
      <c r="C1742" s="105" t="s">
        <v>8</v>
      </c>
      <c r="D1742" s="105">
        <v>0</v>
      </c>
      <c r="E1742" s="105">
        <v>0</v>
      </c>
      <c r="F1742" s="105">
        <v>0</v>
      </c>
    </row>
    <row r="1743" spans="1:6" x14ac:dyDescent="0.25">
      <c r="A1743" s="105">
        <f t="shared" si="27"/>
        <v>5101037</v>
      </c>
      <c r="B1743" s="105" t="s">
        <v>2832</v>
      </c>
      <c r="C1743" s="105" t="s">
        <v>2833</v>
      </c>
      <c r="D1743" s="105">
        <v>0</v>
      </c>
      <c r="E1743" s="105">
        <v>0</v>
      </c>
      <c r="F1743" s="105">
        <v>0</v>
      </c>
    </row>
    <row r="1744" spans="1:6" x14ac:dyDescent="0.25">
      <c r="A1744" s="105" t="str">
        <f t="shared" si="27"/>
        <v/>
      </c>
      <c r="B1744" s="105" t="s">
        <v>2834</v>
      </c>
      <c r="C1744" s="105" t="s">
        <v>8</v>
      </c>
      <c r="D1744" s="105">
        <v>0</v>
      </c>
      <c r="E1744" s="105">
        <v>0</v>
      </c>
      <c r="F1744" s="105">
        <v>0</v>
      </c>
    </row>
    <row r="1745" spans="1:6" x14ac:dyDescent="0.25">
      <c r="A1745" s="105">
        <f t="shared" si="27"/>
        <v>5101038</v>
      </c>
      <c r="B1745" s="105" t="s">
        <v>2835</v>
      </c>
      <c r="C1745" s="105" t="s">
        <v>2836</v>
      </c>
      <c r="D1745" s="105">
        <v>0</v>
      </c>
      <c r="E1745" s="105">
        <v>0</v>
      </c>
      <c r="F1745" s="105">
        <v>0</v>
      </c>
    </row>
    <row r="1746" spans="1:6" x14ac:dyDescent="0.25">
      <c r="A1746" s="105" t="str">
        <f t="shared" si="27"/>
        <v/>
      </c>
      <c r="B1746" s="105" t="s">
        <v>2837</v>
      </c>
      <c r="C1746" s="105" t="s">
        <v>8</v>
      </c>
      <c r="D1746" s="105">
        <v>0</v>
      </c>
      <c r="E1746" s="105">
        <v>0</v>
      </c>
      <c r="F1746" s="105">
        <v>0</v>
      </c>
    </row>
    <row r="1747" spans="1:6" x14ac:dyDescent="0.25">
      <c r="A1747" s="105">
        <f t="shared" si="27"/>
        <v>5101040</v>
      </c>
      <c r="B1747" s="105" t="s">
        <v>2838</v>
      </c>
      <c r="C1747" s="105" t="s">
        <v>2839</v>
      </c>
      <c r="D1747" s="105">
        <v>0</v>
      </c>
      <c r="E1747" s="105">
        <v>0</v>
      </c>
      <c r="F1747" s="105">
        <v>0</v>
      </c>
    </row>
    <row r="1748" spans="1:6" x14ac:dyDescent="0.25">
      <c r="A1748" s="105" t="str">
        <f t="shared" si="27"/>
        <v/>
      </c>
      <c r="B1748" s="105" t="s">
        <v>2840</v>
      </c>
      <c r="C1748" s="105" t="s">
        <v>8</v>
      </c>
      <c r="D1748" s="105">
        <v>0</v>
      </c>
      <c r="E1748" s="105">
        <v>0</v>
      </c>
      <c r="F1748" s="105">
        <v>0</v>
      </c>
    </row>
    <row r="1749" spans="1:6" x14ac:dyDescent="0.25">
      <c r="A1749" s="105">
        <f t="shared" si="27"/>
        <v>5101041</v>
      </c>
      <c r="B1749" s="105" t="s">
        <v>2841</v>
      </c>
      <c r="C1749" s="105" t="s">
        <v>2842</v>
      </c>
      <c r="D1749" s="105">
        <v>0</v>
      </c>
      <c r="E1749" s="105">
        <v>0</v>
      </c>
      <c r="F1749" s="105">
        <v>0</v>
      </c>
    </row>
    <row r="1750" spans="1:6" x14ac:dyDescent="0.25">
      <c r="A1750" s="105" t="str">
        <f t="shared" si="27"/>
        <v/>
      </c>
      <c r="B1750" s="105" t="s">
        <v>2843</v>
      </c>
      <c r="C1750" s="105" t="s">
        <v>8</v>
      </c>
      <c r="D1750" s="105">
        <v>0</v>
      </c>
      <c r="E1750" s="105">
        <v>0</v>
      </c>
      <c r="F1750" s="105">
        <v>0</v>
      </c>
    </row>
    <row r="1751" spans="1:6" x14ac:dyDescent="0.25">
      <c r="A1751" s="105">
        <f t="shared" si="27"/>
        <v>5101042</v>
      </c>
      <c r="B1751" s="105" t="s">
        <v>2844</v>
      </c>
      <c r="C1751" s="105" t="s">
        <v>2845</v>
      </c>
      <c r="D1751" s="105">
        <v>0</v>
      </c>
      <c r="E1751" s="105">
        <v>0</v>
      </c>
      <c r="F1751" s="105">
        <v>0</v>
      </c>
    </row>
    <row r="1752" spans="1:6" x14ac:dyDescent="0.25">
      <c r="A1752" s="105">
        <f t="shared" si="27"/>
        <v>5101043</v>
      </c>
      <c r="B1752" s="105" t="s">
        <v>2846</v>
      </c>
      <c r="C1752" s="105" t="s">
        <v>2847</v>
      </c>
      <c r="D1752" s="105">
        <v>2937.06</v>
      </c>
      <c r="E1752" s="105">
        <v>1762.24</v>
      </c>
      <c r="F1752" s="105">
        <v>0</v>
      </c>
    </row>
    <row r="1753" spans="1:6" x14ac:dyDescent="0.25">
      <c r="A1753" s="105">
        <f t="shared" si="27"/>
        <v>5101044</v>
      </c>
      <c r="B1753" s="105" t="s">
        <v>2848</v>
      </c>
      <c r="C1753" s="105" t="s">
        <v>2849</v>
      </c>
      <c r="D1753" s="105">
        <v>3050.46</v>
      </c>
      <c r="E1753" s="105">
        <v>1830.28</v>
      </c>
      <c r="F1753" s="105">
        <v>0</v>
      </c>
    </row>
    <row r="1754" spans="1:6" x14ac:dyDescent="0.25">
      <c r="A1754" s="105">
        <f t="shared" si="27"/>
        <v>5101046</v>
      </c>
      <c r="B1754" s="105" t="s">
        <v>2850</v>
      </c>
      <c r="C1754" s="105" t="s">
        <v>2851</v>
      </c>
      <c r="D1754" s="105">
        <v>8200</v>
      </c>
      <c r="E1754" s="105">
        <v>4920</v>
      </c>
      <c r="F1754" s="105">
        <v>16</v>
      </c>
    </row>
    <row r="1755" spans="1:6" x14ac:dyDescent="0.25">
      <c r="A1755" s="105">
        <f t="shared" si="27"/>
        <v>5101047</v>
      </c>
      <c r="B1755" s="105" t="s">
        <v>2852</v>
      </c>
      <c r="C1755" s="105" t="s">
        <v>2853</v>
      </c>
      <c r="D1755" s="105">
        <v>8700</v>
      </c>
      <c r="E1755" s="105">
        <v>5220</v>
      </c>
      <c r="F1755" s="105">
        <v>4</v>
      </c>
    </row>
    <row r="1756" spans="1:6" x14ac:dyDescent="0.25">
      <c r="A1756" s="105">
        <f t="shared" si="27"/>
        <v>5101048</v>
      </c>
      <c r="B1756" s="105" t="s">
        <v>2854</v>
      </c>
      <c r="C1756" s="105" t="s">
        <v>2855</v>
      </c>
      <c r="D1756" s="105">
        <v>8200</v>
      </c>
      <c r="E1756" s="105">
        <v>4920</v>
      </c>
      <c r="F1756" s="105">
        <v>57</v>
      </c>
    </row>
    <row r="1757" spans="1:6" x14ac:dyDescent="0.25">
      <c r="A1757" s="105">
        <f t="shared" si="27"/>
        <v>5101049</v>
      </c>
      <c r="B1757" s="105" t="s">
        <v>2856</v>
      </c>
      <c r="C1757" s="105" t="s">
        <v>2857</v>
      </c>
      <c r="D1757" s="105">
        <v>8700</v>
      </c>
      <c r="E1757" s="105">
        <v>5220</v>
      </c>
      <c r="F1757" s="105">
        <v>16</v>
      </c>
    </row>
    <row r="1758" spans="1:6" x14ac:dyDescent="0.25">
      <c r="A1758" s="105">
        <f t="shared" si="27"/>
        <v>5101050</v>
      </c>
      <c r="B1758" s="105" t="s">
        <v>2858</v>
      </c>
      <c r="C1758" s="105" t="s">
        <v>2859</v>
      </c>
      <c r="D1758" s="105">
        <v>0</v>
      </c>
      <c r="E1758" s="105">
        <v>0</v>
      </c>
      <c r="F1758" s="105">
        <v>0</v>
      </c>
    </row>
    <row r="1759" spans="1:6" x14ac:dyDescent="0.25">
      <c r="A1759" s="105" t="str">
        <f t="shared" si="27"/>
        <v/>
      </c>
      <c r="B1759" s="105" t="s">
        <v>2860</v>
      </c>
      <c r="C1759" s="105" t="s">
        <v>8</v>
      </c>
      <c r="D1759" s="105">
        <v>0</v>
      </c>
      <c r="E1759" s="105">
        <v>0</v>
      </c>
      <c r="F1759" s="105">
        <v>0</v>
      </c>
    </row>
    <row r="1760" spans="1:6" x14ac:dyDescent="0.25">
      <c r="A1760" s="105">
        <f t="shared" si="27"/>
        <v>5101051</v>
      </c>
      <c r="B1760" s="105" t="s">
        <v>2861</v>
      </c>
      <c r="C1760" s="105" t="s">
        <v>2862</v>
      </c>
      <c r="D1760" s="105">
        <v>0</v>
      </c>
      <c r="E1760" s="105">
        <v>0</v>
      </c>
      <c r="F1760" s="105">
        <v>0</v>
      </c>
    </row>
    <row r="1761" spans="1:6" x14ac:dyDescent="0.25">
      <c r="A1761" s="105">
        <f t="shared" si="27"/>
        <v>5101052</v>
      </c>
      <c r="B1761" s="105" t="s">
        <v>2863</v>
      </c>
      <c r="C1761" s="105" t="s">
        <v>2864</v>
      </c>
      <c r="D1761" s="105">
        <v>8200</v>
      </c>
      <c r="E1761" s="105">
        <v>4920</v>
      </c>
      <c r="F1761" s="105">
        <v>17</v>
      </c>
    </row>
    <row r="1762" spans="1:6" x14ac:dyDescent="0.25">
      <c r="A1762" s="105">
        <f t="shared" si="27"/>
        <v>5101053</v>
      </c>
      <c r="B1762" s="105" t="s">
        <v>2865</v>
      </c>
      <c r="C1762" s="105" t="s">
        <v>9297</v>
      </c>
      <c r="D1762" s="105">
        <v>8700</v>
      </c>
      <c r="E1762" s="105">
        <v>5220</v>
      </c>
      <c r="F1762" s="105">
        <v>8</v>
      </c>
    </row>
    <row r="1763" spans="1:6" x14ac:dyDescent="0.25">
      <c r="A1763" s="105">
        <f t="shared" si="27"/>
        <v>5101083</v>
      </c>
      <c r="B1763" s="105" t="s">
        <v>2866</v>
      </c>
      <c r="C1763" s="105" t="s">
        <v>2867</v>
      </c>
      <c r="D1763" s="105">
        <v>5617.99</v>
      </c>
      <c r="E1763" s="105">
        <v>3370.79</v>
      </c>
      <c r="F1763" s="105">
        <v>0</v>
      </c>
    </row>
    <row r="1764" spans="1:6" x14ac:dyDescent="0.25">
      <c r="A1764" s="105">
        <f t="shared" si="27"/>
        <v>510108305</v>
      </c>
      <c r="B1764" s="105" t="s">
        <v>2868</v>
      </c>
      <c r="C1764" s="105" t="s">
        <v>2869</v>
      </c>
      <c r="D1764" s="105">
        <v>1799</v>
      </c>
      <c r="E1764" s="105">
        <v>1079.4000000000001</v>
      </c>
      <c r="F1764" s="105">
        <v>0</v>
      </c>
    </row>
    <row r="1765" spans="1:6" x14ac:dyDescent="0.25">
      <c r="A1765" s="105">
        <f t="shared" si="27"/>
        <v>5101087</v>
      </c>
      <c r="B1765" s="105" t="s">
        <v>2870</v>
      </c>
      <c r="C1765" s="105" t="s">
        <v>2871</v>
      </c>
      <c r="D1765" s="105">
        <v>7652.09</v>
      </c>
      <c r="E1765" s="105">
        <v>4591.25</v>
      </c>
      <c r="F1765" s="105">
        <v>1</v>
      </c>
    </row>
    <row r="1766" spans="1:6" x14ac:dyDescent="0.25">
      <c r="A1766" s="105">
        <f t="shared" si="27"/>
        <v>5101088</v>
      </c>
      <c r="B1766" s="105" t="s">
        <v>2872</v>
      </c>
      <c r="C1766" s="105" t="s">
        <v>2873</v>
      </c>
      <c r="D1766" s="105">
        <v>0</v>
      </c>
      <c r="E1766" s="105">
        <v>0</v>
      </c>
      <c r="F1766" s="105">
        <v>2</v>
      </c>
    </row>
    <row r="1767" spans="1:6" x14ac:dyDescent="0.25">
      <c r="A1767" s="105">
        <f t="shared" si="27"/>
        <v>5101090</v>
      </c>
      <c r="B1767" s="105" t="s">
        <v>2874</v>
      </c>
      <c r="C1767" s="105" t="s">
        <v>2875</v>
      </c>
      <c r="D1767" s="105">
        <v>19900</v>
      </c>
      <c r="E1767" s="105">
        <v>11940</v>
      </c>
      <c r="F1767" s="105">
        <v>201</v>
      </c>
    </row>
    <row r="1768" spans="1:6" x14ac:dyDescent="0.25">
      <c r="A1768" s="105">
        <f t="shared" si="27"/>
        <v>5101091</v>
      </c>
      <c r="B1768" s="105" t="s">
        <v>2876</v>
      </c>
      <c r="C1768" s="105" t="s">
        <v>2877</v>
      </c>
      <c r="D1768" s="105">
        <v>21900</v>
      </c>
      <c r="E1768" s="105">
        <v>13140</v>
      </c>
      <c r="F1768" s="105">
        <v>19</v>
      </c>
    </row>
    <row r="1769" spans="1:6" x14ac:dyDescent="0.25">
      <c r="A1769" s="105">
        <f t="shared" si="27"/>
        <v>5101093</v>
      </c>
      <c r="B1769" s="105" t="s">
        <v>2878</v>
      </c>
      <c r="C1769" s="105" t="s">
        <v>2879</v>
      </c>
      <c r="D1769" s="105">
        <v>19900</v>
      </c>
      <c r="E1769" s="105">
        <v>11940</v>
      </c>
      <c r="F1769" s="105">
        <v>125</v>
      </c>
    </row>
    <row r="1770" spans="1:6" x14ac:dyDescent="0.25">
      <c r="A1770" s="105" t="str">
        <f t="shared" si="27"/>
        <v/>
      </c>
      <c r="B1770" s="105" t="s">
        <v>2880</v>
      </c>
      <c r="C1770" s="105" t="s">
        <v>8</v>
      </c>
      <c r="D1770" s="105">
        <v>0</v>
      </c>
      <c r="E1770" s="105">
        <v>0</v>
      </c>
      <c r="F1770" s="105">
        <v>0</v>
      </c>
    </row>
    <row r="1771" spans="1:6" x14ac:dyDescent="0.25">
      <c r="A1771" s="105">
        <f t="shared" si="27"/>
        <v>5101094</v>
      </c>
      <c r="B1771" s="105" t="s">
        <v>2881</v>
      </c>
      <c r="C1771" s="105" t="s">
        <v>2882</v>
      </c>
      <c r="D1771" s="105">
        <v>20900</v>
      </c>
      <c r="E1771" s="105">
        <v>12540</v>
      </c>
      <c r="F1771" s="105">
        <v>0</v>
      </c>
    </row>
    <row r="1772" spans="1:6" x14ac:dyDescent="0.25">
      <c r="A1772" s="105" t="str">
        <f t="shared" si="27"/>
        <v/>
      </c>
      <c r="B1772" s="105" t="s">
        <v>2883</v>
      </c>
      <c r="C1772" s="105" t="s">
        <v>8</v>
      </c>
      <c r="D1772" s="105">
        <v>0</v>
      </c>
      <c r="E1772" s="105">
        <v>0</v>
      </c>
      <c r="F1772" s="105">
        <v>0</v>
      </c>
    </row>
    <row r="1773" spans="1:6" x14ac:dyDescent="0.25">
      <c r="A1773" s="105">
        <f t="shared" si="27"/>
        <v>5101100</v>
      </c>
      <c r="B1773" s="105" t="s">
        <v>2884</v>
      </c>
      <c r="C1773" s="105" t="s">
        <v>2885</v>
      </c>
      <c r="D1773" s="105">
        <v>0</v>
      </c>
      <c r="E1773" s="105">
        <v>0</v>
      </c>
      <c r="F1773" s="105">
        <v>0</v>
      </c>
    </row>
    <row r="1774" spans="1:6" x14ac:dyDescent="0.25">
      <c r="A1774" s="105">
        <f t="shared" si="27"/>
        <v>5101101</v>
      </c>
      <c r="B1774" s="105" t="s">
        <v>2886</v>
      </c>
      <c r="C1774" s="105" t="s">
        <v>2887</v>
      </c>
      <c r="D1774" s="105">
        <v>13780</v>
      </c>
      <c r="E1774" s="105">
        <v>8268</v>
      </c>
      <c r="F1774" s="105">
        <v>0</v>
      </c>
    </row>
    <row r="1775" spans="1:6" x14ac:dyDescent="0.25">
      <c r="A1775" s="105">
        <f t="shared" si="27"/>
        <v>5101102</v>
      </c>
      <c r="B1775" s="105" t="s">
        <v>2888</v>
      </c>
      <c r="C1775" s="105" t="s">
        <v>2889</v>
      </c>
      <c r="D1775" s="105">
        <v>0</v>
      </c>
      <c r="E1775" s="105">
        <v>0</v>
      </c>
      <c r="F1775" s="105">
        <v>1</v>
      </c>
    </row>
    <row r="1776" spans="1:6" x14ac:dyDescent="0.25">
      <c r="A1776" s="105">
        <f t="shared" si="27"/>
        <v>5101104</v>
      </c>
      <c r="B1776" s="105" t="s">
        <v>2890</v>
      </c>
      <c r="C1776" s="105" t="s">
        <v>2891</v>
      </c>
      <c r="D1776" s="105">
        <v>0</v>
      </c>
      <c r="E1776" s="105">
        <v>0</v>
      </c>
      <c r="F1776" s="105">
        <v>6</v>
      </c>
    </row>
    <row r="1777" spans="1:6" x14ac:dyDescent="0.25">
      <c r="A1777" s="105">
        <f t="shared" si="27"/>
        <v>5101105</v>
      </c>
      <c r="B1777" s="105" t="s">
        <v>2892</v>
      </c>
      <c r="C1777" s="105" t="s">
        <v>2893</v>
      </c>
      <c r="D1777" s="105">
        <v>0</v>
      </c>
      <c r="E1777" s="105">
        <v>0</v>
      </c>
      <c r="F1777" s="105">
        <v>3</v>
      </c>
    </row>
    <row r="1778" spans="1:6" x14ac:dyDescent="0.25">
      <c r="A1778" s="105">
        <f t="shared" si="27"/>
        <v>5101106</v>
      </c>
      <c r="B1778" s="105" t="s">
        <v>2894</v>
      </c>
      <c r="C1778" s="105" t="s">
        <v>2895</v>
      </c>
      <c r="D1778" s="105">
        <v>0</v>
      </c>
      <c r="E1778" s="105">
        <v>0</v>
      </c>
      <c r="F1778" s="105">
        <v>-2</v>
      </c>
    </row>
    <row r="1779" spans="1:6" x14ac:dyDescent="0.25">
      <c r="A1779" s="105">
        <f t="shared" si="27"/>
        <v>5101108</v>
      </c>
      <c r="B1779" s="105" t="s">
        <v>2896</v>
      </c>
      <c r="C1779" s="105" t="s">
        <v>2897</v>
      </c>
      <c r="D1779" s="105">
        <v>0</v>
      </c>
      <c r="E1779" s="105">
        <v>0</v>
      </c>
      <c r="F1779" s="105">
        <v>5</v>
      </c>
    </row>
    <row r="1780" spans="1:6" x14ac:dyDescent="0.25">
      <c r="A1780" s="105">
        <f t="shared" si="27"/>
        <v>5101109</v>
      </c>
      <c r="B1780" s="105" t="s">
        <v>2898</v>
      </c>
      <c r="C1780" s="105" t="s">
        <v>2899</v>
      </c>
      <c r="D1780" s="105">
        <v>7078.03</v>
      </c>
      <c r="E1780" s="105">
        <v>4246.82</v>
      </c>
      <c r="F1780" s="105">
        <v>6</v>
      </c>
    </row>
    <row r="1781" spans="1:6" x14ac:dyDescent="0.25">
      <c r="A1781" s="105">
        <f t="shared" si="27"/>
        <v>5101112</v>
      </c>
      <c r="B1781" s="105" t="s">
        <v>2900</v>
      </c>
      <c r="C1781" s="105" t="s">
        <v>2901</v>
      </c>
      <c r="D1781" s="105">
        <v>4401.04</v>
      </c>
      <c r="E1781" s="105">
        <v>2640.62</v>
      </c>
      <c r="F1781" s="105">
        <v>0</v>
      </c>
    </row>
    <row r="1782" spans="1:6" x14ac:dyDescent="0.25">
      <c r="A1782" s="105" t="str">
        <f t="shared" si="27"/>
        <v/>
      </c>
      <c r="B1782" s="105" t="s">
        <v>2902</v>
      </c>
      <c r="C1782" s="105" t="s">
        <v>8</v>
      </c>
      <c r="D1782" s="105">
        <v>0</v>
      </c>
      <c r="E1782" s="105">
        <v>0</v>
      </c>
      <c r="F1782" s="105">
        <v>0</v>
      </c>
    </row>
    <row r="1783" spans="1:6" x14ac:dyDescent="0.25">
      <c r="A1783" s="105">
        <f t="shared" si="27"/>
        <v>5101113</v>
      </c>
      <c r="B1783" s="105" t="s">
        <v>2903</v>
      </c>
      <c r="C1783" s="105" t="s">
        <v>2904</v>
      </c>
      <c r="D1783" s="105">
        <v>0</v>
      </c>
      <c r="E1783" s="105">
        <v>0</v>
      </c>
      <c r="F1783" s="105">
        <v>0</v>
      </c>
    </row>
    <row r="1784" spans="1:6" x14ac:dyDescent="0.25">
      <c r="A1784" s="105">
        <f t="shared" si="27"/>
        <v>5101114</v>
      </c>
      <c r="B1784" s="105" t="s">
        <v>2905</v>
      </c>
      <c r="C1784" s="105" t="s">
        <v>2906</v>
      </c>
      <c r="D1784" s="105">
        <v>74235.62</v>
      </c>
      <c r="E1784" s="105">
        <v>44541.37</v>
      </c>
      <c r="F1784" s="105">
        <v>1</v>
      </c>
    </row>
    <row r="1785" spans="1:6" x14ac:dyDescent="0.25">
      <c r="A1785" s="105">
        <f t="shared" si="27"/>
        <v>5101115</v>
      </c>
      <c r="B1785" s="105" t="s">
        <v>2907</v>
      </c>
      <c r="C1785" s="105" t="s">
        <v>2908</v>
      </c>
      <c r="D1785" s="105">
        <v>74235.62</v>
      </c>
      <c r="E1785" s="105">
        <v>44541.37</v>
      </c>
      <c r="F1785" s="105">
        <v>1</v>
      </c>
    </row>
    <row r="1786" spans="1:6" x14ac:dyDescent="0.25">
      <c r="A1786" s="105" t="str">
        <f t="shared" si="27"/>
        <v/>
      </c>
      <c r="B1786" s="105" t="s">
        <v>2909</v>
      </c>
      <c r="C1786" s="105" t="s">
        <v>8</v>
      </c>
      <c r="D1786" s="105">
        <v>0</v>
      </c>
      <c r="E1786" s="105">
        <v>0</v>
      </c>
      <c r="F1786" s="105">
        <v>0</v>
      </c>
    </row>
    <row r="1787" spans="1:6" x14ac:dyDescent="0.25">
      <c r="A1787" s="105">
        <f t="shared" si="27"/>
        <v>5101116</v>
      </c>
      <c r="B1787" s="105" t="s">
        <v>2910</v>
      </c>
      <c r="C1787" s="105" t="s">
        <v>2911</v>
      </c>
      <c r="D1787" s="105">
        <v>0</v>
      </c>
      <c r="E1787" s="105">
        <v>0</v>
      </c>
      <c r="F1787" s="105">
        <v>0</v>
      </c>
    </row>
    <row r="1788" spans="1:6" x14ac:dyDescent="0.25">
      <c r="A1788" s="105" t="str">
        <f t="shared" si="27"/>
        <v/>
      </c>
      <c r="B1788" s="105" t="s">
        <v>2912</v>
      </c>
      <c r="C1788" s="105" t="s">
        <v>8</v>
      </c>
      <c r="D1788" s="105">
        <v>0</v>
      </c>
      <c r="E1788" s="105">
        <v>0</v>
      </c>
      <c r="F1788" s="105">
        <v>0</v>
      </c>
    </row>
    <row r="1789" spans="1:6" x14ac:dyDescent="0.25">
      <c r="A1789" s="105">
        <f t="shared" si="27"/>
        <v>5101118</v>
      </c>
      <c r="B1789" s="105" t="s">
        <v>2913</v>
      </c>
      <c r="C1789" s="105" t="s">
        <v>2914</v>
      </c>
      <c r="D1789" s="105">
        <v>0</v>
      </c>
      <c r="E1789" s="105">
        <v>0</v>
      </c>
      <c r="F1789" s="105">
        <v>0</v>
      </c>
    </row>
    <row r="1790" spans="1:6" x14ac:dyDescent="0.25">
      <c r="A1790" s="105">
        <f t="shared" si="27"/>
        <v>5101119</v>
      </c>
      <c r="B1790" s="105" t="s">
        <v>2915</v>
      </c>
      <c r="C1790" s="105" t="s">
        <v>2916</v>
      </c>
      <c r="D1790" s="105">
        <v>0</v>
      </c>
      <c r="E1790" s="105">
        <v>0</v>
      </c>
      <c r="F1790" s="105">
        <v>10</v>
      </c>
    </row>
    <row r="1791" spans="1:6" x14ac:dyDescent="0.25">
      <c r="A1791" s="105">
        <f t="shared" si="27"/>
        <v>5101125</v>
      </c>
      <c r="B1791" s="105" t="s">
        <v>2917</v>
      </c>
      <c r="C1791" s="105" t="s">
        <v>2918</v>
      </c>
      <c r="D1791" s="105">
        <v>0</v>
      </c>
      <c r="E1791" s="105">
        <v>0</v>
      </c>
      <c r="F1791" s="105">
        <v>16</v>
      </c>
    </row>
    <row r="1792" spans="1:6" x14ac:dyDescent="0.25">
      <c r="A1792" s="105" t="str">
        <f t="shared" si="27"/>
        <v/>
      </c>
      <c r="B1792" s="105" t="s">
        <v>2919</v>
      </c>
      <c r="C1792" s="105" t="s">
        <v>8</v>
      </c>
      <c r="D1792" s="105">
        <v>0</v>
      </c>
      <c r="E1792" s="105">
        <v>0</v>
      </c>
      <c r="F1792" s="105">
        <v>0</v>
      </c>
    </row>
    <row r="1793" spans="1:6" x14ac:dyDescent="0.25">
      <c r="A1793" s="105">
        <f t="shared" si="27"/>
        <v>5101132</v>
      </c>
      <c r="B1793" s="105" t="s">
        <v>2920</v>
      </c>
      <c r="C1793" s="105" t="s">
        <v>2921</v>
      </c>
      <c r="D1793" s="105">
        <v>0</v>
      </c>
      <c r="E1793" s="105">
        <v>0</v>
      </c>
      <c r="F1793" s="105">
        <v>0</v>
      </c>
    </row>
    <row r="1794" spans="1:6" x14ac:dyDescent="0.25">
      <c r="A1794" s="105" t="str">
        <f t="shared" si="27"/>
        <v/>
      </c>
      <c r="B1794" s="105" t="s">
        <v>2922</v>
      </c>
      <c r="C1794" s="105" t="s">
        <v>8</v>
      </c>
      <c r="D1794" s="105">
        <v>0</v>
      </c>
      <c r="E1794" s="105">
        <v>0</v>
      </c>
      <c r="F1794" s="105">
        <v>0</v>
      </c>
    </row>
    <row r="1795" spans="1:6" x14ac:dyDescent="0.25">
      <c r="A1795" s="105">
        <f t="shared" ref="A1795:A1858" si="28">IF(B1795&lt;&gt;"",IFERROR(B1795*1,""),"")</f>
        <v>5101133</v>
      </c>
      <c r="B1795" s="105" t="s">
        <v>2923</v>
      </c>
      <c r="C1795" s="105" t="s">
        <v>2924</v>
      </c>
      <c r="D1795" s="105">
        <v>0</v>
      </c>
      <c r="E1795" s="105">
        <v>0</v>
      </c>
      <c r="F1795" s="105">
        <v>0</v>
      </c>
    </row>
    <row r="1796" spans="1:6" x14ac:dyDescent="0.25">
      <c r="A1796" s="105">
        <f t="shared" si="28"/>
        <v>5101135</v>
      </c>
      <c r="B1796" s="105" t="s">
        <v>2925</v>
      </c>
      <c r="C1796" s="105" t="s">
        <v>2926</v>
      </c>
      <c r="D1796" s="105">
        <v>13780</v>
      </c>
      <c r="E1796" s="105">
        <v>8268</v>
      </c>
      <c r="F1796" s="105">
        <v>7</v>
      </c>
    </row>
    <row r="1797" spans="1:6" x14ac:dyDescent="0.25">
      <c r="A1797" s="105">
        <f t="shared" si="28"/>
        <v>5101136</v>
      </c>
      <c r="B1797" s="105" t="s">
        <v>2927</v>
      </c>
      <c r="C1797" s="105" t="s">
        <v>2928</v>
      </c>
      <c r="D1797" s="105">
        <v>13780</v>
      </c>
      <c r="E1797" s="105">
        <v>8268</v>
      </c>
      <c r="F1797" s="105">
        <v>2</v>
      </c>
    </row>
    <row r="1798" spans="1:6" x14ac:dyDescent="0.25">
      <c r="A1798" s="105">
        <f t="shared" si="28"/>
        <v>5101138</v>
      </c>
      <c r="B1798" s="105" t="s">
        <v>2929</v>
      </c>
      <c r="C1798" s="105" t="s">
        <v>2930</v>
      </c>
      <c r="D1798" s="105">
        <v>13780</v>
      </c>
      <c r="E1798" s="105">
        <v>8268</v>
      </c>
      <c r="F1798" s="105">
        <v>5</v>
      </c>
    </row>
    <row r="1799" spans="1:6" x14ac:dyDescent="0.25">
      <c r="A1799" s="105">
        <f t="shared" si="28"/>
        <v>5101140</v>
      </c>
      <c r="B1799" s="105" t="s">
        <v>2931</v>
      </c>
      <c r="C1799" s="105" t="s">
        <v>2932</v>
      </c>
      <c r="D1799" s="105">
        <v>7600</v>
      </c>
      <c r="E1799" s="105">
        <v>4560</v>
      </c>
      <c r="F1799" s="105">
        <v>7</v>
      </c>
    </row>
    <row r="1800" spans="1:6" x14ac:dyDescent="0.25">
      <c r="A1800" s="105">
        <f t="shared" si="28"/>
        <v>5101141</v>
      </c>
      <c r="B1800" s="105" t="s">
        <v>2933</v>
      </c>
      <c r="C1800" s="105" t="s">
        <v>2934</v>
      </c>
      <c r="D1800" s="105">
        <v>8300</v>
      </c>
      <c r="E1800" s="105">
        <v>4980</v>
      </c>
      <c r="F1800" s="105">
        <v>2</v>
      </c>
    </row>
    <row r="1801" spans="1:6" x14ac:dyDescent="0.25">
      <c r="A1801" s="105" t="str">
        <f t="shared" si="28"/>
        <v/>
      </c>
      <c r="B1801" s="105" t="s">
        <v>2935</v>
      </c>
      <c r="C1801" s="105" t="s">
        <v>8</v>
      </c>
      <c r="D1801" s="105">
        <v>0</v>
      </c>
      <c r="E1801" s="105">
        <v>0</v>
      </c>
      <c r="F1801" s="105">
        <v>0</v>
      </c>
    </row>
    <row r="1802" spans="1:6" x14ac:dyDescent="0.25">
      <c r="A1802" s="105">
        <f t="shared" si="28"/>
        <v>5101142</v>
      </c>
      <c r="B1802" s="105" t="s">
        <v>2936</v>
      </c>
      <c r="C1802" s="105" t="s">
        <v>2937</v>
      </c>
      <c r="D1802" s="105">
        <v>0</v>
      </c>
      <c r="E1802" s="105">
        <v>0</v>
      </c>
      <c r="F1802" s="105">
        <v>0</v>
      </c>
    </row>
    <row r="1803" spans="1:6" x14ac:dyDescent="0.25">
      <c r="A1803" s="105" t="str">
        <f t="shared" si="28"/>
        <v/>
      </c>
      <c r="B1803" s="105" t="s">
        <v>2938</v>
      </c>
      <c r="C1803" s="105" t="s">
        <v>8</v>
      </c>
      <c r="D1803" s="105">
        <v>0</v>
      </c>
      <c r="E1803" s="105">
        <v>0</v>
      </c>
      <c r="F1803" s="105">
        <v>0</v>
      </c>
    </row>
    <row r="1804" spans="1:6" x14ac:dyDescent="0.25">
      <c r="A1804" s="105">
        <f t="shared" si="28"/>
        <v>5101145</v>
      </c>
      <c r="B1804" s="105" t="s">
        <v>2939</v>
      </c>
      <c r="C1804" s="105" t="s">
        <v>2940</v>
      </c>
      <c r="D1804" s="105">
        <v>0</v>
      </c>
      <c r="E1804" s="105">
        <v>0</v>
      </c>
      <c r="F1804" s="105">
        <v>0</v>
      </c>
    </row>
    <row r="1805" spans="1:6" x14ac:dyDescent="0.25">
      <c r="A1805" s="105" t="str">
        <f t="shared" si="28"/>
        <v/>
      </c>
      <c r="B1805" s="105" t="s">
        <v>2941</v>
      </c>
      <c r="C1805" s="105" t="s">
        <v>8</v>
      </c>
      <c r="D1805" s="105">
        <v>0</v>
      </c>
      <c r="E1805" s="105">
        <v>0</v>
      </c>
      <c r="F1805" s="105">
        <v>0</v>
      </c>
    </row>
    <row r="1806" spans="1:6" x14ac:dyDescent="0.25">
      <c r="A1806" s="105">
        <f t="shared" si="28"/>
        <v>5101146</v>
      </c>
      <c r="B1806" s="105" t="s">
        <v>2942</v>
      </c>
      <c r="C1806" s="105" t="s">
        <v>2943</v>
      </c>
      <c r="D1806" s="105">
        <v>0</v>
      </c>
      <c r="E1806" s="105">
        <v>0</v>
      </c>
      <c r="F1806" s="105">
        <v>0</v>
      </c>
    </row>
    <row r="1807" spans="1:6" x14ac:dyDescent="0.25">
      <c r="A1807" s="105">
        <f t="shared" si="28"/>
        <v>5101147</v>
      </c>
      <c r="B1807" s="105" t="s">
        <v>2944</v>
      </c>
      <c r="C1807" s="105" t="s">
        <v>2945</v>
      </c>
      <c r="D1807" s="105">
        <v>8819.19</v>
      </c>
      <c r="E1807" s="105">
        <v>5291.51</v>
      </c>
      <c r="F1807" s="105">
        <v>0</v>
      </c>
    </row>
    <row r="1808" spans="1:6" x14ac:dyDescent="0.25">
      <c r="A1808" s="105">
        <f t="shared" si="28"/>
        <v>5101148</v>
      </c>
      <c r="B1808" s="105" t="s">
        <v>2946</v>
      </c>
      <c r="C1808" s="105" t="s">
        <v>2947</v>
      </c>
      <c r="D1808" s="105">
        <v>9149.91</v>
      </c>
      <c r="E1808" s="105">
        <v>5489.95</v>
      </c>
      <c r="F1808" s="105">
        <v>0</v>
      </c>
    </row>
    <row r="1809" spans="1:6" x14ac:dyDescent="0.25">
      <c r="A1809" s="105">
        <f t="shared" si="28"/>
        <v>5101149</v>
      </c>
      <c r="B1809" s="105" t="s">
        <v>2948</v>
      </c>
      <c r="C1809" s="105" t="s">
        <v>2949</v>
      </c>
      <c r="D1809" s="105">
        <v>0</v>
      </c>
      <c r="E1809" s="105">
        <v>0</v>
      </c>
      <c r="F1809" s="105">
        <v>2</v>
      </c>
    </row>
    <row r="1810" spans="1:6" x14ac:dyDescent="0.25">
      <c r="A1810" s="105" t="str">
        <f t="shared" si="28"/>
        <v/>
      </c>
      <c r="B1810" s="105" t="s">
        <v>2950</v>
      </c>
      <c r="C1810" s="105" t="s">
        <v>8</v>
      </c>
      <c r="D1810" s="105">
        <v>0</v>
      </c>
      <c r="E1810" s="105">
        <v>0</v>
      </c>
      <c r="F1810" s="105">
        <v>0</v>
      </c>
    </row>
    <row r="1811" spans="1:6" x14ac:dyDescent="0.25">
      <c r="A1811" s="105">
        <f t="shared" si="28"/>
        <v>5101150</v>
      </c>
      <c r="B1811" s="105" t="s">
        <v>2951</v>
      </c>
      <c r="C1811" s="105" t="s">
        <v>2952</v>
      </c>
      <c r="D1811" s="105">
        <v>0</v>
      </c>
      <c r="E1811" s="105">
        <v>0</v>
      </c>
      <c r="F1811" s="105">
        <v>0</v>
      </c>
    </row>
    <row r="1812" spans="1:6" x14ac:dyDescent="0.25">
      <c r="A1812" s="105" t="str">
        <f t="shared" si="28"/>
        <v/>
      </c>
      <c r="B1812" s="105" t="s">
        <v>2953</v>
      </c>
      <c r="C1812" s="105" t="s">
        <v>8</v>
      </c>
      <c r="D1812" s="105">
        <v>0</v>
      </c>
      <c r="E1812" s="105">
        <v>0</v>
      </c>
      <c r="F1812" s="105">
        <v>0</v>
      </c>
    </row>
    <row r="1813" spans="1:6" x14ac:dyDescent="0.25">
      <c r="A1813" s="105">
        <f t="shared" si="28"/>
        <v>5101158</v>
      </c>
      <c r="B1813" s="105" t="s">
        <v>2954</v>
      </c>
      <c r="C1813" s="105" t="s">
        <v>2955</v>
      </c>
      <c r="D1813" s="105">
        <v>0</v>
      </c>
      <c r="E1813" s="105">
        <v>0</v>
      </c>
      <c r="F1813" s="105">
        <v>0</v>
      </c>
    </row>
    <row r="1814" spans="1:6" x14ac:dyDescent="0.25">
      <c r="A1814" s="105" t="str">
        <f t="shared" si="28"/>
        <v/>
      </c>
      <c r="B1814" s="105" t="s">
        <v>2956</v>
      </c>
      <c r="C1814" s="105" t="s">
        <v>8</v>
      </c>
      <c r="D1814" s="105">
        <v>0</v>
      </c>
      <c r="E1814" s="105">
        <v>0</v>
      </c>
      <c r="F1814" s="105">
        <v>0</v>
      </c>
    </row>
    <row r="1815" spans="1:6" x14ac:dyDescent="0.25">
      <c r="A1815" s="105">
        <f t="shared" si="28"/>
        <v>5101159</v>
      </c>
      <c r="B1815" s="105" t="s">
        <v>2957</v>
      </c>
      <c r="C1815" s="105" t="s">
        <v>2958</v>
      </c>
      <c r="D1815" s="105">
        <v>0</v>
      </c>
      <c r="E1815" s="105">
        <v>0</v>
      </c>
      <c r="F1815" s="105">
        <v>0</v>
      </c>
    </row>
    <row r="1816" spans="1:6" x14ac:dyDescent="0.25">
      <c r="A1816" s="105">
        <f t="shared" si="28"/>
        <v>5101165</v>
      </c>
      <c r="B1816" s="105" t="s">
        <v>2959</v>
      </c>
      <c r="C1816" s="105" t="s">
        <v>2960</v>
      </c>
      <c r="D1816" s="105">
        <v>12900</v>
      </c>
      <c r="E1816" s="105">
        <v>7740</v>
      </c>
      <c r="F1816" s="105">
        <v>9</v>
      </c>
    </row>
    <row r="1817" spans="1:6" x14ac:dyDescent="0.25">
      <c r="A1817" s="105" t="str">
        <f t="shared" si="28"/>
        <v/>
      </c>
      <c r="B1817" s="105" t="s">
        <v>2961</v>
      </c>
      <c r="C1817" s="105" t="s">
        <v>8</v>
      </c>
      <c r="D1817" s="105">
        <v>0</v>
      </c>
      <c r="E1817" s="105">
        <v>0</v>
      </c>
      <c r="F1817" s="105">
        <v>0</v>
      </c>
    </row>
    <row r="1818" spans="1:6" x14ac:dyDescent="0.25">
      <c r="A1818" s="105">
        <f t="shared" si="28"/>
        <v>5101166</v>
      </c>
      <c r="B1818" s="105" t="s">
        <v>2962</v>
      </c>
      <c r="C1818" s="105" t="s">
        <v>2963</v>
      </c>
      <c r="D1818" s="105">
        <v>0</v>
      </c>
      <c r="E1818" s="105">
        <v>0</v>
      </c>
      <c r="F1818" s="105">
        <v>0</v>
      </c>
    </row>
    <row r="1819" spans="1:6" x14ac:dyDescent="0.25">
      <c r="A1819" s="105">
        <f t="shared" si="28"/>
        <v>5101170</v>
      </c>
      <c r="B1819" s="105" t="s">
        <v>2964</v>
      </c>
      <c r="C1819" s="105" t="s">
        <v>2965</v>
      </c>
      <c r="D1819" s="105">
        <v>5511.99</v>
      </c>
      <c r="E1819" s="105">
        <v>3307.19</v>
      </c>
      <c r="F1819" s="105">
        <v>154</v>
      </c>
    </row>
    <row r="1820" spans="1:6" x14ac:dyDescent="0.25">
      <c r="A1820" s="105">
        <f t="shared" si="28"/>
        <v>5101171</v>
      </c>
      <c r="B1820" s="105" t="s">
        <v>2966</v>
      </c>
      <c r="C1820" s="105" t="s">
        <v>2967</v>
      </c>
      <c r="D1820" s="105">
        <v>5511.99</v>
      </c>
      <c r="E1820" s="105">
        <v>3307.19</v>
      </c>
      <c r="F1820" s="105">
        <v>155</v>
      </c>
    </row>
    <row r="1821" spans="1:6" x14ac:dyDescent="0.25">
      <c r="A1821" s="105">
        <f t="shared" si="28"/>
        <v>510117100</v>
      </c>
      <c r="B1821" s="105" t="s">
        <v>2968</v>
      </c>
      <c r="C1821" s="105" t="s">
        <v>2969</v>
      </c>
      <c r="D1821" s="105">
        <v>0</v>
      </c>
      <c r="E1821" s="105">
        <v>0</v>
      </c>
      <c r="F1821" s="105">
        <v>0</v>
      </c>
    </row>
    <row r="1822" spans="1:6" x14ac:dyDescent="0.25">
      <c r="A1822" s="105">
        <f t="shared" si="28"/>
        <v>5101172</v>
      </c>
      <c r="B1822" s="105" t="s">
        <v>2970</v>
      </c>
      <c r="C1822" s="105" t="s">
        <v>2971</v>
      </c>
      <c r="D1822" s="105">
        <v>0</v>
      </c>
      <c r="E1822" s="105">
        <v>0</v>
      </c>
      <c r="F1822" s="105">
        <v>0</v>
      </c>
    </row>
    <row r="1823" spans="1:6" x14ac:dyDescent="0.25">
      <c r="A1823" s="105">
        <f t="shared" si="28"/>
        <v>5101185</v>
      </c>
      <c r="B1823" s="105" t="s">
        <v>2972</v>
      </c>
      <c r="C1823" s="105" t="s">
        <v>2973</v>
      </c>
      <c r="D1823" s="105">
        <v>13780</v>
      </c>
      <c r="E1823" s="105">
        <v>8268</v>
      </c>
      <c r="F1823" s="105">
        <v>19</v>
      </c>
    </row>
    <row r="1824" spans="1:6" x14ac:dyDescent="0.25">
      <c r="A1824" s="105">
        <f t="shared" si="28"/>
        <v>5101186</v>
      </c>
      <c r="B1824" s="105" t="s">
        <v>2974</v>
      </c>
      <c r="C1824" s="105" t="s">
        <v>2975</v>
      </c>
      <c r="D1824" s="105">
        <v>15158</v>
      </c>
      <c r="E1824" s="105">
        <v>9094.7999999999993</v>
      </c>
      <c r="F1824" s="105">
        <v>11</v>
      </c>
    </row>
    <row r="1825" spans="1:6" x14ac:dyDescent="0.25">
      <c r="A1825" s="105">
        <f t="shared" si="28"/>
        <v>5101187</v>
      </c>
      <c r="B1825" s="105" t="s">
        <v>2976</v>
      </c>
      <c r="C1825" s="105" t="s">
        <v>2977</v>
      </c>
      <c r="D1825" s="105">
        <v>14840</v>
      </c>
      <c r="E1825" s="105">
        <v>8904</v>
      </c>
      <c r="F1825" s="105">
        <v>14</v>
      </c>
    </row>
    <row r="1826" spans="1:6" x14ac:dyDescent="0.25">
      <c r="A1826" s="105">
        <f t="shared" si="28"/>
        <v>5101188</v>
      </c>
      <c r="B1826" s="105" t="s">
        <v>2978</v>
      </c>
      <c r="C1826" s="105" t="s">
        <v>2979</v>
      </c>
      <c r="D1826" s="105">
        <v>16324</v>
      </c>
      <c r="E1826" s="105">
        <v>9794.4</v>
      </c>
      <c r="F1826" s="105">
        <v>2</v>
      </c>
    </row>
    <row r="1827" spans="1:6" x14ac:dyDescent="0.25">
      <c r="A1827" s="105">
        <f t="shared" si="28"/>
        <v>5101190</v>
      </c>
      <c r="B1827" s="105" t="s">
        <v>2980</v>
      </c>
      <c r="C1827" s="105" t="s">
        <v>2981</v>
      </c>
      <c r="D1827" s="105">
        <v>13780</v>
      </c>
      <c r="E1827" s="105">
        <v>8268</v>
      </c>
      <c r="F1827" s="105">
        <v>47</v>
      </c>
    </row>
    <row r="1828" spans="1:6" x14ac:dyDescent="0.25">
      <c r="A1828" s="105">
        <f t="shared" si="28"/>
        <v>5101191</v>
      </c>
      <c r="B1828" s="105" t="s">
        <v>2982</v>
      </c>
      <c r="C1828" s="105" t="s">
        <v>2983</v>
      </c>
      <c r="D1828" s="105">
        <v>15158</v>
      </c>
      <c r="E1828" s="105">
        <v>9094.7999999999993</v>
      </c>
      <c r="F1828" s="105">
        <v>40</v>
      </c>
    </row>
    <row r="1829" spans="1:6" x14ac:dyDescent="0.25">
      <c r="A1829" s="105">
        <f t="shared" si="28"/>
        <v>5101192</v>
      </c>
      <c r="B1829" s="105" t="s">
        <v>2984</v>
      </c>
      <c r="C1829" s="105" t="s">
        <v>2985</v>
      </c>
      <c r="D1829" s="105">
        <v>14840</v>
      </c>
      <c r="E1829" s="105">
        <v>8904</v>
      </c>
      <c r="F1829" s="105">
        <v>123</v>
      </c>
    </row>
    <row r="1830" spans="1:6" x14ac:dyDescent="0.25">
      <c r="A1830" s="105">
        <f t="shared" si="28"/>
        <v>5101193</v>
      </c>
      <c r="B1830" s="105" t="s">
        <v>2986</v>
      </c>
      <c r="C1830" s="105" t="s">
        <v>2987</v>
      </c>
      <c r="D1830" s="105">
        <v>16324</v>
      </c>
      <c r="E1830" s="105">
        <v>9794.4</v>
      </c>
      <c r="F1830" s="105">
        <v>23</v>
      </c>
    </row>
    <row r="1831" spans="1:6" x14ac:dyDescent="0.25">
      <c r="A1831" s="105">
        <f t="shared" si="28"/>
        <v>5101195</v>
      </c>
      <c r="B1831" s="105" t="s">
        <v>2988</v>
      </c>
      <c r="C1831" s="105" t="s">
        <v>2989</v>
      </c>
      <c r="D1831" s="105">
        <v>13780</v>
      </c>
      <c r="E1831" s="105">
        <v>8268</v>
      </c>
      <c r="F1831" s="105">
        <v>0</v>
      </c>
    </row>
    <row r="1832" spans="1:6" x14ac:dyDescent="0.25">
      <c r="A1832" s="105">
        <f t="shared" si="28"/>
        <v>5101196</v>
      </c>
      <c r="B1832" s="105" t="s">
        <v>2990</v>
      </c>
      <c r="C1832" s="105" t="s">
        <v>2991</v>
      </c>
      <c r="D1832" s="105">
        <v>15158</v>
      </c>
      <c r="E1832" s="105">
        <v>9094.7999999999993</v>
      </c>
      <c r="F1832" s="105">
        <v>9</v>
      </c>
    </row>
    <row r="1833" spans="1:6" x14ac:dyDescent="0.25">
      <c r="A1833" s="105">
        <f t="shared" si="28"/>
        <v>5101200</v>
      </c>
      <c r="B1833" s="105" t="s">
        <v>2992</v>
      </c>
      <c r="C1833" s="105" t="s">
        <v>2993</v>
      </c>
      <c r="D1833" s="105">
        <v>14200</v>
      </c>
      <c r="E1833" s="105">
        <v>8520</v>
      </c>
      <c r="F1833" s="105">
        <v>1</v>
      </c>
    </row>
    <row r="1834" spans="1:6" x14ac:dyDescent="0.25">
      <c r="A1834" s="105">
        <f t="shared" si="28"/>
        <v>5101201</v>
      </c>
      <c r="B1834" s="105" t="s">
        <v>2994</v>
      </c>
      <c r="C1834" s="105" t="s">
        <v>2995</v>
      </c>
      <c r="D1834" s="105">
        <v>14800</v>
      </c>
      <c r="E1834" s="105">
        <v>8880</v>
      </c>
      <c r="F1834" s="105">
        <v>1</v>
      </c>
    </row>
    <row r="1835" spans="1:6" x14ac:dyDescent="0.25">
      <c r="A1835" s="105" t="str">
        <f t="shared" si="28"/>
        <v/>
      </c>
      <c r="B1835" s="105" t="s">
        <v>2996</v>
      </c>
      <c r="C1835" s="105" t="s">
        <v>8</v>
      </c>
      <c r="D1835" s="105">
        <v>0</v>
      </c>
      <c r="E1835" s="105">
        <v>0</v>
      </c>
      <c r="F1835" s="105">
        <v>0</v>
      </c>
    </row>
    <row r="1836" spans="1:6" x14ac:dyDescent="0.25">
      <c r="A1836" s="105">
        <f t="shared" si="28"/>
        <v>5101202</v>
      </c>
      <c r="B1836" s="105" t="s">
        <v>2997</v>
      </c>
      <c r="C1836" s="105" t="s">
        <v>2998</v>
      </c>
      <c r="D1836" s="105">
        <v>0</v>
      </c>
      <c r="E1836" s="105">
        <v>0</v>
      </c>
      <c r="F1836" s="105">
        <v>0</v>
      </c>
    </row>
    <row r="1837" spans="1:6" x14ac:dyDescent="0.25">
      <c r="A1837" s="105" t="str">
        <f t="shared" si="28"/>
        <v/>
      </c>
      <c r="B1837" s="105" t="s">
        <v>2999</v>
      </c>
      <c r="C1837" s="105" t="s">
        <v>8</v>
      </c>
      <c r="D1837" s="105">
        <v>0</v>
      </c>
      <c r="E1837" s="105">
        <v>0</v>
      </c>
      <c r="F1837" s="105">
        <v>0</v>
      </c>
    </row>
    <row r="1838" spans="1:6" x14ac:dyDescent="0.25">
      <c r="A1838" s="105">
        <f t="shared" si="28"/>
        <v>5101203</v>
      </c>
      <c r="B1838" s="105" t="s">
        <v>3000</v>
      </c>
      <c r="C1838" s="105" t="s">
        <v>3001</v>
      </c>
      <c r="D1838" s="105">
        <v>0</v>
      </c>
      <c r="E1838" s="105">
        <v>0</v>
      </c>
      <c r="F1838" s="105">
        <v>0</v>
      </c>
    </row>
    <row r="1839" spans="1:6" x14ac:dyDescent="0.25">
      <c r="A1839" s="105">
        <f t="shared" si="28"/>
        <v>5101204</v>
      </c>
      <c r="B1839" s="105" t="s">
        <v>3002</v>
      </c>
      <c r="C1839" s="105" t="s">
        <v>3003</v>
      </c>
      <c r="D1839" s="105">
        <v>12900</v>
      </c>
      <c r="E1839" s="105">
        <v>7740</v>
      </c>
      <c r="F1839" s="105">
        <v>9</v>
      </c>
    </row>
    <row r="1840" spans="1:6" x14ac:dyDescent="0.25">
      <c r="A1840" s="105">
        <f t="shared" si="28"/>
        <v>5101205</v>
      </c>
      <c r="B1840" s="105" t="s">
        <v>3004</v>
      </c>
      <c r="C1840" s="105" t="s">
        <v>3005</v>
      </c>
      <c r="D1840" s="105">
        <v>13400</v>
      </c>
      <c r="E1840" s="105">
        <v>8040</v>
      </c>
      <c r="F1840" s="105">
        <v>0</v>
      </c>
    </row>
    <row r="1841" spans="1:6" x14ac:dyDescent="0.25">
      <c r="A1841" s="105" t="str">
        <f t="shared" si="28"/>
        <v/>
      </c>
      <c r="B1841" s="105" t="s">
        <v>3006</v>
      </c>
      <c r="C1841" s="105" t="s">
        <v>8</v>
      </c>
      <c r="D1841" s="105">
        <v>0</v>
      </c>
      <c r="E1841" s="105">
        <v>0</v>
      </c>
      <c r="F1841" s="105">
        <v>0</v>
      </c>
    </row>
    <row r="1842" spans="1:6" x14ac:dyDescent="0.25">
      <c r="A1842" s="105">
        <f t="shared" si="28"/>
        <v>5101206</v>
      </c>
      <c r="B1842" s="105" t="s">
        <v>3007</v>
      </c>
      <c r="C1842" s="105" t="s">
        <v>3008</v>
      </c>
      <c r="D1842" s="105">
        <v>0</v>
      </c>
      <c r="E1842" s="105">
        <v>0</v>
      </c>
      <c r="F1842" s="105">
        <v>0</v>
      </c>
    </row>
    <row r="1843" spans="1:6" x14ac:dyDescent="0.25">
      <c r="A1843" s="105">
        <f t="shared" si="28"/>
        <v>5101210</v>
      </c>
      <c r="B1843" s="105" t="s">
        <v>3009</v>
      </c>
      <c r="C1843" s="105" t="s">
        <v>3010</v>
      </c>
      <c r="D1843" s="105">
        <v>61045.4</v>
      </c>
      <c r="E1843" s="105">
        <v>36627.24</v>
      </c>
      <c r="F1843" s="105">
        <v>3</v>
      </c>
    </row>
    <row r="1844" spans="1:6" x14ac:dyDescent="0.25">
      <c r="A1844" s="105">
        <f t="shared" si="28"/>
        <v>5101211</v>
      </c>
      <c r="B1844" s="105" t="s">
        <v>3011</v>
      </c>
      <c r="C1844" s="105" t="s">
        <v>3012</v>
      </c>
      <c r="D1844" s="105">
        <v>61045.4</v>
      </c>
      <c r="E1844" s="105">
        <v>36627.24</v>
      </c>
      <c r="F1844" s="105">
        <v>2</v>
      </c>
    </row>
    <row r="1845" spans="1:6" x14ac:dyDescent="0.25">
      <c r="A1845" s="105">
        <f t="shared" si="28"/>
        <v>5101212</v>
      </c>
      <c r="B1845" s="105" t="s">
        <v>3013</v>
      </c>
      <c r="C1845" s="105" t="s">
        <v>3014</v>
      </c>
      <c r="D1845" s="105">
        <v>41254.01</v>
      </c>
      <c r="E1845" s="105">
        <v>24752.41</v>
      </c>
      <c r="F1845" s="105">
        <v>0</v>
      </c>
    </row>
    <row r="1846" spans="1:6" x14ac:dyDescent="0.25">
      <c r="A1846" s="105">
        <f t="shared" si="28"/>
        <v>5101220</v>
      </c>
      <c r="B1846" s="105" t="s">
        <v>3015</v>
      </c>
      <c r="C1846" s="105" t="s">
        <v>3016</v>
      </c>
      <c r="D1846" s="105">
        <v>61045.4</v>
      </c>
      <c r="E1846" s="105">
        <v>36627.24</v>
      </c>
      <c r="F1846" s="105">
        <v>1</v>
      </c>
    </row>
    <row r="1847" spans="1:6" x14ac:dyDescent="0.25">
      <c r="A1847" s="105">
        <f t="shared" si="28"/>
        <v>5101221</v>
      </c>
      <c r="B1847" s="105" t="s">
        <v>3017</v>
      </c>
      <c r="C1847" s="105" t="s">
        <v>3018</v>
      </c>
      <c r="D1847" s="105">
        <v>97420.19</v>
      </c>
      <c r="E1847" s="105">
        <v>58452.11</v>
      </c>
      <c r="F1847" s="105">
        <v>1</v>
      </c>
    </row>
    <row r="1848" spans="1:6" x14ac:dyDescent="0.25">
      <c r="A1848" s="105">
        <f t="shared" si="28"/>
        <v>5101223</v>
      </c>
      <c r="B1848" s="105" t="s">
        <v>3019</v>
      </c>
      <c r="C1848" s="105" t="s">
        <v>3020</v>
      </c>
      <c r="D1848" s="105">
        <v>97420.19</v>
      </c>
      <c r="E1848" s="105">
        <v>58452.11</v>
      </c>
      <c r="F1848" s="105">
        <v>1</v>
      </c>
    </row>
    <row r="1849" spans="1:6" x14ac:dyDescent="0.25">
      <c r="A1849" s="105">
        <f t="shared" si="28"/>
        <v>5101230</v>
      </c>
      <c r="B1849" s="105" t="s">
        <v>3021</v>
      </c>
      <c r="C1849" s="105" t="s">
        <v>3022</v>
      </c>
      <c r="D1849" s="105">
        <v>0</v>
      </c>
      <c r="E1849" s="105">
        <v>0</v>
      </c>
      <c r="F1849" s="105">
        <v>22</v>
      </c>
    </row>
    <row r="1850" spans="1:6" x14ac:dyDescent="0.25">
      <c r="A1850" s="105" t="str">
        <f t="shared" si="28"/>
        <v/>
      </c>
      <c r="B1850" s="105" t="s">
        <v>3023</v>
      </c>
      <c r="C1850" s="105" t="s">
        <v>8</v>
      </c>
      <c r="D1850" s="105">
        <v>0</v>
      </c>
      <c r="E1850" s="105">
        <v>0</v>
      </c>
      <c r="F1850" s="105">
        <v>0</v>
      </c>
    </row>
    <row r="1851" spans="1:6" x14ac:dyDescent="0.25">
      <c r="A1851" s="105">
        <f t="shared" si="28"/>
        <v>5101231</v>
      </c>
      <c r="B1851" s="105" t="s">
        <v>3024</v>
      </c>
      <c r="C1851" s="105" t="s">
        <v>3025</v>
      </c>
      <c r="D1851" s="105">
        <v>0</v>
      </c>
      <c r="E1851" s="105">
        <v>0</v>
      </c>
      <c r="F1851" s="105">
        <v>0</v>
      </c>
    </row>
    <row r="1852" spans="1:6" x14ac:dyDescent="0.25">
      <c r="A1852" s="105">
        <f t="shared" si="28"/>
        <v>5101234</v>
      </c>
      <c r="B1852" s="105" t="s">
        <v>3026</v>
      </c>
      <c r="C1852" s="105" t="s">
        <v>3027</v>
      </c>
      <c r="D1852" s="105">
        <v>0</v>
      </c>
      <c r="E1852" s="105">
        <v>0</v>
      </c>
      <c r="F1852" s="105">
        <v>4</v>
      </c>
    </row>
    <row r="1853" spans="1:6" x14ac:dyDescent="0.25">
      <c r="A1853" s="105">
        <f t="shared" si="28"/>
        <v>5101235</v>
      </c>
      <c r="B1853" s="105" t="s">
        <v>3028</v>
      </c>
      <c r="C1853" s="105" t="s">
        <v>3029</v>
      </c>
      <c r="D1853" s="105">
        <v>0</v>
      </c>
      <c r="E1853" s="105">
        <v>0</v>
      </c>
      <c r="F1853" s="105">
        <v>1</v>
      </c>
    </row>
    <row r="1854" spans="1:6" x14ac:dyDescent="0.25">
      <c r="A1854" s="105" t="str">
        <f t="shared" si="28"/>
        <v/>
      </c>
      <c r="B1854" s="105" t="s">
        <v>3030</v>
      </c>
      <c r="C1854" s="105" t="s">
        <v>8</v>
      </c>
      <c r="D1854" s="105">
        <v>0</v>
      </c>
      <c r="E1854" s="105">
        <v>0</v>
      </c>
      <c r="F1854" s="105">
        <v>0</v>
      </c>
    </row>
    <row r="1855" spans="1:6" x14ac:dyDescent="0.25">
      <c r="A1855" s="105">
        <f t="shared" si="28"/>
        <v>5101239</v>
      </c>
      <c r="B1855" s="105" t="s">
        <v>3031</v>
      </c>
      <c r="C1855" s="105" t="s">
        <v>3032</v>
      </c>
      <c r="D1855" s="105">
        <v>0</v>
      </c>
      <c r="E1855" s="105">
        <v>0</v>
      </c>
      <c r="F1855" s="105">
        <v>0</v>
      </c>
    </row>
    <row r="1856" spans="1:6" x14ac:dyDescent="0.25">
      <c r="A1856" s="105" t="str">
        <f t="shared" si="28"/>
        <v/>
      </c>
      <c r="B1856" s="105" t="s">
        <v>3033</v>
      </c>
      <c r="C1856" s="105" t="s">
        <v>8</v>
      </c>
      <c r="D1856" s="105">
        <v>0</v>
      </c>
      <c r="E1856" s="105">
        <v>0</v>
      </c>
      <c r="F1856" s="105">
        <v>0</v>
      </c>
    </row>
    <row r="1857" spans="1:6" x14ac:dyDescent="0.25">
      <c r="A1857" s="105">
        <f t="shared" si="28"/>
        <v>5101240</v>
      </c>
      <c r="B1857" s="105" t="s">
        <v>3034</v>
      </c>
      <c r="C1857" s="105" t="s">
        <v>3035</v>
      </c>
      <c r="D1857" s="105">
        <v>0</v>
      </c>
      <c r="E1857" s="105">
        <v>0</v>
      </c>
      <c r="F1857" s="105">
        <v>0</v>
      </c>
    </row>
    <row r="1858" spans="1:6" x14ac:dyDescent="0.25">
      <c r="A1858" s="105" t="str">
        <f t="shared" si="28"/>
        <v/>
      </c>
      <c r="B1858" s="105" t="s">
        <v>3036</v>
      </c>
      <c r="C1858" s="105" t="s">
        <v>8</v>
      </c>
      <c r="D1858" s="105">
        <v>0</v>
      </c>
      <c r="E1858" s="105">
        <v>0</v>
      </c>
      <c r="F1858" s="105">
        <v>0</v>
      </c>
    </row>
    <row r="1859" spans="1:6" x14ac:dyDescent="0.25">
      <c r="A1859" s="105">
        <f t="shared" ref="A1859:A1922" si="29">IF(B1859&lt;&gt;"",IFERROR(B1859*1,""),"")</f>
        <v>5101241</v>
      </c>
      <c r="B1859" s="105" t="s">
        <v>3037</v>
      </c>
      <c r="C1859" s="105" t="s">
        <v>3038</v>
      </c>
      <c r="D1859" s="105">
        <v>0</v>
      </c>
      <c r="E1859" s="105">
        <v>0</v>
      </c>
      <c r="F1859" s="105">
        <v>0</v>
      </c>
    </row>
    <row r="1860" spans="1:6" x14ac:dyDescent="0.25">
      <c r="A1860" s="105" t="str">
        <f t="shared" si="29"/>
        <v/>
      </c>
      <c r="B1860" s="105" t="s">
        <v>3039</v>
      </c>
      <c r="C1860" s="105" t="s">
        <v>8</v>
      </c>
      <c r="D1860" s="105">
        <v>0</v>
      </c>
      <c r="E1860" s="105">
        <v>0</v>
      </c>
      <c r="F1860" s="105">
        <v>0</v>
      </c>
    </row>
    <row r="1861" spans="1:6" x14ac:dyDescent="0.25">
      <c r="A1861" s="105">
        <f t="shared" si="29"/>
        <v>5101252</v>
      </c>
      <c r="B1861" s="105" t="s">
        <v>3040</v>
      </c>
      <c r="C1861" s="105" t="s">
        <v>3041</v>
      </c>
      <c r="D1861" s="105">
        <v>0</v>
      </c>
      <c r="E1861" s="105">
        <v>0</v>
      </c>
      <c r="F1861" s="105">
        <v>0</v>
      </c>
    </row>
    <row r="1862" spans="1:6" x14ac:dyDescent="0.25">
      <c r="A1862" s="105" t="str">
        <f t="shared" si="29"/>
        <v/>
      </c>
      <c r="B1862" s="105" t="s">
        <v>3042</v>
      </c>
      <c r="C1862" s="105" t="s">
        <v>8</v>
      </c>
      <c r="D1862" s="105">
        <v>0</v>
      </c>
      <c r="E1862" s="105">
        <v>0</v>
      </c>
      <c r="F1862" s="105">
        <v>0</v>
      </c>
    </row>
    <row r="1863" spans="1:6" x14ac:dyDescent="0.25">
      <c r="A1863" s="105">
        <f t="shared" si="29"/>
        <v>5101300</v>
      </c>
      <c r="B1863" s="105" t="s">
        <v>3043</v>
      </c>
      <c r="C1863" s="105" t="s">
        <v>3044</v>
      </c>
      <c r="D1863" s="105">
        <v>0</v>
      </c>
      <c r="E1863" s="105">
        <v>0</v>
      </c>
      <c r="F1863" s="105">
        <v>0</v>
      </c>
    </row>
    <row r="1864" spans="1:6" x14ac:dyDescent="0.25">
      <c r="A1864" s="105">
        <f t="shared" si="29"/>
        <v>5101301</v>
      </c>
      <c r="B1864" s="105" t="s">
        <v>3045</v>
      </c>
      <c r="C1864" s="105" t="s">
        <v>3046</v>
      </c>
      <c r="D1864" s="105">
        <v>0</v>
      </c>
      <c r="E1864" s="105">
        <v>0</v>
      </c>
      <c r="F1864" s="105">
        <v>2</v>
      </c>
    </row>
    <row r="1865" spans="1:6" x14ac:dyDescent="0.25">
      <c r="A1865" s="105">
        <f t="shared" si="29"/>
        <v>5101310</v>
      </c>
      <c r="B1865" s="105" t="s">
        <v>3047</v>
      </c>
      <c r="C1865" s="105" t="s">
        <v>3048</v>
      </c>
      <c r="D1865" s="105">
        <v>61045.4</v>
      </c>
      <c r="E1865" s="105">
        <v>36627.24</v>
      </c>
      <c r="F1865" s="105">
        <v>2</v>
      </c>
    </row>
    <row r="1866" spans="1:6" x14ac:dyDescent="0.25">
      <c r="A1866" s="105" t="str">
        <f t="shared" si="29"/>
        <v/>
      </c>
      <c r="B1866" s="105" t="s">
        <v>3049</v>
      </c>
      <c r="C1866" s="105" t="s">
        <v>8</v>
      </c>
      <c r="D1866" s="105">
        <v>0</v>
      </c>
      <c r="E1866" s="105">
        <v>0</v>
      </c>
      <c r="F1866" s="105">
        <v>0</v>
      </c>
    </row>
    <row r="1867" spans="1:6" x14ac:dyDescent="0.25">
      <c r="A1867" s="105">
        <f t="shared" si="29"/>
        <v>5101311</v>
      </c>
      <c r="B1867" s="105" t="s">
        <v>3050</v>
      </c>
      <c r="C1867" s="105" t="s">
        <v>3051</v>
      </c>
      <c r="D1867" s="105">
        <v>0</v>
      </c>
      <c r="E1867" s="105">
        <v>0</v>
      </c>
      <c r="F1867" s="105">
        <v>0</v>
      </c>
    </row>
    <row r="1868" spans="1:6" x14ac:dyDescent="0.25">
      <c r="A1868" s="105" t="str">
        <f t="shared" si="29"/>
        <v/>
      </c>
      <c r="B1868" s="105" t="s">
        <v>3052</v>
      </c>
      <c r="C1868" s="105" t="s">
        <v>8</v>
      </c>
      <c r="D1868" s="105">
        <v>0</v>
      </c>
      <c r="E1868" s="105">
        <v>0</v>
      </c>
      <c r="F1868" s="105">
        <v>0</v>
      </c>
    </row>
    <row r="1869" spans="1:6" x14ac:dyDescent="0.25">
      <c r="A1869" s="105">
        <f t="shared" si="29"/>
        <v>5101320</v>
      </c>
      <c r="B1869" s="105" t="s">
        <v>3053</v>
      </c>
      <c r="C1869" s="105" t="s">
        <v>3054</v>
      </c>
      <c r="D1869" s="105">
        <v>0</v>
      </c>
      <c r="E1869" s="105">
        <v>0</v>
      </c>
      <c r="F1869" s="105">
        <v>0</v>
      </c>
    </row>
    <row r="1870" spans="1:6" x14ac:dyDescent="0.25">
      <c r="A1870" s="105">
        <f t="shared" si="29"/>
        <v>5101325</v>
      </c>
      <c r="B1870" s="105" t="s">
        <v>3055</v>
      </c>
      <c r="C1870" s="105" t="s">
        <v>3056</v>
      </c>
      <c r="D1870" s="105">
        <v>2125.1999999999998</v>
      </c>
      <c r="E1870" s="105">
        <v>1275.1199999999999</v>
      </c>
      <c r="F1870" s="105">
        <v>0</v>
      </c>
    </row>
    <row r="1871" spans="1:6" x14ac:dyDescent="0.25">
      <c r="A1871" s="105" t="str">
        <f t="shared" si="29"/>
        <v/>
      </c>
      <c r="B1871" s="105" t="s">
        <v>3057</v>
      </c>
      <c r="C1871" s="105" t="s">
        <v>8</v>
      </c>
      <c r="D1871" s="105">
        <v>0</v>
      </c>
      <c r="E1871" s="105">
        <v>0</v>
      </c>
      <c r="F1871" s="105">
        <v>0</v>
      </c>
    </row>
    <row r="1872" spans="1:6" x14ac:dyDescent="0.25">
      <c r="A1872" s="105">
        <f t="shared" si="29"/>
        <v>5101329</v>
      </c>
      <c r="B1872" s="105" t="s">
        <v>3058</v>
      </c>
      <c r="C1872" s="105" t="s">
        <v>3059</v>
      </c>
      <c r="D1872" s="105">
        <v>0</v>
      </c>
      <c r="E1872" s="105">
        <v>0</v>
      </c>
      <c r="F1872" s="105">
        <v>0</v>
      </c>
    </row>
    <row r="1873" spans="1:6" x14ac:dyDescent="0.25">
      <c r="A1873" s="105" t="str">
        <f t="shared" si="29"/>
        <v/>
      </c>
      <c r="B1873" s="105" t="s">
        <v>3060</v>
      </c>
      <c r="C1873" s="105" t="s">
        <v>8</v>
      </c>
      <c r="D1873" s="105">
        <v>0</v>
      </c>
      <c r="E1873" s="105">
        <v>0</v>
      </c>
      <c r="F1873" s="105">
        <v>0</v>
      </c>
    </row>
    <row r="1874" spans="1:6" x14ac:dyDescent="0.25">
      <c r="A1874" s="105">
        <f t="shared" si="29"/>
        <v>5101330</v>
      </c>
      <c r="B1874" s="105" t="s">
        <v>3061</v>
      </c>
      <c r="C1874" s="105" t="s">
        <v>3062</v>
      </c>
      <c r="D1874" s="105">
        <v>0</v>
      </c>
      <c r="E1874" s="105">
        <v>0</v>
      </c>
      <c r="F1874" s="105">
        <v>0</v>
      </c>
    </row>
    <row r="1875" spans="1:6" x14ac:dyDescent="0.25">
      <c r="A1875" s="105" t="str">
        <f t="shared" si="29"/>
        <v/>
      </c>
      <c r="B1875" s="105" t="s">
        <v>3063</v>
      </c>
      <c r="C1875" s="105" t="s">
        <v>8</v>
      </c>
      <c r="D1875" s="105">
        <v>0</v>
      </c>
      <c r="E1875" s="105">
        <v>0</v>
      </c>
      <c r="F1875" s="105">
        <v>0</v>
      </c>
    </row>
    <row r="1876" spans="1:6" x14ac:dyDescent="0.25">
      <c r="A1876" s="105">
        <f t="shared" si="29"/>
        <v>5101338</v>
      </c>
      <c r="B1876" s="105" t="s">
        <v>3064</v>
      </c>
      <c r="C1876" s="105" t="s">
        <v>3065</v>
      </c>
      <c r="D1876" s="105">
        <v>0</v>
      </c>
      <c r="E1876" s="105">
        <v>0</v>
      </c>
      <c r="F1876" s="105">
        <v>0</v>
      </c>
    </row>
    <row r="1877" spans="1:6" x14ac:dyDescent="0.25">
      <c r="A1877" s="105">
        <f t="shared" si="29"/>
        <v>5101340</v>
      </c>
      <c r="B1877" s="105" t="s">
        <v>3066</v>
      </c>
      <c r="C1877" s="105" t="s">
        <v>3067</v>
      </c>
      <c r="D1877" s="105">
        <v>61045.4</v>
      </c>
      <c r="E1877" s="105">
        <v>36627.24</v>
      </c>
      <c r="F1877" s="105">
        <v>15</v>
      </c>
    </row>
    <row r="1878" spans="1:6" x14ac:dyDescent="0.25">
      <c r="A1878" s="105" t="str">
        <f t="shared" si="29"/>
        <v/>
      </c>
      <c r="B1878" s="105" t="s">
        <v>3068</v>
      </c>
      <c r="C1878" s="105" t="s">
        <v>8</v>
      </c>
      <c r="D1878" s="105">
        <v>0</v>
      </c>
      <c r="E1878" s="105">
        <v>0</v>
      </c>
      <c r="F1878" s="105">
        <v>0</v>
      </c>
    </row>
    <row r="1879" spans="1:6" x14ac:dyDescent="0.25">
      <c r="A1879" s="105">
        <f t="shared" si="29"/>
        <v>5101341</v>
      </c>
      <c r="B1879" s="105" t="s">
        <v>3069</v>
      </c>
      <c r="C1879" s="105" t="s">
        <v>3070</v>
      </c>
      <c r="D1879" s="105">
        <v>0</v>
      </c>
      <c r="E1879" s="105">
        <v>0</v>
      </c>
      <c r="F1879" s="105">
        <v>0</v>
      </c>
    </row>
    <row r="1880" spans="1:6" x14ac:dyDescent="0.25">
      <c r="A1880" s="105">
        <f t="shared" si="29"/>
        <v>5101342</v>
      </c>
      <c r="B1880" s="105" t="s">
        <v>3071</v>
      </c>
      <c r="C1880" s="105" t="s">
        <v>3072</v>
      </c>
      <c r="D1880" s="105">
        <v>37456.239999999998</v>
      </c>
      <c r="E1880" s="105">
        <v>22473.74</v>
      </c>
      <c r="F1880" s="105">
        <v>3</v>
      </c>
    </row>
    <row r="1881" spans="1:6" x14ac:dyDescent="0.25">
      <c r="A1881" s="105" t="str">
        <f t="shared" si="29"/>
        <v/>
      </c>
      <c r="B1881" s="105" t="s">
        <v>3073</v>
      </c>
      <c r="C1881" s="105" t="s">
        <v>8</v>
      </c>
      <c r="D1881" s="105">
        <v>0</v>
      </c>
      <c r="E1881" s="105">
        <v>0</v>
      </c>
      <c r="F1881" s="105">
        <v>0</v>
      </c>
    </row>
    <row r="1882" spans="1:6" x14ac:dyDescent="0.25">
      <c r="A1882" s="105">
        <f t="shared" si="29"/>
        <v>5101350</v>
      </c>
      <c r="B1882" s="105" t="s">
        <v>3074</v>
      </c>
      <c r="C1882" s="105" t="s">
        <v>3075</v>
      </c>
      <c r="D1882" s="105">
        <v>17000</v>
      </c>
      <c r="E1882" s="105">
        <v>10200</v>
      </c>
      <c r="F1882" s="105">
        <v>0</v>
      </c>
    </row>
    <row r="1883" spans="1:6" x14ac:dyDescent="0.25">
      <c r="A1883" s="105" t="str">
        <f t="shared" si="29"/>
        <v/>
      </c>
      <c r="B1883" s="105" t="s">
        <v>3076</v>
      </c>
      <c r="C1883" s="105" t="s">
        <v>8</v>
      </c>
      <c r="D1883" s="105">
        <v>0</v>
      </c>
      <c r="E1883" s="105">
        <v>0</v>
      </c>
      <c r="F1883" s="105">
        <v>0</v>
      </c>
    </row>
    <row r="1884" spans="1:6" x14ac:dyDescent="0.25">
      <c r="A1884" s="105">
        <f t="shared" si="29"/>
        <v>5101370</v>
      </c>
      <c r="B1884" s="105" t="s">
        <v>3077</v>
      </c>
      <c r="C1884" s="105" t="s">
        <v>3078</v>
      </c>
      <c r="D1884" s="105">
        <v>17000</v>
      </c>
      <c r="E1884" s="105">
        <v>10200</v>
      </c>
      <c r="F1884" s="105">
        <v>0</v>
      </c>
    </row>
    <row r="1885" spans="1:6" x14ac:dyDescent="0.25">
      <c r="A1885" s="105" t="str">
        <f t="shared" si="29"/>
        <v/>
      </c>
      <c r="B1885" s="105" t="s">
        <v>3079</v>
      </c>
      <c r="C1885" s="105" t="s">
        <v>8</v>
      </c>
      <c r="D1885" s="105">
        <v>0</v>
      </c>
      <c r="E1885" s="105">
        <v>0</v>
      </c>
      <c r="F1885" s="105">
        <v>0</v>
      </c>
    </row>
    <row r="1886" spans="1:6" x14ac:dyDescent="0.25">
      <c r="A1886" s="105">
        <f t="shared" si="29"/>
        <v>5101380</v>
      </c>
      <c r="B1886" s="105" t="s">
        <v>3080</v>
      </c>
      <c r="C1886" s="105" t="s">
        <v>3081</v>
      </c>
      <c r="D1886" s="105">
        <v>0</v>
      </c>
      <c r="E1886" s="105">
        <v>0</v>
      </c>
      <c r="F1886" s="105">
        <v>0</v>
      </c>
    </row>
    <row r="1887" spans="1:6" x14ac:dyDescent="0.25">
      <c r="A1887" s="105" t="str">
        <f t="shared" si="29"/>
        <v/>
      </c>
      <c r="B1887" s="105" t="s">
        <v>3082</v>
      </c>
      <c r="C1887" s="105" t="s">
        <v>8</v>
      </c>
      <c r="D1887" s="105">
        <v>0</v>
      </c>
      <c r="E1887" s="105">
        <v>0</v>
      </c>
      <c r="F1887" s="105">
        <v>0</v>
      </c>
    </row>
    <row r="1888" spans="1:6" x14ac:dyDescent="0.25">
      <c r="A1888" s="105">
        <f t="shared" si="29"/>
        <v>5101381</v>
      </c>
      <c r="B1888" s="105" t="s">
        <v>3083</v>
      </c>
      <c r="C1888" s="105" t="s">
        <v>3084</v>
      </c>
      <c r="D1888" s="105">
        <v>0</v>
      </c>
      <c r="E1888" s="105">
        <v>0</v>
      </c>
      <c r="F1888" s="105">
        <v>0</v>
      </c>
    </row>
    <row r="1889" spans="1:6" x14ac:dyDescent="0.25">
      <c r="A1889" s="105" t="str">
        <f t="shared" si="29"/>
        <v/>
      </c>
      <c r="B1889" s="105" t="s">
        <v>3085</v>
      </c>
      <c r="C1889" s="105" t="s">
        <v>8</v>
      </c>
      <c r="D1889" s="105">
        <v>0</v>
      </c>
      <c r="E1889" s="105">
        <v>0</v>
      </c>
      <c r="F1889" s="105">
        <v>0</v>
      </c>
    </row>
    <row r="1890" spans="1:6" x14ac:dyDescent="0.25">
      <c r="A1890" s="105">
        <f t="shared" si="29"/>
        <v>5101382</v>
      </c>
      <c r="B1890" s="105" t="s">
        <v>3086</v>
      </c>
      <c r="C1890" s="105" t="s">
        <v>3087</v>
      </c>
      <c r="D1890" s="105">
        <v>0</v>
      </c>
      <c r="E1890" s="105">
        <v>0</v>
      </c>
      <c r="F1890" s="105">
        <v>0</v>
      </c>
    </row>
    <row r="1891" spans="1:6" x14ac:dyDescent="0.25">
      <c r="A1891" s="105">
        <f t="shared" si="29"/>
        <v>5101390</v>
      </c>
      <c r="B1891" s="105" t="s">
        <v>3088</v>
      </c>
      <c r="C1891" s="105" t="s">
        <v>3089</v>
      </c>
      <c r="D1891" s="105">
        <v>61045.4</v>
      </c>
      <c r="E1891" s="105">
        <v>36627.24</v>
      </c>
      <c r="F1891" s="105">
        <v>4</v>
      </c>
    </row>
    <row r="1892" spans="1:6" x14ac:dyDescent="0.25">
      <c r="A1892" s="105">
        <f t="shared" si="29"/>
        <v>5101391</v>
      </c>
      <c r="B1892" s="105" t="s">
        <v>3090</v>
      </c>
      <c r="C1892" s="105" t="s">
        <v>3091</v>
      </c>
      <c r="D1892" s="105">
        <v>61045.4</v>
      </c>
      <c r="E1892" s="105">
        <v>36627.24</v>
      </c>
      <c r="F1892" s="105">
        <v>2</v>
      </c>
    </row>
    <row r="1893" spans="1:6" x14ac:dyDescent="0.25">
      <c r="A1893" s="105" t="str">
        <f t="shared" si="29"/>
        <v/>
      </c>
      <c r="B1893" s="105" t="s">
        <v>3092</v>
      </c>
      <c r="C1893" s="105" t="s">
        <v>8</v>
      </c>
      <c r="D1893" s="105">
        <v>0</v>
      </c>
      <c r="E1893" s="105">
        <v>0</v>
      </c>
      <c r="F1893" s="105">
        <v>0</v>
      </c>
    </row>
    <row r="1894" spans="1:6" x14ac:dyDescent="0.25">
      <c r="A1894" s="105">
        <f t="shared" si="29"/>
        <v>5101392</v>
      </c>
      <c r="B1894" s="105" t="s">
        <v>3093</v>
      </c>
      <c r="C1894" s="105" t="s">
        <v>3094</v>
      </c>
      <c r="D1894" s="105">
        <v>0</v>
      </c>
      <c r="E1894" s="105">
        <v>0</v>
      </c>
      <c r="F1894" s="105">
        <v>0</v>
      </c>
    </row>
    <row r="1895" spans="1:6" x14ac:dyDescent="0.25">
      <c r="A1895" s="105" t="str">
        <f t="shared" si="29"/>
        <v/>
      </c>
      <c r="B1895" s="105" t="s">
        <v>3095</v>
      </c>
      <c r="C1895" s="105" t="s">
        <v>8</v>
      </c>
      <c r="D1895" s="105">
        <v>0</v>
      </c>
      <c r="E1895" s="105">
        <v>0</v>
      </c>
      <c r="F1895" s="105">
        <v>0</v>
      </c>
    </row>
    <row r="1896" spans="1:6" x14ac:dyDescent="0.25">
      <c r="A1896" s="105">
        <f t="shared" si="29"/>
        <v>5101410</v>
      </c>
      <c r="B1896" s="105" t="s">
        <v>3096</v>
      </c>
      <c r="C1896" s="105" t="s">
        <v>3097</v>
      </c>
      <c r="D1896" s="105">
        <v>17000</v>
      </c>
      <c r="E1896" s="105">
        <v>10200</v>
      </c>
      <c r="F1896" s="105">
        <v>0</v>
      </c>
    </row>
    <row r="1897" spans="1:6" x14ac:dyDescent="0.25">
      <c r="A1897" s="105" t="str">
        <f t="shared" si="29"/>
        <v/>
      </c>
      <c r="B1897" s="105" t="s">
        <v>3098</v>
      </c>
      <c r="C1897" s="105" t="s">
        <v>8</v>
      </c>
      <c r="D1897" s="105">
        <v>0</v>
      </c>
      <c r="E1897" s="105">
        <v>0</v>
      </c>
      <c r="F1897" s="105">
        <v>0</v>
      </c>
    </row>
    <row r="1898" spans="1:6" x14ac:dyDescent="0.25">
      <c r="A1898" s="105">
        <f t="shared" si="29"/>
        <v>5101411</v>
      </c>
      <c r="B1898" s="105" t="s">
        <v>3099</v>
      </c>
      <c r="C1898" s="105" t="s">
        <v>3100</v>
      </c>
      <c r="D1898" s="105">
        <v>0</v>
      </c>
      <c r="E1898" s="105">
        <v>0</v>
      </c>
      <c r="F1898" s="105">
        <v>0</v>
      </c>
    </row>
    <row r="1899" spans="1:6" x14ac:dyDescent="0.25">
      <c r="A1899" s="105" t="str">
        <f t="shared" si="29"/>
        <v/>
      </c>
      <c r="B1899" s="105" t="s">
        <v>3101</v>
      </c>
      <c r="C1899" s="105" t="s">
        <v>8</v>
      </c>
      <c r="D1899" s="105">
        <v>0</v>
      </c>
      <c r="E1899" s="105">
        <v>0</v>
      </c>
      <c r="F1899" s="105">
        <v>0</v>
      </c>
    </row>
    <row r="1900" spans="1:6" x14ac:dyDescent="0.25">
      <c r="A1900" s="105">
        <f t="shared" si="29"/>
        <v>5101437</v>
      </c>
      <c r="B1900" s="105" t="s">
        <v>3102</v>
      </c>
      <c r="C1900" s="105" t="s">
        <v>3103</v>
      </c>
      <c r="D1900" s="105">
        <v>0</v>
      </c>
      <c r="E1900" s="105">
        <v>0</v>
      </c>
      <c r="F1900" s="105">
        <v>0</v>
      </c>
    </row>
    <row r="1901" spans="1:6" x14ac:dyDescent="0.25">
      <c r="A1901" s="105" t="str">
        <f t="shared" si="29"/>
        <v/>
      </c>
      <c r="B1901" s="105" t="s">
        <v>3104</v>
      </c>
      <c r="C1901" s="105" t="s">
        <v>8</v>
      </c>
      <c r="D1901" s="105">
        <v>0</v>
      </c>
      <c r="E1901" s="105">
        <v>0</v>
      </c>
      <c r="F1901" s="105">
        <v>0</v>
      </c>
    </row>
    <row r="1902" spans="1:6" x14ac:dyDescent="0.25">
      <c r="A1902" s="105">
        <f t="shared" si="29"/>
        <v>5101438</v>
      </c>
      <c r="B1902" s="105" t="s">
        <v>3105</v>
      </c>
      <c r="C1902" s="105" t="s">
        <v>3106</v>
      </c>
      <c r="D1902" s="105">
        <v>0</v>
      </c>
      <c r="E1902" s="105">
        <v>0</v>
      </c>
      <c r="F1902" s="105">
        <v>0</v>
      </c>
    </row>
    <row r="1903" spans="1:6" x14ac:dyDescent="0.25">
      <c r="A1903" s="105">
        <f t="shared" si="29"/>
        <v>5101439</v>
      </c>
      <c r="B1903" s="105" t="s">
        <v>3107</v>
      </c>
      <c r="C1903" s="105" t="s">
        <v>3108</v>
      </c>
      <c r="D1903" s="105">
        <v>61045.4</v>
      </c>
      <c r="E1903" s="105">
        <v>36627.24</v>
      </c>
      <c r="F1903" s="105">
        <v>1</v>
      </c>
    </row>
    <row r="1904" spans="1:6" x14ac:dyDescent="0.25">
      <c r="A1904" s="105" t="str">
        <f t="shared" si="29"/>
        <v/>
      </c>
      <c r="B1904" s="105" t="s">
        <v>3109</v>
      </c>
      <c r="C1904" s="105" t="s">
        <v>8</v>
      </c>
      <c r="D1904" s="105">
        <v>0</v>
      </c>
      <c r="E1904" s="105">
        <v>0</v>
      </c>
      <c r="F1904" s="105">
        <v>0</v>
      </c>
    </row>
    <row r="1905" spans="1:6" x14ac:dyDescent="0.25">
      <c r="A1905" s="105">
        <f t="shared" si="29"/>
        <v>5101440</v>
      </c>
      <c r="B1905" s="105" t="s">
        <v>3110</v>
      </c>
      <c r="C1905" s="105" t="s">
        <v>3111</v>
      </c>
      <c r="D1905" s="105">
        <v>0</v>
      </c>
      <c r="E1905" s="105">
        <v>0</v>
      </c>
      <c r="F1905" s="105">
        <v>0</v>
      </c>
    </row>
    <row r="1906" spans="1:6" x14ac:dyDescent="0.25">
      <c r="A1906" s="105">
        <f t="shared" si="29"/>
        <v>5101443</v>
      </c>
      <c r="B1906" s="105" t="s">
        <v>3112</v>
      </c>
      <c r="C1906" s="105" t="s">
        <v>3113</v>
      </c>
      <c r="D1906" s="105">
        <v>63600</v>
      </c>
      <c r="E1906" s="105">
        <v>38160</v>
      </c>
      <c r="F1906" s="105">
        <v>1</v>
      </c>
    </row>
    <row r="1907" spans="1:6" x14ac:dyDescent="0.25">
      <c r="A1907" s="105">
        <f t="shared" si="29"/>
        <v>5101445</v>
      </c>
      <c r="B1907" s="105" t="s">
        <v>3114</v>
      </c>
      <c r="C1907" s="105" t="s">
        <v>3115</v>
      </c>
      <c r="D1907" s="105">
        <v>60692.63</v>
      </c>
      <c r="E1907" s="105">
        <v>36415.58</v>
      </c>
      <c r="F1907" s="105">
        <v>7</v>
      </c>
    </row>
    <row r="1908" spans="1:6" x14ac:dyDescent="0.25">
      <c r="A1908" s="105" t="str">
        <f t="shared" si="29"/>
        <v/>
      </c>
      <c r="B1908" s="105" t="s">
        <v>3116</v>
      </c>
      <c r="C1908" s="105" t="s">
        <v>8</v>
      </c>
      <c r="D1908" s="105">
        <v>0</v>
      </c>
      <c r="E1908" s="105">
        <v>0</v>
      </c>
      <c r="F1908" s="105">
        <v>0</v>
      </c>
    </row>
    <row r="1909" spans="1:6" x14ac:dyDescent="0.25">
      <c r="A1909" s="105">
        <f t="shared" si="29"/>
        <v>5101446</v>
      </c>
      <c r="B1909" s="105" t="s">
        <v>3117</v>
      </c>
      <c r="C1909" s="105" t="s">
        <v>3118</v>
      </c>
      <c r="D1909" s="105">
        <v>0</v>
      </c>
      <c r="E1909" s="105">
        <v>0</v>
      </c>
      <c r="F1909" s="105">
        <v>0</v>
      </c>
    </row>
    <row r="1910" spans="1:6" x14ac:dyDescent="0.25">
      <c r="A1910" s="105" t="str">
        <f t="shared" si="29"/>
        <v/>
      </c>
      <c r="B1910" s="105" t="s">
        <v>3119</v>
      </c>
      <c r="C1910" s="105" t="s">
        <v>8</v>
      </c>
      <c r="D1910" s="105">
        <v>0</v>
      </c>
      <c r="E1910" s="105">
        <v>0</v>
      </c>
      <c r="F1910" s="105">
        <v>0</v>
      </c>
    </row>
    <row r="1911" spans="1:6" x14ac:dyDescent="0.25">
      <c r="A1911" s="105">
        <f t="shared" si="29"/>
        <v>5101447</v>
      </c>
      <c r="B1911" s="105" t="s">
        <v>3120</v>
      </c>
      <c r="C1911" s="105" t="s">
        <v>3121</v>
      </c>
      <c r="D1911" s="105">
        <v>0</v>
      </c>
      <c r="E1911" s="105">
        <v>0</v>
      </c>
      <c r="F1911" s="105">
        <v>0</v>
      </c>
    </row>
    <row r="1912" spans="1:6" x14ac:dyDescent="0.25">
      <c r="A1912" s="105" t="str">
        <f t="shared" si="29"/>
        <v/>
      </c>
      <c r="B1912" s="105" t="s">
        <v>3122</v>
      </c>
      <c r="C1912" s="105" t="s">
        <v>8</v>
      </c>
      <c r="D1912" s="105">
        <v>0</v>
      </c>
      <c r="E1912" s="105">
        <v>0</v>
      </c>
      <c r="F1912" s="105">
        <v>0</v>
      </c>
    </row>
    <row r="1913" spans="1:6" x14ac:dyDescent="0.25">
      <c r="A1913" s="105">
        <f t="shared" si="29"/>
        <v>5101448</v>
      </c>
      <c r="B1913" s="105" t="s">
        <v>3123</v>
      </c>
      <c r="C1913" s="105" t="s">
        <v>3124</v>
      </c>
      <c r="D1913" s="105">
        <v>0</v>
      </c>
      <c r="E1913" s="105">
        <v>0</v>
      </c>
      <c r="F1913" s="105">
        <v>0</v>
      </c>
    </row>
    <row r="1914" spans="1:6" x14ac:dyDescent="0.25">
      <c r="A1914" s="105" t="str">
        <f t="shared" si="29"/>
        <v/>
      </c>
      <c r="B1914" s="105" t="s">
        <v>3125</v>
      </c>
      <c r="C1914" s="105" t="s">
        <v>8</v>
      </c>
      <c r="D1914" s="105">
        <v>0</v>
      </c>
      <c r="E1914" s="105">
        <v>0</v>
      </c>
      <c r="F1914" s="105">
        <v>0</v>
      </c>
    </row>
    <row r="1915" spans="1:6" x14ac:dyDescent="0.25">
      <c r="A1915" s="105">
        <f t="shared" si="29"/>
        <v>5101456</v>
      </c>
      <c r="B1915" s="105" t="s">
        <v>3126</v>
      </c>
      <c r="C1915" s="105" t="s">
        <v>3127</v>
      </c>
      <c r="D1915" s="105">
        <v>0</v>
      </c>
      <c r="E1915" s="105">
        <v>0</v>
      </c>
      <c r="F1915" s="105">
        <v>0</v>
      </c>
    </row>
    <row r="1916" spans="1:6" x14ac:dyDescent="0.25">
      <c r="A1916" s="105" t="str">
        <f t="shared" si="29"/>
        <v/>
      </c>
      <c r="B1916" s="105" t="s">
        <v>3128</v>
      </c>
      <c r="C1916" s="105" t="s">
        <v>8</v>
      </c>
      <c r="D1916" s="105">
        <v>0</v>
      </c>
      <c r="E1916" s="105">
        <v>0</v>
      </c>
      <c r="F1916" s="105">
        <v>0</v>
      </c>
    </row>
    <row r="1917" spans="1:6" x14ac:dyDescent="0.25">
      <c r="A1917" s="105">
        <f t="shared" si="29"/>
        <v>5101457</v>
      </c>
      <c r="B1917" s="105" t="s">
        <v>3129</v>
      </c>
      <c r="C1917" s="105" t="s">
        <v>3130</v>
      </c>
      <c r="D1917" s="105">
        <v>0</v>
      </c>
      <c r="E1917" s="105">
        <v>0</v>
      </c>
      <c r="F1917" s="105">
        <v>0</v>
      </c>
    </row>
    <row r="1918" spans="1:6" x14ac:dyDescent="0.25">
      <c r="A1918" s="105">
        <f t="shared" si="29"/>
        <v>5101458</v>
      </c>
      <c r="B1918" s="105" t="s">
        <v>3131</v>
      </c>
      <c r="C1918" s="105" t="s">
        <v>3132</v>
      </c>
      <c r="D1918" s="105">
        <v>0</v>
      </c>
      <c r="E1918" s="105">
        <v>0</v>
      </c>
      <c r="F1918" s="105">
        <v>0</v>
      </c>
    </row>
    <row r="1919" spans="1:6" x14ac:dyDescent="0.25">
      <c r="A1919" s="105">
        <f t="shared" si="29"/>
        <v>5101495</v>
      </c>
      <c r="B1919" s="105" t="s">
        <v>3133</v>
      </c>
      <c r="C1919" s="105" t="s">
        <v>3134</v>
      </c>
      <c r="D1919" s="105">
        <v>0</v>
      </c>
      <c r="E1919" s="105">
        <v>0</v>
      </c>
      <c r="F1919" s="105">
        <v>8</v>
      </c>
    </row>
    <row r="1920" spans="1:6" x14ac:dyDescent="0.25">
      <c r="A1920" s="105" t="str">
        <f t="shared" si="29"/>
        <v/>
      </c>
      <c r="B1920" s="105" t="s">
        <v>3135</v>
      </c>
      <c r="C1920" s="105" t="s">
        <v>8</v>
      </c>
      <c r="D1920" s="105">
        <v>0</v>
      </c>
      <c r="E1920" s="105">
        <v>0</v>
      </c>
      <c r="F1920" s="105">
        <v>0</v>
      </c>
    </row>
    <row r="1921" spans="1:6" x14ac:dyDescent="0.25">
      <c r="A1921" s="105">
        <f t="shared" si="29"/>
        <v>5101496</v>
      </c>
      <c r="B1921" s="105" t="s">
        <v>3136</v>
      </c>
      <c r="C1921" s="105" t="s">
        <v>3137</v>
      </c>
      <c r="D1921" s="105">
        <v>0</v>
      </c>
      <c r="E1921" s="105">
        <v>0</v>
      </c>
      <c r="F1921" s="105">
        <v>0</v>
      </c>
    </row>
    <row r="1922" spans="1:6" x14ac:dyDescent="0.25">
      <c r="A1922" s="105">
        <f t="shared" si="29"/>
        <v>5101500</v>
      </c>
      <c r="B1922" s="105" t="s">
        <v>3138</v>
      </c>
      <c r="C1922" s="105" t="s">
        <v>3139</v>
      </c>
      <c r="D1922" s="105">
        <v>0</v>
      </c>
      <c r="E1922" s="105">
        <v>0</v>
      </c>
      <c r="F1922" s="105">
        <v>0</v>
      </c>
    </row>
    <row r="1923" spans="1:6" x14ac:dyDescent="0.25">
      <c r="A1923" s="105">
        <f t="shared" ref="A1923:A1986" si="30">IF(B1923&lt;&gt;"",IFERROR(B1923*1,""),"")</f>
        <v>5101501</v>
      </c>
      <c r="B1923" s="105" t="s">
        <v>3140</v>
      </c>
      <c r="C1923" s="105" t="s">
        <v>3141</v>
      </c>
      <c r="D1923" s="105">
        <v>0</v>
      </c>
      <c r="E1923" s="105">
        <v>0</v>
      </c>
      <c r="F1923" s="105">
        <v>0</v>
      </c>
    </row>
    <row r="1924" spans="1:6" x14ac:dyDescent="0.25">
      <c r="A1924" s="105" t="str">
        <f t="shared" si="30"/>
        <v/>
      </c>
      <c r="B1924" s="105" t="s">
        <v>3142</v>
      </c>
      <c r="C1924" s="105" t="s">
        <v>8</v>
      </c>
      <c r="D1924" s="105">
        <v>0</v>
      </c>
      <c r="E1924" s="105">
        <v>0</v>
      </c>
      <c r="F1924" s="105">
        <v>0</v>
      </c>
    </row>
    <row r="1925" spans="1:6" x14ac:dyDescent="0.25">
      <c r="A1925" s="105">
        <f t="shared" si="30"/>
        <v>5101502</v>
      </c>
      <c r="B1925" s="105" t="s">
        <v>3143</v>
      </c>
      <c r="C1925" s="105" t="s">
        <v>3144</v>
      </c>
      <c r="D1925" s="105">
        <v>0</v>
      </c>
      <c r="E1925" s="105">
        <v>0</v>
      </c>
      <c r="F1925" s="105">
        <v>0</v>
      </c>
    </row>
    <row r="1926" spans="1:6" x14ac:dyDescent="0.25">
      <c r="A1926" s="105" t="str">
        <f t="shared" si="30"/>
        <v/>
      </c>
      <c r="B1926" s="105" t="s">
        <v>3145</v>
      </c>
      <c r="C1926" s="105" t="s">
        <v>8</v>
      </c>
      <c r="D1926" s="105">
        <v>0</v>
      </c>
      <c r="E1926" s="105">
        <v>0</v>
      </c>
      <c r="F1926" s="105">
        <v>0</v>
      </c>
    </row>
    <row r="1927" spans="1:6" x14ac:dyDescent="0.25">
      <c r="A1927" s="105">
        <f t="shared" si="30"/>
        <v>5101503</v>
      </c>
      <c r="B1927" s="105" t="s">
        <v>3146</v>
      </c>
      <c r="C1927" s="105" t="s">
        <v>3147</v>
      </c>
      <c r="D1927" s="105">
        <v>0</v>
      </c>
      <c r="E1927" s="105">
        <v>0</v>
      </c>
      <c r="F1927" s="105">
        <v>0</v>
      </c>
    </row>
    <row r="1928" spans="1:6" x14ac:dyDescent="0.25">
      <c r="A1928" s="105" t="str">
        <f t="shared" si="30"/>
        <v/>
      </c>
      <c r="B1928" s="105" t="s">
        <v>3148</v>
      </c>
      <c r="C1928" s="105" t="s">
        <v>8</v>
      </c>
      <c r="D1928" s="105">
        <v>0</v>
      </c>
      <c r="E1928" s="105">
        <v>0</v>
      </c>
      <c r="F1928" s="105">
        <v>0</v>
      </c>
    </row>
    <row r="1929" spans="1:6" x14ac:dyDescent="0.25">
      <c r="A1929" s="105">
        <f t="shared" si="30"/>
        <v>5101504</v>
      </c>
      <c r="B1929" s="105" t="s">
        <v>3149</v>
      </c>
      <c r="C1929" s="105" t="s">
        <v>3150</v>
      </c>
      <c r="D1929" s="105">
        <v>0</v>
      </c>
      <c r="E1929" s="105">
        <v>0</v>
      </c>
      <c r="F1929" s="105">
        <v>0</v>
      </c>
    </row>
    <row r="1930" spans="1:6" x14ac:dyDescent="0.25">
      <c r="A1930" s="105" t="str">
        <f t="shared" si="30"/>
        <v/>
      </c>
      <c r="B1930" s="105" t="s">
        <v>3151</v>
      </c>
      <c r="C1930" s="105" t="s">
        <v>8</v>
      </c>
      <c r="D1930" s="105">
        <v>0</v>
      </c>
      <c r="E1930" s="105">
        <v>0</v>
      </c>
      <c r="F1930" s="105">
        <v>0</v>
      </c>
    </row>
    <row r="1931" spans="1:6" x14ac:dyDescent="0.25">
      <c r="A1931" s="105">
        <f t="shared" si="30"/>
        <v>5101505</v>
      </c>
      <c r="B1931" s="105" t="s">
        <v>3152</v>
      </c>
      <c r="C1931" s="105" t="s">
        <v>3153</v>
      </c>
      <c r="D1931" s="105">
        <v>0</v>
      </c>
      <c r="E1931" s="105">
        <v>0</v>
      </c>
      <c r="F1931" s="105">
        <v>0</v>
      </c>
    </row>
    <row r="1932" spans="1:6" x14ac:dyDescent="0.25">
      <c r="A1932" s="105" t="str">
        <f t="shared" si="30"/>
        <v/>
      </c>
      <c r="B1932" s="105" t="s">
        <v>3154</v>
      </c>
      <c r="C1932" s="105" t="s">
        <v>8</v>
      </c>
      <c r="D1932" s="105">
        <v>0</v>
      </c>
      <c r="E1932" s="105">
        <v>0</v>
      </c>
      <c r="F1932" s="105">
        <v>0</v>
      </c>
    </row>
    <row r="1933" spans="1:6" x14ac:dyDescent="0.25">
      <c r="A1933" s="105">
        <f t="shared" si="30"/>
        <v>5101506</v>
      </c>
      <c r="B1933" s="105" t="s">
        <v>3155</v>
      </c>
      <c r="C1933" s="105" t="s">
        <v>3156</v>
      </c>
      <c r="D1933" s="105">
        <v>0</v>
      </c>
      <c r="E1933" s="105">
        <v>0</v>
      </c>
      <c r="F1933" s="105">
        <v>0</v>
      </c>
    </row>
    <row r="1934" spans="1:6" x14ac:dyDescent="0.25">
      <c r="A1934" s="105" t="str">
        <f t="shared" si="30"/>
        <v/>
      </c>
      <c r="B1934" s="105" t="s">
        <v>3157</v>
      </c>
      <c r="C1934" s="105" t="s">
        <v>8</v>
      </c>
      <c r="D1934" s="105">
        <v>0</v>
      </c>
      <c r="E1934" s="105">
        <v>0</v>
      </c>
      <c r="F1934" s="105">
        <v>0</v>
      </c>
    </row>
    <row r="1935" spans="1:6" x14ac:dyDescent="0.25">
      <c r="A1935" s="105">
        <f t="shared" si="30"/>
        <v>5101507</v>
      </c>
      <c r="B1935" s="105" t="s">
        <v>3158</v>
      </c>
      <c r="C1935" s="105" t="s">
        <v>3159</v>
      </c>
      <c r="D1935" s="105">
        <v>0</v>
      </c>
      <c r="E1935" s="105">
        <v>0</v>
      </c>
      <c r="F1935" s="105">
        <v>0</v>
      </c>
    </row>
    <row r="1936" spans="1:6" x14ac:dyDescent="0.25">
      <c r="A1936" s="105" t="str">
        <f t="shared" si="30"/>
        <v/>
      </c>
      <c r="B1936" s="105" t="s">
        <v>3160</v>
      </c>
      <c r="C1936" s="105" t="s">
        <v>8</v>
      </c>
      <c r="D1936" s="105">
        <v>0</v>
      </c>
      <c r="E1936" s="105">
        <v>0</v>
      </c>
      <c r="F1936" s="105">
        <v>0</v>
      </c>
    </row>
    <row r="1937" spans="1:6" x14ac:dyDescent="0.25">
      <c r="A1937" s="105">
        <f t="shared" si="30"/>
        <v>5101508</v>
      </c>
      <c r="B1937" s="105" t="s">
        <v>3161</v>
      </c>
      <c r="C1937" s="105" t="s">
        <v>3162</v>
      </c>
      <c r="D1937" s="105">
        <v>0</v>
      </c>
      <c r="E1937" s="105">
        <v>0</v>
      </c>
      <c r="F1937" s="105">
        <v>0</v>
      </c>
    </row>
    <row r="1938" spans="1:6" x14ac:dyDescent="0.25">
      <c r="A1938" s="105" t="str">
        <f t="shared" si="30"/>
        <v/>
      </c>
      <c r="B1938" s="105" t="s">
        <v>3163</v>
      </c>
      <c r="C1938" s="105" t="s">
        <v>8</v>
      </c>
      <c r="D1938" s="105">
        <v>0</v>
      </c>
      <c r="E1938" s="105">
        <v>0</v>
      </c>
      <c r="F1938" s="105">
        <v>0</v>
      </c>
    </row>
    <row r="1939" spans="1:6" x14ac:dyDescent="0.25">
      <c r="A1939" s="105">
        <f t="shared" si="30"/>
        <v>5101509</v>
      </c>
      <c r="B1939" s="105" t="s">
        <v>3164</v>
      </c>
      <c r="C1939" s="105" t="s">
        <v>3165</v>
      </c>
      <c r="D1939" s="105">
        <v>0</v>
      </c>
      <c r="E1939" s="105">
        <v>0</v>
      </c>
      <c r="F1939" s="105">
        <v>0</v>
      </c>
    </row>
    <row r="1940" spans="1:6" x14ac:dyDescent="0.25">
      <c r="A1940" s="105" t="str">
        <f t="shared" si="30"/>
        <v/>
      </c>
      <c r="B1940" s="105" t="s">
        <v>3166</v>
      </c>
      <c r="C1940" s="105" t="s">
        <v>8</v>
      </c>
      <c r="D1940" s="105">
        <v>0</v>
      </c>
      <c r="E1940" s="105">
        <v>0</v>
      </c>
      <c r="F1940" s="105">
        <v>0</v>
      </c>
    </row>
    <row r="1941" spans="1:6" x14ac:dyDescent="0.25">
      <c r="A1941" s="105">
        <f t="shared" si="30"/>
        <v>5101510</v>
      </c>
      <c r="B1941" s="105" t="s">
        <v>3167</v>
      </c>
      <c r="C1941" s="105" t="s">
        <v>3168</v>
      </c>
      <c r="D1941" s="105">
        <v>0</v>
      </c>
      <c r="E1941" s="105">
        <v>0</v>
      </c>
      <c r="F1941" s="105">
        <v>0</v>
      </c>
    </row>
    <row r="1942" spans="1:6" x14ac:dyDescent="0.25">
      <c r="A1942" s="105" t="str">
        <f t="shared" si="30"/>
        <v/>
      </c>
      <c r="B1942" s="105" t="s">
        <v>3169</v>
      </c>
      <c r="C1942" s="105" t="s">
        <v>8</v>
      </c>
      <c r="D1942" s="105">
        <v>0</v>
      </c>
      <c r="E1942" s="105">
        <v>0</v>
      </c>
      <c r="F1942" s="105">
        <v>0</v>
      </c>
    </row>
    <row r="1943" spans="1:6" x14ac:dyDescent="0.25">
      <c r="A1943" s="105">
        <f t="shared" si="30"/>
        <v>5101511</v>
      </c>
      <c r="B1943" s="105" t="s">
        <v>3170</v>
      </c>
      <c r="C1943" s="105" t="s">
        <v>3171</v>
      </c>
      <c r="D1943" s="105">
        <v>0</v>
      </c>
      <c r="E1943" s="105">
        <v>0</v>
      </c>
      <c r="F1943" s="105">
        <v>0</v>
      </c>
    </row>
    <row r="1944" spans="1:6" x14ac:dyDescent="0.25">
      <c r="A1944" s="105">
        <f t="shared" si="30"/>
        <v>5101555</v>
      </c>
      <c r="B1944" s="105" t="s">
        <v>3172</v>
      </c>
      <c r="C1944" s="105" t="s">
        <v>9298</v>
      </c>
      <c r="D1944" s="105">
        <v>9857.99</v>
      </c>
      <c r="E1944" s="105">
        <v>5914.79</v>
      </c>
      <c r="F1944" s="105">
        <v>0</v>
      </c>
    </row>
    <row r="1945" spans="1:6" x14ac:dyDescent="0.25">
      <c r="A1945" s="105">
        <f t="shared" si="30"/>
        <v>5101556</v>
      </c>
      <c r="B1945" s="105" t="s">
        <v>3173</v>
      </c>
      <c r="C1945" s="105" t="s">
        <v>9299</v>
      </c>
      <c r="D1945" s="105">
        <v>9480.6299999999992</v>
      </c>
      <c r="E1945" s="105">
        <v>5688.38</v>
      </c>
      <c r="F1945" s="105">
        <v>19</v>
      </c>
    </row>
    <row r="1946" spans="1:6" x14ac:dyDescent="0.25">
      <c r="A1946" s="105">
        <f t="shared" si="30"/>
        <v>5101557</v>
      </c>
      <c r="B1946" s="105" t="s">
        <v>3174</v>
      </c>
      <c r="C1946" s="105" t="s">
        <v>3175</v>
      </c>
      <c r="D1946" s="105">
        <v>9480.6299999999992</v>
      </c>
      <c r="E1946" s="105">
        <v>5688.38</v>
      </c>
      <c r="F1946" s="105">
        <v>7</v>
      </c>
    </row>
    <row r="1947" spans="1:6" x14ac:dyDescent="0.25">
      <c r="A1947" s="105">
        <f t="shared" si="30"/>
        <v>5101558</v>
      </c>
      <c r="B1947" s="105" t="s">
        <v>3176</v>
      </c>
      <c r="C1947" s="105" t="s">
        <v>3177</v>
      </c>
      <c r="D1947" s="105">
        <v>0</v>
      </c>
      <c r="E1947" s="105">
        <v>0</v>
      </c>
      <c r="F1947" s="105">
        <v>0</v>
      </c>
    </row>
    <row r="1948" spans="1:6" x14ac:dyDescent="0.25">
      <c r="A1948" s="105">
        <f t="shared" si="30"/>
        <v>5101559</v>
      </c>
      <c r="B1948" s="105" t="s">
        <v>3178</v>
      </c>
      <c r="C1948" s="105" t="s">
        <v>9300</v>
      </c>
      <c r="D1948" s="105">
        <v>9811.35</v>
      </c>
      <c r="E1948" s="105">
        <v>5886.81</v>
      </c>
      <c r="F1948" s="105">
        <v>12</v>
      </c>
    </row>
    <row r="1949" spans="1:6" x14ac:dyDescent="0.25">
      <c r="A1949" s="105" t="str">
        <f t="shared" si="30"/>
        <v/>
      </c>
      <c r="B1949" s="105" t="s">
        <v>3179</v>
      </c>
      <c r="C1949" s="105" t="s">
        <v>8</v>
      </c>
      <c r="D1949" s="105">
        <v>0</v>
      </c>
      <c r="E1949" s="105">
        <v>0</v>
      </c>
      <c r="F1949" s="105">
        <v>0</v>
      </c>
    </row>
    <row r="1950" spans="1:6" x14ac:dyDescent="0.25">
      <c r="A1950" s="105">
        <f t="shared" si="30"/>
        <v>5101560</v>
      </c>
      <c r="B1950" s="105" t="s">
        <v>3180</v>
      </c>
      <c r="C1950" s="105" t="s">
        <v>9301</v>
      </c>
      <c r="D1950" s="105">
        <v>9811.35</v>
      </c>
      <c r="E1950" s="105">
        <v>5886.81</v>
      </c>
      <c r="F1950" s="105">
        <v>0</v>
      </c>
    </row>
    <row r="1951" spans="1:6" x14ac:dyDescent="0.25">
      <c r="A1951" s="105">
        <f t="shared" si="30"/>
        <v>5101561</v>
      </c>
      <c r="B1951" s="105" t="s">
        <v>3181</v>
      </c>
      <c r="C1951" s="105" t="s">
        <v>9302</v>
      </c>
      <c r="D1951" s="105">
        <v>9811.35</v>
      </c>
      <c r="E1951" s="105">
        <v>5886.81</v>
      </c>
      <c r="F1951" s="105">
        <v>11</v>
      </c>
    </row>
    <row r="1952" spans="1:6" x14ac:dyDescent="0.25">
      <c r="A1952" s="105" t="str">
        <f t="shared" si="30"/>
        <v/>
      </c>
      <c r="B1952" s="105" t="s">
        <v>3182</v>
      </c>
      <c r="C1952" s="105" t="s">
        <v>8</v>
      </c>
      <c r="D1952" s="105">
        <v>0</v>
      </c>
      <c r="E1952" s="105">
        <v>0</v>
      </c>
      <c r="F1952" s="105">
        <v>0</v>
      </c>
    </row>
    <row r="1953" spans="1:6" x14ac:dyDescent="0.25">
      <c r="A1953" s="105">
        <f t="shared" si="30"/>
        <v>5101562</v>
      </c>
      <c r="B1953" s="105" t="s">
        <v>3183</v>
      </c>
      <c r="C1953" s="105" t="s">
        <v>3184</v>
      </c>
      <c r="D1953" s="105">
        <v>0</v>
      </c>
      <c r="E1953" s="105">
        <v>0</v>
      </c>
      <c r="F1953" s="105">
        <v>0</v>
      </c>
    </row>
    <row r="1954" spans="1:6" x14ac:dyDescent="0.25">
      <c r="A1954" s="105">
        <f t="shared" si="30"/>
        <v>5101563</v>
      </c>
      <c r="B1954" s="105" t="s">
        <v>3185</v>
      </c>
      <c r="C1954" s="105" t="s">
        <v>3186</v>
      </c>
      <c r="D1954" s="105">
        <v>0</v>
      </c>
      <c r="E1954" s="105">
        <v>0</v>
      </c>
      <c r="F1954" s="105">
        <v>0</v>
      </c>
    </row>
    <row r="1955" spans="1:6" x14ac:dyDescent="0.25">
      <c r="A1955" s="105">
        <f t="shared" si="30"/>
        <v>5101564</v>
      </c>
      <c r="B1955" s="105" t="s">
        <v>3187</v>
      </c>
      <c r="C1955" s="105" t="s">
        <v>3188</v>
      </c>
      <c r="D1955" s="105">
        <v>0</v>
      </c>
      <c r="E1955" s="105">
        <v>0</v>
      </c>
      <c r="F1955" s="105">
        <v>0</v>
      </c>
    </row>
    <row r="1956" spans="1:6" x14ac:dyDescent="0.25">
      <c r="A1956" s="105">
        <f t="shared" si="30"/>
        <v>5101565</v>
      </c>
      <c r="B1956" s="105" t="s">
        <v>3189</v>
      </c>
      <c r="C1956" s="105" t="s">
        <v>3190</v>
      </c>
      <c r="D1956" s="105">
        <v>9838.92</v>
      </c>
      <c r="E1956" s="105">
        <v>5903.35</v>
      </c>
      <c r="F1956" s="105">
        <v>0</v>
      </c>
    </row>
    <row r="1957" spans="1:6" x14ac:dyDescent="0.25">
      <c r="A1957" s="105">
        <f t="shared" si="30"/>
        <v>5101566</v>
      </c>
      <c r="B1957" s="105" t="s">
        <v>3191</v>
      </c>
      <c r="C1957" s="105" t="s">
        <v>3192</v>
      </c>
      <c r="D1957" s="105">
        <v>10301.93</v>
      </c>
      <c r="E1957" s="105">
        <v>6181.16</v>
      </c>
      <c r="F1957" s="105">
        <v>0</v>
      </c>
    </row>
    <row r="1958" spans="1:6" x14ac:dyDescent="0.25">
      <c r="A1958" s="105">
        <f t="shared" si="30"/>
        <v>5101567</v>
      </c>
      <c r="B1958" s="105" t="s">
        <v>3193</v>
      </c>
      <c r="C1958" s="105" t="s">
        <v>3194</v>
      </c>
      <c r="D1958" s="105">
        <v>0</v>
      </c>
      <c r="E1958" s="105">
        <v>0</v>
      </c>
      <c r="F1958" s="105">
        <v>13</v>
      </c>
    </row>
    <row r="1959" spans="1:6" x14ac:dyDescent="0.25">
      <c r="A1959" s="105" t="str">
        <f t="shared" si="30"/>
        <v/>
      </c>
      <c r="B1959" s="105" t="s">
        <v>3195</v>
      </c>
      <c r="C1959" s="105" t="s">
        <v>8</v>
      </c>
      <c r="D1959" s="105">
        <v>0</v>
      </c>
      <c r="E1959" s="105">
        <v>0</v>
      </c>
      <c r="F1959" s="105">
        <v>0</v>
      </c>
    </row>
    <row r="1960" spans="1:6" x14ac:dyDescent="0.25">
      <c r="A1960" s="105">
        <f t="shared" si="30"/>
        <v>5101568</v>
      </c>
      <c r="B1960" s="105" t="s">
        <v>3196</v>
      </c>
      <c r="C1960" s="105" t="s">
        <v>3197</v>
      </c>
      <c r="D1960" s="105">
        <v>0</v>
      </c>
      <c r="E1960" s="105">
        <v>0</v>
      </c>
      <c r="F1960" s="105">
        <v>0</v>
      </c>
    </row>
    <row r="1961" spans="1:6" x14ac:dyDescent="0.25">
      <c r="A1961" s="105">
        <f t="shared" si="30"/>
        <v>5101569</v>
      </c>
      <c r="B1961" s="105" t="s">
        <v>3198</v>
      </c>
      <c r="C1961" s="105" t="s">
        <v>3199</v>
      </c>
      <c r="D1961" s="105">
        <v>9539.99</v>
      </c>
      <c r="E1961" s="105">
        <v>5723.99</v>
      </c>
      <c r="F1961" s="105">
        <v>0</v>
      </c>
    </row>
    <row r="1962" spans="1:6" x14ac:dyDescent="0.25">
      <c r="A1962" s="105">
        <f t="shared" si="30"/>
        <v>5101570</v>
      </c>
      <c r="B1962" s="105" t="s">
        <v>3200</v>
      </c>
      <c r="C1962" s="105" t="s">
        <v>3201</v>
      </c>
      <c r="D1962" s="105">
        <v>9838.92</v>
      </c>
      <c r="E1962" s="105">
        <v>5903.35</v>
      </c>
      <c r="F1962" s="105">
        <v>0</v>
      </c>
    </row>
    <row r="1963" spans="1:6" x14ac:dyDescent="0.25">
      <c r="A1963" s="105">
        <f t="shared" si="30"/>
        <v>5101600</v>
      </c>
      <c r="B1963" s="105" t="s">
        <v>3202</v>
      </c>
      <c r="C1963" s="105" t="s">
        <v>3203</v>
      </c>
      <c r="D1963" s="105">
        <v>10417.67</v>
      </c>
      <c r="E1963" s="105">
        <v>6250.6</v>
      </c>
      <c r="F1963" s="105">
        <v>0</v>
      </c>
    </row>
    <row r="1964" spans="1:6" x14ac:dyDescent="0.25">
      <c r="A1964" s="105">
        <f t="shared" si="30"/>
        <v>5101601</v>
      </c>
      <c r="B1964" s="105" t="s">
        <v>3204</v>
      </c>
      <c r="C1964" s="105" t="s">
        <v>3205</v>
      </c>
      <c r="D1964" s="105">
        <v>0</v>
      </c>
      <c r="E1964" s="105">
        <v>0</v>
      </c>
      <c r="F1964" s="105">
        <v>0</v>
      </c>
    </row>
    <row r="1965" spans="1:6" x14ac:dyDescent="0.25">
      <c r="A1965" s="105">
        <f t="shared" si="30"/>
        <v>5101625</v>
      </c>
      <c r="B1965" s="105" t="s">
        <v>3206</v>
      </c>
      <c r="C1965" s="105" t="s">
        <v>3207</v>
      </c>
      <c r="D1965" s="105">
        <v>600</v>
      </c>
      <c r="E1965" s="105">
        <v>360</v>
      </c>
      <c r="F1965" s="105">
        <v>27</v>
      </c>
    </row>
    <row r="1966" spans="1:6" x14ac:dyDescent="0.25">
      <c r="A1966" s="105" t="str">
        <f t="shared" si="30"/>
        <v/>
      </c>
      <c r="B1966" s="105" t="s">
        <v>3208</v>
      </c>
      <c r="C1966" s="105" t="s">
        <v>8</v>
      </c>
      <c r="D1966" s="105">
        <v>0</v>
      </c>
      <c r="E1966" s="105">
        <v>0</v>
      </c>
      <c r="F1966" s="105">
        <v>0</v>
      </c>
    </row>
    <row r="1967" spans="1:6" x14ac:dyDescent="0.25">
      <c r="A1967" s="105">
        <f t="shared" si="30"/>
        <v>5101626</v>
      </c>
      <c r="B1967" s="105" t="s">
        <v>3209</v>
      </c>
      <c r="C1967" s="105" t="s">
        <v>3210</v>
      </c>
      <c r="D1967" s="105">
        <v>0</v>
      </c>
      <c r="E1967" s="105">
        <v>0</v>
      </c>
      <c r="F1967" s="105">
        <v>0</v>
      </c>
    </row>
    <row r="1968" spans="1:6" x14ac:dyDescent="0.25">
      <c r="A1968" s="105">
        <f t="shared" si="30"/>
        <v>5101628</v>
      </c>
      <c r="B1968" s="105" t="s">
        <v>3211</v>
      </c>
      <c r="C1968" s="105" t="s">
        <v>132</v>
      </c>
      <c r="D1968" s="105">
        <v>0</v>
      </c>
      <c r="E1968" s="105">
        <v>0</v>
      </c>
      <c r="F1968" s="105">
        <v>0</v>
      </c>
    </row>
    <row r="1969" spans="1:6" x14ac:dyDescent="0.25">
      <c r="A1969" s="105">
        <f t="shared" si="30"/>
        <v>5101654</v>
      </c>
      <c r="B1969" s="105" t="s">
        <v>3212</v>
      </c>
      <c r="C1969" s="105" t="s">
        <v>3213</v>
      </c>
      <c r="D1969" s="105">
        <v>12900</v>
      </c>
      <c r="E1969" s="105">
        <v>7740</v>
      </c>
      <c r="F1969" s="105">
        <v>30</v>
      </c>
    </row>
    <row r="1970" spans="1:6" x14ac:dyDescent="0.25">
      <c r="A1970" s="105" t="str">
        <f t="shared" si="30"/>
        <v/>
      </c>
      <c r="B1970" s="105" t="s">
        <v>3214</v>
      </c>
      <c r="C1970" s="105" t="s">
        <v>8</v>
      </c>
      <c r="D1970" s="105">
        <v>0</v>
      </c>
      <c r="E1970" s="105">
        <v>0</v>
      </c>
      <c r="F1970" s="105">
        <v>0</v>
      </c>
    </row>
    <row r="1971" spans="1:6" x14ac:dyDescent="0.25">
      <c r="A1971" s="105">
        <f t="shared" si="30"/>
        <v>5101655</v>
      </c>
      <c r="B1971" s="105" t="s">
        <v>3215</v>
      </c>
      <c r="C1971" s="105" t="s">
        <v>3216</v>
      </c>
      <c r="D1971" s="105">
        <v>13400</v>
      </c>
      <c r="E1971" s="105">
        <v>8040</v>
      </c>
      <c r="F1971" s="105">
        <v>1</v>
      </c>
    </row>
    <row r="1972" spans="1:6" x14ac:dyDescent="0.25">
      <c r="A1972" s="105">
        <f t="shared" si="30"/>
        <v>5101666</v>
      </c>
      <c r="B1972" s="105" t="s">
        <v>3217</v>
      </c>
      <c r="C1972" s="105" t="s">
        <v>3218</v>
      </c>
      <c r="D1972" s="105">
        <v>16000</v>
      </c>
      <c r="E1972" s="105">
        <v>9600</v>
      </c>
      <c r="F1972" s="105">
        <v>7</v>
      </c>
    </row>
    <row r="1973" spans="1:6" x14ac:dyDescent="0.25">
      <c r="A1973" s="105" t="str">
        <f t="shared" si="30"/>
        <v/>
      </c>
      <c r="B1973" s="105" t="s">
        <v>3219</v>
      </c>
      <c r="C1973" s="105" t="s">
        <v>8</v>
      </c>
      <c r="D1973" s="105">
        <v>0</v>
      </c>
      <c r="E1973" s="105">
        <v>0</v>
      </c>
      <c r="F1973" s="105">
        <v>0</v>
      </c>
    </row>
    <row r="1974" spans="1:6" x14ac:dyDescent="0.25">
      <c r="A1974" s="105">
        <f t="shared" si="30"/>
        <v>5101680</v>
      </c>
      <c r="B1974" s="105" t="s">
        <v>3220</v>
      </c>
      <c r="C1974" s="105" t="s">
        <v>3221</v>
      </c>
      <c r="D1974" s="105">
        <v>0</v>
      </c>
      <c r="E1974" s="105">
        <v>0</v>
      </c>
      <c r="F1974" s="105">
        <v>0</v>
      </c>
    </row>
    <row r="1975" spans="1:6" x14ac:dyDescent="0.25">
      <c r="A1975" s="105" t="str">
        <f t="shared" si="30"/>
        <v/>
      </c>
      <c r="B1975" s="105" t="s">
        <v>3222</v>
      </c>
      <c r="C1975" s="105" t="s">
        <v>8</v>
      </c>
      <c r="D1975" s="105">
        <v>0</v>
      </c>
      <c r="E1975" s="105">
        <v>0</v>
      </c>
      <c r="F1975" s="105">
        <v>0</v>
      </c>
    </row>
    <row r="1976" spans="1:6" x14ac:dyDescent="0.25">
      <c r="A1976" s="105">
        <f t="shared" si="30"/>
        <v>5101681</v>
      </c>
      <c r="B1976" s="105" t="s">
        <v>3223</v>
      </c>
      <c r="C1976" s="105" t="s">
        <v>3224</v>
      </c>
      <c r="D1976" s="105">
        <v>0</v>
      </c>
      <c r="E1976" s="105">
        <v>0</v>
      </c>
      <c r="F1976" s="105">
        <v>0</v>
      </c>
    </row>
    <row r="1977" spans="1:6" x14ac:dyDescent="0.25">
      <c r="A1977" s="105">
        <f t="shared" si="30"/>
        <v>51017300</v>
      </c>
      <c r="B1977" s="105" t="s">
        <v>3225</v>
      </c>
      <c r="C1977" s="105" t="s">
        <v>3226</v>
      </c>
      <c r="D1977" s="105">
        <v>0</v>
      </c>
      <c r="E1977" s="105">
        <v>0</v>
      </c>
      <c r="F1977" s="105">
        <v>0</v>
      </c>
    </row>
    <row r="1978" spans="1:6" x14ac:dyDescent="0.25">
      <c r="A1978" s="105">
        <f t="shared" si="30"/>
        <v>5101750</v>
      </c>
      <c r="B1978" s="105" t="s">
        <v>3227</v>
      </c>
      <c r="C1978" s="105" t="s">
        <v>3228</v>
      </c>
      <c r="D1978" s="105">
        <v>8500</v>
      </c>
      <c r="E1978" s="105">
        <v>5100</v>
      </c>
      <c r="F1978" s="105">
        <v>86</v>
      </c>
    </row>
    <row r="1979" spans="1:6" x14ac:dyDescent="0.25">
      <c r="A1979" s="105">
        <f t="shared" si="30"/>
        <v>5101751</v>
      </c>
      <c r="B1979" s="105" t="s">
        <v>9303</v>
      </c>
      <c r="C1979" s="105" t="s">
        <v>9304</v>
      </c>
      <c r="D1979" s="105">
        <v>0</v>
      </c>
      <c r="E1979" s="105">
        <v>0</v>
      </c>
      <c r="F1979" s="105">
        <v>0</v>
      </c>
    </row>
    <row r="1980" spans="1:6" x14ac:dyDescent="0.25">
      <c r="A1980" s="105">
        <f t="shared" si="30"/>
        <v>5101752</v>
      </c>
      <c r="B1980" s="105" t="s">
        <v>9305</v>
      </c>
      <c r="C1980" s="105" t="s">
        <v>9306</v>
      </c>
      <c r="D1980" s="105">
        <v>0</v>
      </c>
      <c r="E1980" s="105">
        <v>0</v>
      </c>
      <c r="F1980" s="105">
        <v>0</v>
      </c>
    </row>
    <row r="1981" spans="1:6" x14ac:dyDescent="0.25">
      <c r="A1981" s="105">
        <f t="shared" si="30"/>
        <v>5101753</v>
      </c>
      <c r="B1981" s="105" t="s">
        <v>3229</v>
      </c>
      <c r="C1981" s="105" t="s">
        <v>3230</v>
      </c>
      <c r="D1981" s="105">
        <v>0</v>
      </c>
      <c r="E1981" s="105">
        <v>0</v>
      </c>
      <c r="F1981" s="105">
        <v>0</v>
      </c>
    </row>
    <row r="1982" spans="1:6" x14ac:dyDescent="0.25">
      <c r="A1982" s="105" t="str">
        <f t="shared" si="30"/>
        <v/>
      </c>
      <c r="B1982" s="105" t="s">
        <v>3231</v>
      </c>
      <c r="C1982" s="105" t="s">
        <v>8</v>
      </c>
      <c r="D1982" s="105">
        <v>0</v>
      </c>
      <c r="E1982" s="105">
        <v>0</v>
      </c>
      <c r="F1982" s="105">
        <v>0</v>
      </c>
    </row>
    <row r="1983" spans="1:6" x14ac:dyDescent="0.25">
      <c r="A1983" s="105">
        <f t="shared" si="30"/>
        <v>5101754</v>
      </c>
      <c r="B1983" s="105" t="s">
        <v>3232</v>
      </c>
      <c r="C1983" s="105" t="s">
        <v>3233</v>
      </c>
      <c r="D1983" s="105">
        <v>0</v>
      </c>
      <c r="E1983" s="105">
        <v>0</v>
      </c>
      <c r="F1983" s="105">
        <v>0</v>
      </c>
    </row>
    <row r="1984" spans="1:6" x14ac:dyDescent="0.25">
      <c r="A1984" s="105">
        <f t="shared" si="30"/>
        <v>5101777</v>
      </c>
      <c r="B1984" s="105" t="s">
        <v>3234</v>
      </c>
      <c r="C1984" s="105" t="s">
        <v>3235</v>
      </c>
      <c r="D1984" s="105">
        <v>14500</v>
      </c>
      <c r="E1984" s="105">
        <v>8700</v>
      </c>
      <c r="F1984" s="105">
        <v>130</v>
      </c>
    </row>
    <row r="1985" spans="1:6" x14ac:dyDescent="0.25">
      <c r="A1985" s="105">
        <f t="shared" si="30"/>
        <v>510177707</v>
      </c>
      <c r="B1985" s="105" t="s">
        <v>3236</v>
      </c>
      <c r="C1985" s="105" t="s">
        <v>3237</v>
      </c>
      <c r="D1985" s="105">
        <v>3886.96</v>
      </c>
      <c r="E1985" s="105">
        <v>2332.1799999999998</v>
      </c>
      <c r="F1985" s="105">
        <v>0</v>
      </c>
    </row>
    <row r="1986" spans="1:6" x14ac:dyDescent="0.25">
      <c r="A1986" s="105">
        <f t="shared" si="30"/>
        <v>5101778</v>
      </c>
      <c r="B1986" s="105" t="s">
        <v>3238</v>
      </c>
      <c r="C1986" s="105" t="s">
        <v>3239</v>
      </c>
      <c r="D1986" s="105">
        <v>14900</v>
      </c>
      <c r="E1986" s="105">
        <v>8940</v>
      </c>
      <c r="F1986" s="105">
        <v>7</v>
      </c>
    </row>
    <row r="1987" spans="1:6" x14ac:dyDescent="0.25">
      <c r="A1987" s="105" t="str">
        <f t="shared" ref="A1987:A2050" si="31">IF(B1987&lt;&gt;"",IFERROR(B1987*1,""),"")</f>
        <v/>
      </c>
      <c r="B1987" s="105" t="s">
        <v>3240</v>
      </c>
      <c r="C1987" s="105" t="s">
        <v>8</v>
      </c>
      <c r="D1987" s="105">
        <v>0</v>
      </c>
      <c r="E1987" s="105">
        <v>0</v>
      </c>
      <c r="F1987" s="105">
        <v>0</v>
      </c>
    </row>
    <row r="1988" spans="1:6" x14ac:dyDescent="0.25">
      <c r="A1988" s="105">
        <f t="shared" si="31"/>
        <v>5101799</v>
      </c>
      <c r="B1988" s="105" t="s">
        <v>3241</v>
      </c>
      <c r="C1988" s="105" t="s">
        <v>3242</v>
      </c>
      <c r="D1988" s="105">
        <v>0</v>
      </c>
      <c r="E1988" s="105">
        <v>0</v>
      </c>
      <c r="F1988" s="105">
        <v>0</v>
      </c>
    </row>
    <row r="1989" spans="1:6" x14ac:dyDescent="0.25">
      <c r="A1989" s="105" t="str">
        <f t="shared" si="31"/>
        <v/>
      </c>
      <c r="B1989" s="105" t="s">
        <v>3243</v>
      </c>
      <c r="C1989" s="105" t="s">
        <v>8</v>
      </c>
      <c r="D1989" s="105">
        <v>0</v>
      </c>
      <c r="E1989" s="105">
        <v>0</v>
      </c>
      <c r="F1989" s="105">
        <v>0</v>
      </c>
    </row>
    <row r="1990" spans="1:6" x14ac:dyDescent="0.25">
      <c r="A1990" s="105">
        <f t="shared" si="31"/>
        <v>5101802</v>
      </c>
      <c r="B1990" s="105" t="s">
        <v>3244</v>
      </c>
      <c r="C1990" s="105" t="s">
        <v>3245</v>
      </c>
      <c r="D1990" s="105">
        <v>0</v>
      </c>
      <c r="E1990" s="105">
        <v>0</v>
      </c>
      <c r="F1990" s="105">
        <v>0</v>
      </c>
    </row>
    <row r="1991" spans="1:6" x14ac:dyDescent="0.25">
      <c r="A1991" s="105">
        <f t="shared" si="31"/>
        <v>5101845</v>
      </c>
      <c r="B1991" s="105" t="s">
        <v>3246</v>
      </c>
      <c r="C1991" s="105" t="s">
        <v>3247</v>
      </c>
      <c r="D1991" s="105">
        <v>12900</v>
      </c>
      <c r="E1991" s="105">
        <v>7740</v>
      </c>
      <c r="F1991" s="105">
        <v>5</v>
      </c>
    </row>
    <row r="1992" spans="1:6" x14ac:dyDescent="0.25">
      <c r="A1992" s="105">
        <f t="shared" si="31"/>
        <v>5101846</v>
      </c>
      <c r="B1992" s="105" t="s">
        <v>3248</v>
      </c>
      <c r="C1992" s="105" t="s">
        <v>3249</v>
      </c>
      <c r="D1992" s="105">
        <v>13400</v>
      </c>
      <c r="E1992" s="105">
        <v>8040</v>
      </c>
      <c r="F1992" s="105">
        <v>1</v>
      </c>
    </row>
    <row r="1993" spans="1:6" x14ac:dyDescent="0.25">
      <c r="A1993" s="105">
        <f t="shared" si="31"/>
        <v>5101850</v>
      </c>
      <c r="B1993" s="105" t="s">
        <v>3250</v>
      </c>
      <c r="C1993" s="105" t="s">
        <v>3251</v>
      </c>
      <c r="D1993" s="105">
        <v>5511.99</v>
      </c>
      <c r="E1993" s="105">
        <v>3307.19</v>
      </c>
      <c r="F1993" s="105">
        <v>2</v>
      </c>
    </row>
    <row r="1994" spans="1:6" x14ac:dyDescent="0.25">
      <c r="A1994" s="105">
        <f t="shared" si="31"/>
        <v>5101852</v>
      </c>
      <c r="B1994" s="105" t="s">
        <v>3252</v>
      </c>
      <c r="C1994" s="105" t="s">
        <v>3253</v>
      </c>
      <c r="D1994" s="105">
        <v>7600</v>
      </c>
      <c r="E1994" s="105">
        <v>4560</v>
      </c>
      <c r="F1994" s="105">
        <v>201</v>
      </c>
    </row>
    <row r="1995" spans="1:6" x14ac:dyDescent="0.25">
      <c r="A1995" s="105">
        <f t="shared" si="31"/>
        <v>5101853</v>
      </c>
      <c r="B1995" s="105" t="s">
        <v>3254</v>
      </c>
      <c r="C1995" s="105" t="s">
        <v>3255</v>
      </c>
      <c r="D1995" s="105">
        <v>8300</v>
      </c>
      <c r="E1995" s="105">
        <v>4980</v>
      </c>
      <c r="F1995" s="105">
        <v>60</v>
      </c>
    </row>
    <row r="1996" spans="1:6" x14ac:dyDescent="0.25">
      <c r="A1996" s="105">
        <f t="shared" si="31"/>
        <v>5101855</v>
      </c>
      <c r="B1996" s="105" t="s">
        <v>3256</v>
      </c>
      <c r="C1996" s="105" t="s">
        <v>3257</v>
      </c>
      <c r="D1996" s="105">
        <v>7600</v>
      </c>
      <c r="E1996" s="105">
        <v>4560</v>
      </c>
      <c r="F1996" s="105">
        <v>23</v>
      </c>
    </row>
    <row r="1997" spans="1:6" x14ac:dyDescent="0.25">
      <c r="A1997" s="105">
        <f t="shared" si="31"/>
        <v>5101856</v>
      </c>
      <c r="B1997" s="105" t="s">
        <v>3258</v>
      </c>
      <c r="C1997" s="105" t="s">
        <v>3259</v>
      </c>
      <c r="D1997" s="105">
        <v>8300</v>
      </c>
      <c r="E1997" s="105">
        <v>4980</v>
      </c>
      <c r="F1997" s="105">
        <v>4</v>
      </c>
    </row>
    <row r="1998" spans="1:6" x14ac:dyDescent="0.25">
      <c r="A1998" s="105">
        <f t="shared" si="31"/>
        <v>5101863</v>
      </c>
      <c r="B1998" s="105" t="s">
        <v>3260</v>
      </c>
      <c r="C1998" s="105" t="s">
        <v>3261</v>
      </c>
      <c r="D1998" s="105">
        <v>7600</v>
      </c>
      <c r="E1998" s="105">
        <v>4560</v>
      </c>
      <c r="F1998" s="105">
        <v>69</v>
      </c>
    </row>
    <row r="1999" spans="1:6" x14ac:dyDescent="0.25">
      <c r="A1999" s="105">
        <f t="shared" si="31"/>
        <v>5101864</v>
      </c>
      <c r="B1999" s="105" t="s">
        <v>3262</v>
      </c>
      <c r="C1999" s="105" t="s">
        <v>3263</v>
      </c>
      <c r="D1999" s="105">
        <v>8300</v>
      </c>
      <c r="E1999" s="105">
        <v>4980</v>
      </c>
      <c r="F1999" s="105">
        <v>29</v>
      </c>
    </row>
    <row r="2000" spans="1:6" x14ac:dyDescent="0.25">
      <c r="A2000" s="105" t="str">
        <f t="shared" si="31"/>
        <v/>
      </c>
      <c r="B2000" s="105" t="s">
        <v>3264</v>
      </c>
      <c r="C2000" s="105" t="s">
        <v>8</v>
      </c>
      <c r="D2000" s="105">
        <v>0</v>
      </c>
      <c r="E2000" s="105">
        <v>0</v>
      </c>
      <c r="F2000" s="105">
        <v>0</v>
      </c>
    </row>
    <row r="2001" spans="1:6" x14ac:dyDescent="0.25">
      <c r="A2001" s="105">
        <f t="shared" si="31"/>
        <v>5101870</v>
      </c>
      <c r="B2001" s="105" t="s">
        <v>3265</v>
      </c>
      <c r="C2001" s="105" t="s">
        <v>3266</v>
      </c>
      <c r="D2001" s="105">
        <v>12900</v>
      </c>
      <c r="E2001" s="105">
        <v>7740</v>
      </c>
      <c r="F2001" s="105">
        <v>0</v>
      </c>
    </row>
    <row r="2002" spans="1:6" x14ac:dyDescent="0.25">
      <c r="A2002" s="105" t="str">
        <f t="shared" si="31"/>
        <v/>
      </c>
      <c r="B2002" s="105" t="s">
        <v>3267</v>
      </c>
      <c r="C2002" s="105" t="s">
        <v>8</v>
      </c>
      <c r="D2002" s="105">
        <v>0</v>
      </c>
      <c r="E2002" s="105">
        <v>0</v>
      </c>
      <c r="F2002" s="105">
        <v>0</v>
      </c>
    </row>
    <row r="2003" spans="1:6" x14ac:dyDescent="0.25">
      <c r="A2003" s="105">
        <f t="shared" si="31"/>
        <v>5101871</v>
      </c>
      <c r="B2003" s="105" t="s">
        <v>3268</v>
      </c>
      <c r="C2003" s="105" t="s">
        <v>3269</v>
      </c>
      <c r="D2003" s="105">
        <v>13400</v>
      </c>
      <c r="E2003" s="105">
        <v>8040</v>
      </c>
      <c r="F2003" s="105">
        <v>0</v>
      </c>
    </row>
    <row r="2004" spans="1:6" x14ac:dyDescent="0.25">
      <c r="A2004" s="105">
        <f t="shared" si="31"/>
        <v>5101873</v>
      </c>
      <c r="B2004" s="105" t="s">
        <v>3270</v>
      </c>
      <c r="C2004" s="105" t="s">
        <v>3271</v>
      </c>
      <c r="D2004" s="105">
        <v>12900</v>
      </c>
      <c r="E2004" s="105">
        <v>7740</v>
      </c>
      <c r="F2004" s="105">
        <v>58</v>
      </c>
    </row>
    <row r="2005" spans="1:6" x14ac:dyDescent="0.25">
      <c r="A2005" s="105">
        <f t="shared" si="31"/>
        <v>5101874</v>
      </c>
      <c r="B2005" s="105" t="s">
        <v>3272</v>
      </c>
      <c r="C2005" s="105" t="s">
        <v>3273</v>
      </c>
      <c r="D2005" s="105">
        <v>13400</v>
      </c>
      <c r="E2005" s="105">
        <v>8040</v>
      </c>
      <c r="F2005" s="105">
        <v>11</v>
      </c>
    </row>
    <row r="2006" spans="1:6" x14ac:dyDescent="0.25">
      <c r="A2006" s="105">
        <f t="shared" si="31"/>
        <v>5101875</v>
      </c>
      <c r="B2006" s="105" t="s">
        <v>3274</v>
      </c>
      <c r="C2006" s="105" t="s">
        <v>3275</v>
      </c>
      <c r="D2006" s="105">
        <v>0</v>
      </c>
      <c r="E2006" s="105">
        <v>0</v>
      </c>
      <c r="F2006" s="105">
        <v>1</v>
      </c>
    </row>
    <row r="2007" spans="1:6" x14ac:dyDescent="0.25">
      <c r="A2007" s="105">
        <f t="shared" si="31"/>
        <v>5101876</v>
      </c>
      <c r="B2007" s="105" t="s">
        <v>3276</v>
      </c>
      <c r="C2007" s="105" t="s">
        <v>3277</v>
      </c>
      <c r="D2007" s="105">
        <v>12900</v>
      </c>
      <c r="E2007" s="105">
        <v>7740</v>
      </c>
      <c r="F2007" s="105">
        <v>51</v>
      </c>
    </row>
    <row r="2008" spans="1:6" x14ac:dyDescent="0.25">
      <c r="A2008" s="105">
        <f t="shared" si="31"/>
        <v>5101877</v>
      </c>
      <c r="B2008" s="105" t="s">
        <v>3278</v>
      </c>
      <c r="C2008" s="105" t="s">
        <v>3279</v>
      </c>
      <c r="D2008" s="105">
        <v>13400</v>
      </c>
      <c r="E2008" s="105">
        <v>8040</v>
      </c>
      <c r="F2008" s="105">
        <v>3</v>
      </c>
    </row>
    <row r="2009" spans="1:6" x14ac:dyDescent="0.25">
      <c r="A2009" s="105">
        <f t="shared" si="31"/>
        <v>5101878</v>
      </c>
      <c r="B2009" s="105" t="s">
        <v>3280</v>
      </c>
      <c r="C2009" s="105" t="s">
        <v>3281</v>
      </c>
      <c r="D2009" s="105">
        <v>0</v>
      </c>
      <c r="E2009" s="105">
        <v>0</v>
      </c>
      <c r="F2009" s="105">
        <v>4</v>
      </c>
    </row>
    <row r="2010" spans="1:6" x14ac:dyDescent="0.25">
      <c r="A2010" s="105" t="str">
        <f t="shared" si="31"/>
        <v/>
      </c>
      <c r="B2010" s="105" t="s">
        <v>3282</v>
      </c>
      <c r="C2010" s="105" t="s">
        <v>8</v>
      </c>
      <c r="D2010" s="105">
        <v>0</v>
      </c>
      <c r="E2010" s="105">
        <v>0</v>
      </c>
      <c r="F2010" s="105">
        <v>0</v>
      </c>
    </row>
    <row r="2011" spans="1:6" x14ac:dyDescent="0.25">
      <c r="A2011" s="105">
        <f t="shared" si="31"/>
        <v>5101879</v>
      </c>
      <c r="B2011" s="105" t="s">
        <v>3283</v>
      </c>
      <c r="C2011" s="105" t="s">
        <v>3284</v>
      </c>
      <c r="D2011" s="105">
        <v>0</v>
      </c>
      <c r="E2011" s="105">
        <v>0</v>
      </c>
      <c r="F2011" s="105">
        <v>0</v>
      </c>
    </row>
    <row r="2012" spans="1:6" x14ac:dyDescent="0.25">
      <c r="A2012" s="105">
        <f t="shared" si="31"/>
        <v>5101880</v>
      </c>
      <c r="B2012" s="105" t="s">
        <v>3285</v>
      </c>
      <c r="C2012" s="105" t="s">
        <v>3286</v>
      </c>
      <c r="D2012" s="105">
        <v>0</v>
      </c>
      <c r="E2012" s="105">
        <v>0</v>
      </c>
      <c r="F2012" s="105">
        <v>5</v>
      </c>
    </row>
    <row r="2013" spans="1:6" x14ac:dyDescent="0.25">
      <c r="A2013" s="105">
        <f t="shared" si="31"/>
        <v>5101881</v>
      </c>
      <c r="B2013" s="105" t="s">
        <v>3287</v>
      </c>
      <c r="C2013" s="105" t="s">
        <v>3288</v>
      </c>
      <c r="D2013" s="105">
        <v>13400</v>
      </c>
      <c r="E2013" s="105">
        <v>8040</v>
      </c>
      <c r="F2013" s="105">
        <v>0</v>
      </c>
    </row>
    <row r="2014" spans="1:6" x14ac:dyDescent="0.25">
      <c r="A2014" s="105" t="str">
        <f t="shared" si="31"/>
        <v/>
      </c>
      <c r="B2014" s="105" t="s">
        <v>3289</v>
      </c>
      <c r="C2014" s="105" t="s">
        <v>8</v>
      </c>
      <c r="D2014" s="105">
        <v>0</v>
      </c>
      <c r="E2014" s="105">
        <v>0</v>
      </c>
      <c r="F2014" s="105">
        <v>0</v>
      </c>
    </row>
    <row r="2015" spans="1:6" x14ac:dyDescent="0.25">
      <c r="A2015" s="105">
        <f t="shared" si="31"/>
        <v>5101882</v>
      </c>
      <c r="B2015" s="105" t="s">
        <v>3290</v>
      </c>
      <c r="C2015" s="105" t="s">
        <v>3291</v>
      </c>
      <c r="D2015" s="105">
        <v>0</v>
      </c>
      <c r="E2015" s="105">
        <v>0</v>
      </c>
      <c r="F2015" s="105">
        <v>0</v>
      </c>
    </row>
    <row r="2016" spans="1:6" x14ac:dyDescent="0.25">
      <c r="A2016" s="105">
        <f t="shared" si="31"/>
        <v>5101883</v>
      </c>
      <c r="B2016" s="105" t="s">
        <v>3292</v>
      </c>
      <c r="C2016" s="105" t="s">
        <v>3293</v>
      </c>
      <c r="D2016" s="105">
        <v>13400</v>
      </c>
      <c r="E2016" s="105">
        <v>8040</v>
      </c>
      <c r="F2016" s="105">
        <v>3</v>
      </c>
    </row>
    <row r="2017" spans="1:6" x14ac:dyDescent="0.25">
      <c r="A2017" s="105" t="str">
        <f t="shared" si="31"/>
        <v/>
      </c>
      <c r="B2017" s="105" t="s">
        <v>3294</v>
      </c>
      <c r="C2017" s="105" t="s">
        <v>8</v>
      </c>
      <c r="D2017" s="105">
        <v>0</v>
      </c>
      <c r="E2017" s="105">
        <v>0</v>
      </c>
      <c r="F2017" s="105">
        <v>0</v>
      </c>
    </row>
    <row r="2018" spans="1:6" x14ac:dyDescent="0.25">
      <c r="A2018" s="105">
        <f t="shared" si="31"/>
        <v>5101884</v>
      </c>
      <c r="B2018" s="105" t="s">
        <v>3295</v>
      </c>
      <c r="C2018" s="105" t="s">
        <v>3296</v>
      </c>
      <c r="D2018" s="105">
        <v>0</v>
      </c>
      <c r="E2018" s="105">
        <v>0</v>
      </c>
      <c r="F2018" s="105">
        <v>0</v>
      </c>
    </row>
    <row r="2019" spans="1:6" x14ac:dyDescent="0.25">
      <c r="A2019" s="105">
        <f t="shared" si="31"/>
        <v>5101885</v>
      </c>
      <c r="B2019" s="105" t="s">
        <v>3297</v>
      </c>
      <c r="C2019" s="105" t="s">
        <v>3298</v>
      </c>
      <c r="D2019" s="105">
        <v>13400</v>
      </c>
      <c r="E2019" s="105">
        <v>8040</v>
      </c>
      <c r="F2019" s="105">
        <v>3</v>
      </c>
    </row>
    <row r="2020" spans="1:6" x14ac:dyDescent="0.25">
      <c r="A2020" s="105">
        <f t="shared" si="31"/>
        <v>5101886</v>
      </c>
      <c r="B2020" s="105" t="s">
        <v>3299</v>
      </c>
      <c r="C2020" s="105" t="s">
        <v>3300</v>
      </c>
      <c r="D2020" s="105">
        <v>12900</v>
      </c>
      <c r="E2020" s="105">
        <v>7740</v>
      </c>
      <c r="F2020" s="105">
        <v>2</v>
      </c>
    </row>
    <row r="2021" spans="1:6" x14ac:dyDescent="0.25">
      <c r="A2021" s="105" t="str">
        <f t="shared" si="31"/>
        <v/>
      </c>
      <c r="B2021" s="105" t="s">
        <v>3301</v>
      </c>
      <c r="C2021" s="105" t="s">
        <v>8</v>
      </c>
      <c r="D2021" s="105">
        <v>0</v>
      </c>
      <c r="E2021" s="105">
        <v>0</v>
      </c>
      <c r="F2021" s="105">
        <v>0</v>
      </c>
    </row>
    <row r="2022" spans="1:6" x14ac:dyDescent="0.25">
      <c r="A2022" s="105">
        <f t="shared" si="31"/>
        <v>5101887</v>
      </c>
      <c r="B2022" s="105" t="s">
        <v>3302</v>
      </c>
      <c r="C2022" s="105" t="s">
        <v>3303</v>
      </c>
      <c r="D2022" s="105">
        <v>0</v>
      </c>
      <c r="E2022" s="105">
        <v>0</v>
      </c>
      <c r="F2022" s="105">
        <v>0</v>
      </c>
    </row>
    <row r="2023" spans="1:6" x14ac:dyDescent="0.25">
      <c r="A2023" s="105">
        <f t="shared" si="31"/>
        <v>5101888</v>
      </c>
      <c r="B2023" s="105" t="s">
        <v>3304</v>
      </c>
      <c r="C2023" s="105" t="s">
        <v>3305</v>
      </c>
      <c r="D2023" s="105">
        <v>14500</v>
      </c>
      <c r="E2023" s="105">
        <v>8700</v>
      </c>
      <c r="F2023" s="105">
        <v>358</v>
      </c>
    </row>
    <row r="2024" spans="1:6" x14ac:dyDescent="0.25">
      <c r="A2024" s="105">
        <f t="shared" si="31"/>
        <v>510188807</v>
      </c>
      <c r="B2024" s="105" t="s">
        <v>3306</v>
      </c>
      <c r="C2024" s="105" t="s">
        <v>3307</v>
      </c>
      <c r="D2024" s="105">
        <v>4111.21</v>
      </c>
      <c r="E2024" s="105">
        <v>2466.73</v>
      </c>
      <c r="F2024" s="105">
        <v>0</v>
      </c>
    </row>
    <row r="2025" spans="1:6" x14ac:dyDescent="0.25">
      <c r="A2025" s="105">
        <f t="shared" si="31"/>
        <v>5101889</v>
      </c>
      <c r="B2025" s="105" t="s">
        <v>3308</v>
      </c>
      <c r="C2025" s="105" t="s">
        <v>3309</v>
      </c>
      <c r="D2025" s="105">
        <v>14900</v>
      </c>
      <c r="E2025" s="105">
        <v>8940</v>
      </c>
      <c r="F2025" s="105">
        <v>14</v>
      </c>
    </row>
    <row r="2026" spans="1:6" x14ac:dyDescent="0.25">
      <c r="A2026" s="105">
        <f t="shared" si="31"/>
        <v>5101900</v>
      </c>
      <c r="B2026" s="105" t="s">
        <v>3310</v>
      </c>
      <c r="C2026" s="105" t="s">
        <v>3311</v>
      </c>
      <c r="D2026" s="105">
        <v>5617.99</v>
      </c>
      <c r="E2026" s="105">
        <v>3370.79</v>
      </c>
      <c r="F2026" s="105">
        <v>53</v>
      </c>
    </row>
    <row r="2027" spans="1:6" x14ac:dyDescent="0.25">
      <c r="A2027" s="105">
        <f t="shared" si="31"/>
        <v>5101901</v>
      </c>
      <c r="B2027" s="105" t="s">
        <v>3312</v>
      </c>
      <c r="C2027" s="105" t="s">
        <v>3313</v>
      </c>
      <c r="D2027" s="105">
        <v>5829.99</v>
      </c>
      <c r="E2027" s="105">
        <v>3497.99</v>
      </c>
      <c r="F2027" s="105">
        <v>7</v>
      </c>
    </row>
    <row r="2028" spans="1:6" x14ac:dyDescent="0.25">
      <c r="A2028" s="105">
        <f t="shared" si="31"/>
        <v>5101902</v>
      </c>
      <c r="B2028" s="105" t="s">
        <v>3314</v>
      </c>
      <c r="C2028" s="105" t="s">
        <v>3315</v>
      </c>
      <c r="D2028" s="105">
        <v>3825.08</v>
      </c>
      <c r="E2028" s="105">
        <v>2295.0500000000002</v>
      </c>
      <c r="F2028" s="105">
        <v>62</v>
      </c>
    </row>
    <row r="2029" spans="1:6" x14ac:dyDescent="0.25">
      <c r="A2029" s="105">
        <f t="shared" si="31"/>
        <v>5101906</v>
      </c>
      <c r="B2029" s="105" t="s">
        <v>3316</v>
      </c>
      <c r="C2029" s="105" t="s">
        <v>3317</v>
      </c>
      <c r="D2029" s="105">
        <v>3825.08</v>
      </c>
      <c r="E2029" s="105">
        <v>2295.0500000000002</v>
      </c>
      <c r="F2029" s="105">
        <v>42</v>
      </c>
    </row>
    <row r="2030" spans="1:6" x14ac:dyDescent="0.25">
      <c r="A2030" s="105">
        <f t="shared" si="31"/>
        <v>5101907</v>
      </c>
      <c r="B2030" s="105" t="s">
        <v>3318</v>
      </c>
      <c r="C2030" s="105" t="s">
        <v>3319</v>
      </c>
      <c r="D2030" s="105">
        <v>3825.08</v>
      </c>
      <c r="E2030" s="105">
        <v>2295.0500000000002</v>
      </c>
      <c r="F2030" s="105">
        <v>0</v>
      </c>
    </row>
    <row r="2031" spans="1:6" x14ac:dyDescent="0.25">
      <c r="A2031" s="105">
        <f t="shared" si="31"/>
        <v>5101911</v>
      </c>
      <c r="B2031" s="105" t="s">
        <v>3320</v>
      </c>
      <c r="C2031" s="105" t="s">
        <v>3321</v>
      </c>
      <c r="D2031" s="105">
        <v>7652.09</v>
      </c>
      <c r="E2031" s="105">
        <v>4591.25</v>
      </c>
      <c r="F2031" s="105">
        <v>0</v>
      </c>
    </row>
    <row r="2032" spans="1:6" x14ac:dyDescent="0.25">
      <c r="A2032" s="105">
        <f t="shared" si="31"/>
        <v>5101912</v>
      </c>
      <c r="B2032" s="105" t="s">
        <v>3322</v>
      </c>
      <c r="C2032" s="105" t="s">
        <v>3323</v>
      </c>
      <c r="D2032" s="105">
        <v>7652.09</v>
      </c>
      <c r="E2032" s="105">
        <v>4591.25</v>
      </c>
      <c r="F2032" s="105">
        <v>0</v>
      </c>
    </row>
    <row r="2033" spans="1:6" x14ac:dyDescent="0.25">
      <c r="A2033" s="105" t="str">
        <f t="shared" si="31"/>
        <v/>
      </c>
      <c r="B2033" s="105" t="s">
        <v>3324</v>
      </c>
      <c r="C2033" s="105" t="s">
        <v>8</v>
      </c>
      <c r="D2033" s="105">
        <v>0</v>
      </c>
      <c r="E2033" s="105">
        <v>0</v>
      </c>
      <c r="F2033" s="105">
        <v>0</v>
      </c>
    </row>
    <row r="2034" spans="1:6" x14ac:dyDescent="0.25">
      <c r="A2034" s="105">
        <f t="shared" si="31"/>
        <v>5101913</v>
      </c>
      <c r="B2034" s="105" t="s">
        <v>3325</v>
      </c>
      <c r="C2034" s="105" t="s">
        <v>3326</v>
      </c>
      <c r="D2034" s="105">
        <v>0</v>
      </c>
      <c r="E2034" s="105">
        <v>0</v>
      </c>
      <c r="F2034" s="105">
        <v>0</v>
      </c>
    </row>
    <row r="2035" spans="1:6" x14ac:dyDescent="0.25">
      <c r="A2035" s="105">
        <f t="shared" si="31"/>
        <v>5101914</v>
      </c>
      <c r="B2035" s="105" t="s">
        <v>3327</v>
      </c>
      <c r="C2035" s="105" t="s">
        <v>3328</v>
      </c>
      <c r="D2035" s="105">
        <v>4630.08</v>
      </c>
      <c r="E2035" s="105">
        <v>2778.05</v>
      </c>
      <c r="F2035" s="105">
        <v>38</v>
      </c>
    </row>
    <row r="2036" spans="1:6" x14ac:dyDescent="0.25">
      <c r="A2036" s="105">
        <f t="shared" si="31"/>
        <v>5101915</v>
      </c>
      <c r="B2036" s="105" t="s">
        <v>3329</v>
      </c>
      <c r="C2036" s="105" t="s">
        <v>3330</v>
      </c>
      <c r="D2036" s="105">
        <v>4630.08</v>
      </c>
      <c r="E2036" s="105">
        <v>2778.05</v>
      </c>
      <c r="F2036" s="105">
        <v>1</v>
      </c>
    </row>
    <row r="2037" spans="1:6" x14ac:dyDescent="0.25">
      <c r="A2037" s="105" t="str">
        <f t="shared" si="31"/>
        <v/>
      </c>
      <c r="B2037" s="105" t="s">
        <v>3331</v>
      </c>
      <c r="C2037" s="105" t="s">
        <v>8</v>
      </c>
      <c r="D2037" s="105">
        <v>0</v>
      </c>
      <c r="E2037" s="105">
        <v>0</v>
      </c>
      <c r="F2037" s="105">
        <v>0</v>
      </c>
    </row>
    <row r="2038" spans="1:6" x14ac:dyDescent="0.25">
      <c r="A2038" s="105">
        <f t="shared" si="31"/>
        <v>5101916</v>
      </c>
      <c r="B2038" s="105" t="s">
        <v>3332</v>
      </c>
      <c r="C2038" s="105" t="s">
        <v>3333</v>
      </c>
      <c r="D2038" s="105">
        <v>0</v>
      </c>
      <c r="E2038" s="105">
        <v>0</v>
      </c>
      <c r="F2038" s="105">
        <v>0</v>
      </c>
    </row>
    <row r="2039" spans="1:6" x14ac:dyDescent="0.25">
      <c r="A2039" s="105">
        <f t="shared" si="31"/>
        <v>5101917</v>
      </c>
      <c r="B2039" s="105" t="s">
        <v>3334</v>
      </c>
      <c r="C2039" s="105" t="s">
        <v>3335</v>
      </c>
      <c r="D2039" s="105">
        <v>4630.08</v>
      </c>
      <c r="E2039" s="105">
        <v>2778.05</v>
      </c>
      <c r="F2039" s="105">
        <v>0</v>
      </c>
    </row>
    <row r="2040" spans="1:6" x14ac:dyDescent="0.25">
      <c r="A2040" s="105">
        <f t="shared" si="31"/>
        <v>5101918</v>
      </c>
      <c r="B2040" s="105" t="s">
        <v>3336</v>
      </c>
      <c r="C2040" s="105" t="s">
        <v>3337</v>
      </c>
      <c r="D2040" s="105">
        <v>4630.08</v>
      </c>
      <c r="E2040" s="105">
        <v>2778.05</v>
      </c>
      <c r="F2040" s="105">
        <v>1</v>
      </c>
    </row>
    <row r="2041" spans="1:6" x14ac:dyDescent="0.25">
      <c r="A2041" s="105">
        <f t="shared" si="31"/>
        <v>5101919</v>
      </c>
      <c r="B2041" s="105" t="s">
        <v>3338</v>
      </c>
      <c r="C2041" s="105" t="s">
        <v>3339</v>
      </c>
      <c r="D2041" s="105">
        <v>4630.08</v>
      </c>
      <c r="E2041" s="105">
        <v>2778.05</v>
      </c>
      <c r="F2041" s="105">
        <v>7</v>
      </c>
    </row>
    <row r="2042" spans="1:6" x14ac:dyDescent="0.25">
      <c r="A2042" s="105">
        <f t="shared" si="31"/>
        <v>5101920</v>
      </c>
      <c r="B2042" s="105" t="s">
        <v>3340</v>
      </c>
      <c r="C2042" s="105" t="s">
        <v>3341</v>
      </c>
      <c r="D2042" s="105">
        <v>4590.4799999999996</v>
      </c>
      <c r="E2042" s="105">
        <v>2754.29</v>
      </c>
      <c r="F2042" s="105">
        <v>0</v>
      </c>
    </row>
    <row r="2043" spans="1:6" x14ac:dyDescent="0.25">
      <c r="A2043" s="105" t="str">
        <f t="shared" si="31"/>
        <v/>
      </c>
      <c r="B2043" s="105" t="s">
        <v>3342</v>
      </c>
      <c r="C2043" s="105" t="s">
        <v>8</v>
      </c>
      <c r="D2043" s="105">
        <v>0</v>
      </c>
      <c r="E2043" s="105">
        <v>0</v>
      </c>
      <c r="F2043" s="105">
        <v>0</v>
      </c>
    </row>
    <row r="2044" spans="1:6" x14ac:dyDescent="0.25">
      <c r="A2044" s="105">
        <f t="shared" si="31"/>
        <v>5101921</v>
      </c>
      <c r="B2044" s="105" t="s">
        <v>3343</v>
      </c>
      <c r="C2044" s="105" t="s">
        <v>3344</v>
      </c>
      <c r="D2044" s="105">
        <v>0</v>
      </c>
      <c r="E2044" s="105">
        <v>0</v>
      </c>
      <c r="F2044" s="105">
        <v>0</v>
      </c>
    </row>
    <row r="2045" spans="1:6" x14ac:dyDescent="0.25">
      <c r="A2045" s="105">
        <f t="shared" si="31"/>
        <v>5101922</v>
      </c>
      <c r="B2045" s="105" t="s">
        <v>3345</v>
      </c>
      <c r="C2045" s="105" t="s">
        <v>3346</v>
      </c>
      <c r="D2045" s="105">
        <v>4590.4799999999996</v>
      </c>
      <c r="E2045" s="105">
        <v>2754.29</v>
      </c>
      <c r="F2045" s="105">
        <v>0</v>
      </c>
    </row>
    <row r="2046" spans="1:6" x14ac:dyDescent="0.25">
      <c r="A2046" s="105">
        <f t="shared" si="31"/>
        <v>5101923</v>
      </c>
      <c r="B2046" s="105" t="s">
        <v>3347</v>
      </c>
      <c r="C2046" s="105" t="s">
        <v>3348</v>
      </c>
      <c r="D2046" s="105">
        <v>4590.4799999999996</v>
      </c>
      <c r="E2046" s="105">
        <v>2754.29</v>
      </c>
      <c r="F2046" s="105">
        <v>2</v>
      </c>
    </row>
    <row r="2047" spans="1:6" x14ac:dyDescent="0.25">
      <c r="A2047" s="105">
        <f t="shared" si="31"/>
        <v>5101924</v>
      </c>
      <c r="B2047" s="105" t="s">
        <v>3349</v>
      </c>
      <c r="C2047" s="105" t="s">
        <v>3350</v>
      </c>
      <c r="D2047" s="105">
        <v>4399.1400000000003</v>
      </c>
      <c r="E2047" s="105">
        <v>2639.48</v>
      </c>
      <c r="F2047" s="105">
        <v>2</v>
      </c>
    </row>
    <row r="2048" spans="1:6" x14ac:dyDescent="0.25">
      <c r="A2048" s="105">
        <f t="shared" si="31"/>
        <v>5101925</v>
      </c>
      <c r="B2048" s="105" t="s">
        <v>3351</v>
      </c>
      <c r="C2048" s="105" t="s">
        <v>3352</v>
      </c>
      <c r="D2048" s="105">
        <v>3825.08</v>
      </c>
      <c r="E2048" s="105">
        <v>2295.0500000000002</v>
      </c>
      <c r="F2048" s="105">
        <v>16</v>
      </c>
    </row>
    <row r="2049" spans="1:6" x14ac:dyDescent="0.25">
      <c r="A2049" s="105" t="str">
        <f t="shared" si="31"/>
        <v/>
      </c>
      <c r="B2049" s="105" t="s">
        <v>3353</v>
      </c>
      <c r="C2049" s="105" t="s">
        <v>8</v>
      </c>
      <c r="D2049" s="105">
        <v>0</v>
      </c>
      <c r="E2049" s="105">
        <v>0</v>
      </c>
      <c r="F2049" s="105">
        <v>0</v>
      </c>
    </row>
    <row r="2050" spans="1:6" x14ac:dyDescent="0.25">
      <c r="A2050" s="105">
        <f t="shared" si="31"/>
        <v>5101929</v>
      </c>
      <c r="B2050" s="105" t="s">
        <v>3354</v>
      </c>
      <c r="C2050" s="105" t="s">
        <v>3355</v>
      </c>
      <c r="D2050" s="105">
        <v>0</v>
      </c>
      <c r="E2050" s="105">
        <v>0</v>
      </c>
      <c r="F2050" s="105">
        <v>0</v>
      </c>
    </row>
    <row r="2051" spans="1:6" x14ac:dyDescent="0.25">
      <c r="A2051" s="105">
        <f t="shared" ref="A2051:A2114" si="32">IF(B2051&lt;&gt;"",IFERROR(B2051*1,""),"")</f>
        <v>5101951</v>
      </c>
      <c r="B2051" s="105" t="s">
        <v>3356</v>
      </c>
      <c r="C2051" s="105" t="s">
        <v>3357</v>
      </c>
      <c r="D2051" s="105">
        <v>5088</v>
      </c>
      <c r="E2051" s="105">
        <v>3052.8</v>
      </c>
      <c r="F2051" s="105">
        <v>2</v>
      </c>
    </row>
    <row r="2052" spans="1:6" x14ac:dyDescent="0.25">
      <c r="A2052" s="105" t="str">
        <f t="shared" si="32"/>
        <v/>
      </c>
      <c r="B2052" s="105" t="s">
        <v>3358</v>
      </c>
      <c r="C2052" s="105" t="s">
        <v>8</v>
      </c>
      <c r="D2052" s="105">
        <v>0</v>
      </c>
      <c r="E2052" s="105">
        <v>0</v>
      </c>
      <c r="F2052" s="105">
        <v>0</v>
      </c>
    </row>
    <row r="2053" spans="1:6" x14ac:dyDescent="0.25">
      <c r="A2053" s="105">
        <f t="shared" si="32"/>
        <v>5101952</v>
      </c>
      <c r="B2053" s="105" t="s">
        <v>3359</v>
      </c>
      <c r="C2053" s="105" t="s">
        <v>3360</v>
      </c>
      <c r="D2053" s="105">
        <v>0</v>
      </c>
      <c r="E2053" s="105">
        <v>0</v>
      </c>
      <c r="F2053" s="105">
        <v>0</v>
      </c>
    </row>
    <row r="2054" spans="1:6" x14ac:dyDescent="0.25">
      <c r="A2054" s="105" t="str">
        <f t="shared" si="32"/>
        <v/>
      </c>
      <c r="B2054" s="105" t="s">
        <v>3361</v>
      </c>
      <c r="C2054" s="105" t="s">
        <v>8</v>
      </c>
      <c r="D2054" s="105">
        <v>0</v>
      </c>
      <c r="E2054" s="105">
        <v>0</v>
      </c>
      <c r="F2054" s="105">
        <v>0</v>
      </c>
    </row>
    <row r="2055" spans="1:6" x14ac:dyDescent="0.25">
      <c r="A2055" s="105">
        <f t="shared" si="32"/>
        <v>5101954</v>
      </c>
      <c r="B2055" s="105" t="s">
        <v>3362</v>
      </c>
      <c r="C2055" s="105" t="s">
        <v>3363</v>
      </c>
      <c r="D2055" s="105">
        <v>0</v>
      </c>
      <c r="E2055" s="105">
        <v>0</v>
      </c>
      <c r="F2055" s="105">
        <v>0</v>
      </c>
    </row>
    <row r="2056" spans="1:6" x14ac:dyDescent="0.25">
      <c r="A2056" s="105" t="str">
        <f t="shared" si="32"/>
        <v/>
      </c>
      <c r="B2056" s="105" t="s">
        <v>3364</v>
      </c>
      <c r="C2056" s="105" t="s">
        <v>8</v>
      </c>
      <c r="D2056" s="105">
        <v>0</v>
      </c>
      <c r="E2056" s="105">
        <v>0</v>
      </c>
      <c r="F2056" s="105">
        <v>0</v>
      </c>
    </row>
    <row r="2057" spans="1:6" x14ac:dyDescent="0.25">
      <c r="A2057" s="105">
        <f t="shared" si="32"/>
        <v>5101955</v>
      </c>
      <c r="B2057" s="105" t="s">
        <v>3365</v>
      </c>
      <c r="C2057" s="105" t="s">
        <v>3366</v>
      </c>
      <c r="D2057" s="105">
        <v>0</v>
      </c>
      <c r="E2057" s="105">
        <v>0</v>
      </c>
      <c r="F2057" s="105">
        <v>0</v>
      </c>
    </row>
    <row r="2058" spans="1:6" x14ac:dyDescent="0.25">
      <c r="A2058" s="105" t="str">
        <f t="shared" si="32"/>
        <v/>
      </c>
      <c r="B2058" s="105" t="s">
        <v>3367</v>
      </c>
      <c r="C2058" s="105" t="s">
        <v>8</v>
      </c>
      <c r="D2058" s="105">
        <v>0</v>
      </c>
      <c r="E2058" s="105">
        <v>0</v>
      </c>
      <c r="F2058" s="105">
        <v>0</v>
      </c>
    </row>
    <row r="2059" spans="1:6" x14ac:dyDescent="0.25">
      <c r="A2059" s="105">
        <f t="shared" si="32"/>
        <v>5101969</v>
      </c>
      <c r="B2059" s="105" t="s">
        <v>3368</v>
      </c>
      <c r="C2059" s="105" t="s">
        <v>3369</v>
      </c>
      <c r="D2059" s="105">
        <v>0</v>
      </c>
      <c r="E2059" s="105">
        <v>0</v>
      </c>
      <c r="F2059" s="105">
        <v>0</v>
      </c>
    </row>
    <row r="2060" spans="1:6" x14ac:dyDescent="0.25">
      <c r="A2060" s="105" t="str">
        <f t="shared" si="32"/>
        <v/>
      </c>
      <c r="B2060" s="105" t="s">
        <v>3370</v>
      </c>
      <c r="C2060" s="105" t="s">
        <v>8</v>
      </c>
      <c r="D2060" s="105">
        <v>0</v>
      </c>
      <c r="E2060" s="105">
        <v>0</v>
      </c>
      <c r="F2060" s="105">
        <v>0</v>
      </c>
    </row>
    <row r="2061" spans="1:6" x14ac:dyDescent="0.25">
      <c r="A2061" s="105">
        <f t="shared" si="32"/>
        <v>5101979</v>
      </c>
      <c r="B2061" s="105" t="s">
        <v>3371</v>
      </c>
      <c r="C2061" s="105" t="s">
        <v>9307</v>
      </c>
      <c r="D2061" s="105">
        <v>4630.08</v>
      </c>
      <c r="E2061" s="105">
        <v>2778.05</v>
      </c>
      <c r="F2061" s="105">
        <v>0</v>
      </c>
    </row>
    <row r="2062" spans="1:6" x14ac:dyDescent="0.25">
      <c r="A2062" s="105">
        <f t="shared" si="32"/>
        <v>5101980</v>
      </c>
      <c r="B2062" s="105" t="s">
        <v>9308</v>
      </c>
      <c r="C2062" s="105" t="s">
        <v>9309</v>
      </c>
      <c r="D2062" s="105">
        <v>4664</v>
      </c>
      <c r="E2062" s="105">
        <v>2798.4</v>
      </c>
      <c r="F2062" s="105">
        <v>0</v>
      </c>
    </row>
    <row r="2063" spans="1:6" x14ac:dyDescent="0.25">
      <c r="A2063" s="105">
        <f t="shared" si="32"/>
        <v>5101985</v>
      </c>
      <c r="B2063" s="105" t="s">
        <v>3372</v>
      </c>
      <c r="C2063" s="105" t="s">
        <v>3373</v>
      </c>
      <c r="D2063" s="105">
        <v>5617.99</v>
      </c>
      <c r="E2063" s="105">
        <v>3370.79</v>
      </c>
      <c r="F2063" s="105">
        <v>43</v>
      </c>
    </row>
    <row r="2064" spans="1:6" x14ac:dyDescent="0.25">
      <c r="A2064" s="105">
        <f t="shared" si="32"/>
        <v>5101986</v>
      </c>
      <c r="B2064" s="105" t="s">
        <v>3374</v>
      </c>
      <c r="C2064" s="105" t="s">
        <v>3375</v>
      </c>
      <c r="D2064" s="105">
        <v>5829.99</v>
      </c>
      <c r="E2064" s="105">
        <v>3497.99</v>
      </c>
      <c r="F2064" s="105">
        <v>17</v>
      </c>
    </row>
    <row r="2065" spans="1:6" x14ac:dyDescent="0.25">
      <c r="A2065" s="105">
        <f t="shared" si="32"/>
        <v>5101987</v>
      </c>
      <c r="B2065" s="105" t="s">
        <v>9310</v>
      </c>
      <c r="C2065" s="105" t="s">
        <v>9311</v>
      </c>
      <c r="D2065" s="105">
        <v>0</v>
      </c>
      <c r="E2065" s="105">
        <v>0</v>
      </c>
      <c r="F2065" s="105">
        <v>0</v>
      </c>
    </row>
    <row r="2066" spans="1:6" x14ac:dyDescent="0.25">
      <c r="A2066" s="105" t="str">
        <f t="shared" si="32"/>
        <v/>
      </c>
      <c r="B2066" s="105" t="s">
        <v>3376</v>
      </c>
      <c r="C2066" s="105" t="s">
        <v>8</v>
      </c>
      <c r="D2066" s="105">
        <v>0</v>
      </c>
      <c r="E2066" s="105">
        <v>0</v>
      </c>
      <c r="F2066" s="105">
        <v>0</v>
      </c>
    </row>
    <row r="2067" spans="1:6" x14ac:dyDescent="0.25">
      <c r="A2067" s="105">
        <f t="shared" si="32"/>
        <v>5101989</v>
      </c>
      <c r="B2067" s="105" t="s">
        <v>3377</v>
      </c>
      <c r="C2067" s="105" t="s">
        <v>3378</v>
      </c>
      <c r="D2067" s="105">
        <v>0</v>
      </c>
      <c r="E2067" s="105">
        <v>0</v>
      </c>
      <c r="F2067" s="105">
        <v>0</v>
      </c>
    </row>
    <row r="2068" spans="1:6" x14ac:dyDescent="0.25">
      <c r="A2068" s="105" t="str">
        <f t="shared" si="32"/>
        <v/>
      </c>
      <c r="B2068" s="105" t="s">
        <v>3379</v>
      </c>
      <c r="C2068" s="105" t="s">
        <v>8</v>
      </c>
      <c r="D2068" s="105">
        <v>0</v>
      </c>
      <c r="E2068" s="105">
        <v>0</v>
      </c>
      <c r="F2068" s="105">
        <v>0</v>
      </c>
    </row>
    <row r="2069" spans="1:6" x14ac:dyDescent="0.25">
      <c r="A2069" s="105">
        <f t="shared" si="32"/>
        <v>5101990</v>
      </c>
      <c r="B2069" s="105" t="s">
        <v>3380</v>
      </c>
      <c r="C2069" s="105" t="s">
        <v>9312</v>
      </c>
      <c r="D2069" s="105">
        <v>1.1000000000000001</v>
      </c>
      <c r="E2069" s="105">
        <v>0.66</v>
      </c>
      <c r="F2069" s="105">
        <v>0</v>
      </c>
    </row>
    <row r="2070" spans="1:6" x14ac:dyDescent="0.25">
      <c r="A2070" s="105">
        <f t="shared" si="32"/>
        <v>5101998</v>
      </c>
      <c r="B2070" s="105" t="s">
        <v>3381</v>
      </c>
      <c r="C2070" s="105" t="s">
        <v>3382</v>
      </c>
      <c r="D2070" s="105">
        <v>14900</v>
      </c>
      <c r="E2070" s="105">
        <v>8940</v>
      </c>
      <c r="F2070" s="105">
        <v>3</v>
      </c>
    </row>
    <row r="2071" spans="1:6" x14ac:dyDescent="0.25">
      <c r="A2071" s="105">
        <f t="shared" si="32"/>
        <v>5101999</v>
      </c>
      <c r="B2071" s="105" t="s">
        <v>3383</v>
      </c>
      <c r="C2071" s="105" t="s">
        <v>3384</v>
      </c>
      <c r="D2071" s="105">
        <v>14500</v>
      </c>
      <c r="E2071" s="105">
        <v>8700</v>
      </c>
      <c r="F2071" s="105">
        <v>514</v>
      </c>
    </row>
    <row r="2072" spans="1:6" x14ac:dyDescent="0.25">
      <c r="A2072" s="105">
        <f t="shared" si="32"/>
        <v>510199907</v>
      </c>
      <c r="B2072" s="105" t="s">
        <v>3385</v>
      </c>
      <c r="C2072" s="105" t="s">
        <v>3386</v>
      </c>
      <c r="D2072" s="105">
        <v>2980</v>
      </c>
      <c r="E2072" s="105">
        <v>1788</v>
      </c>
      <c r="F2072" s="105">
        <v>0</v>
      </c>
    </row>
    <row r="2073" spans="1:6" x14ac:dyDescent="0.25">
      <c r="A2073" s="105">
        <f t="shared" si="32"/>
        <v>5102000</v>
      </c>
      <c r="B2073" s="105" t="s">
        <v>9313</v>
      </c>
      <c r="C2073" s="105" t="s">
        <v>9314</v>
      </c>
      <c r="D2073" s="105">
        <v>13042.36</v>
      </c>
      <c r="E2073" s="105">
        <v>7825.42</v>
      </c>
      <c r="F2073" s="105">
        <v>0</v>
      </c>
    </row>
    <row r="2074" spans="1:6" x14ac:dyDescent="0.25">
      <c r="A2074" s="105">
        <f t="shared" si="32"/>
        <v>5102001</v>
      </c>
      <c r="B2074" s="105" t="s">
        <v>3387</v>
      </c>
      <c r="C2074" s="105" t="s">
        <v>3388</v>
      </c>
      <c r="D2074" s="105">
        <v>4125.3999999999996</v>
      </c>
      <c r="E2074" s="105">
        <v>2475.2399999999998</v>
      </c>
      <c r="F2074" s="105">
        <v>2</v>
      </c>
    </row>
    <row r="2075" spans="1:6" x14ac:dyDescent="0.25">
      <c r="A2075" s="105">
        <f t="shared" si="32"/>
        <v>5102247</v>
      </c>
      <c r="B2075" s="105" t="s">
        <v>3389</v>
      </c>
      <c r="C2075" s="105" t="s">
        <v>3390</v>
      </c>
      <c r="D2075" s="105">
        <v>2944.69</v>
      </c>
      <c r="E2075" s="105">
        <v>1766.81</v>
      </c>
      <c r="F2075" s="105">
        <v>0</v>
      </c>
    </row>
    <row r="2076" spans="1:6" x14ac:dyDescent="0.25">
      <c r="A2076" s="105">
        <f t="shared" si="32"/>
        <v>5102248</v>
      </c>
      <c r="B2076" s="105" t="s">
        <v>3391</v>
      </c>
      <c r="C2076" s="105" t="s">
        <v>3392</v>
      </c>
      <c r="D2076" s="105">
        <v>3997.11</v>
      </c>
      <c r="E2076" s="105">
        <v>2398.27</v>
      </c>
      <c r="F2076" s="105">
        <v>0</v>
      </c>
    </row>
    <row r="2077" spans="1:6" x14ac:dyDescent="0.25">
      <c r="A2077" s="105" t="str">
        <f t="shared" si="32"/>
        <v/>
      </c>
      <c r="B2077" s="105" t="s">
        <v>3393</v>
      </c>
      <c r="C2077" s="105" t="s">
        <v>8</v>
      </c>
      <c r="D2077" s="105">
        <v>0</v>
      </c>
      <c r="E2077" s="105">
        <v>0</v>
      </c>
      <c r="F2077" s="105">
        <v>0</v>
      </c>
    </row>
    <row r="2078" spans="1:6" x14ac:dyDescent="0.25">
      <c r="A2078" s="105">
        <f t="shared" si="32"/>
        <v>5102249</v>
      </c>
      <c r="B2078" s="105" t="s">
        <v>3394</v>
      </c>
      <c r="C2078" s="105" t="s">
        <v>3395</v>
      </c>
      <c r="D2078" s="105">
        <v>0</v>
      </c>
      <c r="E2078" s="105">
        <v>0</v>
      </c>
      <c r="F2078" s="105">
        <v>0</v>
      </c>
    </row>
    <row r="2079" spans="1:6" x14ac:dyDescent="0.25">
      <c r="A2079" s="105" t="str">
        <f t="shared" si="32"/>
        <v/>
      </c>
      <c r="B2079" s="105" t="s">
        <v>3396</v>
      </c>
      <c r="C2079" s="105" t="s">
        <v>8</v>
      </c>
      <c r="D2079" s="105">
        <v>0</v>
      </c>
      <c r="E2079" s="105">
        <v>0</v>
      </c>
      <c r="F2079" s="105">
        <v>0</v>
      </c>
    </row>
    <row r="2080" spans="1:6" x14ac:dyDescent="0.25">
      <c r="A2080" s="105">
        <f t="shared" si="32"/>
        <v>5103444</v>
      </c>
      <c r="B2080" s="105" t="s">
        <v>3397</v>
      </c>
      <c r="C2080" s="105" t="s">
        <v>3398</v>
      </c>
      <c r="D2080" s="105">
        <v>0</v>
      </c>
      <c r="E2080" s="105">
        <v>0</v>
      </c>
      <c r="F2080" s="105">
        <v>0</v>
      </c>
    </row>
    <row r="2081" spans="1:6" x14ac:dyDescent="0.25">
      <c r="A2081" s="105" t="str">
        <f t="shared" si="32"/>
        <v/>
      </c>
      <c r="B2081" s="105" t="s">
        <v>3399</v>
      </c>
      <c r="C2081" s="105" t="s">
        <v>8</v>
      </c>
      <c r="D2081" s="105">
        <v>0</v>
      </c>
      <c r="E2081" s="105">
        <v>0</v>
      </c>
      <c r="F2081" s="105">
        <v>0</v>
      </c>
    </row>
    <row r="2082" spans="1:6" x14ac:dyDescent="0.25">
      <c r="A2082" s="105">
        <f t="shared" si="32"/>
        <v>5103555</v>
      </c>
      <c r="B2082" s="105" t="s">
        <v>3400</v>
      </c>
      <c r="C2082" s="105" t="s">
        <v>3401</v>
      </c>
      <c r="D2082" s="105">
        <v>0</v>
      </c>
      <c r="E2082" s="105">
        <v>0</v>
      </c>
      <c r="F2082" s="105">
        <v>0</v>
      </c>
    </row>
    <row r="2083" spans="1:6" x14ac:dyDescent="0.25">
      <c r="A2083" s="105">
        <f t="shared" si="32"/>
        <v>520111</v>
      </c>
      <c r="B2083" s="105" t="s">
        <v>3402</v>
      </c>
      <c r="C2083" s="105" t="s">
        <v>8</v>
      </c>
      <c r="D2083" s="105">
        <v>0</v>
      </c>
      <c r="E2083" s="105">
        <v>0</v>
      </c>
      <c r="F2083" s="105">
        <v>0</v>
      </c>
    </row>
    <row r="2084" spans="1:6" x14ac:dyDescent="0.25">
      <c r="A2084" s="105" t="str">
        <f t="shared" si="32"/>
        <v/>
      </c>
      <c r="B2084" s="105" t="s">
        <v>3403</v>
      </c>
      <c r="C2084" s="105" t="s">
        <v>8</v>
      </c>
      <c r="D2084" s="105">
        <v>0</v>
      </c>
      <c r="E2084" s="105">
        <v>0</v>
      </c>
      <c r="F2084" s="105">
        <v>0</v>
      </c>
    </row>
    <row r="2085" spans="1:6" x14ac:dyDescent="0.25">
      <c r="A2085" s="105">
        <f t="shared" si="32"/>
        <v>5320000</v>
      </c>
      <c r="B2085" s="105" t="s">
        <v>3404</v>
      </c>
      <c r="C2085" s="105" t="s">
        <v>3405</v>
      </c>
      <c r="D2085" s="105">
        <v>0</v>
      </c>
      <c r="E2085" s="105">
        <v>0</v>
      </c>
      <c r="F2085" s="105">
        <v>0</v>
      </c>
    </row>
    <row r="2086" spans="1:6" x14ac:dyDescent="0.25">
      <c r="A2086" s="105" t="str">
        <f t="shared" si="32"/>
        <v/>
      </c>
      <c r="B2086" s="105" t="s">
        <v>3406</v>
      </c>
      <c r="C2086" s="105" t="s">
        <v>8</v>
      </c>
      <c r="D2086" s="105">
        <v>0</v>
      </c>
      <c r="E2086" s="105">
        <v>0</v>
      </c>
      <c r="F2086" s="105">
        <v>0</v>
      </c>
    </row>
    <row r="2087" spans="1:6" x14ac:dyDescent="0.25">
      <c r="A2087" s="105">
        <f t="shared" si="32"/>
        <v>5320027</v>
      </c>
      <c r="B2087" s="105" t="s">
        <v>3407</v>
      </c>
      <c r="C2087" s="105" t="s">
        <v>3408</v>
      </c>
      <c r="D2087" s="105">
        <v>0</v>
      </c>
      <c r="E2087" s="105">
        <v>0</v>
      </c>
      <c r="F2087" s="105">
        <v>0</v>
      </c>
    </row>
    <row r="2088" spans="1:6" x14ac:dyDescent="0.25">
      <c r="A2088" s="105" t="str">
        <f t="shared" si="32"/>
        <v/>
      </c>
      <c r="B2088" s="105" t="s">
        <v>3409</v>
      </c>
      <c r="C2088" s="105" t="s">
        <v>8</v>
      </c>
      <c r="D2088" s="105">
        <v>0</v>
      </c>
      <c r="E2088" s="105">
        <v>0</v>
      </c>
      <c r="F2088" s="105">
        <v>0</v>
      </c>
    </row>
    <row r="2089" spans="1:6" x14ac:dyDescent="0.25">
      <c r="A2089" s="105">
        <f t="shared" si="32"/>
        <v>5320151</v>
      </c>
      <c r="B2089" s="105" t="s">
        <v>3410</v>
      </c>
      <c r="C2089" s="105" t="s">
        <v>3411</v>
      </c>
      <c r="D2089" s="105">
        <v>0</v>
      </c>
      <c r="E2089" s="105">
        <v>0</v>
      </c>
      <c r="F2089" s="105">
        <v>0</v>
      </c>
    </row>
    <row r="2090" spans="1:6" x14ac:dyDescent="0.25">
      <c r="A2090" s="105">
        <f t="shared" si="32"/>
        <v>5320787</v>
      </c>
      <c r="B2090" s="105" t="s">
        <v>3412</v>
      </c>
      <c r="C2090" s="105" t="s">
        <v>3413</v>
      </c>
      <c r="D2090" s="105">
        <v>42000</v>
      </c>
      <c r="E2090" s="105">
        <v>25200</v>
      </c>
      <c r="F2090" s="105">
        <v>0</v>
      </c>
    </row>
    <row r="2091" spans="1:6" x14ac:dyDescent="0.25">
      <c r="A2091" s="105" t="str">
        <f t="shared" si="32"/>
        <v/>
      </c>
      <c r="B2091" s="105" t="s">
        <v>3414</v>
      </c>
      <c r="C2091" s="105" t="s">
        <v>8</v>
      </c>
      <c r="D2091" s="105">
        <v>0</v>
      </c>
      <c r="E2091" s="105">
        <v>0</v>
      </c>
      <c r="F2091" s="105">
        <v>0</v>
      </c>
    </row>
    <row r="2092" spans="1:6" x14ac:dyDescent="0.25">
      <c r="A2092" s="105">
        <f t="shared" si="32"/>
        <v>5330000</v>
      </c>
      <c r="B2092" s="105" t="s">
        <v>3415</v>
      </c>
      <c r="C2092" s="105" t="s">
        <v>3416</v>
      </c>
      <c r="D2092" s="105">
        <v>0</v>
      </c>
      <c r="E2092" s="105">
        <v>0</v>
      </c>
      <c r="F2092" s="105">
        <v>0</v>
      </c>
    </row>
    <row r="2093" spans="1:6" x14ac:dyDescent="0.25">
      <c r="A2093" s="105">
        <f t="shared" si="32"/>
        <v>5610102</v>
      </c>
      <c r="B2093" s="105" t="s">
        <v>3417</v>
      </c>
      <c r="C2093" s="105" t="s">
        <v>3418</v>
      </c>
      <c r="D2093" s="105">
        <v>76538.03</v>
      </c>
      <c r="E2093" s="105">
        <v>45922.82</v>
      </c>
      <c r="F2093" s="105">
        <v>0</v>
      </c>
    </row>
    <row r="2094" spans="1:6" x14ac:dyDescent="0.25">
      <c r="A2094" s="105" t="str">
        <f t="shared" si="32"/>
        <v/>
      </c>
      <c r="B2094" s="105" t="s">
        <v>3419</v>
      </c>
      <c r="C2094" s="105" t="s">
        <v>8</v>
      </c>
      <c r="D2094" s="105">
        <v>0</v>
      </c>
      <c r="E2094" s="105">
        <v>0</v>
      </c>
      <c r="F2094" s="105">
        <v>0</v>
      </c>
    </row>
    <row r="2095" spans="1:6" x14ac:dyDescent="0.25">
      <c r="A2095" s="105">
        <f t="shared" si="32"/>
        <v>5610201</v>
      </c>
      <c r="B2095" s="105" t="s">
        <v>3420</v>
      </c>
      <c r="C2095" s="105" t="s">
        <v>3421</v>
      </c>
      <c r="D2095" s="105">
        <v>0</v>
      </c>
      <c r="E2095" s="105">
        <v>0</v>
      </c>
      <c r="F2095" s="105">
        <v>0</v>
      </c>
    </row>
    <row r="2096" spans="1:6" x14ac:dyDescent="0.25">
      <c r="A2096" s="105">
        <f t="shared" si="32"/>
        <v>5919025</v>
      </c>
      <c r="B2096" s="105" t="s">
        <v>3422</v>
      </c>
      <c r="C2096" s="105" t="s">
        <v>3423</v>
      </c>
      <c r="D2096" s="105">
        <v>1528.88</v>
      </c>
      <c r="E2096" s="105">
        <v>917.33</v>
      </c>
      <c r="F2096" s="105">
        <v>0</v>
      </c>
    </row>
    <row r="2097" spans="1:6" x14ac:dyDescent="0.25">
      <c r="A2097" s="105" t="str">
        <f t="shared" si="32"/>
        <v/>
      </c>
      <c r="B2097" s="105" t="s">
        <v>3424</v>
      </c>
      <c r="C2097" s="105" t="s">
        <v>8</v>
      </c>
      <c r="D2097" s="105">
        <v>0</v>
      </c>
      <c r="E2097" s="105">
        <v>0</v>
      </c>
      <c r="F2097" s="105">
        <v>0</v>
      </c>
    </row>
    <row r="2098" spans="1:6" x14ac:dyDescent="0.25">
      <c r="A2098" s="105">
        <f t="shared" si="32"/>
        <v>5919026</v>
      </c>
      <c r="B2098" s="105" t="s">
        <v>3425</v>
      </c>
      <c r="C2098" s="105" t="s">
        <v>3426</v>
      </c>
      <c r="D2098" s="105">
        <v>0</v>
      </c>
      <c r="E2098" s="105">
        <v>0</v>
      </c>
      <c r="F2098" s="105">
        <v>0</v>
      </c>
    </row>
    <row r="2099" spans="1:6" x14ac:dyDescent="0.25">
      <c r="A2099" s="105">
        <f t="shared" si="32"/>
        <v>5919165</v>
      </c>
      <c r="B2099" s="105" t="s">
        <v>3427</v>
      </c>
      <c r="C2099" s="105" t="s">
        <v>3428</v>
      </c>
      <c r="D2099" s="105">
        <v>2000.2</v>
      </c>
      <c r="E2099" s="105">
        <v>1200.1199999999999</v>
      </c>
      <c r="F2099" s="105">
        <v>41</v>
      </c>
    </row>
    <row r="2100" spans="1:6" x14ac:dyDescent="0.25">
      <c r="A2100" s="105" t="str">
        <f t="shared" si="32"/>
        <v/>
      </c>
      <c r="B2100" s="105" t="s">
        <v>3429</v>
      </c>
      <c r="C2100" s="105" t="s">
        <v>8</v>
      </c>
      <c r="D2100" s="105">
        <v>0</v>
      </c>
      <c r="E2100" s="105">
        <v>0</v>
      </c>
      <c r="F2100" s="105">
        <v>0</v>
      </c>
    </row>
    <row r="2101" spans="1:6" x14ac:dyDescent="0.25">
      <c r="A2101" s="105">
        <f t="shared" si="32"/>
        <v>5919222</v>
      </c>
      <c r="B2101" s="105" t="s">
        <v>3430</v>
      </c>
      <c r="C2101" s="105" t="s">
        <v>3431</v>
      </c>
      <c r="D2101" s="105">
        <v>0</v>
      </c>
      <c r="E2101" s="105">
        <v>0</v>
      </c>
      <c r="F2101" s="105">
        <v>0</v>
      </c>
    </row>
    <row r="2102" spans="1:6" x14ac:dyDescent="0.25">
      <c r="A2102" s="105" t="str">
        <f t="shared" si="32"/>
        <v/>
      </c>
      <c r="B2102" s="105" t="s">
        <v>3432</v>
      </c>
      <c r="C2102" s="105" t="s">
        <v>8</v>
      </c>
      <c r="D2102" s="105">
        <v>0</v>
      </c>
      <c r="E2102" s="105">
        <v>0</v>
      </c>
      <c r="F2102" s="105">
        <v>0</v>
      </c>
    </row>
    <row r="2103" spans="1:6" x14ac:dyDescent="0.25">
      <c r="A2103" s="105">
        <f t="shared" si="32"/>
        <v>5919223</v>
      </c>
      <c r="B2103" s="105" t="s">
        <v>3433</v>
      </c>
      <c r="C2103" s="105" t="s">
        <v>3434</v>
      </c>
      <c r="D2103" s="105">
        <v>0</v>
      </c>
      <c r="E2103" s="105">
        <v>0</v>
      </c>
      <c r="F2103" s="105">
        <v>0</v>
      </c>
    </row>
    <row r="2104" spans="1:6" x14ac:dyDescent="0.25">
      <c r="A2104" s="105" t="str">
        <f t="shared" si="32"/>
        <v/>
      </c>
      <c r="B2104" s="105" t="s">
        <v>3435</v>
      </c>
      <c r="C2104" s="105" t="s">
        <v>8</v>
      </c>
      <c r="D2104" s="105">
        <v>0</v>
      </c>
      <c r="E2104" s="105">
        <v>0</v>
      </c>
      <c r="F2104" s="105">
        <v>0</v>
      </c>
    </row>
    <row r="2105" spans="1:6" x14ac:dyDescent="0.25">
      <c r="A2105" s="105">
        <f t="shared" si="32"/>
        <v>5919321</v>
      </c>
      <c r="B2105" s="105" t="s">
        <v>3436</v>
      </c>
      <c r="C2105" s="105" t="s">
        <v>3437</v>
      </c>
      <c r="D2105" s="105">
        <v>0</v>
      </c>
      <c r="E2105" s="105">
        <v>0</v>
      </c>
      <c r="F2105" s="105">
        <v>0</v>
      </c>
    </row>
    <row r="2106" spans="1:6" x14ac:dyDescent="0.25">
      <c r="A2106" s="105">
        <f t="shared" si="32"/>
        <v>5919325</v>
      </c>
      <c r="B2106" s="105" t="s">
        <v>3438</v>
      </c>
      <c r="C2106" s="105" t="s">
        <v>3439</v>
      </c>
      <c r="D2106" s="105">
        <v>380.54</v>
      </c>
      <c r="E2106" s="105">
        <v>228.32</v>
      </c>
      <c r="F2106" s="105">
        <v>0</v>
      </c>
    </row>
    <row r="2107" spans="1:6" x14ac:dyDescent="0.25">
      <c r="A2107" s="105">
        <f t="shared" si="32"/>
        <v>6</v>
      </c>
      <c r="B2107" s="105" t="s">
        <v>3440</v>
      </c>
      <c r="C2107" s="105" t="s">
        <v>8</v>
      </c>
      <c r="D2107" s="105">
        <v>0</v>
      </c>
      <c r="E2107" s="105">
        <v>0</v>
      </c>
      <c r="F2107" s="105">
        <v>0</v>
      </c>
    </row>
    <row r="2108" spans="1:6" x14ac:dyDescent="0.25">
      <c r="A2108" s="105" t="str">
        <f t="shared" si="32"/>
        <v/>
      </c>
      <c r="B2108" s="105" t="s">
        <v>3441</v>
      </c>
      <c r="C2108" s="105" t="s">
        <v>8</v>
      </c>
      <c r="D2108" s="105">
        <v>0</v>
      </c>
      <c r="E2108" s="105">
        <v>0</v>
      </c>
      <c r="F2108" s="105">
        <v>0</v>
      </c>
    </row>
    <row r="2109" spans="1:6" x14ac:dyDescent="0.25">
      <c r="A2109" s="105">
        <f t="shared" si="32"/>
        <v>6000003</v>
      </c>
      <c r="B2109" s="105" t="s">
        <v>3442</v>
      </c>
      <c r="C2109" s="105" t="s">
        <v>3443</v>
      </c>
      <c r="D2109" s="105">
        <v>8962.2999999999993</v>
      </c>
      <c r="E2109" s="105">
        <v>5377.38</v>
      </c>
      <c r="F2109" s="105">
        <v>0</v>
      </c>
    </row>
    <row r="2110" spans="1:6" x14ac:dyDescent="0.25">
      <c r="A2110" s="105" t="str">
        <f t="shared" si="32"/>
        <v/>
      </c>
      <c r="B2110" s="105" t="s">
        <v>3444</v>
      </c>
      <c r="C2110" s="105" t="s">
        <v>8</v>
      </c>
      <c r="D2110" s="105">
        <v>0</v>
      </c>
      <c r="E2110" s="105">
        <v>0</v>
      </c>
      <c r="F2110" s="105">
        <v>0</v>
      </c>
    </row>
    <row r="2111" spans="1:6" x14ac:dyDescent="0.25">
      <c r="A2111" s="105">
        <f t="shared" si="32"/>
        <v>6000004</v>
      </c>
      <c r="B2111" s="105" t="s">
        <v>3445</v>
      </c>
      <c r="C2111" s="105" t="s">
        <v>3446</v>
      </c>
      <c r="D2111" s="105">
        <v>9174.2999999999993</v>
      </c>
      <c r="E2111" s="105">
        <v>5504.58</v>
      </c>
      <c r="F2111" s="105">
        <v>0</v>
      </c>
    </row>
    <row r="2112" spans="1:6" x14ac:dyDescent="0.25">
      <c r="A2112" s="105" t="str">
        <f t="shared" si="32"/>
        <v/>
      </c>
      <c r="B2112" s="105" t="s">
        <v>3447</v>
      </c>
      <c r="C2112" s="105" t="s">
        <v>8</v>
      </c>
      <c r="D2112" s="105">
        <v>0</v>
      </c>
      <c r="E2112" s="105">
        <v>0</v>
      </c>
      <c r="F2112" s="105">
        <v>0</v>
      </c>
    </row>
    <row r="2113" spans="1:6" x14ac:dyDescent="0.25">
      <c r="A2113" s="105">
        <f t="shared" si="32"/>
        <v>6000005</v>
      </c>
      <c r="B2113" s="105" t="s">
        <v>3448</v>
      </c>
      <c r="C2113" s="105" t="s">
        <v>3449</v>
      </c>
      <c r="D2113" s="105">
        <v>9386.2999999999993</v>
      </c>
      <c r="E2113" s="105">
        <v>5631.78</v>
      </c>
      <c r="F2113" s="105">
        <v>0</v>
      </c>
    </row>
    <row r="2114" spans="1:6" x14ac:dyDescent="0.25">
      <c r="A2114" s="105">
        <f t="shared" si="32"/>
        <v>6000006</v>
      </c>
      <c r="B2114" s="105" t="s">
        <v>3450</v>
      </c>
      <c r="C2114" s="105" t="s">
        <v>9315</v>
      </c>
      <c r="D2114" s="105">
        <v>6519</v>
      </c>
      <c r="E2114" s="105">
        <v>3911.4</v>
      </c>
      <c r="F2114" s="105">
        <v>0</v>
      </c>
    </row>
    <row r="2115" spans="1:6" x14ac:dyDescent="0.25">
      <c r="A2115" s="105">
        <f t="shared" ref="A2115:A2178" si="33">IF(B2115&lt;&gt;"",IFERROR(B2115*1,""),"")</f>
        <v>6000007</v>
      </c>
      <c r="B2115" s="105" t="s">
        <v>3451</v>
      </c>
      <c r="C2115" s="105" t="s">
        <v>9316</v>
      </c>
      <c r="D2115" s="105">
        <v>3790.56</v>
      </c>
      <c r="E2115" s="105">
        <v>2274.34</v>
      </c>
      <c r="F2115" s="105">
        <v>0</v>
      </c>
    </row>
    <row r="2116" spans="1:6" x14ac:dyDescent="0.25">
      <c r="A2116" s="105">
        <f t="shared" si="33"/>
        <v>6000008</v>
      </c>
      <c r="B2116" s="105" t="s">
        <v>3452</v>
      </c>
      <c r="C2116" s="105" t="s">
        <v>9317</v>
      </c>
      <c r="D2116" s="105">
        <v>3790.56</v>
      </c>
      <c r="E2116" s="105">
        <v>2274.34</v>
      </c>
      <c r="F2116" s="105">
        <v>0</v>
      </c>
    </row>
    <row r="2117" spans="1:6" x14ac:dyDescent="0.25">
      <c r="A2117" s="105">
        <f t="shared" si="33"/>
        <v>6000009</v>
      </c>
      <c r="B2117" s="105" t="s">
        <v>3453</v>
      </c>
      <c r="C2117" s="105" t="s">
        <v>9318</v>
      </c>
      <c r="D2117" s="105">
        <v>11988.6</v>
      </c>
      <c r="E2117" s="105">
        <v>7193.16</v>
      </c>
      <c r="F2117" s="105">
        <v>0</v>
      </c>
    </row>
    <row r="2118" spans="1:6" x14ac:dyDescent="0.25">
      <c r="A2118" s="105">
        <f t="shared" si="33"/>
        <v>6000010</v>
      </c>
      <c r="B2118" s="105" t="s">
        <v>3454</v>
      </c>
      <c r="C2118" s="105" t="s">
        <v>9319</v>
      </c>
      <c r="D2118" s="105">
        <v>12942.6</v>
      </c>
      <c r="E2118" s="105">
        <v>7765.56</v>
      </c>
      <c r="F2118" s="105">
        <v>0</v>
      </c>
    </row>
    <row r="2119" spans="1:6" x14ac:dyDescent="0.25">
      <c r="A2119" s="105">
        <f t="shared" si="33"/>
        <v>6000011</v>
      </c>
      <c r="B2119" s="105" t="s">
        <v>3455</v>
      </c>
      <c r="C2119" s="105" t="s">
        <v>9320</v>
      </c>
      <c r="D2119" s="105">
        <v>9652.36</v>
      </c>
      <c r="E2119" s="105">
        <v>5791.42</v>
      </c>
      <c r="F2119" s="105">
        <v>0</v>
      </c>
    </row>
    <row r="2120" spans="1:6" x14ac:dyDescent="0.25">
      <c r="A2120" s="105">
        <f t="shared" si="33"/>
        <v>6000012</v>
      </c>
      <c r="B2120" s="105" t="s">
        <v>3456</v>
      </c>
      <c r="C2120" s="105" t="s">
        <v>9321</v>
      </c>
      <c r="D2120" s="105">
        <v>6360</v>
      </c>
      <c r="E2120" s="105">
        <v>3816</v>
      </c>
      <c r="F2120" s="105">
        <v>0</v>
      </c>
    </row>
    <row r="2121" spans="1:6" x14ac:dyDescent="0.25">
      <c r="A2121" s="105">
        <f t="shared" si="33"/>
        <v>6000013</v>
      </c>
      <c r="B2121" s="105" t="s">
        <v>3457</v>
      </c>
      <c r="C2121" s="105" t="s">
        <v>9322</v>
      </c>
      <c r="D2121" s="105">
        <v>13822.4</v>
      </c>
      <c r="E2121" s="105">
        <v>8293.44</v>
      </c>
      <c r="F2121" s="105">
        <v>0</v>
      </c>
    </row>
    <row r="2122" spans="1:6" x14ac:dyDescent="0.25">
      <c r="A2122" s="105">
        <f t="shared" si="33"/>
        <v>6000014</v>
      </c>
      <c r="B2122" s="105" t="s">
        <v>3458</v>
      </c>
      <c r="C2122" s="105" t="s">
        <v>9323</v>
      </c>
      <c r="D2122" s="105">
        <v>13970.8</v>
      </c>
      <c r="E2122" s="105">
        <v>8382.48</v>
      </c>
      <c r="F2122" s="105">
        <v>0</v>
      </c>
    </row>
    <row r="2123" spans="1:6" x14ac:dyDescent="0.25">
      <c r="A2123" s="105">
        <f t="shared" si="33"/>
        <v>6000015</v>
      </c>
      <c r="B2123" s="105" t="s">
        <v>3459</v>
      </c>
      <c r="C2123" s="105" t="s">
        <v>9324</v>
      </c>
      <c r="D2123" s="105">
        <v>6519</v>
      </c>
      <c r="E2123" s="105">
        <v>3911.4</v>
      </c>
      <c r="F2123" s="105">
        <v>0</v>
      </c>
    </row>
    <row r="2124" spans="1:6" x14ac:dyDescent="0.25">
      <c r="A2124" s="105">
        <f t="shared" si="33"/>
        <v>6000016</v>
      </c>
      <c r="B2124" s="105" t="s">
        <v>3460</v>
      </c>
      <c r="C2124" s="105" t="s">
        <v>9325</v>
      </c>
      <c r="D2124" s="105">
        <v>16514.8</v>
      </c>
      <c r="E2124" s="105">
        <v>9908.8799999999992</v>
      </c>
      <c r="F2124" s="105">
        <v>0</v>
      </c>
    </row>
    <row r="2125" spans="1:6" x14ac:dyDescent="0.25">
      <c r="A2125" s="105">
        <f t="shared" si="33"/>
        <v>6000017</v>
      </c>
      <c r="B2125" s="105" t="s">
        <v>3461</v>
      </c>
      <c r="C2125" s="105" t="s">
        <v>3462</v>
      </c>
      <c r="D2125" s="105">
        <v>14999</v>
      </c>
      <c r="E2125" s="105">
        <v>8999.4</v>
      </c>
      <c r="F2125" s="105">
        <v>0</v>
      </c>
    </row>
    <row r="2126" spans="1:6" x14ac:dyDescent="0.25">
      <c r="A2126" s="105">
        <f t="shared" si="33"/>
        <v>6000018</v>
      </c>
      <c r="B2126" s="105" t="s">
        <v>3463</v>
      </c>
      <c r="C2126" s="105" t="s">
        <v>3464</v>
      </c>
      <c r="D2126" s="105">
        <v>9954.4599999999991</v>
      </c>
      <c r="E2126" s="105">
        <v>5972.68</v>
      </c>
      <c r="F2126" s="105">
        <v>0</v>
      </c>
    </row>
    <row r="2127" spans="1:6" x14ac:dyDescent="0.25">
      <c r="A2127" s="105">
        <f t="shared" si="33"/>
        <v>6000019</v>
      </c>
      <c r="B2127" s="105" t="s">
        <v>9326</v>
      </c>
      <c r="C2127" s="105" t="s">
        <v>9327</v>
      </c>
      <c r="D2127" s="105">
        <v>1547.6</v>
      </c>
      <c r="E2127" s="105">
        <v>928.56</v>
      </c>
      <c r="F2127" s="105">
        <v>0</v>
      </c>
    </row>
    <row r="2128" spans="1:6" x14ac:dyDescent="0.25">
      <c r="A2128" s="105">
        <f t="shared" si="33"/>
        <v>6000020</v>
      </c>
      <c r="B2128" s="105" t="s">
        <v>9328</v>
      </c>
      <c r="C2128" s="105" t="s">
        <v>9329</v>
      </c>
      <c r="D2128" s="105">
        <v>30727.279999999999</v>
      </c>
      <c r="E2128" s="105">
        <v>18436.37</v>
      </c>
      <c r="F2128" s="105">
        <v>0</v>
      </c>
    </row>
    <row r="2129" spans="1:6" x14ac:dyDescent="0.25">
      <c r="A2129" s="105">
        <f t="shared" si="33"/>
        <v>6000021</v>
      </c>
      <c r="B2129" s="105" t="s">
        <v>9330</v>
      </c>
      <c r="C2129" s="105" t="s">
        <v>9329</v>
      </c>
      <c r="D2129" s="105">
        <v>33582.92</v>
      </c>
      <c r="E2129" s="105">
        <v>20149.75</v>
      </c>
      <c r="F2129" s="105">
        <v>0</v>
      </c>
    </row>
    <row r="2130" spans="1:6" x14ac:dyDescent="0.25">
      <c r="A2130" s="105">
        <f t="shared" si="33"/>
        <v>6000022</v>
      </c>
      <c r="B2130" s="105" t="s">
        <v>9331</v>
      </c>
      <c r="C2130" s="105" t="s">
        <v>9332</v>
      </c>
      <c r="D2130" s="105">
        <v>14956.6</v>
      </c>
      <c r="E2130" s="105">
        <v>8973.9599999999991</v>
      </c>
      <c r="F2130" s="105">
        <v>0</v>
      </c>
    </row>
    <row r="2131" spans="1:6" x14ac:dyDescent="0.25">
      <c r="A2131" s="105">
        <f t="shared" si="33"/>
        <v>6000023</v>
      </c>
      <c r="B2131" s="105" t="s">
        <v>9333</v>
      </c>
      <c r="C2131" s="105" t="s">
        <v>9334</v>
      </c>
      <c r="D2131" s="105">
        <v>3800.1</v>
      </c>
      <c r="E2131" s="105">
        <v>2280.06</v>
      </c>
      <c r="F2131" s="105">
        <v>0</v>
      </c>
    </row>
    <row r="2132" spans="1:6" x14ac:dyDescent="0.25">
      <c r="A2132" s="105">
        <f t="shared" si="33"/>
        <v>6000024</v>
      </c>
      <c r="B2132" s="105" t="s">
        <v>9335</v>
      </c>
      <c r="C2132" s="105" t="s">
        <v>9336</v>
      </c>
      <c r="D2132" s="105">
        <v>5088</v>
      </c>
      <c r="E2132" s="105">
        <v>3052.8</v>
      </c>
      <c r="F2132" s="105">
        <v>0</v>
      </c>
    </row>
    <row r="2133" spans="1:6" x14ac:dyDescent="0.25">
      <c r="A2133" s="105">
        <f t="shared" si="33"/>
        <v>6000025</v>
      </c>
      <c r="B2133" s="105" t="s">
        <v>9337</v>
      </c>
      <c r="C2133" s="105" t="s">
        <v>9338</v>
      </c>
      <c r="D2133" s="105">
        <v>4982</v>
      </c>
      <c r="E2133" s="105">
        <v>2989.2</v>
      </c>
      <c r="F2133" s="105">
        <v>0</v>
      </c>
    </row>
    <row r="2134" spans="1:6" x14ac:dyDescent="0.25">
      <c r="A2134" s="105">
        <f t="shared" si="33"/>
        <v>6000026</v>
      </c>
      <c r="B2134" s="105" t="s">
        <v>9339</v>
      </c>
      <c r="C2134" s="105" t="s">
        <v>9340</v>
      </c>
      <c r="D2134" s="105">
        <v>11872</v>
      </c>
      <c r="E2134" s="105">
        <v>7123.2</v>
      </c>
      <c r="F2134" s="105">
        <v>0</v>
      </c>
    </row>
    <row r="2135" spans="1:6" x14ac:dyDescent="0.25">
      <c r="A2135" s="105">
        <f t="shared" si="33"/>
        <v>6000027</v>
      </c>
      <c r="B2135" s="105" t="s">
        <v>9341</v>
      </c>
      <c r="C2135" s="105" t="s">
        <v>9342</v>
      </c>
      <c r="D2135" s="105">
        <v>7208</v>
      </c>
      <c r="E2135" s="105">
        <v>4324.8</v>
      </c>
      <c r="F2135" s="105">
        <v>0</v>
      </c>
    </row>
    <row r="2136" spans="1:6" x14ac:dyDescent="0.25">
      <c r="A2136" s="105">
        <f t="shared" si="33"/>
        <v>6000028</v>
      </c>
      <c r="B2136" s="105" t="s">
        <v>9343</v>
      </c>
      <c r="C2136" s="105" t="s">
        <v>9340</v>
      </c>
      <c r="D2136" s="105">
        <v>11872</v>
      </c>
      <c r="E2136" s="105">
        <v>7123.2</v>
      </c>
      <c r="F2136" s="105">
        <v>0</v>
      </c>
    </row>
    <row r="2137" spans="1:6" x14ac:dyDescent="0.25">
      <c r="A2137" s="105">
        <f t="shared" si="33"/>
        <v>6000029</v>
      </c>
      <c r="B2137" s="105" t="s">
        <v>9344</v>
      </c>
      <c r="C2137" s="105" t="s">
        <v>9345</v>
      </c>
      <c r="D2137" s="105">
        <v>5700.68</v>
      </c>
      <c r="E2137" s="105">
        <v>3420.41</v>
      </c>
      <c r="F2137" s="105">
        <v>0</v>
      </c>
    </row>
    <row r="2138" spans="1:6" x14ac:dyDescent="0.25">
      <c r="A2138" s="105">
        <f t="shared" si="33"/>
        <v>6000030</v>
      </c>
      <c r="B2138" s="105" t="s">
        <v>9346</v>
      </c>
      <c r="C2138" s="105" t="s">
        <v>9347</v>
      </c>
      <c r="D2138" s="105">
        <v>13970.8</v>
      </c>
      <c r="E2138" s="105">
        <v>8382.48</v>
      </c>
      <c r="F2138" s="105">
        <v>0</v>
      </c>
    </row>
    <row r="2139" spans="1:6" x14ac:dyDescent="0.25">
      <c r="A2139" s="105">
        <f t="shared" si="33"/>
        <v>6000067</v>
      </c>
      <c r="B2139" s="105" t="s">
        <v>3465</v>
      </c>
      <c r="C2139" s="105" t="s">
        <v>3466</v>
      </c>
      <c r="D2139" s="105">
        <v>1484</v>
      </c>
      <c r="E2139" s="105">
        <v>890.4</v>
      </c>
      <c r="F2139" s="105">
        <v>0</v>
      </c>
    </row>
    <row r="2140" spans="1:6" x14ac:dyDescent="0.25">
      <c r="A2140" s="105" t="str">
        <f t="shared" si="33"/>
        <v/>
      </c>
      <c r="B2140" s="105" t="s">
        <v>3467</v>
      </c>
      <c r="C2140" s="105" t="s">
        <v>8</v>
      </c>
      <c r="D2140" s="105">
        <v>0</v>
      </c>
      <c r="E2140" s="105">
        <v>0</v>
      </c>
      <c r="F2140" s="105">
        <v>0</v>
      </c>
    </row>
    <row r="2141" spans="1:6" x14ac:dyDescent="0.25">
      <c r="A2141" s="105">
        <f t="shared" si="33"/>
        <v>6000100</v>
      </c>
      <c r="B2141" s="105" t="s">
        <v>3468</v>
      </c>
      <c r="C2141" s="105" t="s">
        <v>3469</v>
      </c>
      <c r="D2141" s="105">
        <v>0</v>
      </c>
      <c r="E2141" s="105">
        <v>0</v>
      </c>
      <c r="F2141" s="105">
        <v>0</v>
      </c>
    </row>
    <row r="2142" spans="1:6" x14ac:dyDescent="0.25">
      <c r="A2142" s="105" t="str">
        <f t="shared" si="33"/>
        <v/>
      </c>
      <c r="B2142" s="105" t="s">
        <v>3470</v>
      </c>
      <c r="C2142" s="105" t="s">
        <v>8</v>
      </c>
      <c r="D2142" s="105">
        <v>0</v>
      </c>
      <c r="E2142" s="105">
        <v>0</v>
      </c>
      <c r="F2142" s="105">
        <v>0</v>
      </c>
    </row>
    <row r="2143" spans="1:6" x14ac:dyDescent="0.25">
      <c r="A2143" s="105">
        <f t="shared" si="33"/>
        <v>6000129</v>
      </c>
      <c r="B2143" s="105" t="s">
        <v>3471</v>
      </c>
      <c r="C2143" s="105" t="s">
        <v>3472</v>
      </c>
      <c r="D2143" s="105">
        <v>1007</v>
      </c>
      <c r="E2143" s="105">
        <v>604.20000000000005</v>
      </c>
      <c r="F2143" s="105">
        <v>0</v>
      </c>
    </row>
    <row r="2144" spans="1:6" x14ac:dyDescent="0.25">
      <c r="A2144" s="105" t="str">
        <f t="shared" si="33"/>
        <v/>
      </c>
      <c r="B2144" s="105" t="s">
        <v>3473</v>
      </c>
      <c r="C2144" s="105" t="s">
        <v>8</v>
      </c>
      <c r="D2144" s="105">
        <v>0</v>
      </c>
      <c r="E2144" s="105">
        <v>0</v>
      </c>
      <c r="F2144" s="105">
        <v>0</v>
      </c>
    </row>
    <row r="2145" spans="1:6" x14ac:dyDescent="0.25">
      <c r="A2145" s="105">
        <f t="shared" si="33"/>
        <v>6000130</v>
      </c>
      <c r="B2145" s="105" t="s">
        <v>3474</v>
      </c>
      <c r="C2145" s="105" t="s">
        <v>3475</v>
      </c>
      <c r="D2145" s="105">
        <v>1431</v>
      </c>
      <c r="E2145" s="105">
        <v>858.6</v>
      </c>
      <c r="F2145" s="105">
        <v>0</v>
      </c>
    </row>
    <row r="2146" spans="1:6" x14ac:dyDescent="0.25">
      <c r="A2146" s="105" t="str">
        <f t="shared" si="33"/>
        <v/>
      </c>
      <c r="B2146" s="105" t="s">
        <v>3476</v>
      </c>
      <c r="C2146" s="105" t="s">
        <v>8</v>
      </c>
      <c r="D2146" s="105">
        <v>0</v>
      </c>
      <c r="E2146" s="105">
        <v>0</v>
      </c>
      <c r="F2146" s="105">
        <v>0</v>
      </c>
    </row>
    <row r="2147" spans="1:6" x14ac:dyDescent="0.25">
      <c r="A2147" s="105">
        <f t="shared" si="33"/>
        <v>6000301</v>
      </c>
      <c r="B2147" s="105" t="s">
        <v>3477</v>
      </c>
      <c r="C2147" s="105" t="s">
        <v>3478</v>
      </c>
      <c r="D2147" s="105">
        <v>1399.2</v>
      </c>
      <c r="E2147" s="105">
        <v>839.52</v>
      </c>
      <c r="F2147" s="105">
        <v>0</v>
      </c>
    </row>
    <row r="2148" spans="1:6" x14ac:dyDescent="0.25">
      <c r="A2148" s="105" t="str">
        <f t="shared" si="33"/>
        <v/>
      </c>
      <c r="B2148" s="105" t="s">
        <v>3479</v>
      </c>
      <c r="C2148" s="105" t="s">
        <v>8</v>
      </c>
      <c r="D2148" s="105">
        <v>0</v>
      </c>
      <c r="E2148" s="105">
        <v>0</v>
      </c>
      <c r="F2148" s="105">
        <v>0</v>
      </c>
    </row>
    <row r="2149" spans="1:6" x14ac:dyDescent="0.25">
      <c r="A2149" s="105">
        <f t="shared" si="33"/>
        <v>6000551</v>
      </c>
      <c r="B2149" s="105" t="s">
        <v>3480</v>
      </c>
      <c r="C2149" s="105" t="s">
        <v>3481</v>
      </c>
      <c r="D2149" s="105">
        <v>9635.4</v>
      </c>
      <c r="E2149" s="105">
        <v>5781.24</v>
      </c>
      <c r="F2149" s="105">
        <v>0</v>
      </c>
    </row>
    <row r="2150" spans="1:6" x14ac:dyDescent="0.25">
      <c r="A2150" s="105" t="str">
        <f t="shared" si="33"/>
        <v/>
      </c>
      <c r="B2150" s="105" t="s">
        <v>3482</v>
      </c>
      <c r="C2150" s="105" t="s">
        <v>8</v>
      </c>
      <c r="D2150" s="105">
        <v>0</v>
      </c>
      <c r="E2150" s="105">
        <v>0</v>
      </c>
      <c r="F2150" s="105">
        <v>0</v>
      </c>
    </row>
    <row r="2151" spans="1:6" x14ac:dyDescent="0.25">
      <c r="A2151" s="105">
        <f t="shared" si="33"/>
        <v>6000552</v>
      </c>
      <c r="B2151" s="105" t="s">
        <v>3483</v>
      </c>
      <c r="C2151" s="105" t="s">
        <v>3484</v>
      </c>
      <c r="D2151" s="105">
        <v>6519</v>
      </c>
      <c r="E2151" s="105">
        <v>3911.4</v>
      </c>
      <c r="F2151" s="105">
        <v>0</v>
      </c>
    </row>
    <row r="2152" spans="1:6" x14ac:dyDescent="0.25">
      <c r="A2152" s="105" t="str">
        <f t="shared" si="33"/>
        <v/>
      </c>
      <c r="B2152" s="105" t="s">
        <v>3485</v>
      </c>
      <c r="C2152" s="105" t="s">
        <v>8</v>
      </c>
      <c r="D2152" s="105">
        <v>0</v>
      </c>
      <c r="E2152" s="105">
        <v>0</v>
      </c>
      <c r="F2152" s="105">
        <v>0</v>
      </c>
    </row>
    <row r="2153" spans="1:6" x14ac:dyDescent="0.25">
      <c r="A2153" s="105">
        <f t="shared" si="33"/>
        <v>6000852</v>
      </c>
      <c r="B2153" s="105" t="s">
        <v>3486</v>
      </c>
      <c r="C2153" s="105" t="s">
        <v>3487</v>
      </c>
      <c r="D2153" s="105">
        <v>7223.9</v>
      </c>
      <c r="E2153" s="105">
        <v>4334.34</v>
      </c>
      <c r="F2153" s="105">
        <v>0</v>
      </c>
    </row>
    <row r="2154" spans="1:6" x14ac:dyDescent="0.25">
      <c r="A2154" s="105" t="str">
        <f t="shared" si="33"/>
        <v/>
      </c>
      <c r="B2154" s="105" t="s">
        <v>3488</v>
      </c>
      <c r="C2154" s="105" t="s">
        <v>8</v>
      </c>
      <c r="D2154" s="105">
        <v>0</v>
      </c>
      <c r="E2154" s="105">
        <v>0</v>
      </c>
      <c r="F2154" s="105">
        <v>0</v>
      </c>
    </row>
    <row r="2155" spans="1:6" x14ac:dyDescent="0.25">
      <c r="A2155" s="105">
        <f t="shared" si="33"/>
        <v>6000853</v>
      </c>
      <c r="B2155" s="105" t="s">
        <v>3489</v>
      </c>
      <c r="C2155" s="105" t="s">
        <v>3490</v>
      </c>
      <c r="D2155" s="105">
        <v>7435.9</v>
      </c>
      <c r="E2155" s="105">
        <v>4461.54</v>
      </c>
      <c r="F2155" s="105">
        <v>0</v>
      </c>
    </row>
    <row r="2156" spans="1:6" x14ac:dyDescent="0.25">
      <c r="A2156" s="105" t="str">
        <f t="shared" si="33"/>
        <v/>
      </c>
      <c r="B2156" s="105" t="s">
        <v>3491</v>
      </c>
      <c r="C2156" s="105" t="s">
        <v>8</v>
      </c>
      <c r="D2156" s="105">
        <v>0</v>
      </c>
      <c r="E2156" s="105">
        <v>0</v>
      </c>
      <c r="F2156" s="105">
        <v>0</v>
      </c>
    </row>
    <row r="2157" spans="1:6" x14ac:dyDescent="0.25">
      <c r="A2157" s="105">
        <f t="shared" si="33"/>
        <v>6000855</v>
      </c>
      <c r="B2157" s="105" t="s">
        <v>3492</v>
      </c>
      <c r="C2157" s="105" t="s">
        <v>9348</v>
      </c>
      <c r="D2157" s="105">
        <v>7223.9</v>
      </c>
      <c r="E2157" s="105">
        <v>4334.34</v>
      </c>
      <c r="F2157" s="105">
        <v>0</v>
      </c>
    </row>
    <row r="2158" spans="1:6" x14ac:dyDescent="0.25">
      <c r="A2158" s="105" t="str">
        <f t="shared" si="33"/>
        <v/>
      </c>
      <c r="B2158" s="105" t="s">
        <v>3493</v>
      </c>
      <c r="C2158" s="105" t="s">
        <v>8</v>
      </c>
      <c r="D2158" s="105">
        <v>0</v>
      </c>
      <c r="E2158" s="105">
        <v>0</v>
      </c>
      <c r="F2158" s="105">
        <v>0</v>
      </c>
    </row>
    <row r="2159" spans="1:6" x14ac:dyDescent="0.25">
      <c r="A2159" s="105">
        <f t="shared" si="33"/>
        <v>6000856</v>
      </c>
      <c r="B2159" s="105" t="s">
        <v>3494</v>
      </c>
      <c r="C2159" s="105" t="s">
        <v>3495</v>
      </c>
      <c r="D2159" s="105">
        <v>7435.9</v>
      </c>
      <c r="E2159" s="105">
        <v>4461.54</v>
      </c>
      <c r="F2159" s="105">
        <v>0</v>
      </c>
    </row>
    <row r="2160" spans="1:6" x14ac:dyDescent="0.25">
      <c r="A2160" s="105" t="str">
        <f t="shared" si="33"/>
        <v/>
      </c>
      <c r="B2160" s="105" t="s">
        <v>3496</v>
      </c>
      <c r="C2160" s="105" t="s">
        <v>8</v>
      </c>
      <c r="D2160" s="105">
        <v>0</v>
      </c>
      <c r="E2160" s="105">
        <v>0</v>
      </c>
      <c r="F2160" s="105">
        <v>0</v>
      </c>
    </row>
    <row r="2161" spans="1:6" x14ac:dyDescent="0.25">
      <c r="A2161" s="105">
        <f t="shared" si="33"/>
        <v>6000863</v>
      </c>
      <c r="B2161" s="105" t="s">
        <v>3497</v>
      </c>
      <c r="C2161" s="105" t="s">
        <v>3498</v>
      </c>
      <c r="D2161" s="105">
        <v>7223.9</v>
      </c>
      <c r="E2161" s="105">
        <v>4334.34</v>
      </c>
      <c r="F2161" s="105">
        <v>0</v>
      </c>
    </row>
    <row r="2162" spans="1:6" x14ac:dyDescent="0.25">
      <c r="A2162" s="105" t="str">
        <f t="shared" si="33"/>
        <v/>
      </c>
      <c r="B2162" s="105" t="s">
        <v>3499</v>
      </c>
      <c r="C2162" s="105" t="s">
        <v>8</v>
      </c>
      <c r="D2162" s="105">
        <v>0</v>
      </c>
      <c r="E2162" s="105">
        <v>0</v>
      </c>
      <c r="F2162" s="105">
        <v>0</v>
      </c>
    </row>
    <row r="2163" spans="1:6" x14ac:dyDescent="0.25">
      <c r="A2163" s="105">
        <f t="shared" si="33"/>
        <v>6000864</v>
      </c>
      <c r="B2163" s="105" t="s">
        <v>3500</v>
      </c>
      <c r="C2163" s="105" t="s">
        <v>3501</v>
      </c>
      <c r="D2163" s="105">
        <v>7435.9</v>
      </c>
      <c r="E2163" s="105">
        <v>4461.54</v>
      </c>
      <c r="F2163" s="105">
        <v>0</v>
      </c>
    </row>
    <row r="2164" spans="1:6" x14ac:dyDescent="0.25">
      <c r="A2164" s="105" t="str">
        <f t="shared" si="33"/>
        <v/>
      </c>
      <c r="B2164" s="105" t="s">
        <v>3502</v>
      </c>
      <c r="C2164" s="105" t="s">
        <v>8</v>
      </c>
      <c r="D2164" s="105">
        <v>0</v>
      </c>
      <c r="E2164" s="105">
        <v>0</v>
      </c>
      <c r="F2164" s="105">
        <v>0</v>
      </c>
    </row>
    <row r="2165" spans="1:6" x14ac:dyDescent="0.25">
      <c r="A2165" s="105">
        <f t="shared" si="33"/>
        <v>6000999</v>
      </c>
      <c r="B2165" s="105" t="s">
        <v>3503</v>
      </c>
      <c r="C2165" s="105" t="s">
        <v>3504</v>
      </c>
      <c r="D2165" s="105">
        <v>14182.8</v>
      </c>
      <c r="E2165" s="105">
        <v>8509.68</v>
      </c>
      <c r="F2165" s="105">
        <v>0</v>
      </c>
    </row>
    <row r="2166" spans="1:6" x14ac:dyDescent="0.25">
      <c r="A2166" s="105" t="str">
        <f t="shared" si="33"/>
        <v/>
      </c>
      <c r="B2166" s="105" t="s">
        <v>3505</v>
      </c>
      <c r="C2166" s="105" t="s">
        <v>8</v>
      </c>
      <c r="D2166" s="105">
        <v>0</v>
      </c>
      <c r="E2166" s="105">
        <v>0</v>
      </c>
      <c r="F2166" s="105">
        <v>0</v>
      </c>
    </row>
    <row r="2167" spans="1:6" x14ac:dyDescent="0.25">
      <c r="A2167" s="105">
        <f t="shared" si="33"/>
        <v>6001001</v>
      </c>
      <c r="B2167" s="105" t="s">
        <v>3506</v>
      </c>
      <c r="C2167" s="105" t="s">
        <v>3507</v>
      </c>
      <c r="D2167" s="105">
        <v>1908</v>
      </c>
      <c r="E2167" s="105">
        <v>1144.8</v>
      </c>
      <c r="F2167" s="105">
        <v>0</v>
      </c>
    </row>
    <row r="2168" spans="1:6" x14ac:dyDescent="0.25">
      <c r="A2168" s="105">
        <f t="shared" si="33"/>
        <v>6001004</v>
      </c>
      <c r="B2168" s="105" t="s">
        <v>3508</v>
      </c>
      <c r="C2168" s="105" t="s">
        <v>3509</v>
      </c>
      <c r="D2168" s="105">
        <v>16536</v>
      </c>
      <c r="E2168" s="105">
        <v>9921.6</v>
      </c>
      <c r="F2168" s="105">
        <v>3</v>
      </c>
    </row>
    <row r="2169" spans="1:6" x14ac:dyDescent="0.25">
      <c r="A2169" s="105">
        <f t="shared" si="33"/>
        <v>6001005</v>
      </c>
      <c r="B2169" s="105" t="s">
        <v>3510</v>
      </c>
      <c r="C2169" s="105" t="s">
        <v>3511</v>
      </c>
      <c r="D2169" s="105">
        <v>8268</v>
      </c>
      <c r="E2169" s="105">
        <v>4960.8</v>
      </c>
      <c r="F2169" s="105">
        <v>3</v>
      </c>
    </row>
    <row r="2170" spans="1:6" x14ac:dyDescent="0.25">
      <c r="A2170" s="105">
        <f t="shared" si="33"/>
        <v>6001006</v>
      </c>
      <c r="B2170" s="105" t="s">
        <v>3512</v>
      </c>
      <c r="C2170" s="105" t="s">
        <v>9349</v>
      </c>
      <c r="D2170" s="105">
        <v>25440</v>
      </c>
      <c r="E2170" s="105">
        <v>15264</v>
      </c>
      <c r="F2170" s="105">
        <v>0</v>
      </c>
    </row>
    <row r="2171" spans="1:6" x14ac:dyDescent="0.25">
      <c r="A2171" s="105">
        <f t="shared" si="33"/>
        <v>6001007</v>
      </c>
      <c r="B2171" s="105" t="s">
        <v>3513</v>
      </c>
      <c r="C2171" s="105" t="s">
        <v>9350</v>
      </c>
      <c r="D2171" s="105">
        <v>50880</v>
      </c>
      <c r="E2171" s="105">
        <v>30528</v>
      </c>
      <c r="F2171" s="105">
        <v>0</v>
      </c>
    </row>
    <row r="2172" spans="1:6" x14ac:dyDescent="0.25">
      <c r="A2172" s="105">
        <f t="shared" si="33"/>
        <v>6001008</v>
      </c>
      <c r="B2172" s="105" t="s">
        <v>9351</v>
      </c>
      <c r="C2172" s="105" t="s">
        <v>9352</v>
      </c>
      <c r="D2172" s="105">
        <v>13992</v>
      </c>
      <c r="E2172" s="105">
        <v>8395.2000000000007</v>
      </c>
      <c r="F2172" s="105">
        <v>0</v>
      </c>
    </row>
    <row r="2173" spans="1:6" x14ac:dyDescent="0.25">
      <c r="A2173" s="105" t="str">
        <f t="shared" si="33"/>
        <v/>
      </c>
      <c r="B2173" s="105" t="s">
        <v>3514</v>
      </c>
      <c r="C2173" s="105" t="s">
        <v>8</v>
      </c>
      <c r="D2173" s="105">
        <v>0</v>
      </c>
      <c r="E2173" s="105">
        <v>0</v>
      </c>
      <c r="F2173" s="105">
        <v>0</v>
      </c>
    </row>
    <row r="2174" spans="1:6" x14ac:dyDescent="0.25">
      <c r="A2174" s="105">
        <f t="shared" si="33"/>
        <v>6001265</v>
      </c>
      <c r="B2174" s="105" t="s">
        <v>3515</v>
      </c>
      <c r="C2174" s="105" t="s">
        <v>3516</v>
      </c>
      <c r="D2174" s="105">
        <v>5724</v>
      </c>
      <c r="E2174" s="105">
        <v>3434.4</v>
      </c>
      <c r="F2174" s="105">
        <v>0</v>
      </c>
    </row>
    <row r="2175" spans="1:6" x14ac:dyDescent="0.25">
      <c r="A2175" s="105" t="str">
        <f t="shared" si="33"/>
        <v/>
      </c>
      <c r="B2175" s="105" t="s">
        <v>3517</v>
      </c>
      <c r="C2175" s="105" t="s">
        <v>8</v>
      </c>
      <c r="D2175" s="105">
        <v>0</v>
      </c>
      <c r="E2175" s="105">
        <v>0</v>
      </c>
      <c r="F2175" s="105">
        <v>0</v>
      </c>
    </row>
    <row r="2176" spans="1:6" x14ac:dyDescent="0.25">
      <c r="A2176" s="105">
        <f t="shared" si="33"/>
        <v>6001266</v>
      </c>
      <c r="B2176" s="105" t="s">
        <v>3518</v>
      </c>
      <c r="C2176" s="105" t="s">
        <v>3519</v>
      </c>
      <c r="D2176" s="105">
        <v>2862</v>
      </c>
      <c r="E2176" s="105">
        <v>1717.2</v>
      </c>
      <c r="F2176" s="105">
        <v>0</v>
      </c>
    </row>
    <row r="2177" spans="1:6" x14ac:dyDescent="0.25">
      <c r="A2177" s="105">
        <f t="shared" si="33"/>
        <v>6001941</v>
      </c>
      <c r="B2177" s="105" t="s">
        <v>3520</v>
      </c>
      <c r="C2177" s="105" t="s">
        <v>3521</v>
      </c>
      <c r="D2177" s="105">
        <v>27984</v>
      </c>
      <c r="E2177" s="105">
        <v>16790.400000000001</v>
      </c>
      <c r="F2177" s="105">
        <v>3</v>
      </c>
    </row>
    <row r="2178" spans="1:6" x14ac:dyDescent="0.25">
      <c r="A2178" s="105">
        <f t="shared" si="33"/>
        <v>6001942</v>
      </c>
      <c r="B2178" s="105" t="s">
        <v>3522</v>
      </c>
      <c r="C2178" s="105" t="s">
        <v>3523</v>
      </c>
      <c r="D2178" s="105">
        <v>9028.66</v>
      </c>
      <c r="E2178" s="105">
        <v>5417.2</v>
      </c>
      <c r="F2178" s="105">
        <v>1</v>
      </c>
    </row>
    <row r="2179" spans="1:6" x14ac:dyDescent="0.25">
      <c r="A2179" s="105" t="str">
        <f t="shared" ref="A2179:A2242" si="34">IF(B2179&lt;&gt;"",IFERROR(B2179*1,""),"")</f>
        <v/>
      </c>
      <c r="B2179" s="105" t="s">
        <v>3524</v>
      </c>
      <c r="C2179" s="105" t="s">
        <v>8</v>
      </c>
      <c r="D2179" s="105">
        <v>0</v>
      </c>
      <c r="E2179" s="105">
        <v>0</v>
      </c>
      <c r="F2179" s="105">
        <v>0</v>
      </c>
    </row>
    <row r="2180" spans="1:6" x14ac:dyDescent="0.25">
      <c r="A2180" s="105">
        <f t="shared" si="34"/>
        <v>6001946</v>
      </c>
      <c r="B2180" s="105" t="s">
        <v>3525</v>
      </c>
      <c r="C2180" s="105" t="s">
        <v>3526</v>
      </c>
      <c r="D2180" s="105">
        <v>33072</v>
      </c>
      <c r="E2180" s="105">
        <v>19843.2</v>
      </c>
      <c r="F2180" s="105">
        <v>0</v>
      </c>
    </row>
    <row r="2181" spans="1:6" x14ac:dyDescent="0.25">
      <c r="A2181" s="105" t="str">
        <f t="shared" si="34"/>
        <v/>
      </c>
      <c r="B2181" s="105" t="s">
        <v>3527</v>
      </c>
      <c r="C2181" s="105" t="s">
        <v>8</v>
      </c>
      <c r="D2181" s="105">
        <v>0</v>
      </c>
      <c r="E2181" s="105">
        <v>0</v>
      </c>
      <c r="F2181" s="105">
        <v>0</v>
      </c>
    </row>
    <row r="2182" spans="1:6" x14ac:dyDescent="0.25">
      <c r="A2182" s="105">
        <f t="shared" si="34"/>
        <v>6001947</v>
      </c>
      <c r="B2182" s="105" t="s">
        <v>3528</v>
      </c>
      <c r="C2182" s="105" t="s">
        <v>3529</v>
      </c>
      <c r="D2182" s="105">
        <v>16536</v>
      </c>
      <c r="E2182" s="105">
        <v>9921.6</v>
      </c>
      <c r="F2182" s="105">
        <v>0</v>
      </c>
    </row>
    <row r="2183" spans="1:6" x14ac:dyDescent="0.25">
      <c r="A2183" s="105">
        <f t="shared" si="34"/>
        <v>6401001</v>
      </c>
      <c r="B2183" s="105" t="s">
        <v>3530</v>
      </c>
      <c r="C2183" s="105" t="s">
        <v>3531</v>
      </c>
      <c r="D2183" s="105">
        <v>6148</v>
      </c>
      <c r="E2183" s="105">
        <v>3688.8</v>
      </c>
      <c r="F2183" s="105">
        <v>6</v>
      </c>
    </row>
    <row r="2184" spans="1:6" x14ac:dyDescent="0.25">
      <c r="A2184" s="105">
        <f t="shared" si="34"/>
        <v>6401002</v>
      </c>
      <c r="B2184" s="105" t="s">
        <v>3532</v>
      </c>
      <c r="C2184" s="105" t="s">
        <v>3533</v>
      </c>
      <c r="D2184" s="105">
        <v>6360</v>
      </c>
      <c r="E2184" s="105">
        <v>3816</v>
      </c>
      <c r="F2184" s="105">
        <v>4</v>
      </c>
    </row>
    <row r="2185" spans="1:6" x14ac:dyDescent="0.25">
      <c r="A2185" s="105">
        <f t="shared" si="34"/>
        <v>6401003</v>
      </c>
      <c r="B2185" s="105" t="s">
        <v>3534</v>
      </c>
      <c r="C2185" s="105" t="s">
        <v>3535</v>
      </c>
      <c r="D2185" s="105">
        <v>6572</v>
      </c>
      <c r="E2185" s="105">
        <v>3943.2</v>
      </c>
      <c r="F2185" s="105">
        <v>3</v>
      </c>
    </row>
    <row r="2186" spans="1:6" x14ac:dyDescent="0.25">
      <c r="A2186" s="105">
        <f t="shared" si="34"/>
        <v>6401247</v>
      </c>
      <c r="B2186" s="105" t="s">
        <v>3536</v>
      </c>
      <c r="C2186" s="105" t="s">
        <v>3537</v>
      </c>
      <c r="D2186" s="105">
        <v>2868.35</v>
      </c>
      <c r="E2186" s="105">
        <v>1721.01</v>
      </c>
      <c r="F2186" s="105">
        <v>6</v>
      </c>
    </row>
    <row r="2187" spans="1:6" x14ac:dyDescent="0.25">
      <c r="A2187" s="105">
        <f t="shared" si="34"/>
        <v>6401900</v>
      </c>
      <c r="B2187" s="105" t="s">
        <v>3538</v>
      </c>
      <c r="C2187" s="105" t="s">
        <v>3539</v>
      </c>
      <c r="D2187" s="105">
        <v>2868.35</v>
      </c>
      <c r="E2187" s="105">
        <v>1721.01</v>
      </c>
      <c r="F2187" s="105">
        <v>0</v>
      </c>
    </row>
    <row r="2188" spans="1:6" x14ac:dyDescent="0.25">
      <c r="A2188" s="105" t="str">
        <f t="shared" si="34"/>
        <v/>
      </c>
      <c r="B2188" s="105" t="s">
        <v>3540</v>
      </c>
      <c r="C2188" s="105" t="s">
        <v>8</v>
      </c>
      <c r="D2188" s="105">
        <v>0</v>
      </c>
      <c r="E2188" s="105">
        <v>0</v>
      </c>
      <c r="F2188" s="105">
        <v>0</v>
      </c>
    </row>
    <row r="2189" spans="1:6" x14ac:dyDescent="0.25">
      <c r="A2189" s="105">
        <f t="shared" si="34"/>
        <v>6401901</v>
      </c>
      <c r="B2189" s="105" t="s">
        <v>3541</v>
      </c>
      <c r="C2189" s="105" t="s">
        <v>3542</v>
      </c>
      <c r="D2189" s="105">
        <v>0</v>
      </c>
      <c r="E2189" s="105">
        <v>0</v>
      </c>
      <c r="F2189" s="105">
        <v>0</v>
      </c>
    </row>
    <row r="2190" spans="1:6" x14ac:dyDescent="0.25">
      <c r="A2190" s="105" t="str">
        <f t="shared" si="34"/>
        <v/>
      </c>
      <c r="B2190" s="105" t="s">
        <v>3543</v>
      </c>
      <c r="C2190" s="105" t="s">
        <v>8</v>
      </c>
      <c r="D2190" s="105">
        <v>0</v>
      </c>
      <c r="E2190" s="105">
        <v>0</v>
      </c>
      <c r="F2190" s="105">
        <v>0</v>
      </c>
    </row>
    <row r="2191" spans="1:6" x14ac:dyDescent="0.25">
      <c r="A2191" s="105">
        <f t="shared" si="34"/>
        <v>6401902</v>
      </c>
      <c r="B2191" s="105" t="s">
        <v>3544</v>
      </c>
      <c r="C2191" s="105" t="s">
        <v>3545</v>
      </c>
      <c r="D2191" s="105">
        <v>0</v>
      </c>
      <c r="E2191" s="105">
        <v>0</v>
      </c>
      <c r="F2191" s="105">
        <v>0</v>
      </c>
    </row>
    <row r="2192" spans="1:6" x14ac:dyDescent="0.25">
      <c r="A2192" s="105" t="str">
        <f t="shared" si="34"/>
        <v/>
      </c>
      <c r="B2192" s="105" t="s">
        <v>3546</v>
      </c>
      <c r="C2192" s="105" t="s">
        <v>8</v>
      </c>
      <c r="D2192" s="105">
        <v>0</v>
      </c>
      <c r="E2192" s="105">
        <v>0</v>
      </c>
      <c r="F2192" s="105">
        <v>0</v>
      </c>
    </row>
    <row r="2193" spans="1:6" x14ac:dyDescent="0.25">
      <c r="A2193" s="105">
        <f t="shared" si="34"/>
        <v>6402000</v>
      </c>
      <c r="B2193" s="105" t="s">
        <v>3547</v>
      </c>
      <c r="C2193" s="105" t="s">
        <v>3548</v>
      </c>
      <c r="D2193" s="105">
        <v>0</v>
      </c>
      <c r="E2193" s="105">
        <v>0</v>
      </c>
      <c r="F2193" s="105">
        <v>0</v>
      </c>
    </row>
    <row r="2194" spans="1:6" x14ac:dyDescent="0.25">
      <c r="A2194" s="105" t="str">
        <f t="shared" si="34"/>
        <v/>
      </c>
      <c r="B2194" s="105" t="s">
        <v>3549</v>
      </c>
      <c r="C2194" s="105" t="s">
        <v>8</v>
      </c>
      <c r="D2194" s="105">
        <v>0</v>
      </c>
      <c r="E2194" s="105">
        <v>0</v>
      </c>
      <c r="F2194" s="105">
        <v>0</v>
      </c>
    </row>
    <row r="2195" spans="1:6" x14ac:dyDescent="0.25">
      <c r="A2195" s="105">
        <f t="shared" si="34"/>
        <v>7203001</v>
      </c>
      <c r="B2195" s="105" t="s">
        <v>3550</v>
      </c>
      <c r="C2195" s="105" t="s">
        <v>3551</v>
      </c>
      <c r="D2195" s="105">
        <v>3500.33</v>
      </c>
      <c r="E2195" s="105">
        <v>2100.1999999999998</v>
      </c>
      <c r="F2195" s="105">
        <v>0</v>
      </c>
    </row>
    <row r="2196" spans="1:6" x14ac:dyDescent="0.25">
      <c r="A2196" s="105">
        <f t="shared" si="34"/>
        <v>7203002</v>
      </c>
      <c r="B2196" s="105" t="s">
        <v>3552</v>
      </c>
      <c r="C2196" s="105" t="s">
        <v>3553</v>
      </c>
      <c r="D2196" s="105">
        <v>3500.34</v>
      </c>
      <c r="E2196" s="105">
        <v>2100.1999999999998</v>
      </c>
      <c r="F2196" s="105">
        <v>6</v>
      </c>
    </row>
    <row r="2197" spans="1:6" x14ac:dyDescent="0.25">
      <c r="A2197" s="105" t="str">
        <f t="shared" si="34"/>
        <v/>
      </c>
      <c r="B2197" s="105" t="s">
        <v>3554</v>
      </c>
      <c r="C2197" s="105" t="s">
        <v>8</v>
      </c>
      <c r="D2197" s="105">
        <v>0</v>
      </c>
      <c r="E2197" s="105">
        <v>0</v>
      </c>
      <c r="F2197" s="105">
        <v>0</v>
      </c>
    </row>
    <row r="2198" spans="1:6" x14ac:dyDescent="0.25">
      <c r="A2198" s="105">
        <f t="shared" si="34"/>
        <v>7700022</v>
      </c>
      <c r="B2198" s="105" t="s">
        <v>3555</v>
      </c>
      <c r="C2198" s="105" t="s">
        <v>3556</v>
      </c>
      <c r="D2198" s="105">
        <v>1875.17</v>
      </c>
      <c r="E2198" s="105">
        <v>1125.0999999999999</v>
      </c>
      <c r="F2198" s="105">
        <v>0</v>
      </c>
    </row>
    <row r="2199" spans="1:6" x14ac:dyDescent="0.25">
      <c r="A2199" s="105" t="str">
        <f t="shared" si="34"/>
        <v/>
      </c>
      <c r="B2199" s="105" t="s">
        <v>3557</v>
      </c>
      <c r="C2199" s="105" t="s">
        <v>8</v>
      </c>
      <c r="D2199" s="105">
        <v>0</v>
      </c>
      <c r="E2199" s="105">
        <v>0</v>
      </c>
      <c r="F2199" s="105">
        <v>0</v>
      </c>
    </row>
    <row r="2200" spans="1:6" x14ac:dyDescent="0.25">
      <c r="A2200" s="105">
        <f t="shared" si="34"/>
        <v>7700090</v>
      </c>
      <c r="B2200" s="105" t="s">
        <v>3558</v>
      </c>
      <c r="C2200" s="105" t="s">
        <v>3559</v>
      </c>
      <c r="D2200" s="105">
        <v>0</v>
      </c>
      <c r="E2200" s="105">
        <v>0</v>
      </c>
      <c r="F2200" s="105">
        <v>0</v>
      </c>
    </row>
    <row r="2201" spans="1:6" x14ac:dyDescent="0.25">
      <c r="A2201" s="105" t="str">
        <f t="shared" si="34"/>
        <v/>
      </c>
      <c r="B2201" s="105" t="s">
        <v>3560</v>
      </c>
      <c r="C2201" s="105" t="s">
        <v>8</v>
      </c>
      <c r="D2201" s="105">
        <v>0</v>
      </c>
      <c r="E2201" s="105">
        <v>0</v>
      </c>
      <c r="F2201" s="105">
        <v>0</v>
      </c>
    </row>
    <row r="2202" spans="1:6" x14ac:dyDescent="0.25">
      <c r="A2202" s="105">
        <f t="shared" si="34"/>
        <v>7700091</v>
      </c>
      <c r="B2202" s="105" t="s">
        <v>3561</v>
      </c>
      <c r="C2202" s="105" t="s">
        <v>3562</v>
      </c>
      <c r="D2202" s="105">
        <v>0</v>
      </c>
      <c r="E2202" s="105">
        <v>0</v>
      </c>
      <c r="F2202" s="105">
        <v>0</v>
      </c>
    </row>
    <row r="2203" spans="1:6" x14ac:dyDescent="0.25">
      <c r="A2203" s="105" t="str">
        <f t="shared" si="34"/>
        <v/>
      </c>
      <c r="B2203" s="105" t="s">
        <v>3563</v>
      </c>
      <c r="C2203" s="105" t="s">
        <v>8</v>
      </c>
      <c r="D2203" s="105">
        <v>0</v>
      </c>
      <c r="E2203" s="105">
        <v>0</v>
      </c>
      <c r="F2203" s="105">
        <v>0</v>
      </c>
    </row>
    <row r="2204" spans="1:6" x14ac:dyDescent="0.25">
      <c r="A2204" s="105">
        <f t="shared" si="34"/>
        <v>7700092</v>
      </c>
      <c r="B2204" s="105" t="s">
        <v>3564</v>
      </c>
      <c r="C2204" s="105" t="s">
        <v>3565</v>
      </c>
      <c r="D2204" s="105">
        <v>0</v>
      </c>
      <c r="E2204" s="105">
        <v>0</v>
      </c>
      <c r="F2204" s="105">
        <v>0</v>
      </c>
    </row>
    <row r="2205" spans="1:6" x14ac:dyDescent="0.25">
      <c r="A2205" s="105">
        <f t="shared" si="34"/>
        <v>7700093</v>
      </c>
      <c r="B2205" s="105" t="s">
        <v>3566</v>
      </c>
      <c r="C2205" s="105" t="s">
        <v>3567</v>
      </c>
      <c r="D2205" s="105">
        <v>375.03</v>
      </c>
      <c r="E2205" s="105">
        <v>225.02</v>
      </c>
      <c r="F2205" s="105">
        <v>0</v>
      </c>
    </row>
    <row r="2206" spans="1:6" x14ac:dyDescent="0.25">
      <c r="A2206" s="105">
        <f t="shared" si="34"/>
        <v>7700094</v>
      </c>
      <c r="B2206" s="105" t="s">
        <v>3568</v>
      </c>
      <c r="C2206" s="105" t="s">
        <v>3569</v>
      </c>
      <c r="D2206" s="105">
        <v>375.03</v>
      </c>
      <c r="E2206" s="105">
        <v>225.02</v>
      </c>
      <c r="F2206" s="105">
        <v>3</v>
      </c>
    </row>
    <row r="2207" spans="1:6" x14ac:dyDescent="0.25">
      <c r="A2207" s="105" t="str">
        <f t="shared" si="34"/>
        <v/>
      </c>
      <c r="B2207" s="105" t="s">
        <v>3570</v>
      </c>
      <c r="C2207" s="105" t="s">
        <v>8</v>
      </c>
      <c r="D2207" s="105">
        <v>0</v>
      </c>
      <c r="E2207" s="105">
        <v>0</v>
      </c>
      <c r="F2207" s="105">
        <v>0</v>
      </c>
    </row>
    <row r="2208" spans="1:6" x14ac:dyDescent="0.25">
      <c r="A2208" s="105">
        <f t="shared" si="34"/>
        <v>7700095</v>
      </c>
      <c r="B2208" s="105" t="s">
        <v>3571</v>
      </c>
      <c r="C2208" s="105" t="s">
        <v>3572</v>
      </c>
      <c r="D2208" s="105">
        <v>375.03</v>
      </c>
      <c r="E2208" s="105">
        <v>225.02</v>
      </c>
      <c r="F2208" s="105">
        <v>0</v>
      </c>
    </row>
    <row r="2209" spans="1:6" x14ac:dyDescent="0.25">
      <c r="A2209" s="105">
        <f t="shared" si="34"/>
        <v>7700096</v>
      </c>
      <c r="B2209" s="105" t="s">
        <v>3573</v>
      </c>
      <c r="C2209" s="105" t="s">
        <v>3574</v>
      </c>
      <c r="D2209" s="105">
        <v>500.03</v>
      </c>
      <c r="E2209" s="105">
        <v>300.02</v>
      </c>
      <c r="F2209" s="105">
        <v>2</v>
      </c>
    </row>
    <row r="2210" spans="1:6" x14ac:dyDescent="0.25">
      <c r="A2210" s="105">
        <f t="shared" si="34"/>
        <v>7700100</v>
      </c>
      <c r="B2210" s="105" t="s">
        <v>3575</v>
      </c>
      <c r="C2210" s="105" t="s">
        <v>3576</v>
      </c>
      <c r="D2210" s="105">
        <v>375.03</v>
      </c>
      <c r="E2210" s="105">
        <v>225.02</v>
      </c>
      <c r="F2210" s="105">
        <v>55</v>
      </c>
    </row>
    <row r="2211" spans="1:6" x14ac:dyDescent="0.25">
      <c r="A2211" s="105">
        <f t="shared" si="34"/>
        <v>7700101</v>
      </c>
      <c r="B2211" s="105" t="s">
        <v>3577</v>
      </c>
      <c r="C2211" s="105" t="s">
        <v>3578</v>
      </c>
      <c r="D2211" s="105">
        <v>375.03</v>
      </c>
      <c r="E2211" s="105">
        <v>225.02</v>
      </c>
      <c r="F2211" s="105">
        <v>79</v>
      </c>
    </row>
    <row r="2212" spans="1:6" x14ac:dyDescent="0.25">
      <c r="A2212" s="105">
        <f t="shared" si="34"/>
        <v>7700103</v>
      </c>
      <c r="B2212" s="105" t="s">
        <v>3579</v>
      </c>
      <c r="C2212" s="105" t="s">
        <v>3580</v>
      </c>
      <c r="D2212" s="105">
        <v>375.03</v>
      </c>
      <c r="E2212" s="105">
        <v>225.02</v>
      </c>
      <c r="F2212" s="105">
        <v>126</v>
      </c>
    </row>
    <row r="2213" spans="1:6" x14ac:dyDescent="0.25">
      <c r="A2213" s="105">
        <f t="shared" si="34"/>
        <v>7700104</v>
      </c>
      <c r="B2213" s="105" t="s">
        <v>3581</v>
      </c>
      <c r="C2213" s="105" t="s">
        <v>3582</v>
      </c>
      <c r="D2213" s="105">
        <v>375.03</v>
      </c>
      <c r="E2213" s="105">
        <v>225.02</v>
      </c>
      <c r="F2213" s="105">
        <v>40</v>
      </c>
    </row>
    <row r="2214" spans="1:6" x14ac:dyDescent="0.25">
      <c r="A2214" s="105">
        <f t="shared" si="34"/>
        <v>7700105</v>
      </c>
      <c r="B2214" s="105" t="s">
        <v>3583</v>
      </c>
      <c r="C2214" s="105" t="s">
        <v>3584</v>
      </c>
      <c r="D2214" s="105">
        <v>375.03</v>
      </c>
      <c r="E2214" s="105">
        <v>225.02</v>
      </c>
      <c r="F2214" s="105">
        <v>76</v>
      </c>
    </row>
    <row r="2215" spans="1:6" x14ac:dyDescent="0.25">
      <c r="A2215" s="105">
        <f t="shared" si="34"/>
        <v>7700106</v>
      </c>
      <c r="B2215" s="105" t="s">
        <v>3585</v>
      </c>
      <c r="C2215" s="105" t="s">
        <v>3586</v>
      </c>
      <c r="D2215" s="105">
        <v>375.03</v>
      </c>
      <c r="E2215" s="105">
        <v>225.02</v>
      </c>
      <c r="F2215" s="105">
        <v>2</v>
      </c>
    </row>
    <row r="2216" spans="1:6" x14ac:dyDescent="0.25">
      <c r="A2216" s="105">
        <f t="shared" si="34"/>
        <v>7700107</v>
      </c>
      <c r="B2216" s="105" t="s">
        <v>3587</v>
      </c>
      <c r="C2216" s="105" t="s">
        <v>3588</v>
      </c>
      <c r="D2216" s="105">
        <v>254.64</v>
      </c>
      <c r="E2216" s="105">
        <v>152.78</v>
      </c>
      <c r="F2216" s="105">
        <v>0</v>
      </c>
    </row>
    <row r="2217" spans="1:6" x14ac:dyDescent="0.25">
      <c r="A2217" s="105">
        <f t="shared" si="34"/>
        <v>7700200</v>
      </c>
      <c r="B2217" s="105" t="s">
        <v>3589</v>
      </c>
      <c r="C2217" s="105" t="s">
        <v>3590</v>
      </c>
      <c r="D2217" s="105">
        <v>437.55</v>
      </c>
      <c r="E2217" s="105">
        <v>262.52999999999997</v>
      </c>
      <c r="F2217" s="105">
        <v>1</v>
      </c>
    </row>
    <row r="2218" spans="1:6" x14ac:dyDescent="0.25">
      <c r="A2218" s="105">
        <f t="shared" si="34"/>
        <v>7700202</v>
      </c>
      <c r="B2218" s="105" t="s">
        <v>3591</v>
      </c>
      <c r="C2218" s="105" t="s">
        <v>3592</v>
      </c>
      <c r="D2218" s="105">
        <v>437.55</v>
      </c>
      <c r="E2218" s="105">
        <v>262.52999999999997</v>
      </c>
      <c r="F2218" s="105">
        <v>0</v>
      </c>
    </row>
    <row r="2219" spans="1:6" x14ac:dyDescent="0.25">
      <c r="A2219" s="105">
        <f t="shared" si="34"/>
        <v>7700203</v>
      </c>
      <c r="B2219" s="105" t="s">
        <v>3593</v>
      </c>
      <c r="C2219" s="105" t="s">
        <v>3594</v>
      </c>
      <c r="D2219" s="105">
        <v>437.55</v>
      </c>
      <c r="E2219" s="105">
        <v>262.52999999999997</v>
      </c>
      <c r="F2219" s="105">
        <v>11</v>
      </c>
    </row>
    <row r="2220" spans="1:6" x14ac:dyDescent="0.25">
      <c r="A2220" s="105">
        <f t="shared" si="34"/>
        <v>7700204</v>
      </c>
      <c r="B2220" s="105" t="s">
        <v>3595</v>
      </c>
      <c r="C2220" s="105" t="s">
        <v>3596</v>
      </c>
      <c r="D2220" s="105">
        <v>437.55</v>
      </c>
      <c r="E2220" s="105">
        <v>262.52999999999997</v>
      </c>
      <c r="F2220" s="105">
        <v>9</v>
      </c>
    </row>
    <row r="2221" spans="1:6" x14ac:dyDescent="0.25">
      <c r="A2221" s="105">
        <f t="shared" si="34"/>
        <v>7700205</v>
      </c>
      <c r="B2221" s="105" t="s">
        <v>3597</v>
      </c>
      <c r="C2221" s="105" t="s">
        <v>3598</v>
      </c>
      <c r="D2221" s="105">
        <v>437.55</v>
      </c>
      <c r="E2221" s="105">
        <v>262.52999999999997</v>
      </c>
      <c r="F2221" s="105">
        <v>10</v>
      </c>
    </row>
    <row r="2222" spans="1:6" x14ac:dyDescent="0.25">
      <c r="A2222" s="105">
        <f t="shared" si="34"/>
        <v>7700206</v>
      </c>
      <c r="B2222" s="105" t="s">
        <v>3599</v>
      </c>
      <c r="C2222" s="105" t="s">
        <v>3600</v>
      </c>
      <c r="D2222" s="105">
        <v>750.07</v>
      </c>
      <c r="E2222" s="105">
        <v>450.04</v>
      </c>
      <c r="F2222" s="105">
        <v>6</v>
      </c>
    </row>
    <row r="2223" spans="1:6" x14ac:dyDescent="0.25">
      <c r="A2223" s="105">
        <f t="shared" si="34"/>
        <v>7700207</v>
      </c>
      <c r="B2223" s="105" t="s">
        <v>3601</v>
      </c>
      <c r="C2223" s="105" t="s">
        <v>3602</v>
      </c>
      <c r="D2223" s="105">
        <v>1000.09</v>
      </c>
      <c r="E2223" s="105">
        <v>600.04999999999995</v>
      </c>
      <c r="F2223" s="105">
        <v>2</v>
      </c>
    </row>
    <row r="2224" spans="1:6" x14ac:dyDescent="0.25">
      <c r="A2224" s="105" t="str">
        <f t="shared" si="34"/>
        <v/>
      </c>
      <c r="B2224" s="105" t="s">
        <v>3603</v>
      </c>
      <c r="C2224" s="105" t="s">
        <v>8</v>
      </c>
      <c r="D2224" s="105">
        <v>0</v>
      </c>
      <c r="E2224" s="105">
        <v>0</v>
      </c>
      <c r="F2224" s="105">
        <v>0</v>
      </c>
    </row>
    <row r="2225" spans="1:6" x14ac:dyDescent="0.25">
      <c r="A2225" s="105">
        <f t="shared" si="34"/>
        <v>7700220</v>
      </c>
      <c r="B2225" s="105" t="s">
        <v>3604</v>
      </c>
      <c r="C2225" s="105" t="s">
        <v>3605</v>
      </c>
      <c r="D2225" s="105">
        <v>0</v>
      </c>
      <c r="E2225" s="105">
        <v>0</v>
      </c>
      <c r="F2225" s="105">
        <v>0</v>
      </c>
    </row>
    <row r="2226" spans="1:6" x14ac:dyDescent="0.25">
      <c r="A2226" s="105" t="str">
        <f t="shared" si="34"/>
        <v/>
      </c>
      <c r="B2226" s="105" t="s">
        <v>3606</v>
      </c>
      <c r="C2226" s="105" t="s">
        <v>8</v>
      </c>
      <c r="D2226" s="105">
        <v>0</v>
      </c>
      <c r="E2226" s="105">
        <v>0</v>
      </c>
      <c r="F2226" s="105">
        <v>0</v>
      </c>
    </row>
    <row r="2227" spans="1:6" x14ac:dyDescent="0.25">
      <c r="A2227" s="105">
        <f t="shared" si="34"/>
        <v>7700302</v>
      </c>
      <c r="B2227" s="105" t="s">
        <v>3607</v>
      </c>
      <c r="C2227" s="105" t="s">
        <v>3608</v>
      </c>
      <c r="D2227" s="105">
        <v>0</v>
      </c>
      <c r="E2227" s="105">
        <v>0</v>
      </c>
      <c r="F2227" s="105">
        <v>0</v>
      </c>
    </row>
    <row r="2228" spans="1:6" x14ac:dyDescent="0.25">
      <c r="A2228" s="105" t="str">
        <f t="shared" si="34"/>
        <v/>
      </c>
      <c r="B2228" s="105" t="s">
        <v>3609</v>
      </c>
      <c r="C2228" s="105" t="s">
        <v>8</v>
      </c>
      <c r="D2228" s="105">
        <v>0</v>
      </c>
      <c r="E2228" s="105">
        <v>0</v>
      </c>
      <c r="F2228" s="105">
        <v>0</v>
      </c>
    </row>
    <row r="2229" spans="1:6" x14ac:dyDescent="0.25">
      <c r="A2229" s="105">
        <f t="shared" si="34"/>
        <v>7700303</v>
      </c>
      <c r="B2229" s="105" t="s">
        <v>3610</v>
      </c>
      <c r="C2229" s="105" t="s">
        <v>3611</v>
      </c>
      <c r="D2229" s="105">
        <v>0</v>
      </c>
      <c r="E2229" s="105">
        <v>0</v>
      </c>
      <c r="F2229" s="105">
        <v>0</v>
      </c>
    </row>
    <row r="2230" spans="1:6" x14ac:dyDescent="0.25">
      <c r="A2230" s="105">
        <f t="shared" si="34"/>
        <v>7700450</v>
      </c>
      <c r="B2230" s="105" t="s">
        <v>3612</v>
      </c>
      <c r="C2230" s="105" t="s">
        <v>3613</v>
      </c>
      <c r="D2230" s="105">
        <v>265</v>
      </c>
      <c r="E2230" s="105">
        <v>159</v>
      </c>
      <c r="F2230" s="105">
        <v>6</v>
      </c>
    </row>
    <row r="2231" spans="1:6" x14ac:dyDescent="0.25">
      <c r="A2231" s="105">
        <f t="shared" si="34"/>
        <v>7700451</v>
      </c>
      <c r="B2231" s="105" t="s">
        <v>3614</v>
      </c>
      <c r="C2231" s="105" t="s">
        <v>3615</v>
      </c>
      <c r="D2231" s="105">
        <v>265</v>
      </c>
      <c r="E2231" s="105">
        <v>159</v>
      </c>
      <c r="F2231" s="105">
        <v>15</v>
      </c>
    </row>
    <row r="2232" spans="1:6" x14ac:dyDescent="0.25">
      <c r="A2232" s="105">
        <f t="shared" si="34"/>
        <v>7700452</v>
      </c>
      <c r="B2232" s="105" t="s">
        <v>3616</v>
      </c>
      <c r="C2232" s="105" t="s">
        <v>3617</v>
      </c>
      <c r="D2232" s="105">
        <v>265</v>
      </c>
      <c r="E2232" s="105">
        <v>159</v>
      </c>
      <c r="F2232" s="105">
        <v>12</v>
      </c>
    </row>
    <row r="2233" spans="1:6" x14ac:dyDescent="0.25">
      <c r="A2233" s="105">
        <f t="shared" si="34"/>
        <v>7700453</v>
      </c>
      <c r="B2233" s="105" t="s">
        <v>3618</v>
      </c>
      <c r="C2233" s="105" t="s">
        <v>3619</v>
      </c>
      <c r="D2233" s="105">
        <v>265</v>
      </c>
      <c r="E2233" s="105">
        <v>159</v>
      </c>
      <c r="F2233" s="105">
        <v>4</v>
      </c>
    </row>
    <row r="2234" spans="1:6" x14ac:dyDescent="0.25">
      <c r="A2234" s="105">
        <f t="shared" si="34"/>
        <v>7700454</v>
      </c>
      <c r="B2234" s="105" t="s">
        <v>3620</v>
      </c>
      <c r="C2234" s="105" t="s">
        <v>3621</v>
      </c>
      <c r="D2234" s="105">
        <v>265</v>
      </c>
      <c r="E2234" s="105">
        <v>159</v>
      </c>
      <c r="F2234" s="105">
        <v>62</v>
      </c>
    </row>
    <row r="2235" spans="1:6" x14ac:dyDescent="0.25">
      <c r="A2235" s="105">
        <f t="shared" si="34"/>
        <v>7700455</v>
      </c>
      <c r="B2235" s="105" t="s">
        <v>3622</v>
      </c>
      <c r="C2235" s="105" t="s">
        <v>3623</v>
      </c>
      <c r="D2235" s="105">
        <v>265</v>
      </c>
      <c r="E2235" s="105">
        <v>159</v>
      </c>
      <c r="F2235" s="105">
        <v>16</v>
      </c>
    </row>
    <row r="2236" spans="1:6" x14ac:dyDescent="0.25">
      <c r="A2236" s="105">
        <f t="shared" si="34"/>
        <v>7700456</v>
      </c>
      <c r="B2236" s="105" t="s">
        <v>3624</v>
      </c>
      <c r="C2236" s="105" t="s">
        <v>3625</v>
      </c>
      <c r="D2236" s="105">
        <v>265</v>
      </c>
      <c r="E2236" s="105">
        <v>159</v>
      </c>
      <c r="F2236" s="105">
        <v>12</v>
      </c>
    </row>
    <row r="2237" spans="1:6" x14ac:dyDescent="0.25">
      <c r="A2237" s="105">
        <f t="shared" si="34"/>
        <v>7700459</v>
      </c>
      <c r="B2237" s="105" t="s">
        <v>3626</v>
      </c>
      <c r="C2237" s="105" t="s">
        <v>9353</v>
      </c>
      <c r="D2237" s="105">
        <v>477</v>
      </c>
      <c r="E2237" s="105">
        <v>286.2</v>
      </c>
      <c r="F2237" s="105">
        <v>1</v>
      </c>
    </row>
    <row r="2238" spans="1:6" x14ac:dyDescent="0.25">
      <c r="A2238" s="105">
        <f t="shared" si="34"/>
        <v>7700460</v>
      </c>
      <c r="B2238" s="105" t="s">
        <v>3627</v>
      </c>
      <c r="C2238" s="105" t="s">
        <v>9354</v>
      </c>
      <c r="D2238" s="105">
        <v>477</v>
      </c>
      <c r="E2238" s="105">
        <v>286.2</v>
      </c>
      <c r="F2238" s="105">
        <v>0</v>
      </c>
    </row>
    <row r="2239" spans="1:6" x14ac:dyDescent="0.25">
      <c r="A2239" s="105">
        <f t="shared" si="34"/>
        <v>7700461</v>
      </c>
      <c r="B2239" s="105" t="s">
        <v>3628</v>
      </c>
      <c r="C2239" s="105" t="s">
        <v>3629</v>
      </c>
      <c r="D2239" s="105">
        <v>477</v>
      </c>
      <c r="E2239" s="105">
        <v>286.2</v>
      </c>
      <c r="F2239" s="105">
        <v>2</v>
      </c>
    </row>
    <row r="2240" spans="1:6" x14ac:dyDescent="0.25">
      <c r="A2240" s="105">
        <f t="shared" si="34"/>
        <v>7700462</v>
      </c>
      <c r="B2240" s="105" t="s">
        <v>3630</v>
      </c>
      <c r="C2240" s="105" t="s">
        <v>3631</v>
      </c>
      <c r="D2240" s="105">
        <v>477</v>
      </c>
      <c r="E2240" s="105">
        <v>286.2</v>
      </c>
      <c r="F2240" s="105">
        <v>0</v>
      </c>
    </row>
    <row r="2241" spans="1:6" x14ac:dyDescent="0.25">
      <c r="A2241" s="105">
        <f t="shared" si="34"/>
        <v>7700463</v>
      </c>
      <c r="B2241" s="105" t="s">
        <v>3632</v>
      </c>
      <c r="C2241" s="105" t="s">
        <v>3633</v>
      </c>
      <c r="D2241" s="105">
        <v>477</v>
      </c>
      <c r="E2241" s="105">
        <v>286.2</v>
      </c>
      <c r="F2241" s="105">
        <v>13</v>
      </c>
    </row>
    <row r="2242" spans="1:6" x14ac:dyDescent="0.25">
      <c r="A2242" s="105">
        <f t="shared" si="34"/>
        <v>7700464</v>
      </c>
      <c r="B2242" s="105" t="s">
        <v>3634</v>
      </c>
      <c r="C2242" s="105" t="s">
        <v>3635</v>
      </c>
      <c r="D2242" s="105">
        <v>477</v>
      </c>
      <c r="E2242" s="105">
        <v>286.2</v>
      </c>
      <c r="F2242" s="105">
        <v>0</v>
      </c>
    </row>
    <row r="2243" spans="1:6" x14ac:dyDescent="0.25">
      <c r="A2243" s="105">
        <f t="shared" ref="A2243:A2306" si="35">IF(B2243&lt;&gt;"",IFERROR(B2243*1,""),"")</f>
        <v>7700465</v>
      </c>
      <c r="B2243" s="105" t="s">
        <v>3636</v>
      </c>
      <c r="C2243" s="105" t="s">
        <v>3637</v>
      </c>
      <c r="D2243" s="105">
        <v>477</v>
      </c>
      <c r="E2243" s="105">
        <v>286.2</v>
      </c>
      <c r="F2243" s="105">
        <v>0</v>
      </c>
    </row>
    <row r="2244" spans="1:6" x14ac:dyDescent="0.25">
      <c r="A2244" s="105" t="str">
        <f t="shared" si="35"/>
        <v/>
      </c>
      <c r="B2244" s="105" t="s">
        <v>3638</v>
      </c>
      <c r="C2244" s="105" t="s">
        <v>8</v>
      </c>
      <c r="D2244" s="105">
        <v>0</v>
      </c>
      <c r="E2244" s="105">
        <v>0</v>
      </c>
      <c r="F2244" s="105">
        <v>0</v>
      </c>
    </row>
    <row r="2245" spans="1:6" x14ac:dyDescent="0.25">
      <c r="A2245" s="105">
        <f t="shared" si="35"/>
        <v>7700500</v>
      </c>
      <c r="B2245" s="105" t="s">
        <v>3639</v>
      </c>
      <c r="C2245" s="105" t="s">
        <v>3640</v>
      </c>
      <c r="D2245" s="105">
        <v>0</v>
      </c>
      <c r="E2245" s="105">
        <v>0</v>
      </c>
      <c r="F2245" s="105">
        <v>0</v>
      </c>
    </row>
    <row r="2246" spans="1:6" x14ac:dyDescent="0.25">
      <c r="A2246" s="105">
        <f t="shared" si="35"/>
        <v>7700501</v>
      </c>
      <c r="B2246" s="105" t="s">
        <v>3641</v>
      </c>
      <c r="C2246" s="105" t="s">
        <v>3642</v>
      </c>
      <c r="D2246" s="105">
        <v>375.03</v>
      </c>
      <c r="E2246" s="105">
        <v>225.02</v>
      </c>
      <c r="F2246" s="105">
        <v>8</v>
      </c>
    </row>
    <row r="2247" spans="1:6" x14ac:dyDescent="0.25">
      <c r="A2247" s="105">
        <f t="shared" si="35"/>
        <v>7700502</v>
      </c>
      <c r="B2247" s="105" t="s">
        <v>3643</v>
      </c>
      <c r="C2247" s="105" t="s">
        <v>3644</v>
      </c>
      <c r="D2247" s="105">
        <v>375.03</v>
      </c>
      <c r="E2247" s="105">
        <v>225.02</v>
      </c>
      <c r="F2247" s="105">
        <v>8</v>
      </c>
    </row>
    <row r="2248" spans="1:6" x14ac:dyDescent="0.25">
      <c r="A2248" s="105">
        <f t="shared" si="35"/>
        <v>7700503</v>
      </c>
      <c r="B2248" s="105" t="s">
        <v>3645</v>
      </c>
      <c r="C2248" s="105" t="s">
        <v>3646</v>
      </c>
      <c r="D2248" s="105">
        <v>249.59</v>
      </c>
      <c r="E2248" s="105">
        <v>149.75</v>
      </c>
      <c r="F2248" s="105">
        <v>0</v>
      </c>
    </row>
    <row r="2249" spans="1:6" x14ac:dyDescent="0.25">
      <c r="A2249" s="105">
        <f t="shared" si="35"/>
        <v>7700504</v>
      </c>
      <c r="B2249" s="105" t="s">
        <v>3647</v>
      </c>
      <c r="C2249" s="105" t="s">
        <v>3648</v>
      </c>
      <c r="D2249" s="105">
        <v>197.4</v>
      </c>
      <c r="E2249" s="105">
        <v>118.44</v>
      </c>
      <c r="F2249" s="105">
        <v>0</v>
      </c>
    </row>
    <row r="2250" spans="1:6" x14ac:dyDescent="0.25">
      <c r="A2250" s="105">
        <f t="shared" si="35"/>
        <v>7700505</v>
      </c>
      <c r="B2250" s="105" t="s">
        <v>3649</v>
      </c>
      <c r="C2250" s="105" t="s">
        <v>3650</v>
      </c>
      <c r="D2250" s="105">
        <v>375.03</v>
      </c>
      <c r="E2250" s="105">
        <v>225.02</v>
      </c>
      <c r="F2250" s="105">
        <v>8</v>
      </c>
    </row>
    <row r="2251" spans="1:6" x14ac:dyDescent="0.25">
      <c r="A2251" s="105">
        <f t="shared" si="35"/>
        <v>7700506</v>
      </c>
      <c r="B2251" s="105" t="s">
        <v>3651</v>
      </c>
      <c r="C2251" s="105" t="s">
        <v>3652</v>
      </c>
      <c r="D2251" s="105">
        <v>375.03</v>
      </c>
      <c r="E2251" s="105">
        <v>225.02</v>
      </c>
      <c r="F2251" s="105">
        <v>8</v>
      </c>
    </row>
    <row r="2252" spans="1:6" x14ac:dyDescent="0.25">
      <c r="A2252" s="105">
        <f t="shared" si="35"/>
        <v>7700507</v>
      </c>
      <c r="B2252" s="105" t="s">
        <v>3653</v>
      </c>
      <c r="C2252" s="105" t="s">
        <v>3654</v>
      </c>
      <c r="D2252" s="105">
        <v>375.03</v>
      </c>
      <c r="E2252" s="105">
        <v>225.02</v>
      </c>
      <c r="F2252" s="105">
        <v>3</v>
      </c>
    </row>
    <row r="2253" spans="1:6" x14ac:dyDescent="0.25">
      <c r="A2253" s="105">
        <f t="shared" si="35"/>
        <v>7700508</v>
      </c>
      <c r="B2253" s="105" t="s">
        <v>3655</v>
      </c>
      <c r="C2253" s="105" t="s">
        <v>3656</v>
      </c>
      <c r="D2253" s="105">
        <v>375.03</v>
      </c>
      <c r="E2253" s="105">
        <v>225.02</v>
      </c>
      <c r="F2253" s="105">
        <v>0</v>
      </c>
    </row>
    <row r="2254" spans="1:6" x14ac:dyDescent="0.25">
      <c r="A2254" s="105" t="str">
        <f t="shared" si="35"/>
        <v/>
      </c>
      <c r="B2254" s="105" t="s">
        <v>3657</v>
      </c>
      <c r="C2254" s="105" t="s">
        <v>8</v>
      </c>
      <c r="D2254" s="105">
        <v>0</v>
      </c>
      <c r="E2254" s="105">
        <v>0</v>
      </c>
      <c r="F2254" s="105">
        <v>0</v>
      </c>
    </row>
    <row r="2255" spans="1:6" x14ac:dyDescent="0.25">
      <c r="A2255" s="105">
        <f t="shared" si="35"/>
        <v>7700509</v>
      </c>
      <c r="B2255" s="105" t="s">
        <v>3658</v>
      </c>
      <c r="C2255" s="105" t="s">
        <v>3659</v>
      </c>
      <c r="D2255" s="105">
        <v>424</v>
      </c>
      <c r="E2255" s="105">
        <v>254.4</v>
      </c>
      <c r="F2255" s="105">
        <v>0</v>
      </c>
    </row>
    <row r="2256" spans="1:6" x14ac:dyDescent="0.25">
      <c r="A2256" s="105">
        <f t="shared" si="35"/>
        <v>7700510</v>
      </c>
      <c r="B2256" s="105" t="s">
        <v>9355</v>
      </c>
      <c r="C2256" s="105" t="s">
        <v>9356</v>
      </c>
      <c r="D2256" s="105">
        <v>371</v>
      </c>
      <c r="E2256" s="105">
        <v>222.6</v>
      </c>
      <c r="F2256" s="105">
        <v>0</v>
      </c>
    </row>
    <row r="2257" spans="1:6" x14ac:dyDescent="0.25">
      <c r="A2257" s="105">
        <f t="shared" si="35"/>
        <v>7700511</v>
      </c>
      <c r="B2257" s="105" t="s">
        <v>9357</v>
      </c>
      <c r="C2257" s="105" t="s">
        <v>9358</v>
      </c>
      <c r="D2257" s="105">
        <v>371</v>
      </c>
      <c r="E2257" s="105">
        <v>222.6</v>
      </c>
      <c r="F2257" s="105">
        <v>0</v>
      </c>
    </row>
    <row r="2258" spans="1:6" x14ac:dyDescent="0.25">
      <c r="A2258" s="105">
        <f t="shared" si="35"/>
        <v>7700512</v>
      </c>
      <c r="B2258" s="105" t="s">
        <v>9359</v>
      </c>
      <c r="C2258" s="105" t="s">
        <v>9360</v>
      </c>
      <c r="D2258" s="105">
        <v>371</v>
      </c>
      <c r="E2258" s="105">
        <v>222.6</v>
      </c>
      <c r="F2258" s="105">
        <v>0</v>
      </c>
    </row>
    <row r="2259" spans="1:6" x14ac:dyDescent="0.25">
      <c r="A2259" s="105">
        <f t="shared" si="35"/>
        <v>7700515</v>
      </c>
      <c r="B2259" s="105" t="s">
        <v>9361</v>
      </c>
      <c r="C2259" s="105" t="s">
        <v>9362</v>
      </c>
      <c r="D2259" s="105">
        <v>424</v>
      </c>
      <c r="E2259" s="105">
        <v>254.4</v>
      </c>
      <c r="F2259" s="105">
        <v>0</v>
      </c>
    </row>
    <row r="2260" spans="1:6" x14ac:dyDescent="0.25">
      <c r="A2260" s="105" t="str">
        <f t="shared" si="35"/>
        <v/>
      </c>
      <c r="B2260" s="105" t="s">
        <v>3660</v>
      </c>
      <c r="C2260" s="105" t="s">
        <v>8</v>
      </c>
      <c r="D2260" s="105">
        <v>0</v>
      </c>
      <c r="E2260" s="105">
        <v>0</v>
      </c>
      <c r="F2260" s="105">
        <v>0</v>
      </c>
    </row>
    <row r="2261" spans="1:6" x14ac:dyDescent="0.25">
      <c r="A2261" s="105">
        <f t="shared" si="35"/>
        <v>7700601</v>
      </c>
      <c r="B2261" s="105" t="s">
        <v>3661</v>
      </c>
      <c r="C2261" s="105" t="s">
        <v>3662</v>
      </c>
      <c r="D2261" s="105">
        <v>0</v>
      </c>
      <c r="E2261" s="105">
        <v>0</v>
      </c>
      <c r="F2261" s="105">
        <v>0</v>
      </c>
    </row>
    <row r="2262" spans="1:6" x14ac:dyDescent="0.25">
      <c r="A2262" s="105">
        <f t="shared" si="35"/>
        <v>7700602</v>
      </c>
      <c r="B2262" s="105" t="s">
        <v>3663</v>
      </c>
      <c r="C2262" s="105" t="s">
        <v>3664</v>
      </c>
      <c r="D2262" s="105">
        <v>265</v>
      </c>
      <c r="E2262" s="105">
        <v>159</v>
      </c>
      <c r="F2262" s="105">
        <v>0</v>
      </c>
    </row>
    <row r="2263" spans="1:6" x14ac:dyDescent="0.25">
      <c r="A2263" s="105">
        <f t="shared" si="35"/>
        <v>7700603</v>
      </c>
      <c r="B2263" s="105" t="s">
        <v>3665</v>
      </c>
      <c r="C2263" s="105" t="s">
        <v>3666</v>
      </c>
      <c r="D2263" s="105">
        <v>265</v>
      </c>
      <c r="E2263" s="105">
        <v>159</v>
      </c>
      <c r="F2263" s="105">
        <v>0</v>
      </c>
    </row>
    <row r="2264" spans="1:6" x14ac:dyDescent="0.25">
      <c r="A2264" s="105">
        <f t="shared" si="35"/>
        <v>7700604</v>
      </c>
      <c r="B2264" s="105" t="s">
        <v>3667</v>
      </c>
      <c r="C2264" s="105" t="s">
        <v>3668</v>
      </c>
      <c r="D2264" s="105">
        <v>265</v>
      </c>
      <c r="E2264" s="105">
        <v>159</v>
      </c>
      <c r="F2264" s="105">
        <v>0</v>
      </c>
    </row>
    <row r="2265" spans="1:6" x14ac:dyDescent="0.25">
      <c r="A2265" s="105">
        <f t="shared" si="35"/>
        <v>7700605</v>
      </c>
      <c r="B2265" s="105" t="s">
        <v>3669</v>
      </c>
      <c r="C2265" s="105" t="s">
        <v>3670</v>
      </c>
      <c r="D2265" s="105">
        <v>265</v>
      </c>
      <c r="E2265" s="105">
        <v>159</v>
      </c>
      <c r="F2265" s="105">
        <v>4</v>
      </c>
    </row>
    <row r="2266" spans="1:6" x14ac:dyDescent="0.25">
      <c r="A2266" s="105">
        <f t="shared" si="35"/>
        <v>7700606</v>
      </c>
      <c r="B2266" s="105" t="s">
        <v>3671</v>
      </c>
      <c r="C2266" s="105" t="s">
        <v>3672</v>
      </c>
      <c r="D2266" s="105">
        <v>265</v>
      </c>
      <c r="E2266" s="105">
        <v>159</v>
      </c>
      <c r="F2266" s="105">
        <v>5</v>
      </c>
    </row>
    <row r="2267" spans="1:6" x14ac:dyDescent="0.25">
      <c r="A2267" s="105">
        <f t="shared" si="35"/>
        <v>7700607</v>
      </c>
      <c r="B2267" s="105" t="s">
        <v>3673</v>
      </c>
      <c r="C2267" s="105" t="s">
        <v>3674</v>
      </c>
      <c r="D2267" s="105">
        <v>265</v>
      </c>
      <c r="E2267" s="105">
        <v>159</v>
      </c>
      <c r="F2267" s="105">
        <v>0</v>
      </c>
    </row>
    <row r="2268" spans="1:6" x14ac:dyDescent="0.25">
      <c r="A2268" s="105" t="str">
        <f t="shared" si="35"/>
        <v/>
      </c>
      <c r="B2268" s="105" t="s">
        <v>3675</v>
      </c>
      <c r="C2268" s="105" t="s">
        <v>8</v>
      </c>
      <c r="D2268" s="105">
        <v>0</v>
      </c>
      <c r="E2268" s="105">
        <v>0</v>
      </c>
      <c r="F2268" s="105">
        <v>0</v>
      </c>
    </row>
    <row r="2269" spans="1:6" x14ac:dyDescent="0.25">
      <c r="A2269" s="105">
        <f t="shared" si="35"/>
        <v>7700650</v>
      </c>
      <c r="B2269" s="105" t="s">
        <v>3676</v>
      </c>
      <c r="C2269" s="105" t="s">
        <v>3677</v>
      </c>
      <c r="D2269" s="105">
        <v>0</v>
      </c>
      <c r="E2269" s="105">
        <v>0</v>
      </c>
      <c r="F2269" s="105">
        <v>0</v>
      </c>
    </row>
    <row r="2270" spans="1:6" x14ac:dyDescent="0.25">
      <c r="A2270" s="105" t="str">
        <f t="shared" si="35"/>
        <v/>
      </c>
      <c r="B2270" s="105" t="s">
        <v>3678</v>
      </c>
      <c r="C2270" s="105" t="s">
        <v>8</v>
      </c>
      <c r="D2270" s="105">
        <v>0</v>
      </c>
      <c r="E2270" s="105">
        <v>0</v>
      </c>
      <c r="F2270" s="105">
        <v>0</v>
      </c>
    </row>
    <row r="2271" spans="1:6" x14ac:dyDescent="0.25">
      <c r="A2271" s="105">
        <f t="shared" si="35"/>
        <v>7700651</v>
      </c>
      <c r="B2271" s="105" t="s">
        <v>3679</v>
      </c>
      <c r="C2271" s="105" t="s">
        <v>3680</v>
      </c>
      <c r="D2271" s="105">
        <v>0</v>
      </c>
      <c r="E2271" s="105">
        <v>0</v>
      </c>
      <c r="F2271" s="105">
        <v>0</v>
      </c>
    </row>
    <row r="2272" spans="1:6" x14ac:dyDescent="0.25">
      <c r="A2272" s="105" t="str">
        <f t="shared" si="35"/>
        <v/>
      </c>
      <c r="B2272" s="105" t="s">
        <v>3681</v>
      </c>
      <c r="C2272" s="105" t="s">
        <v>8</v>
      </c>
      <c r="D2272" s="105">
        <v>0</v>
      </c>
      <c r="E2272" s="105">
        <v>0</v>
      </c>
      <c r="F2272" s="105">
        <v>0</v>
      </c>
    </row>
    <row r="2273" spans="1:6" x14ac:dyDescent="0.25">
      <c r="A2273" s="105">
        <f t="shared" si="35"/>
        <v>7700652</v>
      </c>
      <c r="B2273" s="105" t="s">
        <v>3682</v>
      </c>
      <c r="C2273" s="105" t="s">
        <v>3683</v>
      </c>
      <c r="D2273" s="105">
        <v>0</v>
      </c>
      <c r="E2273" s="105">
        <v>0</v>
      </c>
      <c r="F2273" s="105">
        <v>0</v>
      </c>
    </row>
    <row r="2274" spans="1:6" x14ac:dyDescent="0.25">
      <c r="A2274" s="105" t="str">
        <f t="shared" si="35"/>
        <v/>
      </c>
      <c r="B2274" s="105" t="s">
        <v>3684</v>
      </c>
      <c r="C2274" s="105" t="s">
        <v>8</v>
      </c>
      <c r="D2274" s="105">
        <v>0</v>
      </c>
      <c r="E2274" s="105">
        <v>0</v>
      </c>
      <c r="F2274" s="105">
        <v>0</v>
      </c>
    </row>
    <row r="2275" spans="1:6" x14ac:dyDescent="0.25">
      <c r="A2275" s="105">
        <f t="shared" si="35"/>
        <v>7700653</v>
      </c>
      <c r="B2275" s="105" t="s">
        <v>3685</v>
      </c>
      <c r="C2275" s="105" t="s">
        <v>3686</v>
      </c>
      <c r="D2275" s="105">
        <v>0</v>
      </c>
      <c r="E2275" s="105">
        <v>0</v>
      </c>
      <c r="F2275" s="105">
        <v>0</v>
      </c>
    </row>
    <row r="2276" spans="1:6" x14ac:dyDescent="0.25">
      <c r="A2276" s="105" t="str">
        <f t="shared" si="35"/>
        <v/>
      </c>
      <c r="B2276" s="105" t="s">
        <v>3687</v>
      </c>
      <c r="C2276" s="105" t="s">
        <v>8</v>
      </c>
      <c r="D2276" s="105">
        <v>0</v>
      </c>
      <c r="E2276" s="105">
        <v>0</v>
      </c>
      <c r="F2276" s="105">
        <v>0</v>
      </c>
    </row>
    <row r="2277" spans="1:6" x14ac:dyDescent="0.25">
      <c r="A2277" s="105">
        <f t="shared" si="35"/>
        <v>7700654</v>
      </c>
      <c r="B2277" s="105" t="s">
        <v>3688</v>
      </c>
      <c r="C2277" s="105" t="s">
        <v>3689</v>
      </c>
      <c r="D2277" s="105">
        <v>0</v>
      </c>
      <c r="E2277" s="105">
        <v>0</v>
      </c>
      <c r="F2277" s="105">
        <v>0</v>
      </c>
    </row>
    <row r="2278" spans="1:6" x14ac:dyDescent="0.25">
      <c r="A2278" s="105" t="str">
        <f t="shared" si="35"/>
        <v/>
      </c>
      <c r="B2278" s="105" t="s">
        <v>3690</v>
      </c>
      <c r="C2278" s="105" t="s">
        <v>8</v>
      </c>
      <c r="D2278" s="105">
        <v>0</v>
      </c>
      <c r="E2278" s="105">
        <v>0</v>
      </c>
      <c r="F2278" s="105">
        <v>0</v>
      </c>
    </row>
    <row r="2279" spans="1:6" x14ac:dyDescent="0.25">
      <c r="A2279" s="105">
        <f t="shared" si="35"/>
        <v>7700655</v>
      </c>
      <c r="B2279" s="105" t="s">
        <v>3691</v>
      </c>
      <c r="C2279" s="105" t="s">
        <v>3692</v>
      </c>
      <c r="D2279" s="105">
        <v>0</v>
      </c>
      <c r="E2279" s="105">
        <v>0</v>
      </c>
      <c r="F2279" s="105">
        <v>0</v>
      </c>
    </row>
    <row r="2280" spans="1:6" x14ac:dyDescent="0.25">
      <c r="A2280" s="105">
        <f t="shared" si="35"/>
        <v>7700656</v>
      </c>
      <c r="B2280" s="105" t="s">
        <v>3693</v>
      </c>
      <c r="C2280" s="105" t="s">
        <v>3694</v>
      </c>
      <c r="D2280" s="105">
        <v>265</v>
      </c>
      <c r="E2280" s="105">
        <v>159</v>
      </c>
      <c r="F2280" s="105">
        <v>0</v>
      </c>
    </row>
    <row r="2281" spans="1:6" x14ac:dyDescent="0.25">
      <c r="A2281" s="105" t="str">
        <f t="shared" si="35"/>
        <v/>
      </c>
      <c r="B2281" s="105" t="s">
        <v>3695</v>
      </c>
      <c r="C2281" s="105" t="s">
        <v>8</v>
      </c>
      <c r="D2281" s="105">
        <v>0</v>
      </c>
      <c r="E2281" s="105">
        <v>0</v>
      </c>
      <c r="F2281" s="105">
        <v>0</v>
      </c>
    </row>
    <row r="2282" spans="1:6" x14ac:dyDescent="0.25">
      <c r="A2282" s="105">
        <f t="shared" si="35"/>
        <v>7700657</v>
      </c>
      <c r="B2282" s="105" t="s">
        <v>3696</v>
      </c>
      <c r="C2282" s="105" t="s">
        <v>3697</v>
      </c>
      <c r="D2282" s="105">
        <v>371</v>
      </c>
      <c r="E2282" s="105">
        <v>222.6</v>
      </c>
      <c r="F2282" s="105">
        <v>0</v>
      </c>
    </row>
    <row r="2283" spans="1:6" x14ac:dyDescent="0.25">
      <c r="A2283" s="105" t="str">
        <f t="shared" si="35"/>
        <v/>
      </c>
      <c r="B2283" s="105" t="s">
        <v>3698</v>
      </c>
      <c r="C2283" s="105" t="s">
        <v>8</v>
      </c>
      <c r="D2283" s="105">
        <v>0</v>
      </c>
      <c r="E2283" s="105">
        <v>0</v>
      </c>
      <c r="F2283" s="105">
        <v>0</v>
      </c>
    </row>
    <row r="2284" spans="1:6" x14ac:dyDescent="0.25">
      <c r="A2284" s="105">
        <f t="shared" si="35"/>
        <v>7700658</v>
      </c>
      <c r="B2284" s="105" t="s">
        <v>3699</v>
      </c>
      <c r="C2284" s="105" t="s">
        <v>3700</v>
      </c>
      <c r="D2284" s="105">
        <v>371</v>
      </c>
      <c r="E2284" s="105">
        <v>222.6</v>
      </c>
      <c r="F2284" s="105">
        <v>0</v>
      </c>
    </row>
    <row r="2285" spans="1:6" x14ac:dyDescent="0.25">
      <c r="A2285" s="105" t="str">
        <f t="shared" si="35"/>
        <v/>
      </c>
      <c r="B2285" s="105" t="s">
        <v>3701</v>
      </c>
      <c r="C2285" s="105" t="s">
        <v>8</v>
      </c>
      <c r="D2285" s="105">
        <v>0</v>
      </c>
      <c r="E2285" s="105">
        <v>0</v>
      </c>
      <c r="F2285" s="105">
        <v>0</v>
      </c>
    </row>
    <row r="2286" spans="1:6" x14ac:dyDescent="0.25">
      <c r="A2286" s="105">
        <f t="shared" si="35"/>
        <v>7700700</v>
      </c>
      <c r="B2286" s="105" t="s">
        <v>3702</v>
      </c>
      <c r="C2286" s="105" t="s">
        <v>3703</v>
      </c>
      <c r="D2286" s="105">
        <v>0</v>
      </c>
      <c r="E2286" s="105">
        <v>0</v>
      </c>
      <c r="F2286" s="105">
        <v>0</v>
      </c>
    </row>
    <row r="2287" spans="1:6" x14ac:dyDescent="0.25">
      <c r="A2287" s="105" t="str">
        <f t="shared" si="35"/>
        <v/>
      </c>
      <c r="B2287" s="105" t="s">
        <v>3704</v>
      </c>
      <c r="C2287" s="105" t="s">
        <v>8</v>
      </c>
      <c r="D2287" s="105">
        <v>0</v>
      </c>
      <c r="E2287" s="105">
        <v>0</v>
      </c>
      <c r="F2287" s="105">
        <v>0</v>
      </c>
    </row>
    <row r="2288" spans="1:6" x14ac:dyDescent="0.25">
      <c r="A2288" s="105">
        <f t="shared" si="35"/>
        <v>7700701</v>
      </c>
      <c r="B2288" s="105" t="s">
        <v>3705</v>
      </c>
      <c r="C2288" s="105" t="s">
        <v>3706</v>
      </c>
      <c r="D2288" s="105">
        <v>0</v>
      </c>
      <c r="E2288" s="105">
        <v>0</v>
      </c>
      <c r="F2288" s="105">
        <v>0</v>
      </c>
    </row>
    <row r="2289" spans="1:6" x14ac:dyDescent="0.25">
      <c r="A2289" s="105">
        <f t="shared" si="35"/>
        <v>77007014</v>
      </c>
      <c r="B2289" s="105" t="s">
        <v>3707</v>
      </c>
      <c r="C2289" s="105" t="s">
        <v>3708</v>
      </c>
      <c r="D2289" s="105">
        <v>282.52999999999997</v>
      </c>
      <c r="E2289" s="105">
        <v>169.52</v>
      </c>
      <c r="F2289" s="105">
        <v>0</v>
      </c>
    </row>
    <row r="2290" spans="1:6" x14ac:dyDescent="0.25">
      <c r="A2290" s="105">
        <f t="shared" si="35"/>
        <v>7700900</v>
      </c>
      <c r="B2290" s="105" t="s">
        <v>3709</v>
      </c>
      <c r="C2290" s="105" t="s">
        <v>3710</v>
      </c>
      <c r="D2290" s="105">
        <v>415.98</v>
      </c>
      <c r="E2290" s="105">
        <v>249.59</v>
      </c>
      <c r="F2290" s="105">
        <v>0</v>
      </c>
    </row>
    <row r="2291" spans="1:6" x14ac:dyDescent="0.25">
      <c r="A2291" s="105" t="str">
        <f t="shared" si="35"/>
        <v/>
      </c>
      <c r="B2291" s="105" t="s">
        <v>3711</v>
      </c>
      <c r="C2291" s="105" t="s">
        <v>8</v>
      </c>
      <c r="D2291" s="105">
        <v>0</v>
      </c>
      <c r="E2291" s="105">
        <v>0</v>
      </c>
      <c r="F2291" s="105">
        <v>0</v>
      </c>
    </row>
    <row r="2292" spans="1:6" x14ac:dyDescent="0.25">
      <c r="A2292" s="105">
        <f t="shared" si="35"/>
        <v>7700901</v>
      </c>
      <c r="B2292" s="105" t="s">
        <v>3712</v>
      </c>
      <c r="C2292" s="105" t="s">
        <v>3713</v>
      </c>
      <c r="D2292" s="105">
        <v>0</v>
      </c>
      <c r="E2292" s="105">
        <v>0</v>
      </c>
      <c r="F2292" s="105">
        <v>0</v>
      </c>
    </row>
    <row r="2293" spans="1:6" x14ac:dyDescent="0.25">
      <c r="A2293" s="105" t="str">
        <f t="shared" si="35"/>
        <v/>
      </c>
      <c r="B2293" s="105" t="s">
        <v>3714</v>
      </c>
      <c r="C2293" s="105" t="s">
        <v>8</v>
      </c>
      <c r="D2293" s="105">
        <v>0</v>
      </c>
      <c r="E2293" s="105">
        <v>0</v>
      </c>
      <c r="F2293" s="105">
        <v>0</v>
      </c>
    </row>
    <row r="2294" spans="1:6" x14ac:dyDescent="0.25">
      <c r="A2294" s="105">
        <f t="shared" si="35"/>
        <v>7700902</v>
      </c>
      <c r="B2294" s="105" t="s">
        <v>3715</v>
      </c>
      <c r="C2294" s="105" t="s">
        <v>3716</v>
      </c>
      <c r="D2294" s="105">
        <v>0</v>
      </c>
      <c r="E2294" s="105">
        <v>0</v>
      </c>
      <c r="F2294" s="105">
        <v>0</v>
      </c>
    </row>
    <row r="2295" spans="1:6" x14ac:dyDescent="0.25">
      <c r="A2295" s="105" t="str">
        <f t="shared" si="35"/>
        <v/>
      </c>
      <c r="B2295" s="105" t="s">
        <v>3717</v>
      </c>
      <c r="C2295" s="105" t="s">
        <v>8</v>
      </c>
      <c r="D2295" s="105">
        <v>0</v>
      </c>
      <c r="E2295" s="105">
        <v>0</v>
      </c>
      <c r="F2295" s="105">
        <v>0</v>
      </c>
    </row>
    <row r="2296" spans="1:6" x14ac:dyDescent="0.25">
      <c r="A2296" s="105">
        <f t="shared" si="35"/>
        <v>7700903</v>
      </c>
      <c r="B2296" s="105" t="s">
        <v>3718</v>
      </c>
      <c r="C2296" s="105" t="s">
        <v>3719</v>
      </c>
      <c r="D2296" s="105">
        <v>0</v>
      </c>
      <c r="E2296" s="105">
        <v>0</v>
      </c>
      <c r="F2296" s="105">
        <v>0</v>
      </c>
    </row>
    <row r="2297" spans="1:6" x14ac:dyDescent="0.25">
      <c r="A2297" s="105" t="str">
        <f t="shared" si="35"/>
        <v/>
      </c>
      <c r="B2297" s="105" t="s">
        <v>3720</v>
      </c>
      <c r="C2297" s="105" t="s">
        <v>8</v>
      </c>
      <c r="D2297" s="105">
        <v>0</v>
      </c>
      <c r="E2297" s="105">
        <v>0</v>
      </c>
      <c r="F2297" s="105">
        <v>0</v>
      </c>
    </row>
    <row r="2298" spans="1:6" x14ac:dyDescent="0.25">
      <c r="A2298" s="105">
        <f t="shared" si="35"/>
        <v>7700904</v>
      </c>
      <c r="B2298" s="105" t="s">
        <v>3721</v>
      </c>
      <c r="C2298" s="105" t="s">
        <v>3722</v>
      </c>
      <c r="D2298" s="105">
        <v>0</v>
      </c>
      <c r="E2298" s="105">
        <v>0</v>
      </c>
      <c r="F2298" s="105">
        <v>0</v>
      </c>
    </row>
    <row r="2299" spans="1:6" x14ac:dyDescent="0.25">
      <c r="A2299" s="105" t="str">
        <f t="shared" si="35"/>
        <v/>
      </c>
      <c r="B2299" s="105" t="s">
        <v>3723</v>
      </c>
      <c r="C2299" s="105" t="s">
        <v>8</v>
      </c>
      <c r="D2299" s="105">
        <v>0</v>
      </c>
      <c r="E2299" s="105">
        <v>0</v>
      </c>
      <c r="F2299" s="105">
        <v>0</v>
      </c>
    </row>
    <row r="2300" spans="1:6" x14ac:dyDescent="0.25">
      <c r="A2300" s="105">
        <f t="shared" si="35"/>
        <v>7700905</v>
      </c>
      <c r="B2300" s="105" t="s">
        <v>3724</v>
      </c>
      <c r="C2300" s="105" t="s">
        <v>3725</v>
      </c>
      <c r="D2300" s="105">
        <v>0</v>
      </c>
      <c r="E2300" s="105">
        <v>0</v>
      </c>
      <c r="F2300" s="105">
        <v>0</v>
      </c>
    </row>
    <row r="2301" spans="1:6" x14ac:dyDescent="0.25">
      <c r="A2301" s="105" t="str">
        <f t="shared" si="35"/>
        <v/>
      </c>
      <c r="B2301" s="105" t="s">
        <v>3726</v>
      </c>
      <c r="C2301" s="105" t="s">
        <v>8</v>
      </c>
      <c r="D2301" s="105">
        <v>0</v>
      </c>
      <c r="E2301" s="105">
        <v>0</v>
      </c>
      <c r="F2301" s="105">
        <v>0</v>
      </c>
    </row>
    <row r="2302" spans="1:6" x14ac:dyDescent="0.25">
      <c r="A2302" s="105">
        <f t="shared" si="35"/>
        <v>7700906</v>
      </c>
      <c r="B2302" s="105" t="s">
        <v>3727</v>
      </c>
      <c r="C2302" s="105" t="s">
        <v>3728</v>
      </c>
      <c r="D2302" s="105">
        <v>0</v>
      </c>
      <c r="E2302" s="105">
        <v>0</v>
      </c>
      <c r="F2302" s="105">
        <v>0</v>
      </c>
    </row>
    <row r="2303" spans="1:6" x14ac:dyDescent="0.25">
      <c r="A2303" s="105">
        <f t="shared" si="35"/>
        <v>7701004</v>
      </c>
      <c r="B2303" s="105" t="s">
        <v>3729</v>
      </c>
      <c r="C2303" s="105" t="s">
        <v>3730</v>
      </c>
      <c r="D2303" s="105">
        <v>687.57</v>
      </c>
      <c r="E2303" s="105">
        <v>412.54</v>
      </c>
      <c r="F2303" s="105">
        <v>0</v>
      </c>
    </row>
    <row r="2304" spans="1:6" x14ac:dyDescent="0.25">
      <c r="A2304" s="105">
        <f t="shared" si="35"/>
        <v>7701005</v>
      </c>
      <c r="B2304" s="105" t="s">
        <v>3731</v>
      </c>
      <c r="C2304" s="105" t="s">
        <v>3732</v>
      </c>
      <c r="D2304" s="105">
        <v>687.57</v>
      </c>
      <c r="E2304" s="105">
        <v>412.54</v>
      </c>
      <c r="F2304" s="105">
        <v>0</v>
      </c>
    </row>
    <row r="2305" spans="1:6" x14ac:dyDescent="0.25">
      <c r="A2305" s="105" t="str">
        <f t="shared" si="35"/>
        <v/>
      </c>
      <c r="B2305" s="105" t="s">
        <v>3733</v>
      </c>
      <c r="C2305" s="105" t="s">
        <v>8</v>
      </c>
      <c r="D2305" s="105">
        <v>0</v>
      </c>
      <c r="E2305" s="105">
        <v>0</v>
      </c>
      <c r="F2305" s="105">
        <v>0</v>
      </c>
    </row>
    <row r="2306" spans="1:6" x14ac:dyDescent="0.25">
      <c r="A2306" s="105">
        <f t="shared" si="35"/>
        <v>7701006</v>
      </c>
      <c r="B2306" s="105" t="s">
        <v>3734</v>
      </c>
      <c r="C2306" s="105" t="s">
        <v>3735</v>
      </c>
      <c r="D2306" s="105">
        <v>0</v>
      </c>
      <c r="E2306" s="105">
        <v>0</v>
      </c>
      <c r="F2306" s="105">
        <v>0</v>
      </c>
    </row>
    <row r="2307" spans="1:6" x14ac:dyDescent="0.25">
      <c r="A2307" s="105">
        <f t="shared" ref="A2307:A2370" si="36">IF(B2307&lt;&gt;"",IFERROR(B2307*1,""),"")</f>
        <v>7701093</v>
      </c>
      <c r="B2307" s="105" t="s">
        <v>3736</v>
      </c>
      <c r="C2307" s="105" t="s">
        <v>3737</v>
      </c>
      <c r="D2307" s="105">
        <v>249.73</v>
      </c>
      <c r="E2307" s="105">
        <v>149.84</v>
      </c>
      <c r="F2307" s="105">
        <v>0</v>
      </c>
    </row>
    <row r="2308" spans="1:6" x14ac:dyDescent="0.25">
      <c r="A2308" s="105">
        <f t="shared" si="36"/>
        <v>7701094</v>
      </c>
      <c r="B2308" s="105" t="s">
        <v>3738</v>
      </c>
      <c r="C2308" s="105" t="s">
        <v>3739</v>
      </c>
      <c r="D2308" s="105">
        <v>249.73</v>
      </c>
      <c r="E2308" s="105">
        <v>149.84</v>
      </c>
      <c r="F2308" s="105">
        <v>2</v>
      </c>
    </row>
    <row r="2309" spans="1:6" x14ac:dyDescent="0.25">
      <c r="A2309" s="105" t="str">
        <f t="shared" si="36"/>
        <v/>
      </c>
      <c r="B2309" s="105" t="s">
        <v>3740</v>
      </c>
      <c r="C2309" s="105" t="s">
        <v>8</v>
      </c>
      <c r="D2309" s="105">
        <v>0</v>
      </c>
      <c r="E2309" s="105">
        <v>0</v>
      </c>
      <c r="F2309" s="105">
        <v>0</v>
      </c>
    </row>
    <row r="2310" spans="1:6" x14ac:dyDescent="0.25">
      <c r="A2310" s="105">
        <f t="shared" si="36"/>
        <v>7701100</v>
      </c>
      <c r="B2310" s="105" t="s">
        <v>3741</v>
      </c>
      <c r="C2310" s="105" t="s">
        <v>3742</v>
      </c>
      <c r="D2310" s="105">
        <v>0</v>
      </c>
      <c r="E2310" s="105">
        <v>0</v>
      </c>
      <c r="F2310" s="105">
        <v>0</v>
      </c>
    </row>
    <row r="2311" spans="1:6" x14ac:dyDescent="0.25">
      <c r="A2311" s="105" t="str">
        <f t="shared" si="36"/>
        <v/>
      </c>
      <c r="B2311" s="105" t="s">
        <v>3743</v>
      </c>
      <c r="C2311" s="105" t="s">
        <v>8</v>
      </c>
      <c r="D2311" s="105">
        <v>0</v>
      </c>
      <c r="E2311" s="105">
        <v>0</v>
      </c>
      <c r="F2311" s="105">
        <v>0</v>
      </c>
    </row>
    <row r="2312" spans="1:6" x14ac:dyDescent="0.25">
      <c r="A2312" s="105">
        <f t="shared" si="36"/>
        <v>7701101</v>
      </c>
      <c r="B2312" s="105" t="s">
        <v>3744</v>
      </c>
      <c r="C2312" s="105" t="s">
        <v>3745</v>
      </c>
      <c r="D2312" s="105">
        <v>0</v>
      </c>
      <c r="E2312" s="105">
        <v>0</v>
      </c>
      <c r="F2312" s="105">
        <v>0</v>
      </c>
    </row>
    <row r="2313" spans="1:6" x14ac:dyDescent="0.25">
      <c r="A2313" s="105" t="str">
        <f t="shared" si="36"/>
        <v/>
      </c>
      <c r="B2313" s="105" t="s">
        <v>3746</v>
      </c>
      <c r="C2313" s="105" t="s">
        <v>8</v>
      </c>
      <c r="D2313" s="105">
        <v>0</v>
      </c>
      <c r="E2313" s="105">
        <v>0</v>
      </c>
      <c r="F2313" s="105">
        <v>0</v>
      </c>
    </row>
    <row r="2314" spans="1:6" x14ac:dyDescent="0.25">
      <c r="A2314" s="105">
        <f t="shared" si="36"/>
        <v>7701102</v>
      </c>
      <c r="B2314" s="105" t="s">
        <v>3747</v>
      </c>
      <c r="C2314" s="105" t="s">
        <v>3748</v>
      </c>
      <c r="D2314" s="105">
        <v>0</v>
      </c>
      <c r="E2314" s="105">
        <v>0</v>
      </c>
      <c r="F2314" s="105">
        <v>0</v>
      </c>
    </row>
    <row r="2315" spans="1:6" x14ac:dyDescent="0.25">
      <c r="A2315" s="105" t="str">
        <f t="shared" si="36"/>
        <v/>
      </c>
      <c r="B2315" s="105" t="s">
        <v>3749</v>
      </c>
      <c r="C2315" s="105" t="s">
        <v>8</v>
      </c>
      <c r="D2315" s="105">
        <v>0</v>
      </c>
      <c r="E2315" s="105">
        <v>0</v>
      </c>
      <c r="F2315" s="105">
        <v>0</v>
      </c>
    </row>
    <row r="2316" spans="1:6" x14ac:dyDescent="0.25">
      <c r="A2316" s="105">
        <f t="shared" si="36"/>
        <v>7701103</v>
      </c>
      <c r="B2316" s="105" t="s">
        <v>3750</v>
      </c>
      <c r="C2316" s="105" t="s">
        <v>3751</v>
      </c>
      <c r="D2316" s="105">
        <v>0</v>
      </c>
      <c r="E2316" s="105">
        <v>0</v>
      </c>
      <c r="F2316" s="105">
        <v>0</v>
      </c>
    </row>
    <row r="2317" spans="1:6" x14ac:dyDescent="0.25">
      <c r="A2317" s="105">
        <f t="shared" si="36"/>
        <v>7701104</v>
      </c>
      <c r="B2317" s="105" t="s">
        <v>3752</v>
      </c>
      <c r="C2317" s="105" t="s">
        <v>3753</v>
      </c>
      <c r="D2317" s="105">
        <v>249.73</v>
      </c>
      <c r="E2317" s="105">
        <v>149.84</v>
      </c>
      <c r="F2317" s="105">
        <v>0</v>
      </c>
    </row>
    <row r="2318" spans="1:6" x14ac:dyDescent="0.25">
      <c r="A2318" s="105" t="str">
        <f t="shared" si="36"/>
        <v/>
      </c>
      <c r="B2318" s="105" t="s">
        <v>3754</v>
      </c>
      <c r="C2318" s="105" t="s">
        <v>8</v>
      </c>
      <c r="D2318" s="105">
        <v>0</v>
      </c>
      <c r="E2318" s="105">
        <v>0</v>
      </c>
      <c r="F2318" s="105">
        <v>0</v>
      </c>
    </row>
    <row r="2319" spans="1:6" x14ac:dyDescent="0.25">
      <c r="A2319" s="105">
        <f t="shared" si="36"/>
        <v>7701105</v>
      </c>
      <c r="B2319" s="105" t="s">
        <v>3755</v>
      </c>
      <c r="C2319" s="105" t="s">
        <v>3756</v>
      </c>
      <c r="D2319" s="105">
        <v>0</v>
      </c>
      <c r="E2319" s="105">
        <v>0</v>
      </c>
      <c r="F2319" s="105">
        <v>0</v>
      </c>
    </row>
    <row r="2320" spans="1:6" x14ac:dyDescent="0.25">
      <c r="A2320" s="105">
        <f t="shared" si="36"/>
        <v>7701136</v>
      </c>
      <c r="B2320" s="105" t="s">
        <v>3757</v>
      </c>
      <c r="C2320" s="105" t="s">
        <v>3758</v>
      </c>
      <c r="D2320" s="105">
        <v>265</v>
      </c>
      <c r="E2320" s="105">
        <v>159</v>
      </c>
      <c r="F2320" s="105">
        <v>15</v>
      </c>
    </row>
    <row r="2321" spans="1:6" x14ac:dyDescent="0.25">
      <c r="A2321" s="105">
        <f t="shared" si="36"/>
        <v>7701137</v>
      </c>
      <c r="B2321" s="105" t="s">
        <v>3759</v>
      </c>
      <c r="C2321" s="105" t="s">
        <v>3760</v>
      </c>
      <c r="D2321" s="105">
        <v>265</v>
      </c>
      <c r="E2321" s="105">
        <v>159</v>
      </c>
      <c r="F2321" s="105">
        <v>23</v>
      </c>
    </row>
    <row r="2322" spans="1:6" x14ac:dyDescent="0.25">
      <c r="A2322" s="105" t="str">
        <f t="shared" si="36"/>
        <v/>
      </c>
      <c r="B2322" s="105" t="s">
        <v>3761</v>
      </c>
      <c r="C2322" s="105" t="s">
        <v>8</v>
      </c>
      <c r="D2322" s="105">
        <v>0</v>
      </c>
      <c r="E2322" s="105">
        <v>0</v>
      </c>
      <c r="F2322" s="105">
        <v>0</v>
      </c>
    </row>
    <row r="2323" spans="1:6" x14ac:dyDescent="0.25">
      <c r="A2323" s="105">
        <f t="shared" si="36"/>
        <v>7701200</v>
      </c>
      <c r="B2323" s="105" t="s">
        <v>3762</v>
      </c>
      <c r="C2323" s="105" t="s">
        <v>3763</v>
      </c>
      <c r="D2323" s="105">
        <v>0</v>
      </c>
      <c r="E2323" s="105">
        <v>0</v>
      </c>
      <c r="F2323" s="105">
        <v>0</v>
      </c>
    </row>
    <row r="2324" spans="1:6" x14ac:dyDescent="0.25">
      <c r="A2324" s="105" t="str">
        <f t="shared" si="36"/>
        <v/>
      </c>
      <c r="B2324" s="105" t="s">
        <v>3764</v>
      </c>
      <c r="C2324" s="105" t="s">
        <v>8</v>
      </c>
      <c r="D2324" s="105">
        <v>0</v>
      </c>
      <c r="E2324" s="105">
        <v>0</v>
      </c>
      <c r="F2324" s="105">
        <v>0</v>
      </c>
    </row>
    <row r="2325" spans="1:6" x14ac:dyDescent="0.25">
      <c r="A2325" s="105">
        <f t="shared" si="36"/>
        <v>7701201</v>
      </c>
      <c r="B2325" s="105" t="s">
        <v>3765</v>
      </c>
      <c r="C2325" s="105" t="s">
        <v>3766</v>
      </c>
      <c r="D2325" s="105">
        <v>0</v>
      </c>
      <c r="E2325" s="105">
        <v>0</v>
      </c>
      <c r="F2325" s="105">
        <v>0</v>
      </c>
    </row>
    <row r="2326" spans="1:6" x14ac:dyDescent="0.25">
      <c r="A2326" s="105" t="str">
        <f t="shared" si="36"/>
        <v/>
      </c>
      <c r="B2326" s="105" t="s">
        <v>3767</v>
      </c>
      <c r="C2326" s="105" t="s">
        <v>8</v>
      </c>
      <c r="D2326" s="105">
        <v>0</v>
      </c>
      <c r="E2326" s="105">
        <v>0</v>
      </c>
      <c r="F2326" s="105">
        <v>0</v>
      </c>
    </row>
    <row r="2327" spans="1:6" x14ac:dyDescent="0.25">
      <c r="A2327" s="105">
        <f t="shared" si="36"/>
        <v>7701202</v>
      </c>
      <c r="B2327" s="105" t="s">
        <v>3768</v>
      </c>
      <c r="C2327" s="105" t="s">
        <v>3769</v>
      </c>
      <c r="D2327" s="105">
        <v>0</v>
      </c>
      <c r="E2327" s="105">
        <v>0</v>
      </c>
      <c r="F2327" s="105">
        <v>0</v>
      </c>
    </row>
    <row r="2328" spans="1:6" x14ac:dyDescent="0.25">
      <c r="A2328" s="105" t="str">
        <f t="shared" si="36"/>
        <v/>
      </c>
      <c r="B2328" s="105" t="s">
        <v>3770</v>
      </c>
      <c r="C2328" s="105" t="s">
        <v>8</v>
      </c>
      <c r="D2328" s="105">
        <v>0</v>
      </c>
      <c r="E2328" s="105">
        <v>0</v>
      </c>
      <c r="F2328" s="105">
        <v>0</v>
      </c>
    </row>
    <row r="2329" spans="1:6" x14ac:dyDescent="0.25">
      <c r="A2329" s="105">
        <f t="shared" si="36"/>
        <v>7701203</v>
      </c>
      <c r="B2329" s="105" t="s">
        <v>3771</v>
      </c>
      <c r="C2329" s="105" t="s">
        <v>3772</v>
      </c>
      <c r="D2329" s="105">
        <v>0</v>
      </c>
      <c r="E2329" s="105">
        <v>0</v>
      </c>
      <c r="F2329" s="105">
        <v>0</v>
      </c>
    </row>
    <row r="2330" spans="1:6" x14ac:dyDescent="0.25">
      <c r="A2330" s="105" t="str">
        <f t="shared" si="36"/>
        <v/>
      </c>
      <c r="B2330" s="105" t="s">
        <v>3773</v>
      </c>
      <c r="C2330" s="105" t="s">
        <v>3774</v>
      </c>
      <c r="D2330" s="105">
        <v>0</v>
      </c>
      <c r="E2330" s="105">
        <v>0</v>
      </c>
      <c r="F2330" s="105">
        <v>0</v>
      </c>
    </row>
    <row r="2331" spans="1:6" x14ac:dyDescent="0.25">
      <c r="A2331" s="105">
        <f t="shared" si="36"/>
        <v>7701394</v>
      </c>
      <c r="B2331" s="105" t="s">
        <v>3775</v>
      </c>
      <c r="C2331" s="105" t="s">
        <v>3776</v>
      </c>
      <c r="D2331" s="105">
        <v>0</v>
      </c>
      <c r="E2331" s="105">
        <v>0</v>
      </c>
      <c r="F2331" s="105">
        <v>0</v>
      </c>
    </row>
    <row r="2332" spans="1:6" x14ac:dyDescent="0.25">
      <c r="A2332" s="105" t="str">
        <f t="shared" si="36"/>
        <v/>
      </c>
      <c r="B2332" s="105" t="s">
        <v>3777</v>
      </c>
      <c r="C2332" s="105" t="s">
        <v>8</v>
      </c>
      <c r="D2332" s="105">
        <v>0</v>
      </c>
      <c r="E2332" s="105">
        <v>0</v>
      </c>
      <c r="F2332" s="105">
        <v>0</v>
      </c>
    </row>
    <row r="2333" spans="1:6" x14ac:dyDescent="0.25">
      <c r="A2333" s="105">
        <f t="shared" si="36"/>
        <v>7701397</v>
      </c>
      <c r="B2333" s="105" t="s">
        <v>3778</v>
      </c>
      <c r="C2333" s="105" t="s">
        <v>3779</v>
      </c>
      <c r="D2333" s="105">
        <v>0</v>
      </c>
      <c r="E2333" s="105">
        <v>0</v>
      </c>
      <c r="F2333" s="105">
        <v>0</v>
      </c>
    </row>
    <row r="2334" spans="1:6" x14ac:dyDescent="0.25">
      <c r="A2334" s="105" t="str">
        <f t="shared" si="36"/>
        <v/>
      </c>
      <c r="B2334" s="105" t="s">
        <v>3780</v>
      </c>
      <c r="C2334" s="105" t="s">
        <v>8</v>
      </c>
      <c r="D2334" s="105">
        <v>0</v>
      </c>
      <c r="E2334" s="105">
        <v>0</v>
      </c>
      <c r="F2334" s="105">
        <v>0</v>
      </c>
    </row>
    <row r="2335" spans="1:6" x14ac:dyDescent="0.25">
      <c r="A2335" s="105">
        <f t="shared" si="36"/>
        <v>7701655</v>
      </c>
      <c r="B2335" s="105" t="s">
        <v>3781</v>
      </c>
      <c r="C2335" s="105" t="s">
        <v>3782</v>
      </c>
      <c r="D2335" s="105">
        <v>0</v>
      </c>
      <c r="E2335" s="105">
        <v>0</v>
      </c>
      <c r="F2335" s="105">
        <v>0</v>
      </c>
    </row>
    <row r="2336" spans="1:6" x14ac:dyDescent="0.25">
      <c r="A2336" s="105">
        <f t="shared" si="36"/>
        <v>7703001</v>
      </c>
      <c r="B2336" s="105" t="s">
        <v>3783</v>
      </c>
      <c r="C2336" s="105" t="s">
        <v>3784</v>
      </c>
      <c r="D2336" s="105">
        <v>583</v>
      </c>
      <c r="E2336" s="105">
        <v>349.8</v>
      </c>
      <c r="F2336" s="105">
        <v>54</v>
      </c>
    </row>
    <row r="2337" spans="1:6" x14ac:dyDescent="0.25">
      <c r="A2337" s="105">
        <f t="shared" si="36"/>
        <v>7703002</v>
      </c>
      <c r="B2337" s="105" t="s">
        <v>3785</v>
      </c>
      <c r="C2337" s="105" t="s">
        <v>3786</v>
      </c>
      <c r="D2337" s="105">
        <v>500.04</v>
      </c>
      <c r="E2337" s="105">
        <v>300.02</v>
      </c>
      <c r="F2337" s="105">
        <v>64</v>
      </c>
    </row>
    <row r="2338" spans="1:6" x14ac:dyDescent="0.25">
      <c r="A2338" s="105" t="str">
        <f t="shared" si="36"/>
        <v/>
      </c>
      <c r="B2338" s="105" t="s">
        <v>3787</v>
      </c>
      <c r="C2338" s="105" t="s">
        <v>8</v>
      </c>
      <c r="D2338" s="105">
        <v>0</v>
      </c>
      <c r="E2338" s="105">
        <v>0</v>
      </c>
      <c r="F2338" s="105">
        <v>0</v>
      </c>
    </row>
    <row r="2339" spans="1:6" x14ac:dyDescent="0.25">
      <c r="A2339" s="105">
        <f t="shared" si="36"/>
        <v>7703003</v>
      </c>
      <c r="B2339" s="105" t="s">
        <v>3788</v>
      </c>
      <c r="C2339" s="105" t="s">
        <v>3789</v>
      </c>
      <c r="D2339" s="105">
        <v>0</v>
      </c>
      <c r="E2339" s="105">
        <v>0</v>
      </c>
      <c r="F2339" s="105">
        <v>0</v>
      </c>
    </row>
    <row r="2340" spans="1:6" x14ac:dyDescent="0.25">
      <c r="A2340" s="105" t="str">
        <f t="shared" si="36"/>
        <v/>
      </c>
      <c r="B2340" s="105" t="s">
        <v>3790</v>
      </c>
      <c r="C2340" s="105" t="s">
        <v>8</v>
      </c>
      <c r="D2340" s="105">
        <v>0</v>
      </c>
      <c r="E2340" s="105">
        <v>0</v>
      </c>
      <c r="F2340" s="105">
        <v>0</v>
      </c>
    </row>
    <row r="2341" spans="1:6" x14ac:dyDescent="0.25">
      <c r="A2341" s="105">
        <f t="shared" si="36"/>
        <v>7703004</v>
      </c>
      <c r="B2341" s="105" t="s">
        <v>3791</v>
      </c>
      <c r="C2341" s="105" t="s">
        <v>3792</v>
      </c>
      <c r="D2341" s="105">
        <v>3417.44</v>
      </c>
      <c r="E2341" s="105">
        <v>2050.46</v>
      </c>
      <c r="F2341" s="105">
        <v>0</v>
      </c>
    </row>
    <row r="2342" spans="1:6" x14ac:dyDescent="0.25">
      <c r="A2342" s="105" t="str">
        <f t="shared" si="36"/>
        <v/>
      </c>
      <c r="B2342" s="105" t="s">
        <v>3793</v>
      </c>
      <c r="C2342" s="105" t="s">
        <v>8</v>
      </c>
      <c r="D2342" s="105">
        <v>0</v>
      </c>
      <c r="E2342" s="105">
        <v>0</v>
      </c>
      <c r="F2342" s="105">
        <v>0</v>
      </c>
    </row>
    <row r="2343" spans="1:6" x14ac:dyDescent="0.25">
      <c r="A2343" s="105">
        <f t="shared" si="36"/>
        <v>7703005</v>
      </c>
      <c r="B2343" s="105" t="s">
        <v>3794</v>
      </c>
      <c r="C2343" s="105" t="s">
        <v>3795</v>
      </c>
      <c r="D2343" s="105">
        <v>4189.12</v>
      </c>
      <c r="E2343" s="105">
        <v>2513.4699999999998</v>
      </c>
      <c r="F2343" s="105">
        <v>4</v>
      </c>
    </row>
    <row r="2344" spans="1:6" x14ac:dyDescent="0.25">
      <c r="A2344" s="105">
        <f t="shared" si="36"/>
        <v>7703019</v>
      </c>
      <c r="B2344" s="105" t="s">
        <v>3796</v>
      </c>
      <c r="C2344" s="105" t="s">
        <v>3797</v>
      </c>
      <c r="D2344" s="105">
        <v>812.57</v>
      </c>
      <c r="E2344" s="105">
        <v>487.54</v>
      </c>
      <c r="F2344" s="105">
        <v>0</v>
      </c>
    </row>
    <row r="2345" spans="1:6" x14ac:dyDescent="0.25">
      <c r="A2345" s="105">
        <f t="shared" si="36"/>
        <v>7703020</v>
      </c>
      <c r="B2345" s="105" t="s">
        <v>3798</v>
      </c>
      <c r="C2345" s="105" t="s">
        <v>3799</v>
      </c>
      <c r="D2345" s="105">
        <v>812.57</v>
      </c>
      <c r="E2345" s="105">
        <v>487.54</v>
      </c>
      <c r="F2345" s="105">
        <v>0</v>
      </c>
    </row>
    <row r="2346" spans="1:6" x14ac:dyDescent="0.25">
      <c r="A2346" s="105">
        <f t="shared" si="36"/>
        <v>7703021</v>
      </c>
      <c r="B2346" s="105" t="s">
        <v>3800</v>
      </c>
      <c r="C2346" s="105" t="s">
        <v>3801</v>
      </c>
      <c r="D2346" s="105">
        <v>812.57</v>
      </c>
      <c r="E2346" s="105">
        <v>487.54</v>
      </c>
      <c r="F2346" s="105">
        <v>0</v>
      </c>
    </row>
    <row r="2347" spans="1:6" x14ac:dyDescent="0.25">
      <c r="A2347" s="105">
        <f t="shared" si="36"/>
        <v>7703022</v>
      </c>
      <c r="B2347" s="105" t="s">
        <v>3802</v>
      </c>
      <c r="C2347" s="105" t="s">
        <v>3803</v>
      </c>
      <c r="D2347" s="105">
        <v>812.57</v>
      </c>
      <c r="E2347" s="105">
        <v>487.54</v>
      </c>
      <c r="F2347" s="105">
        <v>0</v>
      </c>
    </row>
    <row r="2348" spans="1:6" x14ac:dyDescent="0.25">
      <c r="A2348" s="105">
        <f t="shared" si="36"/>
        <v>7703023</v>
      </c>
      <c r="B2348" s="105" t="s">
        <v>3804</v>
      </c>
      <c r="C2348" s="105" t="s">
        <v>3805</v>
      </c>
      <c r="D2348" s="105">
        <v>812.57</v>
      </c>
      <c r="E2348" s="105">
        <v>487.54</v>
      </c>
      <c r="F2348" s="105">
        <v>0</v>
      </c>
    </row>
    <row r="2349" spans="1:6" x14ac:dyDescent="0.25">
      <c r="A2349" s="105">
        <f t="shared" si="36"/>
        <v>7703024</v>
      </c>
      <c r="B2349" s="105" t="s">
        <v>3806</v>
      </c>
      <c r="C2349" s="105" t="s">
        <v>3807</v>
      </c>
      <c r="D2349" s="105">
        <v>812.57</v>
      </c>
      <c r="E2349" s="105">
        <v>487.54</v>
      </c>
      <c r="F2349" s="105">
        <v>0</v>
      </c>
    </row>
    <row r="2350" spans="1:6" x14ac:dyDescent="0.25">
      <c r="A2350" s="105" t="str">
        <f t="shared" si="36"/>
        <v/>
      </c>
      <c r="B2350" s="105" t="s">
        <v>3808</v>
      </c>
      <c r="C2350" s="105" t="s">
        <v>8</v>
      </c>
      <c r="D2350" s="105">
        <v>0</v>
      </c>
      <c r="E2350" s="105">
        <v>0</v>
      </c>
      <c r="F2350" s="105">
        <v>0</v>
      </c>
    </row>
    <row r="2351" spans="1:6" x14ac:dyDescent="0.25">
      <c r="A2351" s="105">
        <f t="shared" si="36"/>
        <v>7703025</v>
      </c>
      <c r="B2351" s="105" t="s">
        <v>3809</v>
      </c>
      <c r="C2351" s="105" t="s">
        <v>3810</v>
      </c>
      <c r="D2351" s="105">
        <v>812.57</v>
      </c>
      <c r="E2351" s="105">
        <v>487.54</v>
      </c>
      <c r="F2351" s="105">
        <v>0</v>
      </c>
    </row>
    <row r="2352" spans="1:6" x14ac:dyDescent="0.25">
      <c r="A2352" s="105" t="str">
        <f t="shared" si="36"/>
        <v/>
      </c>
      <c r="B2352" s="105" t="s">
        <v>3811</v>
      </c>
      <c r="C2352" s="105" t="s">
        <v>8</v>
      </c>
      <c r="D2352" s="105">
        <v>0</v>
      </c>
      <c r="E2352" s="105">
        <v>0</v>
      </c>
      <c r="F2352" s="105">
        <v>0</v>
      </c>
    </row>
    <row r="2353" spans="1:6" x14ac:dyDescent="0.25">
      <c r="A2353" s="105">
        <f t="shared" si="36"/>
        <v>7703026</v>
      </c>
      <c r="B2353" s="105" t="s">
        <v>3812</v>
      </c>
      <c r="C2353" s="105" t="s">
        <v>3813</v>
      </c>
      <c r="D2353" s="105">
        <v>1166</v>
      </c>
      <c r="E2353" s="105">
        <v>699.6</v>
      </c>
      <c r="F2353" s="105">
        <v>0</v>
      </c>
    </row>
    <row r="2354" spans="1:6" x14ac:dyDescent="0.25">
      <c r="A2354" s="105" t="str">
        <f t="shared" si="36"/>
        <v/>
      </c>
      <c r="B2354" s="105" t="s">
        <v>3814</v>
      </c>
      <c r="C2354" s="105" t="s">
        <v>8</v>
      </c>
      <c r="D2354" s="105">
        <v>0</v>
      </c>
      <c r="E2354" s="105">
        <v>0</v>
      </c>
      <c r="F2354" s="105">
        <v>0</v>
      </c>
    </row>
    <row r="2355" spans="1:6" x14ac:dyDescent="0.25">
      <c r="A2355" s="105">
        <f t="shared" si="36"/>
        <v>7703029</v>
      </c>
      <c r="B2355" s="105" t="s">
        <v>3815</v>
      </c>
      <c r="C2355" s="105" t="s">
        <v>3816</v>
      </c>
      <c r="D2355" s="105">
        <v>1099.6400000000001</v>
      </c>
      <c r="E2355" s="105">
        <v>659.78</v>
      </c>
      <c r="F2355" s="105">
        <v>0</v>
      </c>
    </row>
    <row r="2356" spans="1:6" x14ac:dyDescent="0.25">
      <c r="A2356" s="105">
        <f t="shared" si="36"/>
        <v>7703030</v>
      </c>
      <c r="B2356" s="105" t="s">
        <v>3817</v>
      </c>
      <c r="C2356" s="105" t="s">
        <v>3818</v>
      </c>
      <c r="D2356" s="105">
        <v>812.57</v>
      </c>
      <c r="E2356" s="105">
        <v>487.54</v>
      </c>
      <c r="F2356" s="105">
        <v>0</v>
      </c>
    </row>
    <row r="2357" spans="1:6" x14ac:dyDescent="0.25">
      <c r="A2357" s="105">
        <f t="shared" si="36"/>
        <v>7703031</v>
      </c>
      <c r="B2357" s="105" t="s">
        <v>3819</v>
      </c>
      <c r="C2357" s="105" t="s">
        <v>3820</v>
      </c>
      <c r="D2357" s="105">
        <v>812.57</v>
      </c>
      <c r="E2357" s="105">
        <v>487.54</v>
      </c>
      <c r="F2357" s="105">
        <v>0</v>
      </c>
    </row>
    <row r="2358" spans="1:6" x14ac:dyDescent="0.25">
      <c r="A2358" s="105" t="str">
        <f t="shared" si="36"/>
        <v/>
      </c>
      <c r="B2358" s="105" t="s">
        <v>3821</v>
      </c>
      <c r="C2358" s="105" t="s">
        <v>8</v>
      </c>
      <c r="D2358" s="105">
        <v>0</v>
      </c>
      <c r="E2358" s="105">
        <v>0</v>
      </c>
      <c r="F2358" s="105">
        <v>0</v>
      </c>
    </row>
    <row r="2359" spans="1:6" x14ac:dyDescent="0.25">
      <c r="A2359" s="105">
        <f t="shared" si="36"/>
        <v>7703033</v>
      </c>
      <c r="B2359" s="105" t="s">
        <v>3822</v>
      </c>
      <c r="C2359" s="105" t="s">
        <v>3823</v>
      </c>
      <c r="D2359" s="105">
        <v>812.57</v>
      </c>
      <c r="E2359" s="105">
        <v>487.54</v>
      </c>
      <c r="F2359" s="105">
        <v>0</v>
      </c>
    </row>
    <row r="2360" spans="1:6" x14ac:dyDescent="0.25">
      <c r="A2360" s="105">
        <f t="shared" si="36"/>
        <v>7703035</v>
      </c>
      <c r="B2360" s="105" t="s">
        <v>3824</v>
      </c>
      <c r="C2360" s="105" t="s">
        <v>3825</v>
      </c>
      <c r="D2360" s="105">
        <v>812.57</v>
      </c>
      <c r="E2360" s="105">
        <v>487.54</v>
      </c>
      <c r="F2360" s="105">
        <v>0</v>
      </c>
    </row>
    <row r="2361" spans="1:6" x14ac:dyDescent="0.25">
      <c r="A2361" s="105">
        <f t="shared" si="36"/>
        <v>7703036</v>
      </c>
      <c r="B2361" s="105" t="s">
        <v>3826</v>
      </c>
      <c r="C2361" s="105" t="s">
        <v>3827</v>
      </c>
      <c r="D2361" s="105">
        <v>812.57</v>
      </c>
      <c r="E2361" s="105">
        <v>487.54</v>
      </c>
      <c r="F2361" s="105">
        <v>0</v>
      </c>
    </row>
    <row r="2362" spans="1:6" x14ac:dyDescent="0.25">
      <c r="A2362" s="105">
        <f t="shared" si="36"/>
        <v>7703037</v>
      </c>
      <c r="B2362" s="105" t="s">
        <v>3828</v>
      </c>
      <c r="C2362" s="105" t="s">
        <v>3829</v>
      </c>
      <c r="D2362" s="105">
        <v>812.57</v>
      </c>
      <c r="E2362" s="105">
        <v>487.54</v>
      </c>
      <c r="F2362" s="105">
        <v>0</v>
      </c>
    </row>
    <row r="2363" spans="1:6" x14ac:dyDescent="0.25">
      <c r="A2363" s="105">
        <f t="shared" si="36"/>
        <v>7703038</v>
      </c>
      <c r="B2363" s="105" t="s">
        <v>3830</v>
      </c>
      <c r="C2363" s="105" t="s">
        <v>3831</v>
      </c>
      <c r="D2363" s="105">
        <v>812.57</v>
      </c>
      <c r="E2363" s="105">
        <v>487.54</v>
      </c>
      <c r="F2363" s="105">
        <v>0</v>
      </c>
    </row>
    <row r="2364" spans="1:6" x14ac:dyDescent="0.25">
      <c r="A2364" s="105">
        <f t="shared" si="36"/>
        <v>7703039</v>
      </c>
      <c r="B2364" s="105" t="s">
        <v>3832</v>
      </c>
      <c r="C2364" s="105" t="s">
        <v>3833</v>
      </c>
      <c r="D2364" s="105">
        <v>812.57</v>
      </c>
      <c r="E2364" s="105">
        <v>487.54</v>
      </c>
      <c r="F2364" s="105">
        <v>0</v>
      </c>
    </row>
    <row r="2365" spans="1:6" x14ac:dyDescent="0.25">
      <c r="A2365" s="105">
        <f t="shared" si="36"/>
        <v>7703047</v>
      </c>
      <c r="B2365" s="105" t="s">
        <v>3834</v>
      </c>
      <c r="C2365" s="105" t="s">
        <v>3835</v>
      </c>
      <c r="D2365" s="105">
        <v>1166</v>
      </c>
      <c r="E2365" s="105">
        <v>699.6</v>
      </c>
      <c r="F2365" s="105">
        <v>0</v>
      </c>
    </row>
    <row r="2366" spans="1:6" x14ac:dyDescent="0.25">
      <c r="A2366" s="105">
        <f t="shared" si="36"/>
        <v>7703050</v>
      </c>
      <c r="B2366" s="105" t="s">
        <v>3836</v>
      </c>
      <c r="C2366" s="105" t="s">
        <v>3837</v>
      </c>
      <c r="D2366" s="105">
        <v>953.99</v>
      </c>
      <c r="E2366" s="105">
        <v>572.39</v>
      </c>
      <c r="F2366" s="105">
        <v>0</v>
      </c>
    </row>
    <row r="2367" spans="1:6" x14ac:dyDescent="0.25">
      <c r="A2367" s="105" t="str">
        <f t="shared" si="36"/>
        <v/>
      </c>
      <c r="B2367" s="105" t="s">
        <v>3838</v>
      </c>
      <c r="C2367" s="105" t="s">
        <v>8</v>
      </c>
      <c r="D2367" s="105">
        <v>0</v>
      </c>
      <c r="E2367" s="105">
        <v>0</v>
      </c>
      <c r="F2367" s="105">
        <v>0</v>
      </c>
    </row>
    <row r="2368" spans="1:6" x14ac:dyDescent="0.25">
      <c r="A2368" s="105">
        <f t="shared" si="36"/>
        <v>7703051</v>
      </c>
      <c r="B2368" s="105" t="s">
        <v>3839</v>
      </c>
      <c r="C2368" s="105" t="s">
        <v>3840</v>
      </c>
      <c r="D2368" s="105">
        <v>1060</v>
      </c>
      <c r="E2368" s="105">
        <v>636</v>
      </c>
      <c r="F2368" s="105">
        <v>0</v>
      </c>
    </row>
    <row r="2369" spans="1:6" x14ac:dyDescent="0.25">
      <c r="A2369" s="105">
        <f t="shared" si="36"/>
        <v>7703052</v>
      </c>
      <c r="B2369" s="105" t="s">
        <v>3841</v>
      </c>
      <c r="C2369" s="105" t="s">
        <v>3842</v>
      </c>
      <c r="D2369" s="105">
        <v>1272</v>
      </c>
      <c r="E2369" s="105">
        <v>763.2</v>
      </c>
      <c r="F2369" s="105">
        <v>0</v>
      </c>
    </row>
    <row r="2370" spans="1:6" x14ac:dyDescent="0.25">
      <c r="A2370" s="105">
        <f t="shared" si="36"/>
        <v>7703053</v>
      </c>
      <c r="B2370" s="105" t="s">
        <v>3843</v>
      </c>
      <c r="C2370" s="105" t="s">
        <v>3844</v>
      </c>
      <c r="D2370" s="105">
        <v>1166</v>
      </c>
      <c r="E2370" s="105">
        <v>699.6</v>
      </c>
      <c r="F2370" s="105">
        <v>0</v>
      </c>
    </row>
    <row r="2371" spans="1:6" x14ac:dyDescent="0.25">
      <c r="A2371" s="105">
        <f t="shared" ref="A2371:A2434" si="37">IF(B2371&lt;&gt;"",IFERROR(B2371*1,""),"")</f>
        <v>7703054</v>
      </c>
      <c r="B2371" s="105" t="s">
        <v>3845</v>
      </c>
      <c r="C2371" s="105" t="s">
        <v>3846</v>
      </c>
      <c r="D2371" s="105">
        <v>1378</v>
      </c>
      <c r="E2371" s="105">
        <v>826.8</v>
      </c>
      <c r="F2371" s="105">
        <v>3</v>
      </c>
    </row>
    <row r="2372" spans="1:6" x14ac:dyDescent="0.25">
      <c r="A2372" s="105" t="str">
        <f t="shared" si="37"/>
        <v/>
      </c>
      <c r="B2372" s="105" t="s">
        <v>3847</v>
      </c>
      <c r="C2372" s="105" t="s">
        <v>8</v>
      </c>
      <c r="D2372" s="105">
        <v>0</v>
      </c>
      <c r="E2372" s="105">
        <v>0</v>
      </c>
      <c r="F2372" s="105">
        <v>0</v>
      </c>
    </row>
    <row r="2373" spans="1:6" x14ac:dyDescent="0.25">
      <c r="A2373" s="105">
        <f t="shared" si="37"/>
        <v>7703055</v>
      </c>
      <c r="B2373" s="105" t="s">
        <v>3848</v>
      </c>
      <c r="C2373" s="105" t="s">
        <v>9363</v>
      </c>
      <c r="D2373" s="105">
        <v>1378</v>
      </c>
      <c r="E2373" s="105">
        <v>826.8</v>
      </c>
      <c r="F2373" s="105">
        <v>0</v>
      </c>
    </row>
    <row r="2374" spans="1:6" x14ac:dyDescent="0.25">
      <c r="A2374" s="105">
        <f t="shared" si="37"/>
        <v>7703056</v>
      </c>
      <c r="B2374" s="105" t="s">
        <v>3849</v>
      </c>
      <c r="C2374" s="105" t="s">
        <v>3850</v>
      </c>
      <c r="D2374" s="105">
        <v>1484</v>
      </c>
      <c r="E2374" s="105">
        <v>890.4</v>
      </c>
      <c r="F2374" s="105">
        <v>2</v>
      </c>
    </row>
    <row r="2375" spans="1:6" x14ac:dyDescent="0.25">
      <c r="A2375" s="105">
        <f t="shared" si="37"/>
        <v>7703057</v>
      </c>
      <c r="B2375" s="105" t="s">
        <v>3851</v>
      </c>
      <c r="C2375" s="105" t="s">
        <v>3852</v>
      </c>
      <c r="D2375" s="105">
        <v>1696</v>
      </c>
      <c r="E2375" s="105">
        <v>1017.6</v>
      </c>
      <c r="F2375" s="105">
        <v>0</v>
      </c>
    </row>
    <row r="2376" spans="1:6" x14ac:dyDescent="0.25">
      <c r="A2376" s="105">
        <f t="shared" si="37"/>
        <v>7703060</v>
      </c>
      <c r="B2376" s="105" t="s">
        <v>3853</v>
      </c>
      <c r="C2376" s="105" t="s">
        <v>3854</v>
      </c>
      <c r="D2376" s="105">
        <v>1272</v>
      </c>
      <c r="E2376" s="105">
        <v>763.2</v>
      </c>
      <c r="F2376" s="105">
        <v>0</v>
      </c>
    </row>
    <row r="2377" spans="1:6" x14ac:dyDescent="0.25">
      <c r="A2377" s="105">
        <f t="shared" si="37"/>
        <v>7703061</v>
      </c>
      <c r="B2377" s="105" t="s">
        <v>3855</v>
      </c>
      <c r="C2377" s="105" t="s">
        <v>3856</v>
      </c>
      <c r="D2377" s="105">
        <v>1484</v>
      </c>
      <c r="E2377" s="105">
        <v>890.4</v>
      </c>
      <c r="F2377" s="105">
        <v>0</v>
      </c>
    </row>
    <row r="2378" spans="1:6" x14ac:dyDescent="0.25">
      <c r="A2378" s="105">
        <f t="shared" si="37"/>
        <v>7703062</v>
      </c>
      <c r="B2378" s="105" t="s">
        <v>3857</v>
      </c>
      <c r="C2378" s="105" t="s">
        <v>9364</v>
      </c>
      <c r="D2378" s="105">
        <v>1590</v>
      </c>
      <c r="E2378" s="105">
        <v>954</v>
      </c>
      <c r="F2378" s="105">
        <v>0</v>
      </c>
    </row>
    <row r="2379" spans="1:6" x14ac:dyDescent="0.25">
      <c r="A2379" s="105">
        <f t="shared" si="37"/>
        <v>7703065</v>
      </c>
      <c r="B2379" s="105" t="s">
        <v>3858</v>
      </c>
      <c r="C2379" s="105" t="s">
        <v>3859</v>
      </c>
      <c r="D2379" s="105">
        <v>954</v>
      </c>
      <c r="E2379" s="105">
        <v>572.4</v>
      </c>
      <c r="F2379" s="105">
        <v>0</v>
      </c>
    </row>
    <row r="2380" spans="1:6" x14ac:dyDescent="0.25">
      <c r="A2380" s="105">
        <f t="shared" si="37"/>
        <v>7703066</v>
      </c>
      <c r="B2380" s="105" t="s">
        <v>3860</v>
      </c>
      <c r="C2380" s="105" t="s">
        <v>3861</v>
      </c>
      <c r="D2380" s="105">
        <v>1060</v>
      </c>
      <c r="E2380" s="105">
        <v>636</v>
      </c>
      <c r="F2380" s="105">
        <v>0</v>
      </c>
    </row>
    <row r="2381" spans="1:6" x14ac:dyDescent="0.25">
      <c r="A2381" s="105">
        <f t="shared" si="37"/>
        <v>7703067</v>
      </c>
      <c r="B2381" s="105" t="s">
        <v>3862</v>
      </c>
      <c r="C2381" s="105" t="s">
        <v>3863</v>
      </c>
      <c r="D2381" s="105">
        <v>1272</v>
      </c>
      <c r="E2381" s="105">
        <v>763.2</v>
      </c>
      <c r="F2381" s="105">
        <v>0</v>
      </c>
    </row>
    <row r="2382" spans="1:6" x14ac:dyDescent="0.25">
      <c r="A2382" s="105">
        <f t="shared" si="37"/>
        <v>7703070</v>
      </c>
      <c r="B2382" s="105" t="s">
        <v>3864</v>
      </c>
      <c r="C2382" s="105" t="s">
        <v>3865</v>
      </c>
      <c r="D2382" s="105">
        <v>1272</v>
      </c>
      <c r="E2382" s="105">
        <v>763.2</v>
      </c>
      <c r="F2382" s="105">
        <v>0</v>
      </c>
    </row>
    <row r="2383" spans="1:6" x14ac:dyDescent="0.25">
      <c r="A2383" s="105">
        <f t="shared" si="37"/>
        <v>7703071</v>
      </c>
      <c r="B2383" s="105" t="s">
        <v>3866</v>
      </c>
      <c r="C2383" s="105" t="s">
        <v>3867</v>
      </c>
      <c r="D2383" s="105">
        <v>1484</v>
      </c>
      <c r="E2383" s="105">
        <v>890.4</v>
      </c>
      <c r="F2383" s="105">
        <v>0</v>
      </c>
    </row>
    <row r="2384" spans="1:6" x14ac:dyDescent="0.25">
      <c r="A2384" s="105" t="str">
        <f t="shared" si="37"/>
        <v/>
      </c>
      <c r="B2384" s="105" t="s">
        <v>3868</v>
      </c>
      <c r="C2384" s="105" t="s">
        <v>8</v>
      </c>
      <c r="D2384" s="105">
        <v>0</v>
      </c>
      <c r="E2384" s="105">
        <v>0</v>
      </c>
      <c r="F2384" s="105">
        <v>0</v>
      </c>
    </row>
    <row r="2385" spans="1:6" x14ac:dyDescent="0.25">
      <c r="A2385" s="105">
        <f t="shared" si="37"/>
        <v>7703072</v>
      </c>
      <c r="B2385" s="105" t="s">
        <v>3869</v>
      </c>
      <c r="C2385" s="105" t="s">
        <v>3870</v>
      </c>
      <c r="D2385" s="105">
        <v>1696</v>
      </c>
      <c r="E2385" s="105">
        <v>1017.6</v>
      </c>
      <c r="F2385" s="105">
        <v>0</v>
      </c>
    </row>
    <row r="2386" spans="1:6" x14ac:dyDescent="0.25">
      <c r="A2386" s="105">
        <f t="shared" si="37"/>
        <v>770310</v>
      </c>
      <c r="B2386" s="105" t="s">
        <v>3871</v>
      </c>
      <c r="C2386" s="105" t="s">
        <v>8</v>
      </c>
      <c r="D2386" s="105">
        <v>0</v>
      </c>
      <c r="E2386" s="105">
        <v>0</v>
      </c>
      <c r="F2386" s="105">
        <v>0</v>
      </c>
    </row>
    <row r="2387" spans="1:6" x14ac:dyDescent="0.25">
      <c r="A2387" s="105">
        <f t="shared" si="37"/>
        <v>7703105</v>
      </c>
      <c r="B2387" s="105" t="s">
        <v>3872</v>
      </c>
      <c r="C2387" s="105" t="s">
        <v>3873</v>
      </c>
      <c r="D2387" s="105">
        <v>1166</v>
      </c>
      <c r="E2387" s="105">
        <v>699.6</v>
      </c>
      <c r="F2387" s="105">
        <v>16</v>
      </c>
    </row>
    <row r="2388" spans="1:6" x14ac:dyDescent="0.25">
      <c r="A2388" s="105">
        <f t="shared" si="37"/>
        <v>7703106</v>
      </c>
      <c r="B2388" s="105" t="s">
        <v>3874</v>
      </c>
      <c r="C2388" s="105" t="s">
        <v>3875</v>
      </c>
      <c r="D2388" s="105">
        <v>1590</v>
      </c>
      <c r="E2388" s="105">
        <v>954</v>
      </c>
      <c r="F2388" s="105">
        <v>59</v>
      </c>
    </row>
    <row r="2389" spans="1:6" x14ac:dyDescent="0.25">
      <c r="A2389" s="105">
        <f t="shared" si="37"/>
        <v>7703107</v>
      </c>
      <c r="B2389" s="105" t="s">
        <v>3876</v>
      </c>
      <c r="C2389" s="105" t="s">
        <v>3877</v>
      </c>
      <c r="D2389" s="105">
        <v>1590</v>
      </c>
      <c r="E2389" s="105">
        <v>954</v>
      </c>
      <c r="F2389" s="105">
        <v>39</v>
      </c>
    </row>
    <row r="2390" spans="1:6" x14ac:dyDescent="0.25">
      <c r="A2390" s="105" t="str">
        <f t="shared" si="37"/>
        <v/>
      </c>
      <c r="B2390" s="105" t="s">
        <v>3878</v>
      </c>
      <c r="C2390" s="105" t="s">
        <v>8</v>
      </c>
      <c r="D2390" s="105">
        <v>0</v>
      </c>
      <c r="E2390" s="105">
        <v>0</v>
      </c>
      <c r="F2390" s="105">
        <v>0</v>
      </c>
    </row>
    <row r="2391" spans="1:6" x14ac:dyDescent="0.25">
      <c r="A2391" s="105">
        <f t="shared" si="37"/>
        <v>7703108</v>
      </c>
      <c r="B2391" s="105" t="s">
        <v>3879</v>
      </c>
      <c r="C2391" s="105" t="s">
        <v>3880</v>
      </c>
      <c r="D2391" s="105">
        <v>0</v>
      </c>
      <c r="E2391" s="105">
        <v>0</v>
      </c>
      <c r="F2391" s="105">
        <v>0</v>
      </c>
    </row>
    <row r="2392" spans="1:6" x14ac:dyDescent="0.25">
      <c r="A2392" s="105">
        <f t="shared" si="37"/>
        <v>7703109</v>
      </c>
      <c r="B2392" s="105" t="s">
        <v>3881</v>
      </c>
      <c r="C2392" s="105" t="s">
        <v>3882</v>
      </c>
      <c r="D2392" s="105">
        <v>1802</v>
      </c>
      <c r="E2392" s="105">
        <v>1081.2</v>
      </c>
      <c r="F2392" s="105">
        <v>3</v>
      </c>
    </row>
    <row r="2393" spans="1:6" x14ac:dyDescent="0.25">
      <c r="A2393" s="105">
        <f t="shared" si="37"/>
        <v>7703110</v>
      </c>
      <c r="B2393" s="105" t="s">
        <v>3883</v>
      </c>
      <c r="C2393" s="105" t="s">
        <v>3884</v>
      </c>
      <c r="D2393" s="105">
        <v>795</v>
      </c>
      <c r="E2393" s="105">
        <v>477</v>
      </c>
      <c r="F2393" s="105">
        <v>44</v>
      </c>
    </row>
    <row r="2394" spans="1:6" x14ac:dyDescent="0.25">
      <c r="A2394" s="105">
        <f t="shared" si="37"/>
        <v>7703111</v>
      </c>
      <c r="B2394" s="105" t="s">
        <v>3885</v>
      </c>
      <c r="C2394" s="105" t="s">
        <v>3886</v>
      </c>
      <c r="D2394" s="105">
        <v>848</v>
      </c>
      <c r="E2394" s="105">
        <v>508.8</v>
      </c>
      <c r="F2394" s="105">
        <v>19</v>
      </c>
    </row>
    <row r="2395" spans="1:6" x14ac:dyDescent="0.25">
      <c r="A2395" s="105">
        <f t="shared" si="37"/>
        <v>7703112</v>
      </c>
      <c r="B2395" s="105" t="s">
        <v>3887</v>
      </c>
      <c r="C2395" s="105" t="s">
        <v>3888</v>
      </c>
      <c r="D2395" s="105">
        <v>901</v>
      </c>
      <c r="E2395" s="105">
        <v>540.6</v>
      </c>
      <c r="F2395" s="105">
        <v>55</v>
      </c>
    </row>
    <row r="2396" spans="1:6" x14ac:dyDescent="0.25">
      <c r="A2396" s="105">
        <f t="shared" si="37"/>
        <v>7703113</v>
      </c>
      <c r="B2396" s="105" t="s">
        <v>3889</v>
      </c>
      <c r="C2396" s="105" t="s">
        <v>3890</v>
      </c>
      <c r="D2396" s="105">
        <v>1007</v>
      </c>
      <c r="E2396" s="105">
        <v>604.20000000000005</v>
      </c>
      <c r="F2396" s="105">
        <v>79</v>
      </c>
    </row>
    <row r="2397" spans="1:6" x14ac:dyDescent="0.25">
      <c r="A2397" s="105">
        <f t="shared" si="37"/>
        <v>7703114</v>
      </c>
      <c r="B2397" s="105" t="s">
        <v>3891</v>
      </c>
      <c r="C2397" s="105" t="s">
        <v>3892</v>
      </c>
      <c r="D2397" s="105">
        <v>1060</v>
      </c>
      <c r="E2397" s="105">
        <v>636</v>
      </c>
      <c r="F2397" s="105">
        <v>36</v>
      </c>
    </row>
    <row r="2398" spans="1:6" x14ac:dyDescent="0.25">
      <c r="A2398" s="105">
        <f t="shared" si="37"/>
        <v>7703115</v>
      </c>
      <c r="B2398" s="105" t="s">
        <v>3893</v>
      </c>
      <c r="C2398" s="105" t="s">
        <v>3894</v>
      </c>
      <c r="D2398" s="105">
        <v>848</v>
      </c>
      <c r="E2398" s="105">
        <v>508.8</v>
      </c>
      <c r="F2398" s="105">
        <v>114</v>
      </c>
    </row>
    <row r="2399" spans="1:6" x14ac:dyDescent="0.25">
      <c r="A2399" s="105">
        <f t="shared" si="37"/>
        <v>7703116</v>
      </c>
      <c r="B2399" s="105" t="s">
        <v>3895</v>
      </c>
      <c r="C2399" s="105" t="s">
        <v>3896</v>
      </c>
      <c r="D2399" s="105">
        <v>953.99</v>
      </c>
      <c r="E2399" s="105">
        <v>572.39</v>
      </c>
      <c r="F2399" s="105">
        <v>42</v>
      </c>
    </row>
    <row r="2400" spans="1:6" x14ac:dyDescent="0.25">
      <c r="A2400" s="105">
        <f t="shared" si="37"/>
        <v>7703117</v>
      </c>
      <c r="B2400" s="105" t="s">
        <v>3897</v>
      </c>
      <c r="C2400" s="105" t="s">
        <v>3898</v>
      </c>
      <c r="D2400" s="105">
        <v>1060</v>
      </c>
      <c r="E2400" s="105">
        <v>636</v>
      </c>
      <c r="F2400" s="105">
        <v>61</v>
      </c>
    </row>
    <row r="2401" spans="1:6" x14ac:dyDescent="0.25">
      <c r="A2401" s="105">
        <f t="shared" si="37"/>
        <v>7703118</v>
      </c>
      <c r="B2401" s="105" t="s">
        <v>3899</v>
      </c>
      <c r="C2401" s="105" t="s">
        <v>3900</v>
      </c>
      <c r="D2401" s="105">
        <v>1272</v>
      </c>
      <c r="E2401" s="105">
        <v>763.2</v>
      </c>
      <c r="F2401" s="105">
        <v>57</v>
      </c>
    </row>
    <row r="2402" spans="1:6" x14ac:dyDescent="0.25">
      <c r="A2402" s="105">
        <f t="shared" si="37"/>
        <v>7703119</v>
      </c>
      <c r="B2402" s="105" t="s">
        <v>3901</v>
      </c>
      <c r="C2402" s="105" t="s">
        <v>3902</v>
      </c>
      <c r="D2402" s="105">
        <v>1060</v>
      </c>
      <c r="E2402" s="105">
        <v>636</v>
      </c>
      <c r="F2402" s="105">
        <v>0</v>
      </c>
    </row>
    <row r="2403" spans="1:6" x14ac:dyDescent="0.25">
      <c r="A2403" s="105">
        <f t="shared" si="37"/>
        <v>7703120</v>
      </c>
      <c r="B2403" s="105" t="s">
        <v>3903</v>
      </c>
      <c r="C2403" s="105" t="s">
        <v>3904</v>
      </c>
      <c r="D2403" s="105">
        <v>0</v>
      </c>
      <c r="E2403" s="105">
        <v>0</v>
      </c>
      <c r="F2403" s="105">
        <v>2</v>
      </c>
    </row>
    <row r="2404" spans="1:6" x14ac:dyDescent="0.25">
      <c r="A2404" s="105">
        <f t="shared" si="37"/>
        <v>7703121</v>
      </c>
      <c r="B2404" s="105" t="s">
        <v>3905</v>
      </c>
      <c r="C2404" s="105" t="s">
        <v>3906</v>
      </c>
      <c r="D2404" s="105">
        <v>1378</v>
      </c>
      <c r="E2404" s="105">
        <v>826.8</v>
      </c>
      <c r="F2404" s="105">
        <v>61</v>
      </c>
    </row>
    <row r="2405" spans="1:6" x14ac:dyDescent="0.25">
      <c r="A2405" s="105">
        <f t="shared" si="37"/>
        <v>7703125</v>
      </c>
      <c r="B2405" s="105" t="s">
        <v>3907</v>
      </c>
      <c r="C2405" s="105" t="s">
        <v>3908</v>
      </c>
      <c r="D2405" s="105">
        <v>1590</v>
      </c>
      <c r="E2405" s="105">
        <v>954</v>
      </c>
      <c r="F2405" s="105">
        <v>0</v>
      </c>
    </row>
    <row r="2406" spans="1:6" x14ac:dyDescent="0.25">
      <c r="A2406" s="105">
        <f t="shared" si="37"/>
        <v>7703129</v>
      </c>
      <c r="B2406" s="105" t="s">
        <v>3909</v>
      </c>
      <c r="C2406" s="105" t="s">
        <v>3910</v>
      </c>
      <c r="D2406" s="105">
        <v>1378</v>
      </c>
      <c r="E2406" s="105">
        <v>826.8</v>
      </c>
      <c r="F2406" s="105">
        <v>17</v>
      </c>
    </row>
    <row r="2407" spans="1:6" x14ac:dyDescent="0.25">
      <c r="A2407" s="105">
        <f t="shared" si="37"/>
        <v>7703130</v>
      </c>
      <c r="B2407" s="105" t="s">
        <v>3911</v>
      </c>
      <c r="C2407" s="105" t="s">
        <v>3912</v>
      </c>
      <c r="D2407" s="105">
        <v>1378</v>
      </c>
      <c r="E2407" s="105">
        <v>826.8</v>
      </c>
      <c r="F2407" s="105">
        <v>90</v>
      </c>
    </row>
    <row r="2408" spans="1:6" x14ac:dyDescent="0.25">
      <c r="A2408" s="105">
        <f t="shared" si="37"/>
        <v>7703143</v>
      </c>
      <c r="B2408" s="105" t="s">
        <v>3913</v>
      </c>
      <c r="C2408" s="105" t="s">
        <v>3914</v>
      </c>
      <c r="D2408" s="105">
        <v>5732.48</v>
      </c>
      <c r="E2408" s="105">
        <v>3439.49</v>
      </c>
      <c r="F2408" s="105">
        <v>0</v>
      </c>
    </row>
    <row r="2409" spans="1:6" x14ac:dyDescent="0.25">
      <c r="A2409" s="105" t="str">
        <f t="shared" si="37"/>
        <v/>
      </c>
      <c r="B2409" s="105" t="s">
        <v>3915</v>
      </c>
      <c r="C2409" s="105" t="s">
        <v>8</v>
      </c>
      <c r="D2409" s="105">
        <v>0</v>
      </c>
      <c r="E2409" s="105">
        <v>0</v>
      </c>
      <c r="F2409" s="105">
        <v>0</v>
      </c>
    </row>
    <row r="2410" spans="1:6" x14ac:dyDescent="0.25">
      <c r="A2410" s="105">
        <f t="shared" si="37"/>
        <v>7703157</v>
      </c>
      <c r="B2410" s="105" t="s">
        <v>3916</v>
      </c>
      <c r="C2410" s="105" t="s">
        <v>3917</v>
      </c>
      <c r="D2410" s="105">
        <v>10362.56</v>
      </c>
      <c r="E2410" s="105">
        <v>6217.54</v>
      </c>
      <c r="F2410" s="105">
        <v>1</v>
      </c>
    </row>
    <row r="2411" spans="1:6" x14ac:dyDescent="0.25">
      <c r="A2411" s="105">
        <f t="shared" si="37"/>
        <v>7703158</v>
      </c>
      <c r="B2411" s="105" t="s">
        <v>3918</v>
      </c>
      <c r="C2411" s="105" t="s">
        <v>3919</v>
      </c>
      <c r="D2411" s="105">
        <v>8819.2000000000007</v>
      </c>
      <c r="E2411" s="105">
        <v>5291.52</v>
      </c>
      <c r="F2411" s="105">
        <v>0</v>
      </c>
    </row>
    <row r="2412" spans="1:6" x14ac:dyDescent="0.25">
      <c r="A2412" s="105">
        <f t="shared" si="37"/>
        <v>7703159</v>
      </c>
      <c r="B2412" s="105" t="s">
        <v>3920</v>
      </c>
      <c r="C2412" s="105" t="s">
        <v>3921</v>
      </c>
      <c r="D2412" s="105">
        <v>7275.84</v>
      </c>
      <c r="E2412" s="105">
        <v>4365.5</v>
      </c>
      <c r="F2412" s="105">
        <v>0</v>
      </c>
    </row>
    <row r="2413" spans="1:6" x14ac:dyDescent="0.25">
      <c r="A2413" s="105">
        <f t="shared" si="37"/>
        <v>7703164</v>
      </c>
      <c r="B2413" s="105" t="s">
        <v>3922</v>
      </c>
      <c r="C2413" s="105" t="s">
        <v>3923</v>
      </c>
      <c r="D2413" s="105">
        <v>926.01</v>
      </c>
      <c r="E2413" s="105">
        <v>555.61</v>
      </c>
      <c r="F2413" s="105">
        <v>17</v>
      </c>
    </row>
    <row r="2414" spans="1:6" x14ac:dyDescent="0.25">
      <c r="A2414" s="105">
        <f t="shared" si="37"/>
        <v>7703185</v>
      </c>
      <c r="B2414" s="105" t="s">
        <v>3924</v>
      </c>
      <c r="C2414" s="105" t="s">
        <v>3925</v>
      </c>
      <c r="D2414" s="105">
        <v>1802</v>
      </c>
      <c r="E2414" s="105">
        <v>1081.2</v>
      </c>
      <c r="F2414" s="105">
        <v>2</v>
      </c>
    </row>
    <row r="2415" spans="1:6" x14ac:dyDescent="0.25">
      <c r="A2415" s="105" t="str">
        <f t="shared" si="37"/>
        <v/>
      </c>
      <c r="B2415" s="105" t="s">
        <v>3926</v>
      </c>
      <c r="C2415" s="105" t="s">
        <v>8</v>
      </c>
      <c r="D2415" s="105">
        <v>0</v>
      </c>
      <c r="E2415" s="105">
        <v>0</v>
      </c>
      <c r="F2415" s="105">
        <v>0</v>
      </c>
    </row>
    <row r="2416" spans="1:6" x14ac:dyDescent="0.25">
      <c r="A2416" s="105">
        <f t="shared" si="37"/>
        <v>7703200</v>
      </c>
      <c r="B2416" s="105" t="s">
        <v>3927</v>
      </c>
      <c r="C2416" s="105" t="s">
        <v>3928</v>
      </c>
      <c r="D2416" s="105">
        <v>6614.4</v>
      </c>
      <c r="E2416" s="105">
        <v>3968.64</v>
      </c>
      <c r="F2416" s="105">
        <v>0</v>
      </c>
    </row>
    <row r="2417" spans="1:6" x14ac:dyDescent="0.25">
      <c r="A2417" s="105">
        <f t="shared" si="37"/>
        <v>7703260</v>
      </c>
      <c r="B2417" s="105" t="s">
        <v>3929</v>
      </c>
      <c r="C2417" s="105" t="s">
        <v>3930</v>
      </c>
      <c r="D2417" s="105">
        <v>848</v>
      </c>
      <c r="E2417" s="105">
        <v>508.8</v>
      </c>
      <c r="F2417" s="105">
        <v>26</v>
      </c>
    </row>
    <row r="2418" spans="1:6" x14ac:dyDescent="0.25">
      <c r="A2418" s="105">
        <f t="shared" si="37"/>
        <v>7703340</v>
      </c>
      <c r="B2418" s="105" t="s">
        <v>3931</v>
      </c>
      <c r="C2418" s="105" t="s">
        <v>3932</v>
      </c>
      <c r="D2418" s="105">
        <v>1060</v>
      </c>
      <c r="E2418" s="105">
        <v>636</v>
      </c>
      <c r="F2418" s="105">
        <v>2</v>
      </c>
    </row>
    <row r="2419" spans="1:6" x14ac:dyDescent="0.25">
      <c r="A2419" s="105">
        <f t="shared" si="37"/>
        <v>7703341</v>
      </c>
      <c r="B2419" s="105" t="s">
        <v>3933</v>
      </c>
      <c r="C2419" s="105" t="s">
        <v>3934</v>
      </c>
      <c r="D2419" s="105">
        <v>1060</v>
      </c>
      <c r="E2419" s="105">
        <v>636</v>
      </c>
      <c r="F2419" s="105">
        <v>10</v>
      </c>
    </row>
    <row r="2420" spans="1:6" x14ac:dyDescent="0.25">
      <c r="A2420" s="105">
        <f t="shared" si="37"/>
        <v>7703420</v>
      </c>
      <c r="B2420" s="105" t="s">
        <v>3935</v>
      </c>
      <c r="C2420" s="105" t="s">
        <v>3936</v>
      </c>
      <c r="D2420" s="105">
        <v>1272</v>
      </c>
      <c r="E2420" s="105">
        <v>763.2</v>
      </c>
      <c r="F2420" s="105">
        <v>0</v>
      </c>
    </row>
    <row r="2421" spans="1:6" x14ac:dyDescent="0.25">
      <c r="A2421" s="105">
        <f t="shared" si="37"/>
        <v>7703540</v>
      </c>
      <c r="B2421" s="105" t="s">
        <v>3937</v>
      </c>
      <c r="C2421" s="105" t="s">
        <v>3938</v>
      </c>
      <c r="D2421" s="105">
        <v>1166</v>
      </c>
      <c r="E2421" s="105">
        <v>699.6</v>
      </c>
      <c r="F2421" s="105">
        <v>5</v>
      </c>
    </row>
    <row r="2422" spans="1:6" x14ac:dyDescent="0.25">
      <c r="A2422" s="105">
        <f t="shared" si="37"/>
        <v>7703599</v>
      </c>
      <c r="B2422" s="105" t="s">
        <v>3939</v>
      </c>
      <c r="C2422" s="105" t="s">
        <v>3940</v>
      </c>
      <c r="D2422" s="105">
        <v>661.43</v>
      </c>
      <c r="E2422" s="105">
        <v>396.86</v>
      </c>
      <c r="F2422" s="105">
        <v>0</v>
      </c>
    </row>
    <row r="2423" spans="1:6" x14ac:dyDescent="0.25">
      <c r="A2423" s="105">
        <f t="shared" si="37"/>
        <v>7703600</v>
      </c>
      <c r="B2423" s="105" t="s">
        <v>3941</v>
      </c>
      <c r="C2423" s="105" t="s">
        <v>3942</v>
      </c>
      <c r="D2423" s="105">
        <v>251.57</v>
      </c>
      <c r="E2423" s="105">
        <v>150.94</v>
      </c>
      <c r="F2423" s="105">
        <v>0</v>
      </c>
    </row>
    <row r="2424" spans="1:6" x14ac:dyDescent="0.25">
      <c r="A2424" s="105">
        <f t="shared" si="37"/>
        <v>7703601</v>
      </c>
      <c r="B2424" s="105" t="s">
        <v>3943</v>
      </c>
      <c r="C2424" s="105" t="s">
        <v>3944</v>
      </c>
      <c r="D2424" s="105">
        <v>625.05999999999995</v>
      </c>
      <c r="E2424" s="105">
        <v>375.04</v>
      </c>
      <c r="F2424" s="105">
        <v>16</v>
      </c>
    </row>
    <row r="2425" spans="1:6" x14ac:dyDescent="0.25">
      <c r="A2425" s="105">
        <f t="shared" si="37"/>
        <v>7703602</v>
      </c>
      <c r="B2425" s="105" t="s">
        <v>3945</v>
      </c>
      <c r="C2425" s="105" t="s">
        <v>3946</v>
      </c>
      <c r="D2425" s="105">
        <v>625.05999999999995</v>
      </c>
      <c r="E2425" s="105">
        <v>375.04</v>
      </c>
      <c r="F2425" s="105">
        <v>15</v>
      </c>
    </row>
    <row r="2426" spans="1:6" x14ac:dyDescent="0.25">
      <c r="A2426" s="105">
        <f t="shared" si="37"/>
        <v>7703603</v>
      </c>
      <c r="B2426" s="105" t="s">
        <v>3947</v>
      </c>
      <c r="C2426" s="105" t="s">
        <v>3948</v>
      </c>
      <c r="D2426" s="105">
        <v>625.05999999999995</v>
      </c>
      <c r="E2426" s="105">
        <v>375.04</v>
      </c>
      <c r="F2426" s="105">
        <v>35</v>
      </c>
    </row>
    <row r="2427" spans="1:6" x14ac:dyDescent="0.25">
      <c r="A2427" s="105">
        <f t="shared" si="37"/>
        <v>7703604</v>
      </c>
      <c r="B2427" s="105" t="s">
        <v>3949</v>
      </c>
      <c r="C2427" s="105" t="s">
        <v>3950</v>
      </c>
      <c r="D2427" s="105">
        <v>625.05999999999995</v>
      </c>
      <c r="E2427" s="105">
        <v>375.04</v>
      </c>
      <c r="F2427" s="105">
        <v>10</v>
      </c>
    </row>
    <row r="2428" spans="1:6" x14ac:dyDescent="0.25">
      <c r="A2428" s="105">
        <f t="shared" si="37"/>
        <v>7703605</v>
      </c>
      <c r="B2428" s="105" t="s">
        <v>3951</v>
      </c>
      <c r="C2428" s="105" t="s">
        <v>3952</v>
      </c>
      <c r="D2428" s="105">
        <v>625.05999999999995</v>
      </c>
      <c r="E2428" s="105">
        <v>375.04</v>
      </c>
      <c r="F2428" s="105">
        <v>27</v>
      </c>
    </row>
    <row r="2429" spans="1:6" x14ac:dyDescent="0.25">
      <c r="A2429" s="105">
        <f t="shared" si="37"/>
        <v>7703606</v>
      </c>
      <c r="B2429" s="105" t="s">
        <v>3953</v>
      </c>
      <c r="C2429" s="105" t="s">
        <v>3954</v>
      </c>
      <c r="D2429" s="105">
        <v>625.05999999999995</v>
      </c>
      <c r="E2429" s="105">
        <v>375.04</v>
      </c>
      <c r="F2429" s="105">
        <v>12</v>
      </c>
    </row>
    <row r="2430" spans="1:6" x14ac:dyDescent="0.25">
      <c r="A2430" s="105">
        <f t="shared" si="37"/>
        <v>7703607</v>
      </c>
      <c r="B2430" s="105" t="s">
        <v>3955</v>
      </c>
      <c r="C2430" s="105" t="s">
        <v>3956</v>
      </c>
      <c r="D2430" s="105">
        <v>625.05999999999995</v>
      </c>
      <c r="E2430" s="105">
        <v>375.04</v>
      </c>
      <c r="F2430" s="105">
        <v>13</v>
      </c>
    </row>
    <row r="2431" spans="1:6" x14ac:dyDescent="0.25">
      <c r="A2431" s="105">
        <f t="shared" si="37"/>
        <v>7703640</v>
      </c>
      <c r="B2431" s="105" t="s">
        <v>3957</v>
      </c>
      <c r="C2431" s="105" t="s">
        <v>3958</v>
      </c>
      <c r="D2431" s="105">
        <v>1378</v>
      </c>
      <c r="E2431" s="105">
        <v>826.8</v>
      </c>
      <c r="F2431" s="105">
        <v>12</v>
      </c>
    </row>
    <row r="2432" spans="1:6" x14ac:dyDescent="0.25">
      <c r="A2432" s="105">
        <f t="shared" si="37"/>
        <v>7703651</v>
      </c>
      <c r="B2432" s="105" t="s">
        <v>3959</v>
      </c>
      <c r="C2432" s="105" t="s">
        <v>3960</v>
      </c>
      <c r="D2432" s="105">
        <v>0</v>
      </c>
      <c r="E2432" s="105">
        <v>0</v>
      </c>
      <c r="F2432" s="105">
        <v>0</v>
      </c>
    </row>
    <row r="2433" spans="1:6" x14ac:dyDescent="0.25">
      <c r="A2433" s="105">
        <f t="shared" si="37"/>
        <v>7703652</v>
      </c>
      <c r="B2433" s="105" t="s">
        <v>3961</v>
      </c>
      <c r="C2433" s="105" t="s">
        <v>3962</v>
      </c>
      <c r="D2433" s="105">
        <v>0</v>
      </c>
      <c r="E2433" s="105">
        <v>0</v>
      </c>
      <c r="F2433" s="105">
        <v>0</v>
      </c>
    </row>
    <row r="2434" spans="1:6" x14ac:dyDescent="0.25">
      <c r="A2434" s="105">
        <f t="shared" si="37"/>
        <v>7703653</v>
      </c>
      <c r="B2434" s="105" t="s">
        <v>3963</v>
      </c>
      <c r="C2434" s="105" t="s">
        <v>3964</v>
      </c>
      <c r="D2434" s="105">
        <v>0</v>
      </c>
      <c r="E2434" s="105">
        <v>0</v>
      </c>
      <c r="F2434" s="105">
        <v>0</v>
      </c>
    </row>
    <row r="2435" spans="1:6" x14ac:dyDescent="0.25">
      <c r="A2435" s="105">
        <f t="shared" ref="A2435:A2498" si="38">IF(B2435&lt;&gt;"",IFERROR(B2435*1,""),"")</f>
        <v>7703660</v>
      </c>
      <c r="B2435" s="105" t="s">
        <v>3965</v>
      </c>
      <c r="C2435" s="105" t="s">
        <v>3966</v>
      </c>
      <c r="D2435" s="105">
        <v>500.04</v>
      </c>
      <c r="E2435" s="105">
        <v>300.02</v>
      </c>
      <c r="F2435" s="105">
        <v>30</v>
      </c>
    </row>
    <row r="2436" spans="1:6" x14ac:dyDescent="0.25">
      <c r="A2436" s="105">
        <f t="shared" si="38"/>
        <v>7703664</v>
      </c>
      <c r="B2436" s="105" t="s">
        <v>3967</v>
      </c>
      <c r="C2436" s="105" t="s">
        <v>3968</v>
      </c>
      <c r="D2436" s="105">
        <v>812.57</v>
      </c>
      <c r="E2436" s="105">
        <v>487.54</v>
      </c>
      <c r="F2436" s="105">
        <v>11</v>
      </c>
    </row>
    <row r="2437" spans="1:6" x14ac:dyDescent="0.25">
      <c r="A2437" s="105">
        <f t="shared" si="38"/>
        <v>7703665</v>
      </c>
      <c r="B2437" s="105" t="s">
        <v>3969</v>
      </c>
      <c r="C2437" s="105" t="s">
        <v>3970</v>
      </c>
      <c r="D2437" s="105">
        <v>812.57</v>
      </c>
      <c r="E2437" s="105">
        <v>487.54</v>
      </c>
      <c r="F2437" s="105">
        <v>0</v>
      </c>
    </row>
    <row r="2438" spans="1:6" x14ac:dyDescent="0.25">
      <c r="A2438" s="105">
        <f t="shared" si="38"/>
        <v>7703666</v>
      </c>
      <c r="B2438" s="105" t="s">
        <v>3971</v>
      </c>
      <c r="C2438" s="105" t="s">
        <v>3972</v>
      </c>
      <c r="D2438" s="105">
        <v>812.57</v>
      </c>
      <c r="E2438" s="105">
        <v>487.54</v>
      </c>
      <c r="F2438" s="105">
        <v>0</v>
      </c>
    </row>
    <row r="2439" spans="1:6" x14ac:dyDescent="0.25">
      <c r="A2439" s="105">
        <f t="shared" si="38"/>
        <v>7703667</v>
      </c>
      <c r="B2439" s="105" t="s">
        <v>3973</v>
      </c>
      <c r="C2439" s="105" t="s">
        <v>3974</v>
      </c>
      <c r="D2439" s="105">
        <v>812.57</v>
      </c>
      <c r="E2439" s="105">
        <v>487.54</v>
      </c>
      <c r="F2439" s="105">
        <v>0</v>
      </c>
    </row>
    <row r="2440" spans="1:6" x14ac:dyDescent="0.25">
      <c r="A2440" s="105">
        <f t="shared" si="38"/>
        <v>7703668</v>
      </c>
      <c r="B2440" s="105" t="s">
        <v>3975</v>
      </c>
      <c r="C2440" s="105" t="s">
        <v>3976</v>
      </c>
      <c r="D2440" s="105">
        <v>812.57</v>
      </c>
      <c r="E2440" s="105">
        <v>487.54</v>
      </c>
      <c r="F2440" s="105">
        <v>0</v>
      </c>
    </row>
    <row r="2441" spans="1:6" x14ac:dyDescent="0.25">
      <c r="A2441" s="105">
        <f t="shared" si="38"/>
        <v>7703669</v>
      </c>
      <c r="B2441" s="105" t="s">
        <v>3977</v>
      </c>
      <c r="C2441" s="105" t="s">
        <v>3978</v>
      </c>
      <c r="D2441" s="105">
        <v>812.57</v>
      </c>
      <c r="E2441" s="105">
        <v>487.54</v>
      </c>
      <c r="F2441" s="105">
        <v>0</v>
      </c>
    </row>
    <row r="2442" spans="1:6" x14ac:dyDescent="0.25">
      <c r="A2442" s="105">
        <f t="shared" si="38"/>
        <v>7703670</v>
      </c>
      <c r="B2442" s="105" t="s">
        <v>3979</v>
      </c>
      <c r="C2442" s="105" t="s">
        <v>3980</v>
      </c>
      <c r="D2442" s="105">
        <v>1378</v>
      </c>
      <c r="E2442" s="105">
        <v>826.8</v>
      </c>
      <c r="F2442" s="105">
        <v>9</v>
      </c>
    </row>
    <row r="2443" spans="1:6" x14ac:dyDescent="0.25">
      <c r="A2443" s="105" t="str">
        <f t="shared" si="38"/>
        <v/>
      </c>
      <c r="B2443" s="105" t="s">
        <v>3981</v>
      </c>
      <c r="C2443" s="105" t="s">
        <v>8</v>
      </c>
      <c r="D2443" s="105">
        <v>0</v>
      </c>
      <c r="E2443" s="105">
        <v>0</v>
      </c>
      <c r="F2443" s="105">
        <v>0</v>
      </c>
    </row>
    <row r="2444" spans="1:6" x14ac:dyDescent="0.25">
      <c r="A2444" s="105">
        <f t="shared" si="38"/>
        <v>7703671</v>
      </c>
      <c r="B2444" s="105" t="s">
        <v>3982</v>
      </c>
      <c r="C2444" s="105" t="s">
        <v>3983</v>
      </c>
      <c r="D2444" s="105">
        <v>0</v>
      </c>
      <c r="E2444" s="105">
        <v>0</v>
      </c>
      <c r="F2444" s="105">
        <v>0</v>
      </c>
    </row>
    <row r="2445" spans="1:6" x14ac:dyDescent="0.25">
      <c r="A2445" s="105">
        <f t="shared" si="38"/>
        <v>7703672</v>
      </c>
      <c r="B2445" s="105" t="s">
        <v>3984</v>
      </c>
      <c r="C2445" s="105" t="s">
        <v>3985</v>
      </c>
      <c r="D2445" s="105">
        <v>531.09</v>
      </c>
      <c r="E2445" s="105">
        <v>318.64999999999998</v>
      </c>
      <c r="F2445" s="105">
        <v>1</v>
      </c>
    </row>
    <row r="2446" spans="1:6" x14ac:dyDescent="0.25">
      <c r="A2446" s="105">
        <f t="shared" si="38"/>
        <v>7703673</v>
      </c>
      <c r="B2446" s="105" t="s">
        <v>3986</v>
      </c>
      <c r="C2446" s="105" t="s">
        <v>3987</v>
      </c>
      <c r="D2446" s="105">
        <v>531.09</v>
      </c>
      <c r="E2446" s="105">
        <v>318.64999999999998</v>
      </c>
      <c r="F2446" s="105">
        <v>3</v>
      </c>
    </row>
    <row r="2447" spans="1:6" x14ac:dyDescent="0.25">
      <c r="A2447" s="105">
        <f t="shared" si="38"/>
        <v>7703674</v>
      </c>
      <c r="B2447" s="105" t="s">
        <v>3988</v>
      </c>
      <c r="C2447" s="105" t="s">
        <v>3989</v>
      </c>
      <c r="D2447" s="105">
        <v>531.09</v>
      </c>
      <c r="E2447" s="105">
        <v>318.64999999999998</v>
      </c>
      <c r="F2447" s="105">
        <v>22</v>
      </c>
    </row>
    <row r="2448" spans="1:6" x14ac:dyDescent="0.25">
      <c r="A2448" s="105">
        <f t="shared" si="38"/>
        <v>7703675</v>
      </c>
      <c r="B2448" s="105" t="s">
        <v>3990</v>
      </c>
      <c r="C2448" s="105" t="s">
        <v>3991</v>
      </c>
      <c r="D2448" s="105">
        <v>531.09</v>
      </c>
      <c r="E2448" s="105">
        <v>318.64999999999998</v>
      </c>
      <c r="F2448" s="105">
        <v>12</v>
      </c>
    </row>
    <row r="2449" spans="1:6" x14ac:dyDescent="0.25">
      <c r="A2449" s="105">
        <f t="shared" si="38"/>
        <v>7703676</v>
      </c>
      <c r="B2449" s="105" t="s">
        <v>3992</v>
      </c>
      <c r="C2449" s="105" t="s">
        <v>3993</v>
      </c>
      <c r="D2449" s="105">
        <v>531.09</v>
      </c>
      <c r="E2449" s="105">
        <v>318.64999999999998</v>
      </c>
      <c r="F2449" s="105">
        <v>11</v>
      </c>
    </row>
    <row r="2450" spans="1:6" x14ac:dyDescent="0.25">
      <c r="A2450" s="105">
        <f t="shared" si="38"/>
        <v>7703678</v>
      </c>
      <c r="B2450" s="105" t="s">
        <v>3994</v>
      </c>
      <c r="C2450" s="105" t="s">
        <v>3995</v>
      </c>
      <c r="D2450" s="105">
        <v>531.09</v>
      </c>
      <c r="E2450" s="105">
        <v>318.64999999999998</v>
      </c>
      <c r="F2450" s="105">
        <v>13</v>
      </c>
    </row>
    <row r="2451" spans="1:6" x14ac:dyDescent="0.25">
      <c r="A2451" s="105" t="str">
        <f t="shared" si="38"/>
        <v/>
      </c>
      <c r="B2451" s="105" t="s">
        <v>3996</v>
      </c>
      <c r="C2451" s="105" t="s">
        <v>8</v>
      </c>
      <c r="D2451" s="105">
        <v>0</v>
      </c>
      <c r="E2451" s="105">
        <v>0</v>
      </c>
      <c r="F2451" s="105">
        <v>0</v>
      </c>
    </row>
    <row r="2452" spans="1:6" x14ac:dyDescent="0.25">
      <c r="A2452" s="105">
        <f t="shared" si="38"/>
        <v>7703701</v>
      </c>
      <c r="B2452" s="105" t="s">
        <v>3997</v>
      </c>
      <c r="C2452" s="105" t="s">
        <v>3998</v>
      </c>
      <c r="D2452" s="105">
        <v>625.05999999999995</v>
      </c>
      <c r="E2452" s="105">
        <v>375.04</v>
      </c>
      <c r="F2452" s="105">
        <v>0</v>
      </c>
    </row>
    <row r="2453" spans="1:6" x14ac:dyDescent="0.25">
      <c r="A2453" s="105">
        <f t="shared" si="38"/>
        <v>7703702</v>
      </c>
      <c r="B2453" s="105" t="s">
        <v>3999</v>
      </c>
      <c r="C2453" s="105" t="s">
        <v>4000</v>
      </c>
      <c r="D2453" s="105">
        <v>625.05999999999995</v>
      </c>
      <c r="E2453" s="105">
        <v>375.04</v>
      </c>
      <c r="F2453" s="105">
        <v>13</v>
      </c>
    </row>
    <row r="2454" spans="1:6" x14ac:dyDescent="0.25">
      <c r="A2454" s="105" t="str">
        <f t="shared" si="38"/>
        <v/>
      </c>
      <c r="B2454" s="105" t="s">
        <v>4001</v>
      </c>
      <c r="C2454" s="105" t="s">
        <v>8</v>
      </c>
      <c r="D2454" s="105">
        <v>0</v>
      </c>
      <c r="E2454" s="105">
        <v>0</v>
      </c>
      <c r="F2454" s="105">
        <v>0</v>
      </c>
    </row>
    <row r="2455" spans="1:6" x14ac:dyDescent="0.25">
      <c r="A2455" s="105">
        <f t="shared" si="38"/>
        <v>7703703</v>
      </c>
      <c r="B2455" s="105" t="s">
        <v>4002</v>
      </c>
      <c r="C2455" s="105" t="s">
        <v>4003</v>
      </c>
      <c r="D2455" s="105">
        <v>625.05999999999995</v>
      </c>
      <c r="E2455" s="105">
        <v>375.04</v>
      </c>
      <c r="F2455" s="105">
        <v>18</v>
      </c>
    </row>
    <row r="2456" spans="1:6" x14ac:dyDescent="0.25">
      <c r="A2456" s="105">
        <f t="shared" si="38"/>
        <v>7703704</v>
      </c>
      <c r="B2456" s="105" t="s">
        <v>4004</v>
      </c>
      <c r="C2456" s="105" t="s">
        <v>4005</v>
      </c>
      <c r="D2456" s="105">
        <v>625.05999999999995</v>
      </c>
      <c r="E2456" s="105">
        <v>375.04</v>
      </c>
      <c r="F2456" s="105">
        <v>3</v>
      </c>
    </row>
    <row r="2457" spans="1:6" x14ac:dyDescent="0.25">
      <c r="A2457" s="105" t="str">
        <f t="shared" si="38"/>
        <v/>
      </c>
      <c r="B2457" s="105" t="s">
        <v>4006</v>
      </c>
      <c r="C2457" s="105" t="s">
        <v>8</v>
      </c>
      <c r="D2457" s="105">
        <v>0</v>
      </c>
      <c r="E2457" s="105">
        <v>0</v>
      </c>
      <c r="F2457" s="105">
        <v>0</v>
      </c>
    </row>
    <row r="2458" spans="1:6" x14ac:dyDescent="0.25">
      <c r="A2458" s="105">
        <f t="shared" si="38"/>
        <v>7703705</v>
      </c>
      <c r="B2458" s="105" t="s">
        <v>4007</v>
      </c>
      <c r="C2458" s="105" t="s">
        <v>4008</v>
      </c>
      <c r="D2458" s="105">
        <v>625.05999999999995</v>
      </c>
      <c r="E2458" s="105">
        <v>375.04</v>
      </c>
      <c r="F2458" s="105">
        <v>21</v>
      </c>
    </row>
    <row r="2459" spans="1:6" x14ac:dyDescent="0.25">
      <c r="A2459" s="105" t="str">
        <f t="shared" si="38"/>
        <v/>
      </c>
      <c r="B2459" s="105" t="s">
        <v>4009</v>
      </c>
      <c r="C2459" s="105" t="s">
        <v>8</v>
      </c>
      <c r="D2459" s="105">
        <v>0</v>
      </c>
      <c r="E2459" s="105">
        <v>0</v>
      </c>
      <c r="F2459" s="105">
        <v>0</v>
      </c>
    </row>
    <row r="2460" spans="1:6" x14ac:dyDescent="0.25">
      <c r="A2460" s="105">
        <f t="shared" si="38"/>
        <v>7703706</v>
      </c>
      <c r="B2460" s="105" t="s">
        <v>4010</v>
      </c>
      <c r="C2460" s="105" t="s">
        <v>4011</v>
      </c>
      <c r="D2460" s="105">
        <v>625.05999999999995</v>
      </c>
      <c r="E2460" s="105">
        <v>375.04</v>
      </c>
      <c r="F2460" s="105">
        <v>2</v>
      </c>
    </row>
    <row r="2461" spans="1:6" x14ac:dyDescent="0.25">
      <c r="A2461" s="105" t="str">
        <f t="shared" si="38"/>
        <v/>
      </c>
      <c r="B2461" s="105" t="s">
        <v>4012</v>
      </c>
      <c r="C2461" s="105" t="s">
        <v>8</v>
      </c>
      <c r="D2461" s="105">
        <v>0</v>
      </c>
      <c r="E2461" s="105">
        <v>0</v>
      </c>
      <c r="F2461" s="105">
        <v>0</v>
      </c>
    </row>
    <row r="2462" spans="1:6" x14ac:dyDescent="0.25">
      <c r="A2462" s="105">
        <f t="shared" si="38"/>
        <v>7703707</v>
      </c>
      <c r="B2462" s="105" t="s">
        <v>4013</v>
      </c>
      <c r="C2462" s="105" t="s">
        <v>4014</v>
      </c>
      <c r="D2462" s="105">
        <v>625.05999999999995</v>
      </c>
      <c r="E2462" s="105">
        <v>375.04</v>
      </c>
      <c r="F2462" s="105">
        <v>3</v>
      </c>
    </row>
    <row r="2463" spans="1:6" x14ac:dyDescent="0.25">
      <c r="A2463" s="105" t="str">
        <f t="shared" si="38"/>
        <v/>
      </c>
      <c r="B2463" s="105" t="s">
        <v>4015</v>
      </c>
      <c r="C2463" s="105" t="s">
        <v>8</v>
      </c>
      <c r="D2463" s="105">
        <v>0</v>
      </c>
      <c r="E2463" s="105">
        <v>0</v>
      </c>
      <c r="F2463" s="105">
        <v>0</v>
      </c>
    </row>
    <row r="2464" spans="1:6" x14ac:dyDescent="0.25">
      <c r="A2464" s="105">
        <f t="shared" si="38"/>
        <v>7703713</v>
      </c>
      <c r="B2464" s="105" t="s">
        <v>4016</v>
      </c>
      <c r="C2464" s="105" t="s">
        <v>4017</v>
      </c>
      <c r="D2464" s="105">
        <v>0</v>
      </c>
      <c r="E2464" s="105">
        <v>0</v>
      </c>
      <c r="F2464" s="105">
        <v>0</v>
      </c>
    </row>
    <row r="2465" spans="1:6" x14ac:dyDescent="0.25">
      <c r="A2465" s="105">
        <f t="shared" si="38"/>
        <v>7703716</v>
      </c>
      <c r="B2465" s="105" t="s">
        <v>4018</v>
      </c>
      <c r="C2465" s="105" t="s">
        <v>4019</v>
      </c>
      <c r="D2465" s="105">
        <v>420.95</v>
      </c>
      <c r="E2465" s="105">
        <v>252.57</v>
      </c>
      <c r="F2465" s="105">
        <v>0</v>
      </c>
    </row>
    <row r="2466" spans="1:6" x14ac:dyDescent="0.25">
      <c r="A2466" s="105" t="str">
        <f t="shared" si="38"/>
        <v/>
      </c>
      <c r="B2466" s="105" t="s">
        <v>4020</v>
      </c>
      <c r="C2466" s="105" t="s">
        <v>8</v>
      </c>
      <c r="D2466" s="105">
        <v>0</v>
      </c>
      <c r="E2466" s="105">
        <v>0</v>
      </c>
      <c r="F2466" s="105">
        <v>0</v>
      </c>
    </row>
    <row r="2467" spans="1:6" x14ac:dyDescent="0.25">
      <c r="A2467" s="105">
        <f t="shared" si="38"/>
        <v>7703777</v>
      </c>
      <c r="B2467" s="105" t="s">
        <v>4021</v>
      </c>
      <c r="C2467" s="105" t="s">
        <v>4022</v>
      </c>
      <c r="D2467" s="105">
        <v>9260.16</v>
      </c>
      <c r="E2467" s="105">
        <v>5556.1</v>
      </c>
      <c r="F2467" s="105">
        <v>0</v>
      </c>
    </row>
    <row r="2468" spans="1:6" x14ac:dyDescent="0.25">
      <c r="A2468" s="105">
        <f t="shared" si="38"/>
        <v>7703780</v>
      </c>
      <c r="B2468" s="105" t="s">
        <v>4023</v>
      </c>
      <c r="C2468" s="105" t="s">
        <v>4024</v>
      </c>
      <c r="D2468" s="105">
        <v>1484</v>
      </c>
      <c r="E2468" s="105">
        <v>890.4</v>
      </c>
      <c r="F2468" s="105">
        <v>14</v>
      </c>
    </row>
    <row r="2469" spans="1:6" x14ac:dyDescent="0.25">
      <c r="A2469" s="105">
        <f t="shared" si="38"/>
        <v>7703815</v>
      </c>
      <c r="B2469" s="105" t="s">
        <v>4025</v>
      </c>
      <c r="C2469" s="105" t="s">
        <v>4026</v>
      </c>
      <c r="D2469" s="105">
        <v>3144.8</v>
      </c>
      <c r="E2469" s="105">
        <v>1886.88</v>
      </c>
      <c r="F2469" s="105">
        <v>0</v>
      </c>
    </row>
    <row r="2470" spans="1:6" x14ac:dyDescent="0.25">
      <c r="A2470" s="105">
        <f t="shared" si="38"/>
        <v>7703881</v>
      </c>
      <c r="B2470" s="105" t="s">
        <v>4027</v>
      </c>
      <c r="C2470" s="105" t="s">
        <v>4028</v>
      </c>
      <c r="D2470" s="105">
        <v>3161.42</v>
      </c>
      <c r="E2470" s="105">
        <v>1896.85</v>
      </c>
      <c r="F2470" s="105">
        <v>0</v>
      </c>
    </row>
    <row r="2471" spans="1:6" x14ac:dyDescent="0.25">
      <c r="A2471" s="105">
        <f t="shared" si="38"/>
        <v>7703888</v>
      </c>
      <c r="B2471" s="105" t="s">
        <v>4029</v>
      </c>
      <c r="C2471" s="105" t="s">
        <v>9365</v>
      </c>
      <c r="D2471" s="105">
        <v>4630.08</v>
      </c>
      <c r="E2471" s="105">
        <v>2778.05</v>
      </c>
      <c r="F2471" s="105">
        <v>0</v>
      </c>
    </row>
    <row r="2472" spans="1:6" x14ac:dyDescent="0.25">
      <c r="A2472" s="105">
        <f t="shared" si="38"/>
        <v>7703900</v>
      </c>
      <c r="B2472" s="105" t="s">
        <v>4030</v>
      </c>
      <c r="C2472" s="105" t="s">
        <v>4031</v>
      </c>
      <c r="D2472" s="105">
        <v>500.04</v>
      </c>
      <c r="E2472" s="105">
        <v>300.02</v>
      </c>
      <c r="F2472" s="105">
        <v>0</v>
      </c>
    </row>
    <row r="2473" spans="1:6" x14ac:dyDescent="0.25">
      <c r="A2473" s="105" t="str">
        <f t="shared" si="38"/>
        <v/>
      </c>
      <c r="B2473" s="105" t="s">
        <v>4032</v>
      </c>
      <c r="C2473" s="105" t="s">
        <v>8</v>
      </c>
      <c r="D2473" s="105">
        <v>0</v>
      </c>
      <c r="E2473" s="105">
        <v>0</v>
      </c>
      <c r="F2473" s="105">
        <v>0</v>
      </c>
    </row>
    <row r="2474" spans="1:6" x14ac:dyDescent="0.25">
      <c r="A2474" s="105">
        <f t="shared" si="38"/>
        <v>7703901</v>
      </c>
      <c r="B2474" s="105" t="s">
        <v>4033</v>
      </c>
      <c r="C2474" s="105" t="s">
        <v>4034</v>
      </c>
      <c r="D2474" s="105">
        <v>0</v>
      </c>
      <c r="E2474" s="105">
        <v>0</v>
      </c>
      <c r="F2474" s="105">
        <v>0</v>
      </c>
    </row>
    <row r="2475" spans="1:6" x14ac:dyDescent="0.25">
      <c r="A2475" s="105" t="str">
        <f t="shared" si="38"/>
        <v/>
      </c>
      <c r="B2475" s="105" t="s">
        <v>4035</v>
      </c>
      <c r="C2475" s="105" t="s">
        <v>8</v>
      </c>
      <c r="D2475" s="105">
        <v>0</v>
      </c>
      <c r="E2475" s="105">
        <v>0</v>
      </c>
      <c r="F2475" s="105">
        <v>0</v>
      </c>
    </row>
    <row r="2476" spans="1:6" x14ac:dyDescent="0.25">
      <c r="A2476" s="105">
        <f t="shared" si="38"/>
        <v>7703902</v>
      </c>
      <c r="B2476" s="105" t="s">
        <v>4036</v>
      </c>
      <c r="C2476" s="105" t="s">
        <v>4037</v>
      </c>
      <c r="D2476" s="105">
        <v>0</v>
      </c>
      <c r="E2476" s="105">
        <v>0</v>
      </c>
      <c r="F2476" s="105">
        <v>0</v>
      </c>
    </row>
    <row r="2477" spans="1:6" x14ac:dyDescent="0.25">
      <c r="A2477" s="105" t="str">
        <f t="shared" si="38"/>
        <v/>
      </c>
      <c r="B2477" s="105" t="s">
        <v>4038</v>
      </c>
      <c r="C2477" s="105" t="s">
        <v>8</v>
      </c>
      <c r="D2477" s="105">
        <v>0</v>
      </c>
      <c r="E2477" s="105">
        <v>0</v>
      </c>
      <c r="F2477" s="105">
        <v>0</v>
      </c>
    </row>
    <row r="2478" spans="1:6" x14ac:dyDescent="0.25">
      <c r="A2478" s="105">
        <f t="shared" si="38"/>
        <v>7703903</v>
      </c>
      <c r="B2478" s="105" t="s">
        <v>4039</v>
      </c>
      <c r="C2478" s="105" t="s">
        <v>4040</v>
      </c>
      <c r="D2478" s="105">
        <v>0</v>
      </c>
      <c r="E2478" s="105">
        <v>0</v>
      </c>
      <c r="F2478" s="105">
        <v>0</v>
      </c>
    </row>
    <row r="2479" spans="1:6" x14ac:dyDescent="0.25">
      <c r="A2479" s="105" t="str">
        <f t="shared" si="38"/>
        <v/>
      </c>
      <c r="B2479" s="105" t="s">
        <v>4041</v>
      </c>
      <c r="C2479" s="105" t="s">
        <v>8</v>
      </c>
      <c r="D2479" s="105">
        <v>0</v>
      </c>
      <c r="E2479" s="105">
        <v>0</v>
      </c>
      <c r="F2479" s="105">
        <v>0</v>
      </c>
    </row>
    <row r="2480" spans="1:6" x14ac:dyDescent="0.25">
      <c r="A2480" s="105">
        <f t="shared" si="38"/>
        <v>7703910</v>
      </c>
      <c r="B2480" s="105" t="s">
        <v>4042</v>
      </c>
      <c r="C2480" s="105" t="s">
        <v>4043</v>
      </c>
      <c r="D2480" s="105">
        <v>0</v>
      </c>
      <c r="E2480" s="105">
        <v>0</v>
      </c>
      <c r="F2480" s="105">
        <v>0</v>
      </c>
    </row>
    <row r="2481" spans="1:6" x14ac:dyDescent="0.25">
      <c r="A2481" s="105">
        <f t="shared" si="38"/>
        <v>7703915</v>
      </c>
      <c r="B2481" s="105" t="s">
        <v>4044</v>
      </c>
      <c r="C2481" s="105" t="s">
        <v>4045</v>
      </c>
      <c r="D2481" s="105">
        <v>420.95</v>
      </c>
      <c r="E2481" s="105">
        <v>252.57</v>
      </c>
      <c r="F2481" s="105">
        <v>0</v>
      </c>
    </row>
    <row r="2482" spans="1:6" x14ac:dyDescent="0.25">
      <c r="A2482" s="105" t="str">
        <f t="shared" si="38"/>
        <v/>
      </c>
      <c r="B2482" s="105" t="s">
        <v>4046</v>
      </c>
      <c r="C2482" s="105" t="s">
        <v>8</v>
      </c>
      <c r="D2482" s="105">
        <v>0</v>
      </c>
      <c r="E2482" s="105">
        <v>0</v>
      </c>
      <c r="F2482" s="105">
        <v>0</v>
      </c>
    </row>
    <row r="2483" spans="1:6" x14ac:dyDescent="0.25">
      <c r="A2483" s="105">
        <f t="shared" si="38"/>
        <v>7703918</v>
      </c>
      <c r="B2483" s="105" t="s">
        <v>4047</v>
      </c>
      <c r="C2483" s="105" t="s">
        <v>4048</v>
      </c>
      <c r="D2483" s="105">
        <v>0</v>
      </c>
      <c r="E2483" s="105">
        <v>0</v>
      </c>
      <c r="F2483" s="105">
        <v>0</v>
      </c>
    </row>
    <row r="2484" spans="1:6" x14ac:dyDescent="0.25">
      <c r="A2484" s="105">
        <f t="shared" si="38"/>
        <v>7703920</v>
      </c>
      <c r="B2484" s="105" t="s">
        <v>4049</v>
      </c>
      <c r="C2484" s="105" t="s">
        <v>4050</v>
      </c>
      <c r="D2484" s="105">
        <v>1696</v>
      </c>
      <c r="E2484" s="105">
        <v>1017.6</v>
      </c>
      <c r="F2484" s="105">
        <v>15</v>
      </c>
    </row>
    <row r="2485" spans="1:6" x14ac:dyDescent="0.25">
      <c r="A2485" s="105">
        <f t="shared" si="38"/>
        <v>7703951</v>
      </c>
      <c r="B2485" s="105" t="s">
        <v>4051</v>
      </c>
      <c r="C2485" s="105" t="s">
        <v>4052</v>
      </c>
      <c r="D2485" s="105">
        <v>7716.8</v>
      </c>
      <c r="E2485" s="105">
        <v>4630.08</v>
      </c>
      <c r="F2485" s="105">
        <v>0</v>
      </c>
    </row>
    <row r="2486" spans="1:6" x14ac:dyDescent="0.25">
      <c r="A2486" s="105" t="str">
        <f t="shared" si="38"/>
        <v/>
      </c>
      <c r="B2486" s="105" t="s">
        <v>4053</v>
      </c>
      <c r="C2486" s="105" t="s">
        <v>8</v>
      </c>
      <c r="D2486" s="105">
        <v>0</v>
      </c>
      <c r="E2486" s="105">
        <v>0</v>
      </c>
      <c r="F2486" s="105">
        <v>0</v>
      </c>
    </row>
    <row r="2487" spans="1:6" x14ac:dyDescent="0.25">
      <c r="A2487" s="105">
        <f t="shared" si="38"/>
        <v>7703987</v>
      </c>
      <c r="B2487" s="105" t="s">
        <v>4054</v>
      </c>
      <c r="C2487" s="105" t="s">
        <v>4055</v>
      </c>
      <c r="D2487" s="105">
        <v>0</v>
      </c>
      <c r="E2487" s="105">
        <v>0</v>
      </c>
      <c r="F2487" s="105">
        <v>0</v>
      </c>
    </row>
    <row r="2488" spans="1:6" x14ac:dyDescent="0.25">
      <c r="A2488" s="105">
        <f t="shared" si="38"/>
        <v>7703994</v>
      </c>
      <c r="B2488" s="105" t="s">
        <v>4056</v>
      </c>
      <c r="C2488" s="105" t="s">
        <v>4057</v>
      </c>
      <c r="D2488" s="105">
        <v>3196.96</v>
      </c>
      <c r="E2488" s="105">
        <v>1918.18</v>
      </c>
      <c r="F2488" s="105">
        <v>15</v>
      </c>
    </row>
    <row r="2489" spans="1:6" x14ac:dyDescent="0.25">
      <c r="A2489" s="105" t="str">
        <f t="shared" si="38"/>
        <v/>
      </c>
      <c r="B2489" s="105" t="s">
        <v>4058</v>
      </c>
      <c r="C2489" s="105" t="s">
        <v>8</v>
      </c>
      <c r="D2489" s="105">
        <v>0</v>
      </c>
      <c r="E2489" s="105">
        <v>0</v>
      </c>
      <c r="F2489" s="105">
        <v>0</v>
      </c>
    </row>
    <row r="2490" spans="1:6" x14ac:dyDescent="0.25">
      <c r="A2490" s="105">
        <f t="shared" si="38"/>
        <v>7703999</v>
      </c>
      <c r="B2490" s="105" t="s">
        <v>4059</v>
      </c>
      <c r="C2490" s="105" t="s">
        <v>4060</v>
      </c>
      <c r="D2490" s="105">
        <v>5562.93</v>
      </c>
      <c r="E2490" s="105">
        <v>3337.76</v>
      </c>
      <c r="F2490" s="105">
        <v>0</v>
      </c>
    </row>
    <row r="2491" spans="1:6" x14ac:dyDescent="0.25">
      <c r="A2491" s="105" t="str">
        <f t="shared" si="38"/>
        <v/>
      </c>
      <c r="B2491" s="105" t="s">
        <v>4061</v>
      </c>
      <c r="C2491" s="105" t="s">
        <v>4062</v>
      </c>
      <c r="D2491" s="105">
        <v>0</v>
      </c>
      <c r="E2491" s="105">
        <v>0</v>
      </c>
      <c r="F2491" s="105">
        <v>0</v>
      </c>
    </row>
    <row r="2492" spans="1:6" x14ac:dyDescent="0.25">
      <c r="A2492" s="105" t="str">
        <f t="shared" si="38"/>
        <v/>
      </c>
      <c r="B2492" s="105" t="s">
        <v>4063</v>
      </c>
      <c r="C2492" s="105" t="s">
        <v>8</v>
      </c>
      <c r="D2492" s="105">
        <v>0</v>
      </c>
      <c r="E2492" s="105">
        <v>0</v>
      </c>
      <c r="F2492" s="105">
        <v>0</v>
      </c>
    </row>
    <row r="2493" spans="1:6" x14ac:dyDescent="0.25">
      <c r="A2493" s="105">
        <f t="shared" si="38"/>
        <v>7707000</v>
      </c>
      <c r="B2493" s="105" t="s">
        <v>4064</v>
      </c>
      <c r="C2493" s="105" t="s">
        <v>4065</v>
      </c>
      <c r="D2493" s="105">
        <v>0</v>
      </c>
      <c r="E2493" s="105">
        <v>0</v>
      </c>
      <c r="F2493" s="105">
        <v>0</v>
      </c>
    </row>
    <row r="2494" spans="1:6" x14ac:dyDescent="0.25">
      <c r="A2494" s="105">
        <f t="shared" si="38"/>
        <v>7707001</v>
      </c>
      <c r="B2494" s="105" t="s">
        <v>4066</v>
      </c>
      <c r="C2494" s="105" t="s">
        <v>4067</v>
      </c>
      <c r="D2494" s="105">
        <v>185.2</v>
      </c>
      <c r="E2494" s="105">
        <v>111.12</v>
      </c>
      <c r="F2494" s="105">
        <v>53</v>
      </c>
    </row>
    <row r="2495" spans="1:6" x14ac:dyDescent="0.25">
      <c r="A2495" s="105">
        <f t="shared" si="38"/>
        <v>7707002</v>
      </c>
      <c r="B2495" s="105" t="s">
        <v>4068</v>
      </c>
      <c r="C2495" s="105" t="s">
        <v>4069</v>
      </c>
      <c r="D2495" s="105">
        <v>424</v>
      </c>
      <c r="E2495" s="105">
        <v>254.4</v>
      </c>
      <c r="F2495" s="105">
        <v>22</v>
      </c>
    </row>
    <row r="2496" spans="1:6" x14ac:dyDescent="0.25">
      <c r="A2496" s="105" t="str">
        <f t="shared" si="38"/>
        <v/>
      </c>
      <c r="B2496" s="105" t="s">
        <v>4070</v>
      </c>
      <c r="C2496" s="105" t="s">
        <v>8</v>
      </c>
      <c r="D2496" s="105">
        <v>0</v>
      </c>
      <c r="E2496" s="105">
        <v>0</v>
      </c>
      <c r="F2496" s="105">
        <v>0</v>
      </c>
    </row>
    <row r="2497" spans="1:6" x14ac:dyDescent="0.25">
      <c r="A2497" s="105">
        <f t="shared" si="38"/>
        <v>7707003</v>
      </c>
      <c r="B2497" s="105" t="s">
        <v>4071</v>
      </c>
      <c r="C2497" s="105" t="s">
        <v>4072</v>
      </c>
      <c r="D2497" s="105">
        <v>212</v>
      </c>
      <c r="E2497" s="105">
        <v>127.2</v>
      </c>
      <c r="F2497" s="105">
        <v>0</v>
      </c>
    </row>
    <row r="2498" spans="1:6" x14ac:dyDescent="0.25">
      <c r="A2498" s="105" t="str">
        <f t="shared" si="38"/>
        <v/>
      </c>
      <c r="B2498" s="105" t="s">
        <v>4073</v>
      </c>
      <c r="C2498" s="105" t="s">
        <v>8</v>
      </c>
      <c r="D2498" s="105">
        <v>0</v>
      </c>
      <c r="E2498" s="105">
        <v>0</v>
      </c>
      <c r="F2498" s="105">
        <v>0</v>
      </c>
    </row>
    <row r="2499" spans="1:6" x14ac:dyDescent="0.25">
      <c r="A2499" s="105">
        <f t="shared" ref="A2499:A2562" si="39">IF(B2499&lt;&gt;"",IFERROR(B2499*1,""),"")</f>
        <v>7707004</v>
      </c>
      <c r="B2499" s="105" t="s">
        <v>4074</v>
      </c>
      <c r="C2499" s="105" t="s">
        <v>4075</v>
      </c>
      <c r="D2499" s="105">
        <v>0</v>
      </c>
      <c r="E2499" s="105">
        <v>0</v>
      </c>
      <c r="F2499" s="105">
        <v>0</v>
      </c>
    </row>
    <row r="2500" spans="1:6" x14ac:dyDescent="0.25">
      <c r="A2500" s="105" t="str">
        <f t="shared" si="39"/>
        <v/>
      </c>
      <c r="B2500" s="105" t="s">
        <v>4076</v>
      </c>
      <c r="C2500" s="105" t="s">
        <v>8</v>
      </c>
      <c r="D2500" s="105">
        <v>0</v>
      </c>
      <c r="E2500" s="105">
        <v>0</v>
      </c>
      <c r="F2500" s="105">
        <v>0</v>
      </c>
    </row>
    <row r="2501" spans="1:6" x14ac:dyDescent="0.25">
      <c r="A2501" s="105">
        <f t="shared" si="39"/>
        <v>7707005</v>
      </c>
      <c r="B2501" s="105" t="s">
        <v>4077</v>
      </c>
      <c r="C2501" s="105" t="s">
        <v>4078</v>
      </c>
      <c r="D2501" s="105">
        <v>0</v>
      </c>
      <c r="E2501" s="105">
        <v>0</v>
      </c>
      <c r="F2501" s="105">
        <v>0</v>
      </c>
    </row>
    <row r="2502" spans="1:6" x14ac:dyDescent="0.25">
      <c r="A2502" s="105" t="str">
        <f t="shared" si="39"/>
        <v/>
      </c>
      <c r="B2502" s="105" t="s">
        <v>4079</v>
      </c>
      <c r="C2502" s="105" t="s">
        <v>8</v>
      </c>
      <c r="D2502" s="105">
        <v>0</v>
      </c>
      <c r="E2502" s="105">
        <v>0</v>
      </c>
      <c r="F2502" s="105">
        <v>0</v>
      </c>
    </row>
    <row r="2503" spans="1:6" x14ac:dyDescent="0.25">
      <c r="A2503" s="105">
        <f t="shared" si="39"/>
        <v>7707006</v>
      </c>
      <c r="B2503" s="105" t="s">
        <v>4080</v>
      </c>
      <c r="C2503" s="105" t="s">
        <v>4081</v>
      </c>
      <c r="D2503" s="105">
        <v>0</v>
      </c>
      <c r="E2503" s="105">
        <v>0</v>
      </c>
      <c r="F2503" s="105">
        <v>0</v>
      </c>
    </row>
    <row r="2504" spans="1:6" x14ac:dyDescent="0.25">
      <c r="A2504" s="105">
        <f t="shared" si="39"/>
        <v>7707007</v>
      </c>
      <c r="B2504" s="105" t="s">
        <v>4082</v>
      </c>
      <c r="C2504" s="105" t="s">
        <v>4083</v>
      </c>
      <c r="D2504" s="105">
        <v>0</v>
      </c>
      <c r="E2504" s="105">
        <v>0</v>
      </c>
      <c r="F2504" s="105">
        <v>10</v>
      </c>
    </row>
    <row r="2505" spans="1:6" x14ac:dyDescent="0.25">
      <c r="A2505" s="105">
        <f t="shared" si="39"/>
        <v>7707008</v>
      </c>
      <c r="B2505" s="105" t="s">
        <v>4084</v>
      </c>
      <c r="C2505" s="105" t="s">
        <v>4085</v>
      </c>
      <c r="D2505" s="105">
        <v>0</v>
      </c>
      <c r="E2505" s="105">
        <v>0</v>
      </c>
      <c r="F2505" s="105">
        <v>0</v>
      </c>
    </row>
    <row r="2506" spans="1:6" x14ac:dyDescent="0.25">
      <c r="A2506" s="105" t="str">
        <f t="shared" si="39"/>
        <v/>
      </c>
      <c r="B2506" s="105" t="s">
        <v>4086</v>
      </c>
      <c r="C2506" s="105" t="s">
        <v>8</v>
      </c>
      <c r="D2506" s="105">
        <v>0</v>
      </c>
      <c r="E2506" s="105">
        <v>0</v>
      </c>
      <c r="F2506" s="105">
        <v>0</v>
      </c>
    </row>
    <row r="2507" spans="1:6" x14ac:dyDescent="0.25">
      <c r="A2507" s="105">
        <f t="shared" si="39"/>
        <v>7707009</v>
      </c>
      <c r="B2507" s="105" t="s">
        <v>4087</v>
      </c>
      <c r="C2507" s="105" t="s">
        <v>4088</v>
      </c>
      <c r="D2507" s="105">
        <v>0</v>
      </c>
      <c r="E2507" s="105">
        <v>0</v>
      </c>
      <c r="F2507" s="105">
        <v>0</v>
      </c>
    </row>
    <row r="2508" spans="1:6" x14ac:dyDescent="0.25">
      <c r="A2508" s="105" t="str">
        <f t="shared" si="39"/>
        <v/>
      </c>
      <c r="B2508" s="105" t="s">
        <v>4089</v>
      </c>
      <c r="C2508" s="105" t="s">
        <v>8</v>
      </c>
      <c r="D2508" s="105">
        <v>0</v>
      </c>
      <c r="E2508" s="105">
        <v>0</v>
      </c>
      <c r="F2508" s="105">
        <v>0</v>
      </c>
    </row>
    <row r="2509" spans="1:6" x14ac:dyDescent="0.25">
      <c r="A2509" s="105">
        <f t="shared" si="39"/>
        <v>7707010</v>
      </c>
      <c r="B2509" s="105" t="s">
        <v>4090</v>
      </c>
      <c r="C2509" s="105" t="s">
        <v>4091</v>
      </c>
      <c r="D2509" s="105">
        <v>1187.5999999999999</v>
      </c>
      <c r="E2509" s="105">
        <v>712.56</v>
      </c>
      <c r="F2509" s="105">
        <v>0</v>
      </c>
    </row>
    <row r="2510" spans="1:6" x14ac:dyDescent="0.25">
      <c r="A2510" s="105">
        <f t="shared" si="39"/>
        <v>7707011</v>
      </c>
      <c r="B2510" s="105" t="s">
        <v>4092</v>
      </c>
      <c r="C2510" s="105" t="s">
        <v>4093</v>
      </c>
      <c r="D2510" s="105">
        <v>2756</v>
      </c>
      <c r="E2510" s="105">
        <v>1653.6</v>
      </c>
      <c r="F2510" s="105">
        <v>69</v>
      </c>
    </row>
    <row r="2511" spans="1:6" x14ac:dyDescent="0.25">
      <c r="A2511" s="105">
        <f t="shared" si="39"/>
        <v>7707012</v>
      </c>
      <c r="B2511" s="105" t="s">
        <v>4094</v>
      </c>
      <c r="C2511" s="105" t="s">
        <v>4095</v>
      </c>
      <c r="D2511" s="105">
        <v>30.61</v>
      </c>
      <c r="E2511" s="105">
        <v>18.37</v>
      </c>
      <c r="F2511" s="105">
        <v>0</v>
      </c>
    </row>
    <row r="2512" spans="1:6" x14ac:dyDescent="0.25">
      <c r="A2512" s="105">
        <f t="shared" si="39"/>
        <v>7707013</v>
      </c>
      <c r="B2512" s="105" t="s">
        <v>4096</v>
      </c>
      <c r="C2512" s="105" t="s">
        <v>4097</v>
      </c>
      <c r="D2512" s="105">
        <v>477</v>
      </c>
      <c r="E2512" s="105">
        <v>286.2</v>
      </c>
      <c r="F2512" s="105">
        <v>19</v>
      </c>
    </row>
    <row r="2513" spans="1:6" x14ac:dyDescent="0.25">
      <c r="A2513" s="105" t="str">
        <f t="shared" si="39"/>
        <v/>
      </c>
      <c r="B2513" s="105" t="s">
        <v>4098</v>
      </c>
      <c r="C2513" s="105" t="s">
        <v>8</v>
      </c>
      <c r="D2513" s="105">
        <v>0</v>
      </c>
      <c r="E2513" s="105">
        <v>0</v>
      </c>
      <c r="F2513" s="105">
        <v>0</v>
      </c>
    </row>
    <row r="2514" spans="1:6" x14ac:dyDescent="0.25">
      <c r="A2514" s="105">
        <f t="shared" si="39"/>
        <v>7707014</v>
      </c>
      <c r="B2514" s="105" t="s">
        <v>4099</v>
      </c>
      <c r="C2514" s="105" t="s">
        <v>4100</v>
      </c>
      <c r="D2514" s="105">
        <v>0</v>
      </c>
      <c r="E2514" s="105">
        <v>0</v>
      </c>
      <c r="F2514" s="105">
        <v>0</v>
      </c>
    </row>
    <row r="2515" spans="1:6" x14ac:dyDescent="0.25">
      <c r="A2515" s="105" t="str">
        <f t="shared" si="39"/>
        <v/>
      </c>
      <c r="B2515" s="105" t="s">
        <v>4101</v>
      </c>
      <c r="C2515" s="105" t="s">
        <v>8</v>
      </c>
      <c r="D2515" s="105">
        <v>0</v>
      </c>
      <c r="E2515" s="105">
        <v>0</v>
      </c>
      <c r="F2515" s="105">
        <v>0</v>
      </c>
    </row>
    <row r="2516" spans="1:6" x14ac:dyDescent="0.25">
      <c r="A2516" s="105">
        <f t="shared" si="39"/>
        <v>7707015</v>
      </c>
      <c r="B2516" s="105" t="s">
        <v>4102</v>
      </c>
      <c r="C2516" s="105" t="s">
        <v>4103</v>
      </c>
      <c r="D2516" s="105">
        <v>0</v>
      </c>
      <c r="E2516" s="105">
        <v>0</v>
      </c>
      <c r="F2516" s="105">
        <v>0</v>
      </c>
    </row>
    <row r="2517" spans="1:6" x14ac:dyDescent="0.25">
      <c r="A2517" s="105" t="str">
        <f t="shared" si="39"/>
        <v/>
      </c>
      <c r="B2517" s="105" t="s">
        <v>4104</v>
      </c>
      <c r="C2517" s="105" t="s">
        <v>8</v>
      </c>
      <c r="D2517" s="105">
        <v>0</v>
      </c>
      <c r="E2517" s="105">
        <v>0</v>
      </c>
      <c r="F2517" s="105">
        <v>0</v>
      </c>
    </row>
    <row r="2518" spans="1:6" x14ac:dyDescent="0.25">
      <c r="A2518" s="105">
        <f t="shared" si="39"/>
        <v>7707016</v>
      </c>
      <c r="B2518" s="105" t="s">
        <v>4105</v>
      </c>
      <c r="C2518" s="105" t="s">
        <v>4106</v>
      </c>
      <c r="D2518" s="105">
        <v>0</v>
      </c>
      <c r="E2518" s="105">
        <v>0</v>
      </c>
      <c r="F2518" s="105">
        <v>0</v>
      </c>
    </row>
    <row r="2519" spans="1:6" x14ac:dyDescent="0.25">
      <c r="A2519" s="105">
        <f t="shared" si="39"/>
        <v>7707017</v>
      </c>
      <c r="B2519" s="105" t="s">
        <v>4107</v>
      </c>
      <c r="C2519" s="105" t="s">
        <v>4108</v>
      </c>
      <c r="D2519" s="105">
        <v>133.93</v>
      </c>
      <c r="E2519" s="105">
        <v>80.36</v>
      </c>
      <c r="F2519" s="105">
        <v>7</v>
      </c>
    </row>
    <row r="2520" spans="1:6" x14ac:dyDescent="0.25">
      <c r="A2520" s="105" t="str">
        <f t="shared" si="39"/>
        <v/>
      </c>
      <c r="B2520" s="105" t="s">
        <v>4109</v>
      </c>
      <c r="C2520" s="105" t="s">
        <v>8</v>
      </c>
      <c r="D2520" s="105">
        <v>0</v>
      </c>
      <c r="E2520" s="105">
        <v>0</v>
      </c>
      <c r="F2520" s="105">
        <v>0</v>
      </c>
    </row>
    <row r="2521" spans="1:6" x14ac:dyDescent="0.25">
      <c r="A2521" s="105">
        <f t="shared" si="39"/>
        <v>7707018</v>
      </c>
      <c r="B2521" s="105" t="s">
        <v>4110</v>
      </c>
      <c r="C2521" s="105" t="s">
        <v>4111</v>
      </c>
      <c r="D2521" s="105">
        <v>0</v>
      </c>
      <c r="E2521" s="105">
        <v>0</v>
      </c>
      <c r="F2521" s="105">
        <v>0</v>
      </c>
    </row>
    <row r="2522" spans="1:6" x14ac:dyDescent="0.25">
      <c r="A2522" s="105" t="str">
        <f t="shared" si="39"/>
        <v/>
      </c>
      <c r="B2522" s="105" t="s">
        <v>4112</v>
      </c>
      <c r="C2522" s="105" t="s">
        <v>8</v>
      </c>
      <c r="D2522" s="105">
        <v>0</v>
      </c>
      <c r="E2522" s="105">
        <v>0</v>
      </c>
      <c r="F2522" s="105">
        <v>0</v>
      </c>
    </row>
    <row r="2523" spans="1:6" x14ac:dyDescent="0.25">
      <c r="A2523" s="105">
        <f t="shared" si="39"/>
        <v>7707019</v>
      </c>
      <c r="B2523" s="105" t="s">
        <v>4113</v>
      </c>
      <c r="C2523" s="105" t="s">
        <v>4114</v>
      </c>
      <c r="D2523" s="105">
        <v>0</v>
      </c>
      <c r="E2523" s="105">
        <v>0</v>
      </c>
      <c r="F2523" s="105">
        <v>0</v>
      </c>
    </row>
    <row r="2524" spans="1:6" x14ac:dyDescent="0.25">
      <c r="A2524" s="105" t="str">
        <f t="shared" si="39"/>
        <v/>
      </c>
      <c r="B2524" s="105" t="s">
        <v>4115</v>
      </c>
      <c r="C2524" s="105" t="s">
        <v>8</v>
      </c>
      <c r="D2524" s="105">
        <v>0</v>
      </c>
      <c r="E2524" s="105">
        <v>0</v>
      </c>
      <c r="F2524" s="105">
        <v>0</v>
      </c>
    </row>
    <row r="2525" spans="1:6" x14ac:dyDescent="0.25">
      <c r="A2525" s="105">
        <f t="shared" si="39"/>
        <v>7707020</v>
      </c>
      <c r="B2525" s="105" t="s">
        <v>4116</v>
      </c>
      <c r="C2525" s="105" t="s">
        <v>4117</v>
      </c>
      <c r="D2525" s="105">
        <v>0</v>
      </c>
      <c r="E2525" s="105">
        <v>0</v>
      </c>
      <c r="F2525" s="105">
        <v>0</v>
      </c>
    </row>
    <row r="2526" spans="1:6" x14ac:dyDescent="0.25">
      <c r="A2526" s="105">
        <f t="shared" si="39"/>
        <v>7707021</v>
      </c>
      <c r="B2526" s="105" t="s">
        <v>4118</v>
      </c>
      <c r="C2526" s="105" t="s">
        <v>4119</v>
      </c>
      <c r="D2526" s="105">
        <v>0</v>
      </c>
      <c r="E2526" s="105">
        <v>0</v>
      </c>
      <c r="F2526" s="105">
        <v>1</v>
      </c>
    </row>
    <row r="2527" spans="1:6" x14ac:dyDescent="0.25">
      <c r="A2527" s="105">
        <f t="shared" si="39"/>
        <v>7707022</v>
      </c>
      <c r="B2527" s="105" t="s">
        <v>9366</v>
      </c>
      <c r="C2527" s="105" t="s">
        <v>9367</v>
      </c>
      <c r="D2527" s="105">
        <v>371</v>
      </c>
      <c r="E2527" s="105">
        <v>222.6</v>
      </c>
      <c r="F2527" s="105">
        <v>0</v>
      </c>
    </row>
    <row r="2528" spans="1:6" x14ac:dyDescent="0.25">
      <c r="A2528" s="105">
        <f t="shared" si="39"/>
        <v>7707025</v>
      </c>
      <c r="B2528" s="105" t="s">
        <v>4120</v>
      </c>
      <c r="C2528" s="105" t="s">
        <v>4121</v>
      </c>
      <c r="D2528" s="105">
        <v>93.76</v>
      </c>
      <c r="E2528" s="105">
        <v>56.26</v>
      </c>
      <c r="F2528" s="105">
        <v>0</v>
      </c>
    </row>
    <row r="2529" spans="1:6" x14ac:dyDescent="0.25">
      <c r="A2529" s="105">
        <f t="shared" si="39"/>
        <v>7707051</v>
      </c>
      <c r="B2529" s="105" t="s">
        <v>4122</v>
      </c>
      <c r="C2529" s="105" t="s">
        <v>4123</v>
      </c>
      <c r="D2529" s="105">
        <v>301.01</v>
      </c>
      <c r="E2529" s="105">
        <v>180.61</v>
      </c>
      <c r="F2529" s="105">
        <v>0</v>
      </c>
    </row>
    <row r="2530" spans="1:6" x14ac:dyDescent="0.25">
      <c r="A2530" s="105" t="str">
        <f t="shared" si="39"/>
        <v/>
      </c>
      <c r="B2530" s="105" t="s">
        <v>4124</v>
      </c>
      <c r="C2530" s="105" t="s">
        <v>8</v>
      </c>
      <c r="D2530" s="105">
        <v>0</v>
      </c>
      <c r="E2530" s="105">
        <v>0</v>
      </c>
      <c r="F2530" s="105">
        <v>0</v>
      </c>
    </row>
    <row r="2531" spans="1:6" x14ac:dyDescent="0.25">
      <c r="A2531" s="105">
        <f t="shared" si="39"/>
        <v>7707060</v>
      </c>
      <c r="B2531" s="105" t="s">
        <v>4125</v>
      </c>
      <c r="C2531" s="105" t="s">
        <v>4126</v>
      </c>
      <c r="D2531" s="105">
        <v>0</v>
      </c>
      <c r="E2531" s="105">
        <v>0</v>
      </c>
      <c r="F2531" s="105">
        <v>0</v>
      </c>
    </row>
    <row r="2532" spans="1:6" x14ac:dyDescent="0.25">
      <c r="A2532" s="105">
        <f t="shared" si="39"/>
        <v>7707061</v>
      </c>
      <c r="B2532" s="105" t="s">
        <v>4127</v>
      </c>
      <c r="C2532" s="105" t="s">
        <v>4128</v>
      </c>
      <c r="D2532" s="105">
        <v>0</v>
      </c>
      <c r="E2532" s="105">
        <v>0</v>
      </c>
      <c r="F2532" s="105">
        <v>0</v>
      </c>
    </row>
    <row r="2533" spans="1:6" x14ac:dyDescent="0.25">
      <c r="A2533" s="105">
        <f t="shared" si="39"/>
        <v>7707070</v>
      </c>
      <c r="B2533" s="105" t="s">
        <v>4129</v>
      </c>
      <c r="C2533" s="105" t="s">
        <v>4130</v>
      </c>
      <c r="D2533" s="105">
        <v>187.5</v>
      </c>
      <c r="E2533" s="105">
        <v>112.5</v>
      </c>
      <c r="F2533" s="105">
        <v>0</v>
      </c>
    </row>
    <row r="2534" spans="1:6" x14ac:dyDescent="0.25">
      <c r="A2534" s="105" t="str">
        <f t="shared" si="39"/>
        <v/>
      </c>
      <c r="B2534" s="105" t="s">
        <v>4131</v>
      </c>
      <c r="C2534" s="105" t="s">
        <v>8</v>
      </c>
      <c r="D2534" s="105">
        <v>0</v>
      </c>
      <c r="E2534" s="105">
        <v>0</v>
      </c>
      <c r="F2534" s="105">
        <v>0</v>
      </c>
    </row>
    <row r="2535" spans="1:6" x14ac:dyDescent="0.25">
      <c r="A2535" s="105">
        <f t="shared" si="39"/>
        <v>7707071</v>
      </c>
      <c r="B2535" s="105" t="s">
        <v>4132</v>
      </c>
      <c r="C2535" s="105" t="s">
        <v>4133</v>
      </c>
      <c r="D2535" s="105">
        <v>562.54</v>
      </c>
      <c r="E2535" s="105">
        <v>337.52</v>
      </c>
      <c r="F2535" s="105">
        <v>0</v>
      </c>
    </row>
    <row r="2536" spans="1:6" x14ac:dyDescent="0.25">
      <c r="A2536" s="105" t="str">
        <f t="shared" si="39"/>
        <v/>
      </c>
      <c r="B2536" s="105" t="s">
        <v>4134</v>
      </c>
      <c r="C2536" s="105" t="s">
        <v>8</v>
      </c>
      <c r="D2536" s="105">
        <v>0</v>
      </c>
      <c r="E2536" s="105">
        <v>0</v>
      </c>
      <c r="F2536" s="105">
        <v>0</v>
      </c>
    </row>
    <row r="2537" spans="1:6" x14ac:dyDescent="0.25">
      <c r="A2537" s="105">
        <f t="shared" si="39"/>
        <v>7707074</v>
      </c>
      <c r="B2537" s="105" t="s">
        <v>4135</v>
      </c>
      <c r="C2537" s="105" t="s">
        <v>4136</v>
      </c>
      <c r="D2537" s="105">
        <v>0</v>
      </c>
      <c r="E2537" s="105">
        <v>0</v>
      </c>
      <c r="F2537" s="105">
        <v>0</v>
      </c>
    </row>
    <row r="2538" spans="1:6" x14ac:dyDescent="0.25">
      <c r="A2538" s="105" t="str">
        <f t="shared" si="39"/>
        <v/>
      </c>
      <c r="B2538" s="105" t="s">
        <v>4137</v>
      </c>
      <c r="C2538" s="105" t="s">
        <v>8</v>
      </c>
      <c r="D2538" s="105">
        <v>0</v>
      </c>
      <c r="E2538" s="105">
        <v>0</v>
      </c>
      <c r="F2538" s="105">
        <v>0</v>
      </c>
    </row>
    <row r="2539" spans="1:6" x14ac:dyDescent="0.25">
      <c r="A2539" s="105">
        <f t="shared" si="39"/>
        <v>7707079</v>
      </c>
      <c r="B2539" s="105" t="s">
        <v>4138</v>
      </c>
      <c r="C2539" s="105" t="s">
        <v>4139</v>
      </c>
      <c r="D2539" s="105">
        <v>0</v>
      </c>
      <c r="E2539" s="105">
        <v>0</v>
      </c>
      <c r="F2539" s="105">
        <v>0</v>
      </c>
    </row>
    <row r="2540" spans="1:6" x14ac:dyDescent="0.25">
      <c r="A2540" s="105">
        <f t="shared" si="39"/>
        <v>7707081</v>
      </c>
      <c r="B2540" s="105" t="s">
        <v>4140</v>
      </c>
      <c r="C2540" s="105" t="s">
        <v>4141</v>
      </c>
      <c r="D2540" s="105">
        <v>0</v>
      </c>
      <c r="E2540" s="105">
        <v>0</v>
      </c>
      <c r="F2540" s="105">
        <v>0</v>
      </c>
    </row>
    <row r="2541" spans="1:6" x14ac:dyDescent="0.25">
      <c r="A2541" s="105">
        <f t="shared" si="39"/>
        <v>7707100</v>
      </c>
      <c r="B2541" s="105" t="s">
        <v>4142</v>
      </c>
      <c r="C2541" s="105" t="s">
        <v>4143</v>
      </c>
      <c r="D2541" s="105">
        <v>254.4</v>
      </c>
      <c r="E2541" s="105">
        <v>152.63999999999999</v>
      </c>
      <c r="F2541" s="105">
        <v>10</v>
      </c>
    </row>
    <row r="2542" spans="1:6" x14ac:dyDescent="0.25">
      <c r="A2542" s="105">
        <f t="shared" si="39"/>
        <v>7707105</v>
      </c>
      <c r="B2542" s="105" t="s">
        <v>4144</v>
      </c>
      <c r="C2542" s="105" t="s">
        <v>4145</v>
      </c>
      <c r="D2542" s="105">
        <v>3637.92</v>
      </c>
      <c r="E2542" s="105">
        <v>2182.75</v>
      </c>
      <c r="F2542" s="105">
        <v>0</v>
      </c>
    </row>
    <row r="2543" spans="1:6" x14ac:dyDescent="0.25">
      <c r="A2543" s="105" t="str">
        <f t="shared" si="39"/>
        <v/>
      </c>
      <c r="B2543" s="105" t="s">
        <v>4146</v>
      </c>
      <c r="C2543" s="105" t="s">
        <v>8</v>
      </c>
      <c r="D2543" s="105">
        <v>0</v>
      </c>
      <c r="E2543" s="105">
        <v>0</v>
      </c>
      <c r="F2543" s="105">
        <v>0</v>
      </c>
    </row>
    <row r="2544" spans="1:6" x14ac:dyDescent="0.25">
      <c r="A2544" s="105">
        <f t="shared" si="39"/>
        <v>7707110</v>
      </c>
      <c r="B2544" s="105" t="s">
        <v>4147</v>
      </c>
      <c r="C2544" s="105" t="s">
        <v>4148</v>
      </c>
      <c r="D2544" s="105">
        <v>0</v>
      </c>
      <c r="E2544" s="105">
        <v>0</v>
      </c>
      <c r="F2544" s="105">
        <v>0</v>
      </c>
    </row>
    <row r="2545" spans="1:6" x14ac:dyDescent="0.25">
      <c r="A2545" s="105">
        <f t="shared" si="39"/>
        <v>7707113</v>
      </c>
      <c r="B2545" s="105" t="s">
        <v>4149</v>
      </c>
      <c r="C2545" s="105" t="s">
        <v>4150</v>
      </c>
      <c r="D2545" s="105">
        <v>826.8</v>
      </c>
      <c r="E2545" s="105">
        <v>496.08</v>
      </c>
      <c r="F2545" s="105">
        <v>0</v>
      </c>
    </row>
    <row r="2546" spans="1:6" x14ac:dyDescent="0.25">
      <c r="A2546" s="105">
        <f t="shared" si="39"/>
        <v>7707115</v>
      </c>
      <c r="B2546" s="105" t="s">
        <v>4151</v>
      </c>
      <c r="C2546" s="105" t="s">
        <v>4152</v>
      </c>
      <c r="D2546" s="105">
        <v>325.02999999999997</v>
      </c>
      <c r="E2546" s="105">
        <v>195.02</v>
      </c>
      <c r="F2546" s="105">
        <v>0</v>
      </c>
    </row>
    <row r="2547" spans="1:6" x14ac:dyDescent="0.25">
      <c r="A2547" s="105" t="str">
        <f t="shared" si="39"/>
        <v/>
      </c>
      <c r="B2547" s="105" t="s">
        <v>4153</v>
      </c>
      <c r="C2547" s="105" t="s">
        <v>8</v>
      </c>
      <c r="D2547" s="105">
        <v>0</v>
      </c>
      <c r="E2547" s="105">
        <v>0</v>
      </c>
      <c r="F2547" s="105">
        <v>0</v>
      </c>
    </row>
    <row r="2548" spans="1:6" x14ac:dyDescent="0.25">
      <c r="A2548" s="105">
        <f t="shared" si="39"/>
        <v>7707116</v>
      </c>
      <c r="B2548" s="105" t="s">
        <v>4154</v>
      </c>
      <c r="C2548" s="105" t="s">
        <v>4155</v>
      </c>
      <c r="D2548" s="105">
        <v>0</v>
      </c>
      <c r="E2548" s="105">
        <v>0</v>
      </c>
      <c r="F2548" s="105">
        <v>0</v>
      </c>
    </row>
    <row r="2549" spans="1:6" x14ac:dyDescent="0.25">
      <c r="A2549" s="105">
        <f t="shared" si="39"/>
        <v>7707120</v>
      </c>
      <c r="B2549" s="105" t="s">
        <v>4156</v>
      </c>
      <c r="C2549" s="105" t="s">
        <v>4157</v>
      </c>
      <c r="D2549" s="105">
        <v>1250.1099999999999</v>
      </c>
      <c r="E2549" s="105">
        <v>750.07</v>
      </c>
      <c r="F2549" s="105">
        <v>0</v>
      </c>
    </row>
    <row r="2550" spans="1:6" x14ac:dyDescent="0.25">
      <c r="A2550" s="105">
        <f t="shared" si="39"/>
        <v>7707122</v>
      </c>
      <c r="B2550" s="105" t="s">
        <v>4158</v>
      </c>
      <c r="C2550" s="105" t="s">
        <v>4159</v>
      </c>
      <c r="D2550" s="105">
        <v>300</v>
      </c>
      <c r="E2550" s="105">
        <v>180</v>
      </c>
      <c r="F2550" s="105">
        <v>20</v>
      </c>
    </row>
    <row r="2551" spans="1:6" x14ac:dyDescent="0.25">
      <c r="A2551" s="105">
        <f t="shared" si="39"/>
        <v>7707136</v>
      </c>
      <c r="B2551" s="105" t="s">
        <v>4160</v>
      </c>
      <c r="C2551" s="105" t="s">
        <v>4161</v>
      </c>
      <c r="D2551" s="105">
        <v>265</v>
      </c>
      <c r="E2551" s="105">
        <v>159</v>
      </c>
      <c r="F2551" s="105">
        <v>117</v>
      </c>
    </row>
    <row r="2552" spans="1:6" x14ac:dyDescent="0.25">
      <c r="A2552" s="105">
        <f t="shared" si="39"/>
        <v>7707139</v>
      </c>
      <c r="B2552" s="105" t="s">
        <v>4162</v>
      </c>
      <c r="C2552" s="105" t="s">
        <v>4163</v>
      </c>
      <c r="D2552" s="105">
        <v>1590</v>
      </c>
      <c r="E2552" s="105">
        <v>954</v>
      </c>
      <c r="F2552" s="105">
        <v>0</v>
      </c>
    </row>
    <row r="2553" spans="1:6" x14ac:dyDescent="0.25">
      <c r="A2553" s="105">
        <f t="shared" si="39"/>
        <v>7707154</v>
      </c>
      <c r="B2553" s="105" t="s">
        <v>4164</v>
      </c>
      <c r="C2553" s="105" t="s">
        <v>4165</v>
      </c>
      <c r="D2553" s="105">
        <v>243.8</v>
      </c>
      <c r="E2553" s="105">
        <v>146.28</v>
      </c>
      <c r="F2553" s="105">
        <v>46</v>
      </c>
    </row>
    <row r="2554" spans="1:6" x14ac:dyDescent="0.25">
      <c r="A2554" s="105">
        <f t="shared" si="39"/>
        <v>7707159</v>
      </c>
      <c r="B2554" s="105" t="s">
        <v>4166</v>
      </c>
      <c r="C2554" s="105" t="s">
        <v>4167</v>
      </c>
      <c r="D2554" s="105">
        <v>265</v>
      </c>
      <c r="E2554" s="105">
        <v>159</v>
      </c>
      <c r="F2554" s="105">
        <v>4</v>
      </c>
    </row>
    <row r="2555" spans="1:6" x14ac:dyDescent="0.25">
      <c r="A2555" s="105">
        <f t="shared" si="39"/>
        <v>7707160</v>
      </c>
      <c r="B2555" s="105" t="s">
        <v>4168</v>
      </c>
      <c r="C2555" s="105" t="s">
        <v>4169</v>
      </c>
      <c r="D2555" s="105">
        <v>625.05999999999995</v>
      </c>
      <c r="E2555" s="105">
        <v>375.04</v>
      </c>
      <c r="F2555" s="105">
        <v>10</v>
      </c>
    </row>
    <row r="2556" spans="1:6" x14ac:dyDescent="0.25">
      <c r="A2556" s="105">
        <f t="shared" si="39"/>
        <v>7707161</v>
      </c>
      <c r="B2556" s="105" t="s">
        <v>4170</v>
      </c>
      <c r="C2556" s="105" t="s">
        <v>4171</v>
      </c>
      <c r="D2556" s="105">
        <v>1007</v>
      </c>
      <c r="E2556" s="105">
        <v>604.20000000000005</v>
      </c>
      <c r="F2556" s="105">
        <v>194</v>
      </c>
    </row>
    <row r="2557" spans="1:6" x14ac:dyDescent="0.25">
      <c r="A2557" s="105">
        <f t="shared" si="39"/>
        <v>7707170</v>
      </c>
      <c r="B2557" s="105" t="s">
        <v>4172</v>
      </c>
      <c r="C2557" s="105" t="s">
        <v>4173</v>
      </c>
      <c r="D2557" s="105">
        <v>237.24</v>
      </c>
      <c r="E2557" s="105">
        <v>142.34</v>
      </c>
      <c r="F2557" s="105">
        <v>1</v>
      </c>
    </row>
    <row r="2558" spans="1:6" x14ac:dyDescent="0.25">
      <c r="A2558" s="105">
        <f t="shared" si="39"/>
        <v>7707200</v>
      </c>
      <c r="B2558" s="105" t="s">
        <v>4174</v>
      </c>
      <c r="C2558" s="105" t="s">
        <v>4175</v>
      </c>
      <c r="D2558" s="105">
        <v>459.25</v>
      </c>
      <c r="E2558" s="105">
        <v>275.55</v>
      </c>
      <c r="F2558" s="105">
        <v>0</v>
      </c>
    </row>
    <row r="2559" spans="1:6" x14ac:dyDescent="0.25">
      <c r="A2559" s="105">
        <f t="shared" si="39"/>
        <v>7707220</v>
      </c>
      <c r="B2559" s="105" t="s">
        <v>4176</v>
      </c>
      <c r="C2559" s="105" t="s">
        <v>4177</v>
      </c>
      <c r="D2559" s="105">
        <v>667.8</v>
      </c>
      <c r="E2559" s="105">
        <v>400.68</v>
      </c>
      <c r="F2559" s="105">
        <v>0</v>
      </c>
    </row>
    <row r="2560" spans="1:6" x14ac:dyDescent="0.25">
      <c r="A2560" s="105" t="str">
        <f t="shared" si="39"/>
        <v/>
      </c>
      <c r="B2560" s="105" t="s">
        <v>4178</v>
      </c>
      <c r="C2560" s="105" t="s">
        <v>8</v>
      </c>
      <c r="D2560" s="105">
        <v>0</v>
      </c>
      <c r="E2560" s="105">
        <v>0</v>
      </c>
      <c r="F2560" s="105">
        <v>0</v>
      </c>
    </row>
    <row r="2561" spans="1:6" x14ac:dyDescent="0.25">
      <c r="A2561" s="105">
        <f t="shared" si="39"/>
        <v>7707222</v>
      </c>
      <c r="B2561" s="105" t="s">
        <v>4179</v>
      </c>
      <c r="C2561" s="105" t="s">
        <v>4180</v>
      </c>
      <c r="D2561" s="105">
        <v>0</v>
      </c>
      <c r="E2561" s="105">
        <v>0</v>
      </c>
      <c r="F2561" s="105">
        <v>0</v>
      </c>
    </row>
    <row r="2562" spans="1:6" x14ac:dyDescent="0.25">
      <c r="A2562" s="105">
        <f t="shared" si="39"/>
        <v>7707223</v>
      </c>
      <c r="B2562" s="105" t="s">
        <v>4181</v>
      </c>
      <c r="C2562" s="105" t="s">
        <v>4182</v>
      </c>
      <c r="D2562" s="105">
        <v>174.76</v>
      </c>
      <c r="E2562" s="105">
        <v>104.86</v>
      </c>
      <c r="F2562" s="105">
        <v>6</v>
      </c>
    </row>
    <row r="2563" spans="1:6" x14ac:dyDescent="0.25">
      <c r="A2563" s="105" t="str">
        <f t="shared" ref="A2563:A2626" si="40">IF(B2563&lt;&gt;"",IFERROR(B2563*1,""),"")</f>
        <v/>
      </c>
      <c r="B2563" s="105" t="s">
        <v>4183</v>
      </c>
      <c r="C2563" s="105" t="s">
        <v>8</v>
      </c>
      <c r="D2563" s="105">
        <v>0</v>
      </c>
      <c r="E2563" s="105">
        <v>0</v>
      </c>
      <c r="F2563" s="105">
        <v>0</v>
      </c>
    </row>
    <row r="2564" spans="1:6" x14ac:dyDescent="0.25">
      <c r="A2564" s="105">
        <f t="shared" si="40"/>
        <v>7707226</v>
      </c>
      <c r="B2564" s="105" t="s">
        <v>4184</v>
      </c>
      <c r="C2564" s="105" t="s">
        <v>4185</v>
      </c>
      <c r="D2564" s="105">
        <v>0</v>
      </c>
      <c r="E2564" s="105">
        <v>0</v>
      </c>
      <c r="F2564" s="105">
        <v>0</v>
      </c>
    </row>
    <row r="2565" spans="1:6" x14ac:dyDescent="0.25">
      <c r="A2565" s="105">
        <f t="shared" si="40"/>
        <v>7707235</v>
      </c>
      <c r="B2565" s="105" t="s">
        <v>4186</v>
      </c>
      <c r="C2565" s="105" t="s">
        <v>4187</v>
      </c>
      <c r="D2565" s="105">
        <v>625.04999999999995</v>
      </c>
      <c r="E2565" s="105">
        <v>375.03</v>
      </c>
      <c r="F2565" s="105">
        <v>0</v>
      </c>
    </row>
    <row r="2566" spans="1:6" x14ac:dyDescent="0.25">
      <c r="A2566" s="105" t="str">
        <f t="shared" si="40"/>
        <v/>
      </c>
      <c r="B2566" s="105" t="s">
        <v>4188</v>
      </c>
      <c r="C2566" s="105" t="s">
        <v>8</v>
      </c>
      <c r="D2566" s="105">
        <v>0</v>
      </c>
      <c r="E2566" s="105">
        <v>0</v>
      </c>
      <c r="F2566" s="105">
        <v>0</v>
      </c>
    </row>
    <row r="2567" spans="1:6" x14ac:dyDescent="0.25">
      <c r="A2567" s="105">
        <f t="shared" si="40"/>
        <v>7707236</v>
      </c>
      <c r="B2567" s="105" t="s">
        <v>4189</v>
      </c>
      <c r="C2567" s="105" t="s">
        <v>4190</v>
      </c>
      <c r="D2567" s="105">
        <v>0</v>
      </c>
      <c r="E2567" s="105">
        <v>0</v>
      </c>
      <c r="F2567" s="105">
        <v>0</v>
      </c>
    </row>
    <row r="2568" spans="1:6" x14ac:dyDescent="0.25">
      <c r="A2568" s="105">
        <f t="shared" si="40"/>
        <v>7707237</v>
      </c>
      <c r="B2568" s="105" t="s">
        <v>4191</v>
      </c>
      <c r="C2568" s="105" t="s">
        <v>4192</v>
      </c>
      <c r="D2568" s="105">
        <v>294.97000000000003</v>
      </c>
      <c r="E2568" s="105">
        <v>176.98</v>
      </c>
      <c r="F2568" s="105">
        <v>0</v>
      </c>
    </row>
    <row r="2569" spans="1:6" x14ac:dyDescent="0.25">
      <c r="A2569" s="105">
        <f t="shared" si="40"/>
        <v>7707246</v>
      </c>
      <c r="B2569" s="105" t="s">
        <v>4193</v>
      </c>
      <c r="C2569" s="105" t="s">
        <v>4194</v>
      </c>
      <c r="D2569" s="105">
        <v>530</v>
      </c>
      <c r="E2569" s="105">
        <v>318</v>
      </c>
      <c r="F2569" s="105">
        <v>53</v>
      </c>
    </row>
    <row r="2570" spans="1:6" x14ac:dyDescent="0.25">
      <c r="A2570" s="105">
        <f t="shared" si="40"/>
        <v>7707260</v>
      </c>
      <c r="B2570" s="105" t="s">
        <v>4195</v>
      </c>
      <c r="C2570" s="105" t="s">
        <v>4196</v>
      </c>
      <c r="D2570" s="105">
        <v>625.05999999999995</v>
      </c>
      <c r="E2570" s="105">
        <v>375.04</v>
      </c>
      <c r="F2570" s="105">
        <v>38</v>
      </c>
    </row>
    <row r="2571" spans="1:6" x14ac:dyDescent="0.25">
      <c r="A2571" s="105">
        <f t="shared" si="40"/>
        <v>7707266</v>
      </c>
      <c r="B2571" s="105" t="s">
        <v>4197</v>
      </c>
      <c r="C2571" s="105" t="s">
        <v>4198</v>
      </c>
      <c r="D2571" s="105">
        <v>265</v>
      </c>
      <c r="E2571" s="105">
        <v>159</v>
      </c>
      <c r="F2571" s="105">
        <v>11</v>
      </c>
    </row>
    <row r="2572" spans="1:6" x14ac:dyDescent="0.25">
      <c r="A2572" s="105">
        <f t="shared" si="40"/>
        <v>7707267</v>
      </c>
      <c r="B2572" s="105" t="s">
        <v>4199</v>
      </c>
      <c r="C2572" s="105" t="s">
        <v>4200</v>
      </c>
      <c r="D2572" s="105">
        <v>265</v>
      </c>
      <c r="E2572" s="105">
        <v>159</v>
      </c>
      <c r="F2572" s="105">
        <v>0</v>
      </c>
    </row>
    <row r="2573" spans="1:6" x14ac:dyDescent="0.25">
      <c r="A2573" s="105">
        <f t="shared" si="40"/>
        <v>7707273</v>
      </c>
      <c r="B2573" s="105" t="s">
        <v>4201</v>
      </c>
      <c r="C2573" s="105" t="s">
        <v>4202</v>
      </c>
      <c r="D2573" s="105">
        <v>325</v>
      </c>
      <c r="E2573" s="105">
        <v>195</v>
      </c>
      <c r="F2573" s="105">
        <v>0</v>
      </c>
    </row>
    <row r="2574" spans="1:6" x14ac:dyDescent="0.25">
      <c r="A2574" s="105">
        <f t="shared" si="40"/>
        <v>7707274</v>
      </c>
      <c r="B2574" s="105" t="s">
        <v>4203</v>
      </c>
      <c r="C2574" s="105" t="s">
        <v>4204</v>
      </c>
      <c r="D2574" s="105">
        <v>275</v>
      </c>
      <c r="E2574" s="105">
        <v>165</v>
      </c>
      <c r="F2574" s="105">
        <v>0</v>
      </c>
    </row>
    <row r="2575" spans="1:6" x14ac:dyDescent="0.25">
      <c r="A2575" s="105">
        <f t="shared" si="40"/>
        <v>7707275</v>
      </c>
      <c r="B2575" s="105" t="s">
        <v>4205</v>
      </c>
      <c r="C2575" s="105" t="s">
        <v>4206</v>
      </c>
      <c r="D2575" s="105">
        <v>275</v>
      </c>
      <c r="E2575" s="105">
        <v>165</v>
      </c>
      <c r="F2575" s="105">
        <v>1</v>
      </c>
    </row>
    <row r="2576" spans="1:6" x14ac:dyDescent="0.25">
      <c r="A2576" s="105">
        <f t="shared" si="40"/>
        <v>7707276</v>
      </c>
      <c r="B2576" s="105" t="s">
        <v>4207</v>
      </c>
      <c r="C2576" s="105" t="s">
        <v>4208</v>
      </c>
      <c r="D2576" s="105">
        <v>225</v>
      </c>
      <c r="E2576" s="105">
        <v>135</v>
      </c>
      <c r="F2576" s="105">
        <v>10</v>
      </c>
    </row>
    <row r="2577" spans="1:6" x14ac:dyDescent="0.25">
      <c r="A2577" s="105">
        <f t="shared" si="40"/>
        <v>7707277</v>
      </c>
      <c r="B2577" s="105" t="s">
        <v>4209</v>
      </c>
      <c r="C2577" s="105" t="s">
        <v>4210</v>
      </c>
      <c r="D2577" s="105">
        <v>225</v>
      </c>
      <c r="E2577" s="105">
        <v>135</v>
      </c>
      <c r="F2577" s="105">
        <v>10</v>
      </c>
    </row>
    <row r="2578" spans="1:6" x14ac:dyDescent="0.25">
      <c r="A2578" s="105">
        <f t="shared" si="40"/>
        <v>7707278</v>
      </c>
      <c r="B2578" s="105" t="s">
        <v>4211</v>
      </c>
      <c r="C2578" s="105" t="s">
        <v>4212</v>
      </c>
      <c r="D2578" s="105">
        <v>275</v>
      </c>
      <c r="E2578" s="105">
        <v>165</v>
      </c>
      <c r="F2578" s="105">
        <v>16</v>
      </c>
    </row>
    <row r="2579" spans="1:6" x14ac:dyDescent="0.25">
      <c r="A2579" s="105">
        <f t="shared" si="40"/>
        <v>7707279</v>
      </c>
      <c r="B2579" s="105" t="s">
        <v>4213</v>
      </c>
      <c r="C2579" s="105" t="s">
        <v>4214</v>
      </c>
      <c r="D2579" s="105">
        <v>265</v>
      </c>
      <c r="E2579" s="105">
        <v>159</v>
      </c>
      <c r="F2579" s="105">
        <v>0</v>
      </c>
    </row>
    <row r="2580" spans="1:6" x14ac:dyDescent="0.25">
      <c r="A2580" s="105" t="str">
        <f t="shared" si="40"/>
        <v/>
      </c>
      <c r="B2580" s="105" t="s">
        <v>4215</v>
      </c>
      <c r="C2580" s="105" t="s">
        <v>8</v>
      </c>
      <c r="D2580" s="105">
        <v>0</v>
      </c>
      <c r="E2580" s="105">
        <v>0</v>
      </c>
      <c r="F2580" s="105">
        <v>0</v>
      </c>
    </row>
    <row r="2581" spans="1:6" x14ac:dyDescent="0.25">
      <c r="A2581" s="105">
        <f t="shared" si="40"/>
        <v>7707280</v>
      </c>
      <c r="B2581" s="105" t="s">
        <v>4216</v>
      </c>
      <c r="C2581" s="105" t="s">
        <v>4217</v>
      </c>
      <c r="D2581" s="105">
        <v>0</v>
      </c>
      <c r="E2581" s="105">
        <v>0</v>
      </c>
      <c r="F2581" s="105">
        <v>0</v>
      </c>
    </row>
    <row r="2582" spans="1:6" x14ac:dyDescent="0.25">
      <c r="A2582" s="105">
        <f t="shared" si="40"/>
        <v>7707281</v>
      </c>
      <c r="B2582" s="105" t="s">
        <v>4218</v>
      </c>
      <c r="C2582" s="105" t="s">
        <v>4219</v>
      </c>
      <c r="D2582" s="105">
        <v>839.83</v>
      </c>
      <c r="E2582" s="105">
        <v>503.9</v>
      </c>
      <c r="F2582" s="105">
        <v>0</v>
      </c>
    </row>
    <row r="2583" spans="1:6" x14ac:dyDescent="0.25">
      <c r="A2583" s="105">
        <f t="shared" si="40"/>
        <v>7707282</v>
      </c>
      <c r="B2583" s="105" t="s">
        <v>9368</v>
      </c>
      <c r="C2583" s="105" t="s">
        <v>9369</v>
      </c>
      <c r="D2583" s="105">
        <v>265</v>
      </c>
      <c r="E2583" s="105">
        <v>159</v>
      </c>
      <c r="F2583" s="105">
        <v>0</v>
      </c>
    </row>
    <row r="2584" spans="1:6" x14ac:dyDescent="0.25">
      <c r="A2584" s="105" t="str">
        <f t="shared" si="40"/>
        <v/>
      </c>
      <c r="B2584" s="105" t="s">
        <v>4220</v>
      </c>
      <c r="C2584" s="105" t="s">
        <v>8</v>
      </c>
      <c r="D2584" s="105">
        <v>0</v>
      </c>
      <c r="E2584" s="105">
        <v>0</v>
      </c>
      <c r="F2584" s="105">
        <v>0</v>
      </c>
    </row>
    <row r="2585" spans="1:6" x14ac:dyDescent="0.25">
      <c r="A2585" s="105">
        <f t="shared" si="40"/>
        <v>7707283</v>
      </c>
      <c r="B2585" s="105" t="s">
        <v>4221</v>
      </c>
      <c r="C2585" s="105" t="s">
        <v>9370</v>
      </c>
      <c r="D2585" s="105">
        <v>0</v>
      </c>
      <c r="E2585" s="105">
        <v>0</v>
      </c>
      <c r="F2585" s="105">
        <v>0</v>
      </c>
    </row>
    <row r="2586" spans="1:6" x14ac:dyDescent="0.25">
      <c r="A2586" s="105">
        <f t="shared" si="40"/>
        <v>7707284</v>
      </c>
      <c r="B2586" s="105" t="s">
        <v>4222</v>
      </c>
      <c r="C2586" s="105" t="s">
        <v>9371</v>
      </c>
      <c r="D2586" s="105">
        <v>250</v>
      </c>
      <c r="E2586" s="105">
        <v>150</v>
      </c>
      <c r="F2586" s="105">
        <v>3</v>
      </c>
    </row>
    <row r="2587" spans="1:6" x14ac:dyDescent="0.25">
      <c r="A2587" s="105">
        <f t="shared" si="40"/>
        <v>7707285</v>
      </c>
      <c r="B2587" s="105" t="s">
        <v>4223</v>
      </c>
      <c r="C2587" s="105" t="s">
        <v>4224</v>
      </c>
      <c r="D2587" s="105">
        <v>300</v>
      </c>
      <c r="E2587" s="105">
        <v>180</v>
      </c>
      <c r="F2587" s="105">
        <v>0</v>
      </c>
    </row>
    <row r="2588" spans="1:6" x14ac:dyDescent="0.25">
      <c r="A2588" s="105">
        <f t="shared" si="40"/>
        <v>7707288</v>
      </c>
      <c r="B2588" s="105" t="s">
        <v>4225</v>
      </c>
      <c r="C2588" s="105" t="s">
        <v>4226</v>
      </c>
      <c r="D2588" s="105">
        <v>200</v>
      </c>
      <c r="E2588" s="105">
        <v>120</v>
      </c>
      <c r="F2588" s="105">
        <v>20</v>
      </c>
    </row>
    <row r="2589" spans="1:6" x14ac:dyDescent="0.25">
      <c r="A2589" s="105">
        <f t="shared" si="40"/>
        <v>7707289</v>
      </c>
      <c r="B2589" s="105" t="s">
        <v>4227</v>
      </c>
      <c r="C2589" s="105" t="s">
        <v>4228</v>
      </c>
      <c r="D2589" s="105">
        <v>734.59</v>
      </c>
      <c r="E2589" s="105">
        <v>440.75</v>
      </c>
      <c r="F2589" s="105">
        <v>0</v>
      </c>
    </row>
    <row r="2590" spans="1:6" x14ac:dyDescent="0.25">
      <c r="A2590" s="105">
        <f t="shared" si="40"/>
        <v>7707290</v>
      </c>
      <c r="B2590" s="105" t="s">
        <v>4229</v>
      </c>
      <c r="C2590" s="105" t="s">
        <v>4230</v>
      </c>
      <c r="D2590" s="105">
        <v>746.26</v>
      </c>
      <c r="E2590" s="105">
        <v>447.76</v>
      </c>
      <c r="F2590" s="105">
        <v>14</v>
      </c>
    </row>
    <row r="2591" spans="1:6" x14ac:dyDescent="0.25">
      <c r="A2591" s="105" t="str">
        <f t="shared" si="40"/>
        <v/>
      </c>
      <c r="B2591" s="105" t="s">
        <v>4231</v>
      </c>
      <c r="C2591" s="105" t="s">
        <v>8</v>
      </c>
      <c r="D2591" s="105">
        <v>0</v>
      </c>
      <c r="E2591" s="105">
        <v>0</v>
      </c>
      <c r="F2591" s="105">
        <v>0</v>
      </c>
    </row>
    <row r="2592" spans="1:6" x14ac:dyDescent="0.25">
      <c r="A2592" s="105">
        <f t="shared" si="40"/>
        <v>7707291</v>
      </c>
      <c r="B2592" s="105" t="s">
        <v>4232</v>
      </c>
      <c r="C2592" s="105" t="s">
        <v>4233</v>
      </c>
      <c r="D2592" s="105">
        <v>0</v>
      </c>
      <c r="E2592" s="105">
        <v>0</v>
      </c>
      <c r="F2592" s="105">
        <v>0</v>
      </c>
    </row>
    <row r="2593" spans="1:6" x14ac:dyDescent="0.25">
      <c r="A2593" s="105">
        <f t="shared" si="40"/>
        <v>7707292</v>
      </c>
      <c r="B2593" s="105" t="s">
        <v>4234</v>
      </c>
      <c r="C2593" s="105" t="s">
        <v>4235</v>
      </c>
      <c r="D2593" s="105">
        <v>727.12</v>
      </c>
      <c r="E2593" s="105">
        <v>436.27</v>
      </c>
      <c r="F2593" s="105">
        <v>1</v>
      </c>
    </row>
    <row r="2594" spans="1:6" x14ac:dyDescent="0.25">
      <c r="A2594" s="105">
        <f t="shared" si="40"/>
        <v>7707293</v>
      </c>
      <c r="B2594" s="105" t="s">
        <v>4236</v>
      </c>
      <c r="C2594" s="105" t="s">
        <v>4237</v>
      </c>
      <c r="D2594" s="105">
        <v>0</v>
      </c>
      <c r="E2594" s="105">
        <v>0</v>
      </c>
      <c r="F2594" s="105">
        <v>0</v>
      </c>
    </row>
    <row r="2595" spans="1:6" x14ac:dyDescent="0.25">
      <c r="A2595" s="105">
        <f t="shared" si="40"/>
        <v>7707294</v>
      </c>
      <c r="B2595" s="105" t="s">
        <v>4238</v>
      </c>
      <c r="C2595" s="105" t="s">
        <v>4239</v>
      </c>
      <c r="D2595" s="105">
        <v>707.17</v>
      </c>
      <c r="E2595" s="105">
        <v>424.3</v>
      </c>
      <c r="F2595" s="105">
        <v>0</v>
      </c>
    </row>
    <row r="2596" spans="1:6" x14ac:dyDescent="0.25">
      <c r="A2596" s="105">
        <f t="shared" si="40"/>
        <v>7707298</v>
      </c>
      <c r="B2596" s="105" t="s">
        <v>4240</v>
      </c>
      <c r="C2596" s="105" t="s">
        <v>4241</v>
      </c>
      <c r="D2596" s="105">
        <v>1484</v>
      </c>
      <c r="E2596" s="105">
        <v>890.4</v>
      </c>
      <c r="F2596" s="105">
        <v>40</v>
      </c>
    </row>
    <row r="2597" spans="1:6" x14ac:dyDescent="0.25">
      <c r="A2597" s="105">
        <f t="shared" si="40"/>
        <v>7707299</v>
      </c>
      <c r="B2597" s="105" t="s">
        <v>4242</v>
      </c>
      <c r="C2597" s="105" t="s">
        <v>4243</v>
      </c>
      <c r="D2597" s="105">
        <v>741.19</v>
      </c>
      <c r="E2597" s="105">
        <v>444.71</v>
      </c>
      <c r="F2597" s="105">
        <v>0</v>
      </c>
    </row>
    <row r="2598" spans="1:6" x14ac:dyDescent="0.25">
      <c r="A2598" s="105">
        <f t="shared" si="40"/>
        <v>7707318</v>
      </c>
      <c r="B2598" s="105" t="s">
        <v>4244</v>
      </c>
      <c r="C2598" s="105" t="s">
        <v>4245</v>
      </c>
      <c r="D2598" s="105">
        <v>839.83</v>
      </c>
      <c r="E2598" s="105">
        <v>503.9</v>
      </c>
      <c r="F2598" s="105">
        <v>0</v>
      </c>
    </row>
    <row r="2599" spans="1:6" x14ac:dyDescent="0.25">
      <c r="A2599" s="105">
        <f t="shared" si="40"/>
        <v>7707319</v>
      </c>
      <c r="B2599" s="105" t="s">
        <v>4246</v>
      </c>
      <c r="C2599" s="105" t="s">
        <v>4245</v>
      </c>
      <c r="D2599" s="105">
        <v>839.83</v>
      </c>
      <c r="E2599" s="105">
        <v>503.9</v>
      </c>
      <c r="F2599" s="105">
        <v>0</v>
      </c>
    </row>
    <row r="2600" spans="1:6" x14ac:dyDescent="0.25">
      <c r="A2600" s="105">
        <f t="shared" si="40"/>
        <v>7707320</v>
      </c>
      <c r="B2600" s="105" t="s">
        <v>4247</v>
      </c>
      <c r="C2600" s="105" t="s">
        <v>4248</v>
      </c>
      <c r="D2600" s="105">
        <v>907.57</v>
      </c>
      <c r="E2600" s="105">
        <v>544.54</v>
      </c>
      <c r="F2600" s="105">
        <v>0</v>
      </c>
    </row>
    <row r="2601" spans="1:6" x14ac:dyDescent="0.25">
      <c r="A2601" s="105">
        <f t="shared" si="40"/>
        <v>7707321</v>
      </c>
      <c r="B2601" s="105" t="s">
        <v>4249</v>
      </c>
      <c r="C2601" s="105" t="s">
        <v>4250</v>
      </c>
      <c r="D2601" s="105">
        <v>998.33</v>
      </c>
      <c r="E2601" s="105">
        <v>599</v>
      </c>
      <c r="F2601" s="105">
        <v>0</v>
      </c>
    </row>
    <row r="2602" spans="1:6" x14ac:dyDescent="0.25">
      <c r="A2602" s="105">
        <f t="shared" si="40"/>
        <v>7707322</v>
      </c>
      <c r="B2602" s="105" t="s">
        <v>4251</v>
      </c>
      <c r="C2602" s="105" t="s">
        <v>4252</v>
      </c>
      <c r="D2602" s="105">
        <v>750.07</v>
      </c>
      <c r="E2602" s="105">
        <v>450.04</v>
      </c>
      <c r="F2602" s="105">
        <v>0</v>
      </c>
    </row>
    <row r="2603" spans="1:6" x14ac:dyDescent="0.25">
      <c r="A2603" s="105">
        <f t="shared" si="40"/>
        <v>7707324</v>
      </c>
      <c r="B2603" s="105" t="s">
        <v>4253</v>
      </c>
      <c r="C2603" s="105" t="s">
        <v>4254</v>
      </c>
      <c r="D2603" s="105">
        <v>750.07</v>
      </c>
      <c r="E2603" s="105">
        <v>450.04</v>
      </c>
      <c r="F2603" s="105">
        <v>0</v>
      </c>
    </row>
    <row r="2604" spans="1:6" x14ac:dyDescent="0.25">
      <c r="A2604" s="105">
        <f t="shared" si="40"/>
        <v>7707325</v>
      </c>
      <c r="B2604" s="105" t="s">
        <v>4255</v>
      </c>
      <c r="C2604" s="105" t="s">
        <v>4256</v>
      </c>
      <c r="D2604" s="105">
        <v>750.08</v>
      </c>
      <c r="E2604" s="105">
        <v>450.05</v>
      </c>
      <c r="F2604" s="105">
        <v>0</v>
      </c>
    </row>
    <row r="2605" spans="1:6" x14ac:dyDescent="0.25">
      <c r="A2605" s="105">
        <f t="shared" si="40"/>
        <v>7707333</v>
      </c>
      <c r="B2605" s="105" t="s">
        <v>4257</v>
      </c>
      <c r="C2605" s="105" t="s">
        <v>4258</v>
      </c>
      <c r="D2605" s="105">
        <v>795</v>
      </c>
      <c r="E2605" s="105">
        <v>477</v>
      </c>
      <c r="F2605" s="105">
        <v>0</v>
      </c>
    </row>
    <row r="2606" spans="1:6" x14ac:dyDescent="0.25">
      <c r="A2606" s="105" t="str">
        <f t="shared" si="40"/>
        <v/>
      </c>
      <c r="B2606" s="105" t="s">
        <v>4259</v>
      </c>
      <c r="C2606" s="105" t="s">
        <v>8</v>
      </c>
      <c r="D2606" s="105">
        <v>0</v>
      </c>
      <c r="E2606" s="105">
        <v>0</v>
      </c>
      <c r="F2606" s="105">
        <v>0</v>
      </c>
    </row>
    <row r="2607" spans="1:6" x14ac:dyDescent="0.25">
      <c r="A2607" s="105">
        <f t="shared" si="40"/>
        <v>7707349</v>
      </c>
      <c r="B2607" s="105" t="s">
        <v>4260</v>
      </c>
      <c r="C2607" s="105" t="s">
        <v>4261</v>
      </c>
      <c r="D2607" s="105">
        <v>0</v>
      </c>
      <c r="E2607" s="105">
        <v>0</v>
      </c>
      <c r="F2607" s="105">
        <v>0</v>
      </c>
    </row>
    <row r="2608" spans="1:6" x14ac:dyDescent="0.25">
      <c r="A2608" s="105" t="str">
        <f t="shared" si="40"/>
        <v/>
      </c>
      <c r="B2608" s="105" t="s">
        <v>4262</v>
      </c>
      <c r="C2608" s="105" t="s">
        <v>8</v>
      </c>
      <c r="D2608" s="105">
        <v>0</v>
      </c>
      <c r="E2608" s="105">
        <v>0</v>
      </c>
      <c r="F2608" s="105">
        <v>0</v>
      </c>
    </row>
    <row r="2609" spans="1:6" x14ac:dyDescent="0.25">
      <c r="A2609" s="105">
        <f t="shared" si="40"/>
        <v>7707350</v>
      </c>
      <c r="B2609" s="105" t="s">
        <v>4263</v>
      </c>
      <c r="C2609" s="105" t="s">
        <v>4264</v>
      </c>
      <c r="D2609" s="105">
        <v>0</v>
      </c>
      <c r="E2609" s="105">
        <v>0</v>
      </c>
      <c r="F2609" s="105">
        <v>0</v>
      </c>
    </row>
    <row r="2610" spans="1:6" x14ac:dyDescent="0.25">
      <c r="A2610" s="105">
        <f t="shared" si="40"/>
        <v>7707357</v>
      </c>
      <c r="B2610" s="105" t="s">
        <v>4265</v>
      </c>
      <c r="C2610" s="105" t="s">
        <v>4266</v>
      </c>
      <c r="D2610" s="105">
        <v>371</v>
      </c>
      <c r="E2610" s="105">
        <v>222.6</v>
      </c>
      <c r="F2610" s="105">
        <v>25</v>
      </c>
    </row>
    <row r="2611" spans="1:6" x14ac:dyDescent="0.25">
      <c r="A2611" s="105">
        <f t="shared" si="40"/>
        <v>7707368</v>
      </c>
      <c r="B2611" s="105" t="s">
        <v>4267</v>
      </c>
      <c r="C2611" s="105" t="s">
        <v>4268</v>
      </c>
      <c r="D2611" s="105">
        <v>199.78</v>
      </c>
      <c r="E2611" s="105">
        <v>119.87</v>
      </c>
      <c r="F2611" s="105">
        <v>19</v>
      </c>
    </row>
    <row r="2612" spans="1:6" x14ac:dyDescent="0.25">
      <c r="A2612" s="105">
        <f t="shared" si="40"/>
        <v>7707426</v>
      </c>
      <c r="B2612" s="105" t="s">
        <v>4269</v>
      </c>
      <c r="C2612" s="105" t="s">
        <v>4270</v>
      </c>
      <c r="D2612" s="105">
        <v>231.49</v>
      </c>
      <c r="E2612" s="105">
        <v>138.88999999999999</v>
      </c>
      <c r="F2612" s="105">
        <v>4</v>
      </c>
    </row>
    <row r="2613" spans="1:6" x14ac:dyDescent="0.25">
      <c r="A2613" s="105" t="str">
        <f t="shared" si="40"/>
        <v/>
      </c>
      <c r="B2613" s="105" t="s">
        <v>4271</v>
      </c>
      <c r="C2613" s="105" t="s">
        <v>8</v>
      </c>
      <c r="D2613" s="105">
        <v>0</v>
      </c>
      <c r="E2613" s="105">
        <v>0</v>
      </c>
      <c r="F2613" s="105">
        <v>0</v>
      </c>
    </row>
    <row r="2614" spans="1:6" x14ac:dyDescent="0.25">
      <c r="A2614" s="105">
        <f t="shared" si="40"/>
        <v>7707444</v>
      </c>
      <c r="B2614" s="105" t="s">
        <v>4272</v>
      </c>
      <c r="C2614" s="105" t="s">
        <v>4273</v>
      </c>
      <c r="D2614" s="105">
        <v>0</v>
      </c>
      <c r="E2614" s="105">
        <v>0</v>
      </c>
      <c r="F2614" s="105">
        <v>0</v>
      </c>
    </row>
    <row r="2615" spans="1:6" x14ac:dyDescent="0.25">
      <c r="A2615" s="105">
        <f t="shared" si="40"/>
        <v>7707450</v>
      </c>
      <c r="B2615" s="105" t="s">
        <v>4274</v>
      </c>
      <c r="C2615" s="105" t="s">
        <v>4275</v>
      </c>
      <c r="D2615" s="105">
        <v>371</v>
      </c>
      <c r="E2615" s="105">
        <v>222.6</v>
      </c>
      <c r="F2615" s="105">
        <v>0</v>
      </c>
    </row>
    <row r="2616" spans="1:6" x14ac:dyDescent="0.25">
      <c r="A2616" s="105">
        <f t="shared" si="40"/>
        <v>7707451</v>
      </c>
      <c r="B2616" s="105" t="s">
        <v>4276</v>
      </c>
      <c r="C2616" s="105" t="s">
        <v>4277</v>
      </c>
      <c r="D2616" s="105">
        <v>149.99</v>
      </c>
      <c r="E2616" s="105">
        <v>89.99</v>
      </c>
      <c r="F2616" s="105">
        <v>0</v>
      </c>
    </row>
    <row r="2617" spans="1:6" x14ac:dyDescent="0.25">
      <c r="A2617" s="105">
        <f t="shared" si="40"/>
        <v>7707452</v>
      </c>
      <c r="B2617" s="105" t="s">
        <v>4278</v>
      </c>
      <c r="C2617" s="105" t="s">
        <v>4279</v>
      </c>
      <c r="D2617" s="105">
        <v>151.25</v>
      </c>
      <c r="E2617" s="105">
        <v>90.75</v>
      </c>
      <c r="F2617" s="105">
        <v>67</v>
      </c>
    </row>
    <row r="2618" spans="1:6" x14ac:dyDescent="0.25">
      <c r="A2618" s="105">
        <f t="shared" si="40"/>
        <v>7707453</v>
      </c>
      <c r="B2618" s="105" t="s">
        <v>4280</v>
      </c>
      <c r="C2618" s="105" t="s">
        <v>4281</v>
      </c>
      <c r="D2618" s="105">
        <v>166.27</v>
      </c>
      <c r="E2618" s="105">
        <v>99.76</v>
      </c>
      <c r="F2618" s="105">
        <v>5</v>
      </c>
    </row>
    <row r="2619" spans="1:6" x14ac:dyDescent="0.25">
      <c r="A2619" s="105">
        <f t="shared" si="40"/>
        <v>7707502</v>
      </c>
      <c r="B2619" s="105" t="s">
        <v>4282</v>
      </c>
      <c r="C2619" s="105" t="s">
        <v>4283</v>
      </c>
      <c r="D2619" s="105">
        <v>233.2</v>
      </c>
      <c r="E2619" s="105">
        <v>139.91999999999999</v>
      </c>
      <c r="F2619" s="105">
        <v>125</v>
      </c>
    </row>
    <row r="2620" spans="1:6" x14ac:dyDescent="0.25">
      <c r="A2620" s="105" t="str">
        <f t="shared" si="40"/>
        <v/>
      </c>
      <c r="B2620" s="105" t="s">
        <v>4284</v>
      </c>
      <c r="C2620" s="105" t="s">
        <v>8</v>
      </c>
      <c r="D2620" s="105">
        <v>0</v>
      </c>
      <c r="E2620" s="105">
        <v>0</v>
      </c>
      <c r="F2620" s="105">
        <v>0</v>
      </c>
    </row>
    <row r="2621" spans="1:6" x14ac:dyDescent="0.25">
      <c r="A2621" s="105">
        <f t="shared" si="40"/>
        <v>7707503</v>
      </c>
      <c r="B2621" s="105" t="s">
        <v>4285</v>
      </c>
      <c r="C2621" s="105" t="s">
        <v>4286</v>
      </c>
      <c r="D2621" s="105">
        <v>265</v>
      </c>
      <c r="E2621" s="105">
        <v>159</v>
      </c>
      <c r="F2621" s="105">
        <v>0</v>
      </c>
    </row>
    <row r="2622" spans="1:6" x14ac:dyDescent="0.25">
      <c r="A2622" s="105">
        <f t="shared" si="40"/>
        <v>7707504</v>
      </c>
      <c r="B2622" s="105" t="s">
        <v>4287</v>
      </c>
      <c r="C2622" s="105" t="s">
        <v>4288</v>
      </c>
      <c r="D2622" s="105">
        <v>250</v>
      </c>
      <c r="E2622" s="105">
        <v>150</v>
      </c>
      <c r="F2622" s="105">
        <v>157</v>
      </c>
    </row>
    <row r="2623" spans="1:6" x14ac:dyDescent="0.25">
      <c r="A2623" s="105">
        <f t="shared" si="40"/>
        <v>7707505</v>
      </c>
      <c r="B2623" s="105" t="s">
        <v>4289</v>
      </c>
      <c r="C2623" s="105" t="s">
        <v>4290</v>
      </c>
      <c r="D2623" s="105">
        <v>300</v>
      </c>
      <c r="E2623" s="105">
        <v>180</v>
      </c>
      <c r="F2623" s="105">
        <v>98</v>
      </c>
    </row>
    <row r="2624" spans="1:6" x14ac:dyDescent="0.25">
      <c r="A2624" s="105">
        <f t="shared" si="40"/>
        <v>7707508</v>
      </c>
      <c r="B2624" s="105" t="s">
        <v>4291</v>
      </c>
      <c r="C2624" s="105" t="s">
        <v>9372</v>
      </c>
      <c r="D2624" s="105">
        <v>200</v>
      </c>
      <c r="E2624" s="105">
        <v>120</v>
      </c>
      <c r="F2624" s="105">
        <v>125</v>
      </c>
    </row>
    <row r="2625" spans="1:6" x14ac:dyDescent="0.25">
      <c r="A2625" s="105">
        <f t="shared" si="40"/>
        <v>7707511</v>
      </c>
      <c r="B2625" s="105" t="s">
        <v>4292</v>
      </c>
      <c r="C2625" s="105" t="s">
        <v>4293</v>
      </c>
      <c r="D2625" s="105">
        <v>500.03</v>
      </c>
      <c r="E2625" s="105">
        <v>300.02</v>
      </c>
      <c r="F2625" s="105">
        <v>0</v>
      </c>
    </row>
    <row r="2626" spans="1:6" x14ac:dyDescent="0.25">
      <c r="A2626" s="105">
        <f t="shared" si="40"/>
        <v>7707518</v>
      </c>
      <c r="B2626" s="105" t="s">
        <v>4294</v>
      </c>
      <c r="C2626" s="105" t="s">
        <v>4295</v>
      </c>
      <c r="D2626" s="105">
        <v>734.59</v>
      </c>
      <c r="E2626" s="105">
        <v>440.75</v>
      </c>
      <c r="F2626" s="105">
        <v>1</v>
      </c>
    </row>
    <row r="2627" spans="1:6" x14ac:dyDescent="0.25">
      <c r="A2627" s="105">
        <f t="shared" ref="A2627:A2690" si="41">IF(B2627&lt;&gt;"",IFERROR(B2627*1,""),"")</f>
        <v>7707519</v>
      </c>
      <c r="B2627" s="105" t="s">
        <v>4296</v>
      </c>
      <c r="C2627" s="105" t="s">
        <v>4297</v>
      </c>
      <c r="D2627" s="105">
        <v>1272</v>
      </c>
      <c r="E2627" s="105">
        <v>763.2</v>
      </c>
      <c r="F2627" s="105">
        <v>30</v>
      </c>
    </row>
    <row r="2628" spans="1:6" x14ac:dyDescent="0.25">
      <c r="A2628" s="105">
        <f t="shared" si="41"/>
        <v>7707521</v>
      </c>
      <c r="B2628" s="105" t="s">
        <v>4298</v>
      </c>
      <c r="C2628" s="105" t="s">
        <v>4299</v>
      </c>
      <c r="D2628" s="105">
        <v>222.6</v>
      </c>
      <c r="E2628" s="105">
        <v>133.56</v>
      </c>
      <c r="F2628" s="105">
        <v>1467</v>
      </c>
    </row>
    <row r="2629" spans="1:6" x14ac:dyDescent="0.25">
      <c r="A2629" s="105">
        <f t="shared" si="41"/>
        <v>7707522</v>
      </c>
      <c r="B2629" s="105" t="s">
        <v>4300</v>
      </c>
      <c r="C2629" s="105" t="s">
        <v>4301</v>
      </c>
      <c r="D2629" s="105">
        <v>150</v>
      </c>
      <c r="E2629" s="105">
        <v>90</v>
      </c>
      <c r="F2629" s="105">
        <v>200</v>
      </c>
    </row>
    <row r="2630" spans="1:6" x14ac:dyDescent="0.25">
      <c r="A2630" s="105" t="str">
        <f t="shared" si="41"/>
        <v/>
      </c>
      <c r="B2630" s="105" t="s">
        <v>4302</v>
      </c>
      <c r="C2630" s="105" t="s">
        <v>8</v>
      </c>
      <c r="D2630" s="105">
        <v>0</v>
      </c>
      <c r="E2630" s="105">
        <v>0</v>
      </c>
      <c r="F2630" s="105">
        <v>0</v>
      </c>
    </row>
    <row r="2631" spans="1:6" x14ac:dyDescent="0.25">
      <c r="A2631" s="105">
        <f t="shared" si="41"/>
        <v>7707523</v>
      </c>
      <c r="B2631" s="105" t="s">
        <v>4303</v>
      </c>
      <c r="C2631" s="105" t="s">
        <v>4304</v>
      </c>
      <c r="D2631" s="105">
        <v>0</v>
      </c>
      <c r="E2631" s="105">
        <v>0</v>
      </c>
      <c r="F2631" s="105">
        <v>0</v>
      </c>
    </row>
    <row r="2632" spans="1:6" x14ac:dyDescent="0.25">
      <c r="A2632" s="105">
        <f t="shared" si="41"/>
        <v>7707524</v>
      </c>
      <c r="B2632" s="105" t="s">
        <v>4305</v>
      </c>
      <c r="C2632" s="105" t="s">
        <v>4306</v>
      </c>
      <c r="D2632" s="105">
        <v>145.22999999999999</v>
      </c>
      <c r="E2632" s="105">
        <v>87.14</v>
      </c>
      <c r="F2632" s="105">
        <v>4</v>
      </c>
    </row>
    <row r="2633" spans="1:6" x14ac:dyDescent="0.25">
      <c r="A2633" s="105" t="str">
        <f t="shared" si="41"/>
        <v/>
      </c>
      <c r="B2633" s="105" t="s">
        <v>4307</v>
      </c>
      <c r="C2633" s="105" t="s">
        <v>8</v>
      </c>
      <c r="D2633" s="105">
        <v>0</v>
      </c>
      <c r="E2633" s="105">
        <v>0</v>
      </c>
      <c r="F2633" s="105">
        <v>0</v>
      </c>
    </row>
    <row r="2634" spans="1:6" x14ac:dyDescent="0.25">
      <c r="A2634" s="105">
        <f t="shared" si="41"/>
        <v>7707525</v>
      </c>
      <c r="B2634" s="105" t="s">
        <v>4308</v>
      </c>
      <c r="C2634" s="105" t="s">
        <v>4309</v>
      </c>
      <c r="D2634" s="105">
        <v>0</v>
      </c>
      <c r="E2634" s="105">
        <v>0</v>
      </c>
      <c r="F2634" s="105">
        <v>0</v>
      </c>
    </row>
    <row r="2635" spans="1:6" x14ac:dyDescent="0.25">
      <c r="A2635" s="105" t="str">
        <f t="shared" si="41"/>
        <v/>
      </c>
      <c r="B2635" s="105" t="s">
        <v>4310</v>
      </c>
      <c r="C2635" s="105" t="s">
        <v>8</v>
      </c>
      <c r="D2635" s="105">
        <v>0</v>
      </c>
      <c r="E2635" s="105">
        <v>0</v>
      </c>
      <c r="F2635" s="105">
        <v>0</v>
      </c>
    </row>
    <row r="2636" spans="1:6" x14ac:dyDescent="0.25">
      <c r="A2636" s="105">
        <f t="shared" si="41"/>
        <v>7707526</v>
      </c>
      <c r="B2636" s="105" t="s">
        <v>4311</v>
      </c>
      <c r="C2636" s="105" t="s">
        <v>4312</v>
      </c>
      <c r="D2636" s="105">
        <v>0</v>
      </c>
      <c r="E2636" s="105">
        <v>0</v>
      </c>
      <c r="F2636" s="105">
        <v>0</v>
      </c>
    </row>
    <row r="2637" spans="1:6" x14ac:dyDescent="0.25">
      <c r="A2637" s="105">
        <f t="shared" si="41"/>
        <v>7707528</v>
      </c>
      <c r="B2637" s="105" t="s">
        <v>4313</v>
      </c>
      <c r="C2637" s="105" t="s">
        <v>4314</v>
      </c>
      <c r="D2637" s="105">
        <v>250.02</v>
      </c>
      <c r="E2637" s="105">
        <v>150.01</v>
      </c>
      <c r="F2637" s="105">
        <v>20</v>
      </c>
    </row>
    <row r="2638" spans="1:6" x14ac:dyDescent="0.25">
      <c r="A2638" s="105">
        <f t="shared" si="41"/>
        <v>7707529</v>
      </c>
      <c r="B2638" s="105" t="s">
        <v>4315</v>
      </c>
      <c r="C2638" s="105" t="s">
        <v>4316</v>
      </c>
      <c r="D2638" s="105">
        <v>707.17</v>
      </c>
      <c r="E2638" s="105">
        <v>424.3</v>
      </c>
      <c r="F2638" s="105">
        <v>0</v>
      </c>
    </row>
    <row r="2639" spans="1:6" x14ac:dyDescent="0.25">
      <c r="A2639" s="105">
        <f t="shared" si="41"/>
        <v>7707532</v>
      </c>
      <c r="B2639" s="105" t="s">
        <v>4317</v>
      </c>
      <c r="C2639" s="105" t="s">
        <v>4318</v>
      </c>
      <c r="D2639" s="105">
        <v>1272</v>
      </c>
      <c r="E2639" s="105">
        <v>763.2</v>
      </c>
      <c r="F2639" s="105">
        <v>68</v>
      </c>
    </row>
    <row r="2640" spans="1:6" x14ac:dyDescent="0.25">
      <c r="A2640" s="105">
        <f t="shared" si="41"/>
        <v>7707533</v>
      </c>
      <c r="B2640" s="105" t="s">
        <v>4319</v>
      </c>
      <c r="C2640" s="105" t="s">
        <v>4320</v>
      </c>
      <c r="D2640" s="105">
        <v>2756</v>
      </c>
      <c r="E2640" s="105">
        <v>1653.6</v>
      </c>
      <c r="F2640" s="105">
        <v>0</v>
      </c>
    </row>
    <row r="2641" spans="1:6" x14ac:dyDescent="0.25">
      <c r="A2641" s="105" t="str">
        <f t="shared" si="41"/>
        <v/>
      </c>
      <c r="B2641" s="105" t="s">
        <v>4321</v>
      </c>
      <c r="C2641" s="105" t="s">
        <v>8</v>
      </c>
      <c r="D2641" s="105">
        <v>0</v>
      </c>
      <c r="E2641" s="105">
        <v>0</v>
      </c>
      <c r="F2641" s="105">
        <v>0</v>
      </c>
    </row>
    <row r="2642" spans="1:6" x14ac:dyDescent="0.25">
      <c r="A2642" s="105">
        <f t="shared" si="41"/>
        <v>7707536</v>
      </c>
      <c r="B2642" s="105" t="s">
        <v>4322</v>
      </c>
      <c r="C2642" s="105" t="s">
        <v>4323</v>
      </c>
      <c r="D2642" s="105">
        <v>0</v>
      </c>
      <c r="E2642" s="105">
        <v>0</v>
      </c>
      <c r="F2642" s="105">
        <v>0</v>
      </c>
    </row>
    <row r="2643" spans="1:6" x14ac:dyDescent="0.25">
      <c r="A2643" s="105">
        <f t="shared" si="41"/>
        <v>7707545</v>
      </c>
      <c r="B2643" s="105" t="s">
        <v>4324</v>
      </c>
      <c r="C2643" s="105" t="s">
        <v>4325</v>
      </c>
      <c r="D2643" s="105">
        <v>231.49</v>
      </c>
      <c r="E2643" s="105">
        <v>138.88999999999999</v>
      </c>
      <c r="F2643" s="105">
        <v>0</v>
      </c>
    </row>
    <row r="2644" spans="1:6" x14ac:dyDescent="0.25">
      <c r="A2644" s="105">
        <f t="shared" si="41"/>
        <v>7707547</v>
      </c>
      <c r="B2644" s="105" t="s">
        <v>4326</v>
      </c>
      <c r="C2644" s="105" t="s">
        <v>4327</v>
      </c>
      <c r="D2644" s="105">
        <v>124.84</v>
      </c>
      <c r="E2644" s="105">
        <v>74.900000000000006</v>
      </c>
      <c r="F2644" s="105">
        <v>32</v>
      </c>
    </row>
    <row r="2645" spans="1:6" x14ac:dyDescent="0.25">
      <c r="A2645" s="105">
        <f t="shared" si="41"/>
        <v>7707550</v>
      </c>
      <c r="B2645" s="105" t="s">
        <v>4328</v>
      </c>
      <c r="C2645" s="105" t="s">
        <v>4329</v>
      </c>
      <c r="D2645" s="105">
        <v>1897.4</v>
      </c>
      <c r="E2645" s="105">
        <v>1138.44</v>
      </c>
      <c r="F2645" s="105">
        <v>0</v>
      </c>
    </row>
    <row r="2646" spans="1:6" x14ac:dyDescent="0.25">
      <c r="A2646" s="105">
        <f t="shared" si="41"/>
        <v>7707552</v>
      </c>
      <c r="B2646" s="105" t="s">
        <v>4330</v>
      </c>
      <c r="C2646" s="105" t="s">
        <v>4331</v>
      </c>
      <c r="D2646" s="105">
        <v>265</v>
      </c>
      <c r="E2646" s="105">
        <v>159</v>
      </c>
      <c r="F2646" s="105">
        <v>10</v>
      </c>
    </row>
    <row r="2647" spans="1:6" x14ac:dyDescent="0.25">
      <c r="A2647" s="105">
        <f t="shared" si="41"/>
        <v>7707553</v>
      </c>
      <c r="B2647" s="105" t="s">
        <v>4332</v>
      </c>
      <c r="C2647" s="105" t="s">
        <v>4333</v>
      </c>
      <c r="D2647" s="105">
        <v>0</v>
      </c>
      <c r="E2647" s="105">
        <v>0</v>
      </c>
      <c r="F2647" s="105">
        <v>0</v>
      </c>
    </row>
    <row r="2648" spans="1:6" x14ac:dyDescent="0.25">
      <c r="A2648" s="105" t="str">
        <f t="shared" si="41"/>
        <v/>
      </c>
      <c r="B2648" s="105" t="s">
        <v>4334</v>
      </c>
      <c r="C2648" s="105" t="s">
        <v>8</v>
      </c>
      <c r="D2648" s="105">
        <v>0</v>
      </c>
      <c r="E2648" s="105">
        <v>0</v>
      </c>
      <c r="F2648" s="105">
        <v>0</v>
      </c>
    </row>
    <row r="2649" spans="1:6" x14ac:dyDescent="0.25">
      <c r="A2649" s="105">
        <f t="shared" si="41"/>
        <v>7707555</v>
      </c>
      <c r="B2649" s="105" t="s">
        <v>4335</v>
      </c>
      <c r="C2649" s="105" t="s">
        <v>4336</v>
      </c>
      <c r="D2649" s="105">
        <v>0</v>
      </c>
      <c r="E2649" s="105">
        <v>0</v>
      </c>
      <c r="F2649" s="105">
        <v>0</v>
      </c>
    </row>
    <row r="2650" spans="1:6" x14ac:dyDescent="0.25">
      <c r="A2650" s="105">
        <f t="shared" si="41"/>
        <v>7707556</v>
      </c>
      <c r="B2650" s="105" t="s">
        <v>4337</v>
      </c>
      <c r="C2650" s="105" t="s">
        <v>4338</v>
      </c>
      <c r="D2650" s="105">
        <v>159</v>
      </c>
      <c r="E2650" s="105">
        <v>95.4</v>
      </c>
      <c r="F2650" s="105">
        <v>161</v>
      </c>
    </row>
    <row r="2651" spans="1:6" x14ac:dyDescent="0.25">
      <c r="A2651" s="105">
        <f t="shared" si="41"/>
        <v>7707557</v>
      </c>
      <c r="B2651" s="105" t="s">
        <v>4339</v>
      </c>
      <c r="C2651" s="105" t="s">
        <v>4340</v>
      </c>
      <c r="D2651" s="105">
        <v>159</v>
      </c>
      <c r="E2651" s="105">
        <v>95.4</v>
      </c>
      <c r="F2651" s="105">
        <v>275</v>
      </c>
    </row>
    <row r="2652" spans="1:6" x14ac:dyDescent="0.25">
      <c r="A2652" s="105">
        <f t="shared" si="41"/>
        <v>7707562</v>
      </c>
      <c r="B2652" s="105" t="s">
        <v>4341</v>
      </c>
      <c r="C2652" s="105" t="s">
        <v>4342</v>
      </c>
      <c r="D2652" s="105">
        <v>1062.6099999999999</v>
      </c>
      <c r="E2652" s="105">
        <v>637.57000000000005</v>
      </c>
      <c r="F2652" s="105">
        <v>31</v>
      </c>
    </row>
    <row r="2653" spans="1:6" x14ac:dyDescent="0.25">
      <c r="A2653" s="105">
        <f t="shared" si="41"/>
        <v>7707563</v>
      </c>
      <c r="B2653" s="105" t="s">
        <v>4343</v>
      </c>
      <c r="C2653" s="105" t="s">
        <v>4344</v>
      </c>
      <c r="D2653" s="105">
        <v>178.92</v>
      </c>
      <c r="E2653" s="105">
        <v>107.35</v>
      </c>
      <c r="F2653" s="105">
        <v>19</v>
      </c>
    </row>
    <row r="2654" spans="1:6" x14ac:dyDescent="0.25">
      <c r="A2654" s="105">
        <f t="shared" si="41"/>
        <v>7707565</v>
      </c>
      <c r="B2654" s="105" t="s">
        <v>4345</v>
      </c>
      <c r="C2654" s="105" t="s">
        <v>4346</v>
      </c>
      <c r="D2654" s="105">
        <v>157.88</v>
      </c>
      <c r="E2654" s="105">
        <v>94.73</v>
      </c>
      <c r="F2654" s="105">
        <v>0</v>
      </c>
    </row>
    <row r="2655" spans="1:6" x14ac:dyDescent="0.25">
      <c r="A2655" s="105">
        <f t="shared" si="41"/>
        <v>7707566</v>
      </c>
      <c r="B2655" s="105" t="s">
        <v>4347</v>
      </c>
      <c r="C2655" s="105" t="s">
        <v>4348</v>
      </c>
      <c r="D2655" s="105">
        <v>400</v>
      </c>
      <c r="E2655" s="105">
        <v>240</v>
      </c>
      <c r="F2655" s="105">
        <v>21</v>
      </c>
    </row>
    <row r="2656" spans="1:6" x14ac:dyDescent="0.25">
      <c r="A2656" s="105">
        <f t="shared" si="41"/>
        <v>7707567</v>
      </c>
      <c r="B2656" s="105" t="s">
        <v>4349</v>
      </c>
      <c r="C2656" s="105" t="s">
        <v>4350</v>
      </c>
      <c r="D2656" s="105">
        <v>731.4</v>
      </c>
      <c r="E2656" s="105">
        <v>438.84</v>
      </c>
      <c r="F2656" s="105">
        <v>2</v>
      </c>
    </row>
    <row r="2657" spans="1:6" x14ac:dyDescent="0.25">
      <c r="A2657" s="105">
        <f t="shared" si="41"/>
        <v>7707568</v>
      </c>
      <c r="B2657" s="105" t="s">
        <v>4351</v>
      </c>
      <c r="C2657" s="105" t="s">
        <v>4352</v>
      </c>
      <c r="D2657" s="105">
        <v>2250.21</v>
      </c>
      <c r="E2657" s="105">
        <v>1350.13</v>
      </c>
      <c r="F2657" s="105">
        <v>0</v>
      </c>
    </row>
    <row r="2658" spans="1:6" x14ac:dyDescent="0.25">
      <c r="A2658" s="105">
        <f t="shared" si="41"/>
        <v>7707569</v>
      </c>
      <c r="B2658" s="105" t="s">
        <v>4353</v>
      </c>
      <c r="C2658" s="105" t="s">
        <v>4354</v>
      </c>
      <c r="D2658" s="105">
        <v>349.8</v>
      </c>
      <c r="E2658" s="105">
        <v>209.88</v>
      </c>
      <c r="F2658" s="105">
        <v>10</v>
      </c>
    </row>
    <row r="2659" spans="1:6" x14ac:dyDescent="0.25">
      <c r="A2659" s="105">
        <f t="shared" si="41"/>
        <v>7707570</v>
      </c>
      <c r="B2659" s="105" t="s">
        <v>4355</v>
      </c>
      <c r="C2659" s="105" t="s">
        <v>4356</v>
      </c>
      <c r="D2659" s="105">
        <v>296.8</v>
      </c>
      <c r="E2659" s="105">
        <v>178.08</v>
      </c>
      <c r="F2659" s="105">
        <v>51</v>
      </c>
    </row>
    <row r="2660" spans="1:6" x14ac:dyDescent="0.25">
      <c r="A2660" s="105">
        <f t="shared" si="41"/>
        <v>7707571</v>
      </c>
      <c r="B2660" s="105" t="s">
        <v>4357</v>
      </c>
      <c r="C2660" s="105" t="s">
        <v>4358</v>
      </c>
      <c r="D2660" s="105">
        <v>312.52999999999997</v>
      </c>
      <c r="E2660" s="105">
        <v>187.52</v>
      </c>
      <c r="F2660" s="105">
        <v>39</v>
      </c>
    </row>
    <row r="2661" spans="1:6" x14ac:dyDescent="0.25">
      <c r="A2661" s="105">
        <f t="shared" si="41"/>
        <v>7707572</v>
      </c>
      <c r="B2661" s="105" t="s">
        <v>4359</v>
      </c>
      <c r="C2661" s="105" t="s">
        <v>4360</v>
      </c>
      <c r="D2661" s="105">
        <v>166.39</v>
      </c>
      <c r="E2661" s="105">
        <v>99.83</v>
      </c>
      <c r="F2661" s="105">
        <v>0</v>
      </c>
    </row>
    <row r="2662" spans="1:6" x14ac:dyDescent="0.25">
      <c r="A2662" s="105">
        <f t="shared" si="41"/>
        <v>7707582</v>
      </c>
      <c r="B2662" s="105" t="s">
        <v>4361</v>
      </c>
      <c r="C2662" s="105" t="s">
        <v>4362</v>
      </c>
      <c r="D2662" s="105">
        <v>149.85</v>
      </c>
      <c r="E2662" s="105">
        <v>89.91</v>
      </c>
      <c r="F2662" s="105">
        <v>63</v>
      </c>
    </row>
    <row r="2663" spans="1:6" x14ac:dyDescent="0.25">
      <c r="A2663" s="105" t="str">
        <f t="shared" si="41"/>
        <v/>
      </c>
      <c r="B2663" s="105" t="s">
        <v>4363</v>
      </c>
      <c r="C2663" s="105" t="s">
        <v>8</v>
      </c>
      <c r="D2663" s="105">
        <v>0</v>
      </c>
      <c r="E2663" s="105">
        <v>0</v>
      </c>
      <c r="F2663" s="105">
        <v>0</v>
      </c>
    </row>
    <row r="2664" spans="1:6" x14ac:dyDescent="0.25">
      <c r="A2664" s="105">
        <f t="shared" si="41"/>
        <v>7707583</v>
      </c>
      <c r="B2664" s="105" t="s">
        <v>4364</v>
      </c>
      <c r="C2664" s="105" t="s">
        <v>4365</v>
      </c>
      <c r="D2664" s="105">
        <v>0</v>
      </c>
      <c r="E2664" s="105">
        <v>0</v>
      </c>
      <c r="F2664" s="105">
        <v>0</v>
      </c>
    </row>
    <row r="2665" spans="1:6" x14ac:dyDescent="0.25">
      <c r="A2665" s="105" t="str">
        <f t="shared" si="41"/>
        <v/>
      </c>
      <c r="B2665" s="105" t="s">
        <v>4366</v>
      </c>
      <c r="C2665" s="105" t="s">
        <v>8</v>
      </c>
      <c r="D2665" s="105">
        <v>0</v>
      </c>
      <c r="E2665" s="105">
        <v>0</v>
      </c>
      <c r="F2665" s="105">
        <v>0</v>
      </c>
    </row>
    <row r="2666" spans="1:6" x14ac:dyDescent="0.25">
      <c r="A2666" s="105">
        <f t="shared" si="41"/>
        <v>7707584</v>
      </c>
      <c r="B2666" s="105" t="s">
        <v>4367</v>
      </c>
      <c r="C2666" s="105" t="s">
        <v>4368</v>
      </c>
      <c r="D2666" s="105">
        <v>0</v>
      </c>
      <c r="E2666" s="105">
        <v>0</v>
      </c>
      <c r="F2666" s="105">
        <v>0</v>
      </c>
    </row>
    <row r="2667" spans="1:6" x14ac:dyDescent="0.25">
      <c r="A2667" s="105">
        <f t="shared" si="41"/>
        <v>7707586</v>
      </c>
      <c r="B2667" s="105" t="s">
        <v>4369</v>
      </c>
      <c r="C2667" s="105" t="s">
        <v>4370</v>
      </c>
      <c r="D2667" s="105">
        <v>360.4</v>
      </c>
      <c r="E2667" s="105">
        <v>216.24</v>
      </c>
      <c r="F2667" s="105">
        <v>112</v>
      </c>
    </row>
    <row r="2668" spans="1:6" x14ac:dyDescent="0.25">
      <c r="A2668" s="105" t="str">
        <f t="shared" si="41"/>
        <v/>
      </c>
      <c r="B2668" s="105" t="s">
        <v>4371</v>
      </c>
      <c r="C2668" s="105" t="s">
        <v>8</v>
      </c>
      <c r="D2668" s="105">
        <v>0</v>
      </c>
      <c r="E2668" s="105">
        <v>0</v>
      </c>
      <c r="F2668" s="105">
        <v>0</v>
      </c>
    </row>
    <row r="2669" spans="1:6" x14ac:dyDescent="0.25">
      <c r="A2669" s="105">
        <f t="shared" si="41"/>
        <v>7707650</v>
      </c>
      <c r="B2669" s="105" t="s">
        <v>4372</v>
      </c>
      <c r="C2669" s="105" t="s">
        <v>4373</v>
      </c>
      <c r="D2669" s="105">
        <v>0</v>
      </c>
      <c r="E2669" s="105">
        <v>0</v>
      </c>
      <c r="F2669" s="105">
        <v>0</v>
      </c>
    </row>
    <row r="2670" spans="1:6" x14ac:dyDescent="0.25">
      <c r="A2670" s="105">
        <f t="shared" si="41"/>
        <v>7707670</v>
      </c>
      <c r="B2670" s="105" t="s">
        <v>4374</v>
      </c>
      <c r="C2670" s="105" t="s">
        <v>4375</v>
      </c>
      <c r="D2670" s="105">
        <v>437.55</v>
      </c>
      <c r="E2670" s="105">
        <v>262.52999999999997</v>
      </c>
      <c r="F2670" s="105">
        <v>0</v>
      </c>
    </row>
    <row r="2671" spans="1:6" x14ac:dyDescent="0.25">
      <c r="A2671" s="105" t="str">
        <f t="shared" si="41"/>
        <v/>
      </c>
      <c r="B2671" s="105" t="s">
        <v>4376</v>
      </c>
      <c r="C2671" s="105" t="s">
        <v>8</v>
      </c>
      <c r="D2671" s="105">
        <v>0</v>
      </c>
      <c r="E2671" s="105">
        <v>0</v>
      </c>
      <c r="F2671" s="105">
        <v>0</v>
      </c>
    </row>
    <row r="2672" spans="1:6" x14ac:dyDescent="0.25">
      <c r="A2672" s="105">
        <f t="shared" si="41"/>
        <v>7707671</v>
      </c>
      <c r="B2672" s="105" t="s">
        <v>4377</v>
      </c>
      <c r="C2672" s="105" t="s">
        <v>4378</v>
      </c>
      <c r="D2672" s="105">
        <v>0</v>
      </c>
      <c r="E2672" s="105">
        <v>0</v>
      </c>
      <c r="F2672" s="105">
        <v>0</v>
      </c>
    </row>
    <row r="2673" spans="1:6" x14ac:dyDescent="0.25">
      <c r="A2673" s="105" t="str">
        <f t="shared" si="41"/>
        <v/>
      </c>
      <c r="B2673" s="105" t="s">
        <v>4379</v>
      </c>
      <c r="C2673" s="105" t="s">
        <v>8</v>
      </c>
      <c r="D2673" s="105">
        <v>0</v>
      </c>
      <c r="E2673" s="105">
        <v>0</v>
      </c>
      <c r="F2673" s="105">
        <v>0</v>
      </c>
    </row>
    <row r="2674" spans="1:6" x14ac:dyDescent="0.25">
      <c r="A2674" s="105">
        <f t="shared" si="41"/>
        <v>7707672</v>
      </c>
      <c r="B2674" s="105" t="s">
        <v>4380</v>
      </c>
      <c r="C2674" s="105" t="s">
        <v>4381</v>
      </c>
      <c r="D2674" s="105">
        <v>0</v>
      </c>
      <c r="E2674" s="105">
        <v>0</v>
      </c>
      <c r="F2674" s="105">
        <v>0</v>
      </c>
    </row>
    <row r="2675" spans="1:6" x14ac:dyDescent="0.25">
      <c r="A2675" s="105" t="str">
        <f t="shared" si="41"/>
        <v/>
      </c>
      <c r="B2675" s="105" t="s">
        <v>4382</v>
      </c>
      <c r="C2675" s="105" t="s">
        <v>8</v>
      </c>
      <c r="D2675" s="105">
        <v>0</v>
      </c>
      <c r="E2675" s="105">
        <v>0</v>
      </c>
      <c r="F2675" s="105">
        <v>0</v>
      </c>
    </row>
    <row r="2676" spans="1:6" x14ac:dyDescent="0.25">
      <c r="A2676" s="105">
        <f t="shared" si="41"/>
        <v>7707701</v>
      </c>
      <c r="B2676" s="105" t="s">
        <v>4383</v>
      </c>
      <c r="C2676" s="105" t="s">
        <v>4384</v>
      </c>
      <c r="D2676" s="105">
        <v>0</v>
      </c>
      <c r="E2676" s="105">
        <v>0</v>
      </c>
      <c r="F2676" s="105">
        <v>0</v>
      </c>
    </row>
    <row r="2677" spans="1:6" x14ac:dyDescent="0.25">
      <c r="A2677" s="105">
        <f t="shared" si="41"/>
        <v>7707702</v>
      </c>
      <c r="B2677" s="105" t="s">
        <v>4385</v>
      </c>
      <c r="C2677" s="105" t="s">
        <v>4386</v>
      </c>
      <c r="D2677" s="105">
        <v>199.78</v>
      </c>
      <c r="E2677" s="105">
        <v>119.87</v>
      </c>
      <c r="F2677" s="105">
        <v>0</v>
      </c>
    </row>
    <row r="2678" spans="1:6" x14ac:dyDescent="0.25">
      <c r="A2678" s="105">
        <f t="shared" si="41"/>
        <v>7707710</v>
      </c>
      <c r="B2678" s="105" t="s">
        <v>4387</v>
      </c>
      <c r="C2678" s="105" t="s">
        <v>4388</v>
      </c>
      <c r="D2678" s="105">
        <v>477</v>
      </c>
      <c r="E2678" s="105">
        <v>286.2</v>
      </c>
      <c r="F2678" s="105">
        <v>15</v>
      </c>
    </row>
    <row r="2679" spans="1:6" x14ac:dyDescent="0.25">
      <c r="A2679" s="105" t="str">
        <f t="shared" si="41"/>
        <v/>
      </c>
      <c r="B2679" s="105" t="s">
        <v>4389</v>
      </c>
      <c r="C2679" s="105" t="s">
        <v>8</v>
      </c>
      <c r="D2679" s="105">
        <v>0</v>
      </c>
      <c r="E2679" s="105">
        <v>0</v>
      </c>
      <c r="F2679" s="105">
        <v>0</v>
      </c>
    </row>
    <row r="2680" spans="1:6" x14ac:dyDescent="0.25">
      <c r="A2680" s="105">
        <f t="shared" si="41"/>
        <v>7707711</v>
      </c>
      <c r="B2680" s="105" t="s">
        <v>4390</v>
      </c>
      <c r="C2680" s="105" t="s">
        <v>4391</v>
      </c>
      <c r="D2680" s="105">
        <v>0</v>
      </c>
      <c r="E2680" s="105">
        <v>0</v>
      </c>
      <c r="F2680" s="105">
        <v>0</v>
      </c>
    </row>
    <row r="2681" spans="1:6" x14ac:dyDescent="0.25">
      <c r="A2681" s="105">
        <f t="shared" si="41"/>
        <v>7707712</v>
      </c>
      <c r="B2681" s="105" t="s">
        <v>4392</v>
      </c>
      <c r="C2681" s="105" t="s">
        <v>4393</v>
      </c>
      <c r="D2681" s="105">
        <v>254.4</v>
      </c>
      <c r="E2681" s="105">
        <v>152.63999999999999</v>
      </c>
      <c r="F2681" s="105">
        <v>41</v>
      </c>
    </row>
    <row r="2682" spans="1:6" x14ac:dyDescent="0.25">
      <c r="A2682" s="105" t="str">
        <f t="shared" si="41"/>
        <v/>
      </c>
      <c r="B2682" s="105" t="s">
        <v>4394</v>
      </c>
      <c r="C2682" s="105" t="s">
        <v>8</v>
      </c>
      <c r="D2682" s="105">
        <v>0</v>
      </c>
      <c r="E2682" s="105">
        <v>0</v>
      </c>
      <c r="F2682" s="105">
        <v>0</v>
      </c>
    </row>
    <row r="2683" spans="1:6" x14ac:dyDescent="0.25">
      <c r="A2683" s="105">
        <f t="shared" si="41"/>
        <v>7707713</v>
      </c>
      <c r="B2683" s="105" t="s">
        <v>4395</v>
      </c>
      <c r="C2683" s="105" t="s">
        <v>4396</v>
      </c>
      <c r="D2683" s="105">
        <v>0</v>
      </c>
      <c r="E2683" s="105">
        <v>0</v>
      </c>
      <c r="F2683" s="105">
        <v>0</v>
      </c>
    </row>
    <row r="2684" spans="1:6" x14ac:dyDescent="0.25">
      <c r="A2684" s="105">
        <f t="shared" si="41"/>
        <v>7707714</v>
      </c>
      <c r="B2684" s="105" t="s">
        <v>4397</v>
      </c>
      <c r="C2684" s="105" t="s">
        <v>4398</v>
      </c>
      <c r="D2684" s="105">
        <v>243.8</v>
      </c>
      <c r="E2684" s="105">
        <v>146.28</v>
      </c>
      <c r="F2684" s="105">
        <v>19</v>
      </c>
    </row>
    <row r="2685" spans="1:6" x14ac:dyDescent="0.25">
      <c r="A2685" s="105" t="str">
        <f t="shared" si="41"/>
        <v/>
      </c>
      <c r="B2685" s="105" t="s">
        <v>4399</v>
      </c>
      <c r="C2685" s="105" t="s">
        <v>8</v>
      </c>
      <c r="D2685" s="105">
        <v>0</v>
      </c>
      <c r="E2685" s="105">
        <v>0</v>
      </c>
      <c r="F2685" s="105">
        <v>0</v>
      </c>
    </row>
    <row r="2686" spans="1:6" x14ac:dyDescent="0.25">
      <c r="A2686" s="105">
        <f t="shared" si="41"/>
        <v>7707716</v>
      </c>
      <c r="B2686" s="105" t="s">
        <v>4400</v>
      </c>
      <c r="C2686" s="105" t="s">
        <v>4401</v>
      </c>
      <c r="D2686" s="105">
        <v>0</v>
      </c>
      <c r="E2686" s="105">
        <v>0</v>
      </c>
      <c r="F2686" s="105">
        <v>0</v>
      </c>
    </row>
    <row r="2687" spans="1:6" x14ac:dyDescent="0.25">
      <c r="A2687" s="105" t="str">
        <f t="shared" si="41"/>
        <v/>
      </c>
      <c r="B2687" s="105" t="s">
        <v>4402</v>
      </c>
      <c r="C2687" s="105" t="s">
        <v>8</v>
      </c>
      <c r="D2687" s="105">
        <v>0</v>
      </c>
      <c r="E2687" s="105">
        <v>0</v>
      </c>
      <c r="F2687" s="105">
        <v>0</v>
      </c>
    </row>
    <row r="2688" spans="1:6" x14ac:dyDescent="0.25">
      <c r="A2688" s="105">
        <f t="shared" si="41"/>
        <v>7707722</v>
      </c>
      <c r="B2688" s="105" t="s">
        <v>4403</v>
      </c>
      <c r="C2688" s="105" t="s">
        <v>4404</v>
      </c>
      <c r="D2688" s="105">
        <v>0</v>
      </c>
      <c r="E2688" s="105">
        <v>0</v>
      </c>
      <c r="F2688" s="105">
        <v>0</v>
      </c>
    </row>
    <row r="2689" spans="1:6" x14ac:dyDescent="0.25">
      <c r="A2689" s="105" t="str">
        <f t="shared" si="41"/>
        <v/>
      </c>
      <c r="B2689" s="105" t="s">
        <v>4405</v>
      </c>
      <c r="C2689" s="105" t="s">
        <v>8</v>
      </c>
      <c r="D2689" s="105">
        <v>0</v>
      </c>
      <c r="E2689" s="105">
        <v>0</v>
      </c>
      <c r="F2689" s="105">
        <v>0</v>
      </c>
    </row>
    <row r="2690" spans="1:6" x14ac:dyDescent="0.25">
      <c r="A2690" s="105">
        <f t="shared" si="41"/>
        <v>7707756</v>
      </c>
      <c r="B2690" s="105" t="s">
        <v>4406</v>
      </c>
      <c r="C2690" s="105" t="s">
        <v>4407</v>
      </c>
      <c r="D2690" s="105">
        <v>0</v>
      </c>
      <c r="E2690" s="105">
        <v>0</v>
      </c>
      <c r="F2690" s="105">
        <v>0</v>
      </c>
    </row>
    <row r="2691" spans="1:6" x14ac:dyDescent="0.25">
      <c r="A2691" s="105" t="str">
        <f t="shared" ref="A2691:A2754" si="42">IF(B2691&lt;&gt;"",IFERROR(B2691*1,""),"")</f>
        <v/>
      </c>
      <c r="B2691" s="105" t="s">
        <v>4408</v>
      </c>
      <c r="C2691" s="105" t="s">
        <v>8</v>
      </c>
      <c r="D2691" s="105">
        <v>0</v>
      </c>
      <c r="E2691" s="105">
        <v>0</v>
      </c>
      <c r="F2691" s="105">
        <v>0</v>
      </c>
    </row>
    <row r="2692" spans="1:6" x14ac:dyDescent="0.25">
      <c r="A2692" s="105">
        <f t="shared" si="42"/>
        <v>7707757</v>
      </c>
      <c r="B2692" s="105" t="s">
        <v>4409</v>
      </c>
      <c r="C2692" s="105" t="s">
        <v>4410</v>
      </c>
      <c r="D2692" s="105">
        <v>0</v>
      </c>
      <c r="E2692" s="105">
        <v>0</v>
      </c>
      <c r="F2692" s="105">
        <v>0</v>
      </c>
    </row>
    <row r="2693" spans="1:6" x14ac:dyDescent="0.25">
      <c r="A2693" s="105">
        <f t="shared" si="42"/>
        <v>7707758</v>
      </c>
      <c r="B2693" s="105" t="s">
        <v>4411</v>
      </c>
      <c r="C2693" s="105" t="s">
        <v>4412</v>
      </c>
      <c r="D2693" s="105">
        <v>477</v>
      </c>
      <c r="E2693" s="105">
        <v>286.2</v>
      </c>
      <c r="F2693" s="105">
        <v>0</v>
      </c>
    </row>
    <row r="2694" spans="1:6" x14ac:dyDescent="0.25">
      <c r="A2694" s="105">
        <f t="shared" si="42"/>
        <v>7707784</v>
      </c>
      <c r="B2694" s="105" t="s">
        <v>4413</v>
      </c>
      <c r="C2694" s="105" t="s">
        <v>4414</v>
      </c>
      <c r="D2694" s="105">
        <v>667.8</v>
      </c>
      <c r="E2694" s="105">
        <v>400.68</v>
      </c>
      <c r="F2694" s="105">
        <v>0</v>
      </c>
    </row>
    <row r="2695" spans="1:6" x14ac:dyDescent="0.25">
      <c r="A2695" s="105" t="str">
        <f t="shared" si="42"/>
        <v/>
      </c>
      <c r="B2695" s="105" t="s">
        <v>4415</v>
      </c>
      <c r="C2695" s="105" t="s">
        <v>8</v>
      </c>
      <c r="D2695" s="105">
        <v>0</v>
      </c>
      <c r="E2695" s="105">
        <v>0</v>
      </c>
      <c r="F2695" s="105">
        <v>0</v>
      </c>
    </row>
    <row r="2696" spans="1:6" x14ac:dyDescent="0.25">
      <c r="A2696" s="105">
        <f t="shared" si="42"/>
        <v>7707831</v>
      </c>
      <c r="B2696" s="105" t="s">
        <v>4416</v>
      </c>
      <c r="C2696" s="105" t="s">
        <v>4417</v>
      </c>
      <c r="D2696" s="105">
        <v>0</v>
      </c>
      <c r="E2696" s="105">
        <v>0</v>
      </c>
      <c r="F2696" s="105">
        <v>0</v>
      </c>
    </row>
    <row r="2697" spans="1:6" x14ac:dyDescent="0.25">
      <c r="A2697" s="105" t="str">
        <f t="shared" si="42"/>
        <v/>
      </c>
      <c r="B2697" s="105" t="s">
        <v>4418</v>
      </c>
      <c r="C2697" s="105" t="s">
        <v>8</v>
      </c>
      <c r="D2697" s="105">
        <v>0</v>
      </c>
      <c r="E2697" s="105">
        <v>0</v>
      </c>
      <c r="F2697" s="105">
        <v>0</v>
      </c>
    </row>
    <row r="2698" spans="1:6" x14ac:dyDescent="0.25">
      <c r="A2698" s="105">
        <f t="shared" si="42"/>
        <v>7707832</v>
      </c>
      <c r="B2698" s="105" t="s">
        <v>4419</v>
      </c>
      <c r="C2698" s="105" t="s">
        <v>4420</v>
      </c>
      <c r="D2698" s="105">
        <v>0</v>
      </c>
      <c r="E2698" s="105">
        <v>0</v>
      </c>
      <c r="F2698" s="105">
        <v>0</v>
      </c>
    </row>
    <row r="2699" spans="1:6" x14ac:dyDescent="0.25">
      <c r="A2699" s="105">
        <f t="shared" si="42"/>
        <v>7707833</v>
      </c>
      <c r="B2699" s="105" t="s">
        <v>9373</v>
      </c>
      <c r="C2699" s="105" t="s">
        <v>9374</v>
      </c>
      <c r="D2699" s="105">
        <v>619.04</v>
      </c>
      <c r="E2699" s="105">
        <v>371.42</v>
      </c>
      <c r="F2699" s="105">
        <v>0</v>
      </c>
    </row>
    <row r="2700" spans="1:6" x14ac:dyDescent="0.25">
      <c r="A2700" s="105">
        <f t="shared" si="42"/>
        <v>7707834</v>
      </c>
      <c r="B2700" s="105" t="s">
        <v>9375</v>
      </c>
      <c r="C2700" s="105" t="s">
        <v>9376</v>
      </c>
      <c r="D2700" s="105">
        <v>619.04</v>
      </c>
      <c r="E2700" s="105">
        <v>371.42</v>
      </c>
      <c r="F2700" s="105">
        <v>0</v>
      </c>
    </row>
    <row r="2701" spans="1:6" x14ac:dyDescent="0.25">
      <c r="A2701" s="105">
        <f t="shared" si="42"/>
        <v>7707835</v>
      </c>
      <c r="B2701" s="105" t="s">
        <v>4421</v>
      </c>
      <c r="C2701" s="105" t="s">
        <v>4422</v>
      </c>
      <c r="D2701" s="105">
        <v>0</v>
      </c>
      <c r="E2701" s="105">
        <v>0</v>
      </c>
      <c r="F2701" s="105">
        <v>1</v>
      </c>
    </row>
    <row r="2702" spans="1:6" x14ac:dyDescent="0.25">
      <c r="A2702" s="105" t="str">
        <f t="shared" si="42"/>
        <v/>
      </c>
      <c r="B2702" s="105" t="s">
        <v>4423</v>
      </c>
      <c r="C2702" s="105" t="s">
        <v>8</v>
      </c>
      <c r="D2702" s="105">
        <v>0</v>
      </c>
      <c r="E2702" s="105">
        <v>0</v>
      </c>
      <c r="F2702" s="105">
        <v>0</v>
      </c>
    </row>
    <row r="2703" spans="1:6" x14ac:dyDescent="0.25">
      <c r="A2703" s="105">
        <f t="shared" si="42"/>
        <v>7707900</v>
      </c>
      <c r="B2703" s="105" t="s">
        <v>4424</v>
      </c>
      <c r="C2703" s="105" t="s">
        <v>4425</v>
      </c>
      <c r="D2703" s="105">
        <v>0</v>
      </c>
      <c r="E2703" s="105">
        <v>0</v>
      </c>
      <c r="F2703" s="105">
        <v>0</v>
      </c>
    </row>
    <row r="2704" spans="1:6" x14ac:dyDescent="0.25">
      <c r="A2704" s="105">
        <f t="shared" si="42"/>
        <v>7707922</v>
      </c>
      <c r="B2704" s="105" t="s">
        <v>4426</v>
      </c>
      <c r="C2704" s="105" t="s">
        <v>4427</v>
      </c>
      <c r="D2704" s="105">
        <v>308.67</v>
      </c>
      <c r="E2704" s="105">
        <v>185.2</v>
      </c>
      <c r="F2704" s="105">
        <v>25</v>
      </c>
    </row>
    <row r="2705" spans="1:6" x14ac:dyDescent="0.25">
      <c r="A2705" s="105">
        <f t="shared" si="42"/>
        <v>7707923</v>
      </c>
      <c r="B2705" s="105" t="s">
        <v>4428</v>
      </c>
      <c r="C2705" s="105" t="s">
        <v>4429</v>
      </c>
      <c r="D2705" s="105">
        <v>392.2</v>
      </c>
      <c r="E2705" s="105">
        <v>235.32</v>
      </c>
      <c r="F2705" s="105">
        <v>45</v>
      </c>
    </row>
    <row r="2706" spans="1:6" x14ac:dyDescent="0.25">
      <c r="A2706" s="105">
        <f t="shared" si="42"/>
        <v>7707924</v>
      </c>
      <c r="B2706" s="105" t="s">
        <v>4430</v>
      </c>
      <c r="C2706" s="105" t="s">
        <v>4431</v>
      </c>
      <c r="D2706" s="105">
        <v>97.85</v>
      </c>
      <c r="E2706" s="105">
        <v>58.71</v>
      </c>
      <c r="F2706" s="105">
        <v>3</v>
      </c>
    </row>
    <row r="2707" spans="1:6" x14ac:dyDescent="0.25">
      <c r="A2707" s="105" t="str">
        <f t="shared" si="42"/>
        <v/>
      </c>
      <c r="B2707" s="105" t="s">
        <v>4432</v>
      </c>
      <c r="C2707" s="105" t="s">
        <v>8</v>
      </c>
      <c r="D2707" s="105">
        <v>0</v>
      </c>
      <c r="E2707" s="105">
        <v>0</v>
      </c>
      <c r="F2707" s="105">
        <v>0</v>
      </c>
    </row>
    <row r="2708" spans="1:6" x14ac:dyDescent="0.25">
      <c r="A2708" s="105">
        <f t="shared" si="42"/>
        <v>7707936</v>
      </c>
      <c r="B2708" s="105" t="s">
        <v>4433</v>
      </c>
      <c r="C2708" s="105" t="s">
        <v>4434</v>
      </c>
      <c r="D2708" s="105">
        <v>0</v>
      </c>
      <c r="E2708" s="105">
        <v>0</v>
      </c>
      <c r="F2708" s="105">
        <v>0</v>
      </c>
    </row>
    <row r="2709" spans="1:6" x14ac:dyDescent="0.25">
      <c r="A2709" s="105">
        <f t="shared" si="42"/>
        <v>7707940</v>
      </c>
      <c r="B2709" s="105" t="s">
        <v>4435</v>
      </c>
      <c r="C2709" s="105" t="s">
        <v>4436</v>
      </c>
      <c r="D2709" s="105">
        <v>382.69</v>
      </c>
      <c r="E2709" s="105">
        <v>229.61</v>
      </c>
      <c r="F2709" s="105">
        <v>0</v>
      </c>
    </row>
    <row r="2710" spans="1:6" x14ac:dyDescent="0.25">
      <c r="A2710" s="105">
        <f t="shared" si="42"/>
        <v>7707949</v>
      </c>
      <c r="B2710" s="105" t="s">
        <v>4437</v>
      </c>
      <c r="C2710" s="105" t="s">
        <v>4438</v>
      </c>
      <c r="D2710" s="105">
        <v>926.02</v>
      </c>
      <c r="E2710" s="105">
        <v>555.61</v>
      </c>
      <c r="F2710" s="105">
        <v>0</v>
      </c>
    </row>
    <row r="2711" spans="1:6" x14ac:dyDescent="0.25">
      <c r="A2711" s="105">
        <f t="shared" si="42"/>
        <v>7707950</v>
      </c>
      <c r="B2711" s="105" t="s">
        <v>4439</v>
      </c>
      <c r="C2711" s="105" t="s">
        <v>4440</v>
      </c>
      <c r="D2711" s="105">
        <v>734.59</v>
      </c>
      <c r="E2711" s="105">
        <v>440.75</v>
      </c>
      <c r="F2711" s="105">
        <v>0</v>
      </c>
    </row>
    <row r="2712" spans="1:6" x14ac:dyDescent="0.25">
      <c r="A2712" s="105">
        <f t="shared" si="42"/>
        <v>7707952</v>
      </c>
      <c r="B2712" s="105" t="s">
        <v>4441</v>
      </c>
      <c r="C2712" s="105" t="s">
        <v>4442</v>
      </c>
      <c r="D2712" s="105">
        <v>1000.1</v>
      </c>
      <c r="E2712" s="105">
        <v>600.05999999999995</v>
      </c>
      <c r="F2712" s="105">
        <v>24</v>
      </c>
    </row>
    <row r="2713" spans="1:6" x14ac:dyDescent="0.25">
      <c r="A2713" s="105">
        <f t="shared" si="42"/>
        <v>7707953</v>
      </c>
      <c r="B2713" s="105" t="s">
        <v>4443</v>
      </c>
      <c r="C2713" s="105" t="s">
        <v>4444</v>
      </c>
      <c r="D2713" s="105">
        <v>1590</v>
      </c>
      <c r="E2713" s="105">
        <v>954</v>
      </c>
      <c r="F2713" s="105">
        <v>5</v>
      </c>
    </row>
    <row r="2714" spans="1:6" x14ac:dyDescent="0.25">
      <c r="A2714" s="105">
        <f t="shared" si="42"/>
        <v>7707980</v>
      </c>
      <c r="B2714" s="105" t="s">
        <v>4445</v>
      </c>
      <c r="C2714" s="105" t="s">
        <v>4446</v>
      </c>
      <c r="D2714" s="105">
        <v>413.4</v>
      </c>
      <c r="E2714" s="105">
        <v>248.04</v>
      </c>
      <c r="F2714" s="105">
        <v>0</v>
      </c>
    </row>
    <row r="2715" spans="1:6" x14ac:dyDescent="0.25">
      <c r="A2715" s="105">
        <f t="shared" si="42"/>
        <v>7707987</v>
      </c>
      <c r="B2715" s="105" t="s">
        <v>4447</v>
      </c>
      <c r="C2715" s="105" t="s">
        <v>4448</v>
      </c>
      <c r="D2715" s="105">
        <v>181.67</v>
      </c>
      <c r="E2715" s="105">
        <v>109</v>
      </c>
      <c r="F2715" s="105">
        <v>5</v>
      </c>
    </row>
    <row r="2716" spans="1:6" x14ac:dyDescent="0.25">
      <c r="A2716" s="105" t="str">
        <f t="shared" si="42"/>
        <v/>
      </c>
      <c r="B2716" s="105" t="s">
        <v>4449</v>
      </c>
      <c r="C2716" s="105" t="s">
        <v>8</v>
      </c>
      <c r="D2716" s="105">
        <v>0</v>
      </c>
      <c r="E2716" s="105">
        <v>0</v>
      </c>
      <c r="F2716" s="105">
        <v>0</v>
      </c>
    </row>
    <row r="2717" spans="1:6" x14ac:dyDescent="0.25">
      <c r="A2717" s="105">
        <f t="shared" si="42"/>
        <v>7707988</v>
      </c>
      <c r="B2717" s="105" t="s">
        <v>4450</v>
      </c>
      <c r="C2717" s="105" t="s">
        <v>4451</v>
      </c>
      <c r="D2717" s="105">
        <v>0</v>
      </c>
      <c r="E2717" s="105">
        <v>0</v>
      </c>
      <c r="F2717" s="105">
        <v>0</v>
      </c>
    </row>
    <row r="2718" spans="1:6" x14ac:dyDescent="0.25">
      <c r="A2718" s="105">
        <f t="shared" si="42"/>
        <v>7707989</v>
      </c>
      <c r="B2718" s="105" t="s">
        <v>4452</v>
      </c>
      <c r="C2718" s="105" t="s">
        <v>4453</v>
      </c>
      <c r="D2718" s="105">
        <v>157.88</v>
      </c>
      <c r="E2718" s="105">
        <v>94.73</v>
      </c>
      <c r="F2718" s="105">
        <v>0</v>
      </c>
    </row>
    <row r="2719" spans="1:6" x14ac:dyDescent="0.25">
      <c r="A2719" s="105" t="str">
        <f t="shared" si="42"/>
        <v/>
      </c>
      <c r="B2719" s="105" t="s">
        <v>4454</v>
      </c>
      <c r="C2719" s="105" t="s">
        <v>8</v>
      </c>
      <c r="D2719" s="105">
        <v>0</v>
      </c>
      <c r="E2719" s="105">
        <v>0</v>
      </c>
      <c r="F2719" s="105">
        <v>0</v>
      </c>
    </row>
    <row r="2720" spans="1:6" x14ac:dyDescent="0.25">
      <c r="A2720" s="105">
        <f t="shared" si="42"/>
        <v>7709000</v>
      </c>
      <c r="B2720" s="105" t="s">
        <v>4455</v>
      </c>
      <c r="C2720" s="105" t="s">
        <v>4456</v>
      </c>
      <c r="D2720" s="105">
        <v>0</v>
      </c>
      <c r="E2720" s="105">
        <v>0</v>
      </c>
      <c r="F2720" s="105">
        <v>0</v>
      </c>
    </row>
    <row r="2721" spans="1:6" x14ac:dyDescent="0.25">
      <c r="A2721" s="105" t="str">
        <f t="shared" si="42"/>
        <v/>
      </c>
      <c r="B2721" s="105" t="s">
        <v>4457</v>
      </c>
      <c r="C2721" s="105" t="s">
        <v>8</v>
      </c>
      <c r="D2721" s="105">
        <v>0</v>
      </c>
      <c r="E2721" s="105">
        <v>0</v>
      </c>
      <c r="F2721" s="105">
        <v>0</v>
      </c>
    </row>
    <row r="2722" spans="1:6" x14ac:dyDescent="0.25">
      <c r="A2722" s="105">
        <f t="shared" si="42"/>
        <v>7709001</v>
      </c>
      <c r="B2722" s="105" t="s">
        <v>4458</v>
      </c>
      <c r="C2722" s="105" t="s">
        <v>4459</v>
      </c>
      <c r="D2722" s="105">
        <v>0</v>
      </c>
      <c r="E2722" s="105">
        <v>0</v>
      </c>
      <c r="F2722" s="105">
        <v>0</v>
      </c>
    </row>
    <row r="2723" spans="1:6" x14ac:dyDescent="0.25">
      <c r="A2723" s="105" t="str">
        <f t="shared" si="42"/>
        <v/>
      </c>
      <c r="B2723" s="105" t="s">
        <v>4460</v>
      </c>
      <c r="C2723" s="105" t="s">
        <v>8</v>
      </c>
      <c r="D2723" s="105">
        <v>0</v>
      </c>
      <c r="E2723" s="105">
        <v>0</v>
      </c>
      <c r="F2723" s="105">
        <v>0</v>
      </c>
    </row>
    <row r="2724" spans="1:6" x14ac:dyDescent="0.25">
      <c r="A2724" s="105">
        <f t="shared" si="42"/>
        <v>7709002</v>
      </c>
      <c r="B2724" s="105" t="s">
        <v>4461</v>
      </c>
      <c r="C2724" s="105" t="s">
        <v>4462</v>
      </c>
      <c r="D2724" s="105">
        <v>0</v>
      </c>
      <c r="E2724" s="105">
        <v>0</v>
      </c>
      <c r="F2724" s="105">
        <v>0</v>
      </c>
    </row>
    <row r="2725" spans="1:6" x14ac:dyDescent="0.25">
      <c r="A2725" s="105" t="str">
        <f t="shared" si="42"/>
        <v/>
      </c>
      <c r="B2725" s="105" t="s">
        <v>4463</v>
      </c>
      <c r="C2725" s="105" t="s">
        <v>8</v>
      </c>
      <c r="D2725" s="105">
        <v>0</v>
      </c>
      <c r="E2725" s="105">
        <v>0</v>
      </c>
      <c r="F2725" s="105">
        <v>0</v>
      </c>
    </row>
    <row r="2726" spans="1:6" x14ac:dyDescent="0.25">
      <c r="A2726" s="105">
        <f t="shared" si="42"/>
        <v>7709003</v>
      </c>
      <c r="B2726" s="105" t="s">
        <v>4464</v>
      </c>
      <c r="C2726" s="105" t="s">
        <v>4465</v>
      </c>
      <c r="D2726" s="105">
        <v>0</v>
      </c>
      <c r="E2726" s="105">
        <v>0</v>
      </c>
      <c r="F2726" s="105">
        <v>0</v>
      </c>
    </row>
    <row r="2727" spans="1:6" x14ac:dyDescent="0.25">
      <c r="A2727" s="105" t="str">
        <f t="shared" si="42"/>
        <v/>
      </c>
      <c r="B2727" s="105" t="s">
        <v>4466</v>
      </c>
      <c r="C2727" s="105" t="s">
        <v>8</v>
      </c>
      <c r="D2727" s="105">
        <v>0</v>
      </c>
      <c r="E2727" s="105">
        <v>0</v>
      </c>
      <c r="F2727" s="105">
        <v>0</v>
      </c>
    </row>
    <row r="2728" spans="1:6" x14ac:dyDescent="0.25">
      <c r="A2728" s="105">
        <f t="shared" si="42"/>
        <v>7709004</v>
      </c>
      <c r="B2728" s="105" t="s">
        <v>4467</v>
      </c>
      <c r="C2728" s="105" t="s">
        <v>4468</v>
      </c>
      <c r="D2728" s="105">
        <v>0</v>
      </c>
      <c r="E2728" s="105">
        <v>0</v>
      </c>
      <c r="F2728" s="105">
        <v>0</v>
      </c>
    </row>
    <row r="2729" spans="1:6" x14ac:dyDescent="0.25">
      <c r="A2729" s="105" t="str">
        <f t="shared" si="42"/>
        <v/>
      </c>
      <c r="B2729" s="105" t="s">
        <v>4469</v>
      </c>
      <c r="C2729" s="105" t="s">
        <v>8</v>
      </c>
      <c r="D2729" s="105">
        <v>0</v>
      </c>
      <c r="E2729" s="105">
        <v>0</v>
      </c>
      <c r="F2729" s="105">
        <v>0</v>
      </c>
    </row>
    <row r="2730" spans="1:6" x14ac:dyDescent="0.25">
      <c r="A2730" s="105">
        <f t="shared" si="42"/>
        <v>7709005</v>
      </c>
      <c r="B2730" s="105" t="s">
        <v>4470</v>
      </c>
      <c r="C2730" s="105" t="s">
        <v>4471</v>
      </c>
      <c r="D2730" s="105">
        <v>0</v>
      </c>
      <c r="E2730" s="105">
        <v>0</v>
      </c>
      <c r="F2730" s="105">
        <v>0</v>
      </c>
    </row>
    <row r="2731" spans="1:6" x14ac:dyDescent="0.25">
      <c r="A2731" s="105" t="str">
        <f t="shared" si="42"/>
        <v/>
      </c>
      <c r="B2731" s="105" t="s">
        <v>4472</v>
      </c>
      <c r="C2731" s="105" t="s">
        <v>8</v>
      </c>
      <c r="D2731" s="105">
        <v>0</v>
      </c>
      <c r="E2731" s="105">
        <v>0</v>
      </c>
      <c r="F2731" s="105">
        <v>0</v>
      </c>
    </row>
    <row r="2732" spans="1:6" x14ac:dyDescent="0.25">
      <c r="A2732" s="105">
        <f t="shared" si="42"/>
        <v>7709006</v>
      </c>
      <c r="B2732" s="105" t="s">
        <v>4473</v>
      </c>
      <c r="C2732" s="105" t="s">
        <v>4474</v>
      </c>
      <c r="D2732" s="105">
        <v>0</v>
      </c>
      <c r="E2732" s="105">
        <v>0</v>
      </c>
      <c r="F2732" s="105">
        <v>0</v>
      </c>
    </row>
    <row r="2733" spans="1:6" x14ac:dyDescent="0.25">
      <c r="A2733" s="105">
        <f t="shared" si="42"/>
        <v>7709007</v>
      </c>
      <c r="B2733" s="105" t="s">
        <v>4475</v>
      </c>
      <c r="C2733" s="105" t="s">
        <v>4476</v>
      </c>
      <c r="D2733" s="105">
        <v>477</v>
      </c>
      <c r="E2733" s="105">
        <v>286.2</v>
      </c>
      <c r="F2733" s="105">
        <v>0</v>
      </c>
    </row>
    <row r="2734" spans="1:6" x14ac:dyDescent="0.25">
      <c r="A2734" s="105" t="str">
        <f t="shared" si="42"/>
        <v/>
      </c>
      <c r="B2734" s="105" t="s">
        <v>4477</v>
      </c>
      <c r="C2734" s="105" t="s">
        <v>8</v>
      </c>
      <c r="D2734" s="105">
        <v>0</v>
      </c>
      <c r="E2734" s="105">
        <v>0</v>
      </c>
      <c r="F2734" s="105">
        <v>0</v>
      </c>
    </row>
    <row r="2735" spans="1:6" x14ac:dyDescent="0.25">
      <c r="A2735" s="105">
        <f t="shared" si="42"/>
        <v>7709008</v>
      </c>
      <c r="B2735" s="105" t="s">
        <v>4478</v>
      </c>
      <c r="C2735" s="105" t="s">
        <v>4479</v>
      </c>
      <c r="D2735" s="105">
        <v>0</v>
      </c>
      <c r="E2735" s="105">
        <v>0</v>
      </c>
      <c r="F2735" s="105">
        <v>0</v>
      </c>
    </row>
    <row r="2736" spans="1:6" x14ac:dyDescent="0.25">
      <c r="A2736" s="105">
        <f t="shared" si="42"/>
        <v>7709009</v>
      </c>
      <c r="B2736" s="105" t="s">
        <v>9377</v>
      </c>
      <c r="C2736" s="105" t="s">
        <v>9378</v>
      </c>
      <c r="D2736" s="105">
        <v>319.69</v>
      </c>
      <c r="E2736" s="105">
        <v>191.81</v>
      </c>
      <c r="F2736" s="105">
        <v>0</v>
      </c>
    </row>
    <row r="2737" spans="1:6" x14ac:dyDescent="0.25">
      <c r="A2737" s="105" t="str">
        <f t="shared" si="42"/>
        <v/>
      </c>
      <c r="B2737" s="105" t="s">
        <v>4480</v>
      </c>
      <c r="C2737" s="105" t="s">
        <v>8</v>
      </c>
      <c r="D2737" s="105">
        <v>0</v>
      </c>
      <c r="E2737" s="105">
        <v>0</v>
      </c>
      <c r="F2737" s="105">
        <v>0</v>
      </c>
    </row>
    <row r="2738" spans="1:6" x14ac:dyDescent="0.25">
      <c r="A2738" s="105">
        <f t="shared" si="42"/>
        <v>7709010</v>
      </c>
      <c r="B2738" s="105" t="s">
        <v>4481</v>
      </c>
      <c r="C2738" s="105" t="s">
        <v>4482</v>
      </c>
      <c r="D2738" s="105">
        <v>0</v>
      </c>
      <c r="E2738" s="105">
        <v>0</v>
      </c>
      <c r="F2738" s="105">
        <v>0</v>
      </c>
    </row>
    <row r="2739" spans="1:6" x14ac:dyDescent="0.25">
      <c r="A2739" s="105">
        <f t="shared" si="42"/>
        <v>7709013</v>
      </c>
      <c r="B2739" s="105" t="s">
        <v>4483</v>
      </c>
      <c r="C2739" s="105" t="s">
        <v>4484</v>
      </c>
      <c r="D2739" s="105">
        <v>477</v>
      </c>
      <c r="E2739" s="105">
        <v>286.2</v>
      </c>
      <c r="F2739" s="105">
        <v>0</v>
      </c>
    </row>
    <row r="2740" spans="1:6" x14ac:dyDescent="0.25">
      <c r="A2740" s="105">
        <f t="shared" si="42"/>
        <v>7709014</v>
      </c>
      <c r="B2740" s="105" t="s">
        <v>4485</v>
      </c>
      <c r="C2740" s="105" t="s">
        <v>4486</v>
      </c>
      <c r="D2740" s="105">
        <v>477</v>
      </c>
      <c r="E2740" s="105">
        <v>286.2</v>
      </c>
      <c r="F2740" s="105">
        <v>8</v>
      </c>
    </row>
    <row r="2741" spans="1:6" x14ac:dyDescent="0.25">
      <c r="A2741" s="105">
        <f t="shared" si="42"/>
        <v>7709015</v>
      </c>
      <c r="B2741" s="105" t="s">
        <v>4487</v>
      </c>
      <c r="C2741" s="105" t="s">
        <v>4488</v>
      </c>
      <c r="D2741" s="105">
        <v>477</v>
      </c>
      <c r="E2741" s="105">
        <v>286.2</v>
      </c>
      <c r="F2741" s="105">
        <v>16</v>
      </c>
    </row>
    <row r="2742" spans="1:6" x14ac:dyDescent="0.25">
      <c r="A2742" s="105">
        <f t="shared" si="42"/>
        <v>7709016</v>
      </c>
      <c r="B2742" s="105" t="s">
        <v>4489</v>
      </c>
      <c r="C2742" s="105" t="s">
        <v>4490</v>
      </c>
      <c r="D2742" s="105">
        <v>477</v>
      </c>
      <c r="E2742" s="105">
        <v>286.2</v>
      </c>
      <c r="F2742" s="105">
        <v>14</v>
      </c>
    </row>
    <row r="2743" spans="1:6" x14ac:dyDescent="0.25">
      <c r="A2743" s="105">
        <f t="shared" si="42"/>
        <v>7709017</v>
      </c>
      <c r="B2743" s="105" t="s">
        <v>4491</v>
      </c>
      <c r="C2743" s="105" t="s">
        <v>4492</v>
      </c>
      <c r="D2743" s="105">
        <v>477</v>
      </c>
      <c r="E2743" s="105">
        <v>286.2</v>
      </c>
      <c r="F2743" s="105">
        <v>1</v>
      </c>
    </row>
    <row r="2744" spans="1:6" x14ac:dyDescent="0.25">
      <c r="A2744" s="105" t="str">
        <f t="shared" si="42"/>
        <v/>
      </c>
      <c r="B2744" s="105" t="s">
        <v>4493</v>
      </c>
      <c r="C2744" s="105" t="s">
        <v>8</v>
      </c>
      <c r="D2744" s="105">
        <v>0</v>
      </c>
      <c r="E2744" s="105">
        <v>0</v>
      </c>
      <c r="F2744" s="105">
        <v>0</v>
      </c>
    </row>
    <row r="2745" spans="1:6" x14ac:dyDescent="0.25">
      <c r="A2745" s="105">
        <f t="shared" si="42"/>
        <v>7709018</v>
      </c>
      <c r="B2745" s="105" t="s">
        <v>4494</v>
      </c>
      <c r="C2745" s="105" t="s">
        <v>4495</v>
      </c>
      <c r="D2745" s="105">
        <v>0</v>
      </c>
      <c r="E2745" s="105">
        <v>0</v>
      </c>
      <c r="F2745" s="105">
        <v>0</v>
      </c>
    </row>
    <row r="2746" spans="1:6" x14ac:dyDescent="0.25">
      <c r="A2746" s="105" t="str">
        <f t="shared" si="42"/>
        <v/>
      </c>
      <c r="B2746" s="105" t="s">
        <v>4496</v>
      </c>
      <c r="C2746" s="105" t="s">
        <v>8</v>
      </c>
      <c r="D2746" s="105">
        <v>0</v>
      </c>
      <c r="E2746" s="105">
        <v>0</v>
      </c>
      <c r="F2746" s="105">
        <v>0</v>
      </c>
    </row>
    <row r="2747" spans="1:6" x14ac:dyDescent="0.25">
      <c r="A2747" s="105">
        <f t="shared" si="42"/>
        <v>7709019</v>
      </c>
      <c r="B2747" s="105" t="s">
        <v>4497</v>
      </c>
      <c r="C2747" s="105" t="s">
        <v>4498</v>
      </c>
      <c r="D2747" s="105">
        <v>0</v>
      </c>
      <c r="E2747" s="105">
        <v>0</v>
      </c>
      <c r="F2747" s="105">
        <v>0</v>
      </c>
    </row>
    <row r="2748" spans="1:6" x14ac:dyDescent="0.25">
      <c r="A2748" s="105" t="str">
        <f t="shared" si="42"/>
        <v/>
      </c>
      <c r="B2748" s="105" t="s">
        <v>4499</v>
      </c>
      <c r="C2748" s="105" t="s">
        <v>8</v>
      </c>
      <c r="D2748" s="105">
        <v>0</v>
      </c>
      <c r="E2748" s="105">
        <v>0</v>
      </c>
      <c r="F2748" s="105">
        <v>0</v>
      </c>
    </row>
    <row r="2749" spans="1:6" x14ac:dyDescent="0.25">
      <c r="A2749" s="105">
        <f t="shared" si="42"/>
        <v>7709020</v>
      </c>
      <c r="B2749" s="105" t="s">
        <v>4500</v>
      </c>
      <c r="C2749" s="105" t="s">
        <v>4501</v>
      </c>
      <c r="D2749" s="105">
        <v>0</v>
      </c>
      <c r="E2749" s="105">
        <v>0</v>
      </c>
      <c r="F2749" s="105">
        <v>0</v>
      </c>
    </row>
    <row r="2750" spans="1:6" x14ac:dyDescent="0.25">
      <c r="A2750" s="105">
        <f t="shared" si="42"/>
        <v>7709021</v>
      </c>
      <c r="B2750" s="105" t="s">
        <v>4502</v>
      </c>
      <c r="C2750" s="105" t="s">
        <v>4503</v>
      </c>
      <c r="D2750" s="105">
        <v>477</v>
      </c>
      <c r="E2750" s="105">
        <v>286.2</v>
      </c>
      <c r="F2750" s="105">
        <v>1</v>
      </c>
    </row>
    <row r="2751" spans="1:6" x14ac:dyDescent="0.25">
      <c r="A2751" s="105" t="str">
        <f t="shared" si="42"/>
        <v/>
      </c>
      <c r="B2751" s="105" t="s">
        <v>4504</v>
      </c>
      <c r="C2751" s="105" t="s">
        <v>8</v>
      </c>
      <c r="D2751" s="105">
        <v>0</v>
      </c>
      <c r="E2751" s="105">
        <v>0</v>
      </c>
      <c r="F2751" s="105">
        <v>0</v>
      </c>
    </row>
    <row r="2752" spans="1:6" x14ac:dyDescent="0.25">
      <c r="A2752" s="105">
        <f t="shared" si="42"/>
        <v>7709022</v>
      </c>
      <c r="B2752" s="105" t="s">
        <v>4505</v>
      </c>
      <c r="C2752" s="105" t="s">
        <v>4506</v>
      </c>
      <c r="D2752" s="105">
        <v>0</v>
      </c>
      <c r="E2752" s="105">
        <v>0</v>
      </c>
      <c r="F2752" s="105">
        <v>0</v>
      </c>
    </row>
    <row r="2753" spans="1:6" x14ac:dyDescent="0.25">
      <c r="A2753" s="105" t="str">
        <f t="shared" si="42"/>
        <v/>
      </c>
      <c r="B2753" s="105" t="s">
        <v>4507</v>
      </c>
      <c r="C2753" s="105" t="s">
        <v>8</v>
      </c>
      <c r="D2753" s="105">
        <v>0</v>
      </c>
      <c r="E2753" s="105">
        <v>0</v>
      </c>
      <c r="F2753" s="105">
        <v>0</v>
      </c>
    </row>
    <row r="2754" spans="1:6" x14ac:dyDescent="0.25">
      <c r="A2754" s="105">
        <f t="shared" si="42"/>
        <v>7709023</v>
      </c>
      <c r="B2754" s="105" t="s">
        <v>4508</v>
      </c>
      <c r="C2754" s="105" t="s">
        <v>4509</v>
      </c>
      <c r="D2754" s="105">
        <v>0</v>
      </c>
      <c r="E2754" s="105">
        <v>0</v>
      </c>
      <c r="F2754" s="105">
        <v>0</v>
      </c>
    </row>
    <row r="2755" spans="1:6" x14ac:dyDescent="0.25">
      <c r="A2755" s="105" t="str">
        <f t="shared" ref="A2755:A2818" si="43">IF(B2755&lt;&gt;"",IFERROR(B2755*1,""),"")</f>
        <v/>
      </c>
      <c r="B2755" s="105" t="s">
        <v>4510</v>
      </c>
      <c r="C2755" s="105" t="s">
        <v>8</v>
      </c>
      <c r="D2755" s="105">
        <v>0</v>
      </c>
      <c r="E2755" s="105">
        <v>0</v>
      </c>
      <c r="F2755" s="105">
        <v>0</v>
      </c>
    </row>
    <row r="2756" spans="1:6" x14ac:dyDescent="0.25">
      <c r="A2756" s="105">
        <f t="shared" si="43"/>
        <v>7709024</v>
      </c>
      <c r="B2756" s="105" t="s">
        <v>4511</v>
      </c>
      <c r="C2756" s="105" t="s">
        <v>4512</v>
      </c>
      <c r="D2756" s="105">
        <v>0</v>
      </c>
      <c r="E2756" s="105">
        <v>0</v>
      </c>
      <c r="F2756" s="105">
        <v>0</v>
      </c>
    </row>
    <row r="2757" spans="1:6" x14ac:dyDescent="0.25">
      <c r="A2757" s="105" t="str">
        <f t="shared" si="43"/>
        <v/>
      </c>
      <c r="B2757" s="105" t="s">
        <v>4513</v>
      </c>
      <c r="C2757" s="105" t="s">
        <v>8</v>
      </c>
      <c r="D2757" s="105">
        <v>0</v>
      </c>
      <c r="E2757" s="105">
        <v>0</v>
      </c>
      <c r="F2757" s="105">
        <v>0</v>
      </c>
    </row>
    <row r="2758" spans="1:6" x14ac:dyDescent="0.25">
      <c r="A2758" s="105">
        <f t="shared" si="43"/>
        <v>7709025</v>
      </c>
      <c r="B2758" s="105" t="s">
        <v>4514</v>
      </c>
      <c r="C2758" s="105" t="s">
        <v>4515</v>
      </c>
      <c r="D2758" s="105">
        <v>0</v>
      </c>
      <c r="E2758" s="105">
        <v>0</v>
      </c>
      <c r="F2758" s="105">
        <v>0</v>
      </c>
    </row>
    <row r="2759" spans="1:6" x14ac:dyDescent="0.25">
      <c r="A2759" s="105">
        <f t="shared" si="43"/>
        <v>7709032</v>
      </c>
      <c r="B2759" s="105" t="s">
        <v>4516</v>
      </c>
      <c r="C2759" s="105" t="s">
        <v>4517</v>
      </c>
      <c r="D2759" s="105">
        <v>477</v>
      </c>
      <c r="E2759" s="105">
        <v>286.2</v>
      </c>
      <c r="F2759" s="105">
        <v>19</v>
      </c>
    </row>
    <row r="2760" spans="1:6" x14ac:dyDescent="0.25">
      <c r="A2760" s="105" t="str">
        <f t="shared" si="43"/>
        <v/>
      </c>
      <c r="B2760" s="105" t="s">
        <v>4518</v>
      </c>
      <c r="C2760" s="105" t="s">
        <v>8</v>
      </c>
      <c r="D2760" s="105">
        <v>0</v>
      </c>
      <c r="E2760" s="105">
        <v>0</v>
      </c>
      <c r="F2760" s="105">
        <v>0</v>
      </c>
    </row>
    <row r="2761" spans="1:6" x14ac:dyDescent="0.25">
      <c r="A2761" s="105">
        <f t="shared" si="43"/>
        <v>7709038</v>
      </c>
      <c r="B2761" s="105" t="s">
        <v>4519</v>
      </c>
      <c r="C2761" s="105" t="s">
        <v>4520</v>
      </c>
      <c r="D2761" s="105">
        <v>0</v>
      </c>
      <c r="E2761" s="105">
        <v>0</v>
      </c>
      <c r="F2761" s="105">
        <v>0</v>
      </c>
    </row>
    <row r="2762" spans="1:6" x14ac:dyDescent="0.25">
      <c r="A2762" s="105">
        <f t="shared" si="43"/>
        <v>7709040</v>
      </c>
      <c r="B2762" s="105" t="s">
        <v>9379</v>
      </c>
      <c r="C2762" s="105" t="s">
        <v>9380</v>
      </c>
      <c r="D2762" s="105">
        <v>477</v>
      </c>
      <c r="E2762" s="105">
        <v>286.2</v>
      </c>
      <c r="F2762" s="105">
        <v>0</v>
      </c>
    </row>
    <row r="2763" spans="1:6" x14ac:dyDescent="0.25">
      <c r="A2763" s="105">
        <f t="shared" si="43"/>
        <v>7709041</v>
      </c>
      <c r="B2763" s="105" t="s">
        <v>4521</v>
      </c>
      <c r="C2763" s="105" t="s">
        <v>4522</v>
      </c>
      <c r="D2763" s="105">
        <v>477</v>
      </c>
      <c r="E2763" s="105">
        <v>286.2</v>
      </c>
      <c r="F2763" s="105">
        <v>12</v>
      </c>
    </row>
    <row r="2764" spans="1:6" x14ac:dyDescent="0.25">
      <c r="A2764" s="105">
        <f t="shared" si="43"/>
        <v>7709042</v>
      </c>
      <c r="B2764" s="105" t="s">
        <v>4523</v>
      </c>
      <c r="C2764" s="105" t="s">
        <v>4524</v>
      </c>
      <c r="D2764" s="105">
        <v>477</v>
      </c>
      <c r="E2764" s="105">
        <v>286.2</v>
      </c>
      <c r="F2764" s="105">
        <v>14</v>
      </c>
    </row>
    <row r="2765" spans="1:6" x14ac:dyDescent="0.25">
      <c r="A2765" s="105">
        <f t="shared" si="43"/>
        <v>7709043</v>
      </c>
      <c r="B2765" s="105" t="s">
        <v>4525</v>
      </c>
      <c r="C2765" s="105" t="s">
        <v>4526</v>
      </c>
      <c r="D2765" s="105">
        <v>477</v>
      </c>
      <c r="E2765" s="105">
        <v>286.2</v>
      </c>
      <c r="F2765" s="105">
        <v>0</v>
      </c>
    </row>
    <row r="2766" spans="1:6" x14ac:dyDescent="0.25">
      <c r="A2766" s="105" t="str">
        <f t="shared" si="43"/>
        <v/>
      </c>
      <c r="B2766" s="105" t="s">
        <v>4527</v>
      </c>
      <c r="C2766" s="105" t="s">
        <v>8</v>
      </c>
      <c r="D2766" s="105">
        <v>0</v>
      </c>
      <c r="E2766" s="105">
        <v>0</v>
      </c>
      <c r="F2766" s="105">
        <v>0</v>
      </c>
    </row>
    <row r="2767" spans="1:6" x14ac:dyDescent="0.25">
      <c r="A2767" s="105">
        <f t="shared" si="43"/>
        <v>7709049</v>
      </c>
      <c r="B2767" s="105" t="s">
        <v>4528</v>
      </c>
      <c r="C2767" s="105" t="s">
        <v>4529</v>
      </c>
      <c r="D2767" s="105">
        <v>0</v>
      </c>
      <c r="E2767" s="105">
        <v>0</v>
      </c>
      <c r="F2767" s="105">
        <v>0</v>
      </c>
    </row>
    <row r="2768" spans="1:6" x14ac:dyDescent="0.25">
      <c r="A2768" s="105">
        <f t="shared" si="43"/>
        <v>7709061</v>
      </c>
      <c r="B2768" s="105" t="s">
        <v>4530</v>
      </c>
      <c r="C2768" s="105" t="s">
        <v>4531</v>
      </c>
      <c r="D2768" s="105">
        <v>477</v>
      </c>
      <c r="E2768" s="105">
        <v>286.2</v>
      </c>
      <c r="F2768" s="105">
        <v>0</v>
      </c>
    </row>
    <row r="2769" spans="1:6" x14ac:dyDescent="0.25">
      <c r="A2769" s="105">
        <f t="shared" si="43"/>
        <v>7709062</v>
      </c>
      <c r="B2769" s="105" t="s">
        <v>4532</v>
      </c>
      <c r="C2769" s="105" t="s">
        <v>4533</v>
      </c>
      <c r="D2769" s="105">
        <v>477</v>
      </c>
      <c r="E2769" s="105">
        <v>286.2</v>
      </c>
      <c r="F2769" s="105">
        <v>5</v>
      </c>
    </row>
    <row r="2770" spans="1:6" x14ac:dyDescent="0.25">
      <c r="A2770" s="105" t="str">
        <f t="shared" si="43"/>
        <v/>
      </c>
      <c r="B2770" s="105" t="s">
        <v>4534</v>
      </c>
      <c r="C2770" s="105" t="s">
        <v>8</v>
      </c>
      <c r="D2770" s="105">
        <v>0</v>
      </c>
      <c r="E2770" s="105">
        <v>0</v>
      </c>
      <c r="F2770" s="105">
        <v>0</v>
      </c>
    </row>
    <row r="2771" spans="1:6" x14ac:dyDescent="0.25">
      <c r="A2771" s="105">
        <f t="shared" si="43"/>
        <v>7709063</v>
      </c>
      <c r="B2771" s="105" t="s">
        <v>4535</v>
      </c>
      <c r="C2771" s="105" t="s">
        <v>4536</v>
      </c>
      <c r="D2771" s="105">
        <v>0</v>
      </c>
      <c r="E2771" s="105">
        <v>0</v>
      </c>
      <c r="F2771" s="105">
        <v>0</v>
      </c>
    </row>
    <row r="2772" spans="1:6" x14ac:dyDescent="0.25">
      <c r="A2772" s="105">
        <f t="shared" si="43"/>
        <v>7709064</v>
      </c>
      <c r="B2772" s="105" t="s">
        <v>4537</v>
      </c>
      <c r="C2772" s="105" t="s">
        <v>4538</v>
      </c>
      <c r="D2772" s="105">
        <v>265</v>
      </c>
      <c r="E2772" s="105">
        <v>159</v>
      </c>
      <c r="F2772" s="105">
        <v>0</v>
      </c>
    </row>
    <row r="2773" spans="1:6" x14ac:dyDescent="0.25">
      <c r="A2773" s="105">
        <f t="shared" si="43"/>
        <v>7709065</v>
      </c>
      <c r="B2773" s="105" t="s">
        <v>4539</v>
      </c>
      <c r="C2773" s="105" t="s">
        <v>4540</v>
      </c>
      <c r="D2773" s="105">
        <v>265</v>
      </c>
      <c r="E2773" s="105">
        <v>159</v>
      </c>
      <c r="F2773" s="105">
        <v>8</v>
      </c>
    </row>
    <row r="2774" spans="1:6" x14ac:dyDescent="0.25">
      <c r="A2774" s="105">
        <f t="shared" si="43"/>
        <v>7709066</v>
      </c>
      <c r="B2774" s="105" t="s">
        <v>4541</v>
      </c>
      <c r="C2774" s="105" t="s">
        <v>4542</v>
      </c>
      <c r="D2774" s="105">
        <v>265</v>
      </c>
      <c r="E2774" s="105">
        <v>159</v>
      </c>
      <c r="F2774" s="105">
        <v>7</v>
      </c>
    </row>
    <row r="2775" spans="1:6" x14ac:dyDescent="0.25">
      <c r="A2775" s="105">
        <f t="shared" si="43"/>
        <v>7709067</v>
      </c>
      <c r="B2775" s="105" t="s">
        <v>4543</v>
      </c>
      <c r="C2775" s="105" t="s">
        <v>4544</v>
      </c>
      <c r="D2775" s="105">
        <v>265</v>
      </c>
      <c r="E2775" s="105">
        <v>159</v>
      </c>
      <c r="F2775" s="105">
        <v>10</v>
      </c>
    </row>
    <row r="2776" spans="1:6" x14ac:dyDescent="0.25">
      <c r="A2776" s="105">
        <f t="shared" si="43"/>
        <v>7709068</v>
      </c>
      <c r="B2776" s="105" t="s">
        <v>4545</v>
      </c>
      <c r="C2776" s="105" t="s">
        <v>4546</v>
      </c>
      <c r="D2776" s="105">
        <v>265</v>
      </c>
      <c r="E2776" s="105">
        <v>159</v>
      </c>
      <c r="F2776" s="105">
        <v>1</v>
      </c>
    </row>
    <row r="2777" spans="1:6" x14ac:dyDescent="0.25">
      <c r="A2777" s="105">
        <f t="shared" si="43"/>
        <v>7709069</v>
      </c>
      <c r="B2777" s="105" t="s">
        <v>4547</v>
      </c>
      <c r="C2777" s="105" t="s">
        <v>4548</v>
      </c>
      <c r="D2777" s="105">
        <v>265</v>
      </c>
      <c r="E2777" s="105">
        <v>159</v>
      </c>
      <c r="F2777" s="105">
        <v>4</v>
      </c>
    </row>
    <row r="2778" spans="1:6" x14ac:dyDescent="0.25">
      <c r="A2778" s="105">
        <f t="shared" si="43"/>
        <v>7709070</v>
      </c>
      <c r="B2778" s="105" t="s">
        <v>4549</v>
      </c>
      <c r="C2778" s="105" t="s">
        <v>4550</v>
      </c>
      <c r="D2778" s="105">
        <v>265</v>
      </c>
      <c r="E2778" s="105">
        <v>159</v>
      </c>
      <c r="F2778" s="105">
        <v>6</v>
      </c>
    </row>
    <row r="2779" spans="1:6" x14ac:dyDescent="0.25">
      <c r="A2779" s="105">
        <f t="shared" si="43"/>
        <v>7709071</v>
      </c>
      <c r="B2779" s="105" t="s">
        <v>9381</v>
      </c>
      <c r="C2779" s="105" t="s">
        <v>9382</v>
      </c>
      <c r="D2779" s="105">
        <v>0</v>
      </c>
      <c r="E2779" s="105">
        <v>0</v>
      </c>
      <c r="F2779" s="105">
        <v>0</v>
      </c>
    </row>
    <row r="2780" spans="1:6" x14ac:dyDescent="0.25">
      <c r="A2780" s="105">
        <f t="shared" si="43"/>
        <v>7709072</v>
      </c>
      <c r="B2780" s="105" t="s">
        <v>9383</v>
      </c>
      <c r="C2780" s="105" t="s">
        <v>9384</v>
      </c>
      <c r="D2780" s="105">
        <v>0</v>
      </c>
      <c r="E2780" s="105">
        <v>0</v>
      </c>
      <c r="F2780" s="105">
        <v>0</v>
      </c>
    </row>
    <row r="2781" spans="1:6" x14ac:dyDescent="0.25">
      <c r="A2781" s="105">
        <f t="shared" si="43"/>
        <v>7709092</v>
      </c>
      <c r="B2781" s="105" t="s">
        <v>4551</v>
      </c>
      <c r="C2781" s="105" t="s">
        <v>4552</v>
      </c>
      <c r="D2781" s="105">
        <v>477</v>
      </c>
      <c r="E2781" s="105">
        <v>286.2</v>
      </c>
      <c r="F2781" s="105">
        <v>0</v>
      </c>
    </row>
    <row r="2782" spans="1:6" x14ac:dyDescent="0.25">
      <c r="A2782" s="105">
        <f t="shared" si="43"/>
        <v>7709094</v>
      </c>
      <c r="B2782" s="105" t="s">
        <v>4553</v>
      </c>
      <c r="C2782" s="105" t="s">
        <v>4554</v>
      </c>
      <c r="D2782" s="105">
        <v>477</v>
      </c>
      <c r="E2782" s="105">
        <v>286.2</v>
      </c>
      <c r="F2782" s="105">
        <v>0</v>
      </c>
    </row>
    <row r="2783" spans="1:6" x14ac:dyDescent="0.25">
      <c r="A2783" s="105" t="str">
        <f t="shared" si="43"/>
        <v/>
      </c>
      <c r="B2783" s="105" t="s">
        <v>4555</v>
      </c>
      <c r="C2783" s="105" t="s">
        <v>8</v>
      </c>
      <c r="D2783" s="105">
        <v>0</v>
      </c>
      <c r="E2783" s="105">
        <v>0</v>
      </c>
      <c r="F2783" s="105">
        <v>0</v>
      </c>
    </row>
    <row r="2784" spans="1:6" x14ac:dyDescent="0.25">
      <c r="A2784" s="105">
        <f t="shared" si="43"/>
        <v>7709100</v>
      </c>
      <c r="B2784" s="105" t="s">
        <v>4556</v>
      </c>
      <c r="C2784" s="105" t="s">
        <v>8</v>
      </c>
      <c r="D2784" s="105">
        <v>0</v>
      </c>
      <c r="E2784" s="105">
        <v>0</v>
      </c>
      <c r="F2784" s="105">
        <v>0</v>
      </c>
    </row>
    <row r="2785" spans="1:6" x14ac:dyDescent="0.25">
      <c r="A2785" s="105">
        <f t="shared" si="43"/>
        <v>7709101</v>
      </c>
      <c r="B2785" s="105" t="s">
        <v>4557</v>
      </c>
      <c r="C2785" s="105" t="s">
        <v>4558</v>
      </c>
      <c r="D2785" s="105">
        <v>477</v>
      </c>
      <c r="E2785" s="105">
        <v>286.2</v>
      </c>
      <c r="F2785" s="105">
        <v>0</v>
      </c>
    </row>
    <row r="2786" spans="1:6" x14ac:dyDescent="0.25">
      <c r="A2786" s="105">
        <f t="shared" si="43"/>
        <v>7709102</v>
      </c>
      <c r="B2786" s="105" t="s">
        <v>4559</v>
      </c>
      <c r="C2786" s="105" t="s">
        <v>4560</v>
      </c>
      <c r="D2786" s="105">
        <v>477</v>
      </c>
      <c r="E2786" s="105">
        <v>286.2</v>
      </c>
      <c r="F2786" s="105">
        <v>0</v>
      </c>
    </row>
    <row r="2787" spans="1:6" x14ac:dyDescent="0.25">
      <c r="A2787" s="105">
        <f t="shared" si="43"/>
        <v>7709103</v>
      </c>
      <c r="B2787" s="105" t="s">
        <v>4561</v>
      </c>
      <c r="C2787" s="105" t="s">
        <v>4562</v>
      </c>
      <c r="D2787" s="105">
        <v>477</v>
      </c>
      <c r="E2787" s="105">
        <v>286.2</v>
      </c>
      <c r="F2787" s="105">
        <v>4</v>
      </c>
    </row>
    <row r="2788" spans="1:6" x14ac:dyDescent="0.25">
      <c r="A2788" s="105" t="str">
        <f t="shared" si="43"/>
        <v/>
      </c>
      <c r="B2788" s="105" t="s">
        <v>4563</v>
      </c>
      <c r="C2788" s="105" t="s">
        <v>8</v>
      </c>
      <c r="D2788" s="105">
        <v>0</v>
      </c>
      <c r="E2788" s="105">
        <v>0</v>
      </c>
      <c r="F2788" s="105">
        <v>0</v>
      </c>
    </row>
    <row r="2789" spans="1:6" x14ac:dyDescent="0.25">
      <c r="A2789" s="105">
        <f t="shared" si="43"/>
        <v>7709104</v>
      </c>
      <c r="B2789" s="105" t="s">
        <v>4564</v>
      </c>
      <c r="C2789" s="105" t="s">
        <v>4565</v>
      </c>
      <c r="D2789" s="105">
        <v>0</v>
      </c>
      <c r="E2789" s="105">
        <v>0</v>
      </c>
      <c r="F2789" s="105">
        <v>0</v>
      </c>
    </row>
    <row r="2790" spans="1:6" x14ac:dyDescent="0.25">
      <c r="A2790" s="105" t="str">
        <f t="shared" si="43"/>
        <v/>
      </c>
      <c r="B2790" s="105" t="s">
        <v>4566</v>
      </c>
      <c r="C2790" s="105" t="s">
        <v>8</v>
      </c>
      <c r="D2790" s="105">
        <v>0</v>
      </c>
      <c r="E2790" s="105">
        <v>0</v>
      </c>
      <c r="F2790" s="105">
        <v>0</v>
      </c>
    </row>
    <row r="2791" spans="1:6" x14ac:dyDescent="0.25">
      <c r="A2791" s="105">
        <f t="shared" si="43"/>
        <v>7709105</v>
      </c>
      <c r="B2791" s="105" t="s">
        <v>4567</v>
      </c>
      <c r="C2791" s="105" t="s">
        <v>4568</v>
      </c>
      <c r="D2791" s="105">
        <v>0</v>
      </c>
      <c r="E2791" s="105">
        <v>0</v>
      </c>
      <c r="F2791" s="105">
        <v>0</v>
      </c>
    </row>
    <row r="2792" spans="1:6" x14ac:dyDescent="0.25">
      <c r="A2792" s="105">
        <f t="shared" si="43"/>
        <v>7709106</v>
      </c>
      <c r="B2792" s="105" t="s">
        <v>4569</v>
      </c>
      <c r="C2792" s="105" t="s">
        <v>4570</v>
      </c>
      <c r="D2792" s="105">
        <v>477</v>
      </c>
      <c r="E2792" s="105">
        <v>286.2</v>
      </c>
      <c r="F2792" s="105">
        <v>0</v>
      </c>
    </row>
    <row r="2793" spans="1:6" x14ac:dyDescent="0.25">
      <c r="A2793" s="105" t="str">
        <f t="shared" si="43"/>
        <v/>
      </c>
      <c r="B2793" s="105" t="s">
        <v>4571</v>
      </c>
      <c r="C2793" s="105" t="s">
        <v>8</v>
      </c>
      <c r="D2793" s="105">
        <v>0</v>
      </c>
      <c r="E2793" s="105">
        <v>0</v>
      </c>
      <c r="F2793" s="105">
        <v>0</v>
      </c>
    </row>
    <row r="2794" spans="1:6" x14ac:dyDescent="0.25">
      <c r="A2794" s="105">
        <f t="shared" si="43"/>
        <v>7709115</v>
      </c>
      <c r="B2794" s="105" t="s">
        <v>4572</v>
      </c>
      <c r="C2794" s="105" t="s">
        <v>4573</v>
      </c>
      <c r="D2794" s="105">
        <v>0</v>
      </c>
      <c r="E2794" s="105">
        <v>0</v>
      </c>
      <c r="F2794" s="105">
        <v>0</v>
      </c>
    </row>
    <row r="2795" spans="1:6" x14ac:dyDescent="0.25">
      <c r="A2795" s="105" t="str">
        <f t="shared" si="43"/>
        <v/>
      </c>
      <c r="B2795" s="105" t="s">
        <v>4574</v>
      </c>
      <c r="C2795" s="105" t="s">
        <v>8</v>
      </c>
      <c r="D2795" s="105">
        <v>0</v>
      </c>
      <c r="E2795" s="105">
        <v>0</v>
      </c>
      <c r="F2795" s="105">
        <v>0</v>
      </c>
    </row>
    <row r="2796" spans="1:6" x14ac:dyDescent="0.25">
      <c r="A2796" s="105">
        <f t="shared" si="43"/>
        <v>7709120</v>
      </c>
      <c r="B2796" s="105" t="s">
        <v>4575</v>
      </c>
      <c r="C2796" s="105" t="s">
        <v>4576</v>
      </c>
      <c r="D2796" s="105">
        <v>0</v>
      </c>
      <c r="E2796" s="105">
        <v>0</v>
      </c>
      <c r="F2796" s="105">
        <v>0</v>
      </c>
    </row>
    <row r="2797" spans="1:6" x14ac:dyDescent="0.25">
      <c r="A2797" s="105" t="str">
        <f t="shared" si="43"/>
        <v/>
      </c>
      <c r="B2797" s="105" t="s">
        <v>4577</v>
      </c>
      <c r="C2797" s="105" t="s">
        <v>8</v>
      </c>
      <c r="D2797" s="105">
        <v>0</v>
      </c>
      <c r="E2797" s="105">
        <v>0</v>
      </c>
      <c r="F2797" s="105">
        <v>0</v>
      </c>
    </row>
    <row r="2798" spans="1:6" x14ac:dyDescent="0.25">
      <c r="A2798" s="105">
        <f t="shared" si="43"/>
        <v>7709122</v>
      </c>
      <c r="B2798" s="105" t="s">
        <v>4578</v>
      </c>
      <c r="C2798" s="105" t="s">
        <v>4579</v>
      </c>
      <c r="D2798" s="105">
        <v>0</v>
      </c>
      <c r="E2798" s="105">
        <v>0</v>
      </c>
      <c r="F2798" s="105">
        <v>0</v>
      </c>
    </row>
    <row r="2799" spans="1:6" x14ac:dyDescent="0.25">
      <c r="A2799" s="105" t="str">
        <f t="shared" si="43"/>
        <v/>
      </c>
      <c r="B2799" s="105" t="s">
        <v>4580</v>
      </c>
      <c r="C2799" s="105" t="s">
        <v>8</v>
      </c>
      <c r="D2799" s="105">
        <v>0</v>
      </c>
      <c r="E2799" s="105">
        <v>0</v>
      </c>
      <c r="F2799" s="105">
        <v>0</v>
      </c>
    </row>
    <row r="2800" spans="1:6" x14ac:dyDescent="0.25">
      <c r="A2800" s="105">
        <f t="shared" si="43"/>
        <v>7709135</v>
      </c>
      <c r="B2800" s="105" t="s">
        <v>4581</v>
      </c>
      <c r="C2800" s="105" t="s">
        <v>9385</v>
      </c>
      <c r="D2800" s="105">
        <v>265</v>
      </c>
      <c r="E2800" s="105">
        <v>159</v>
      </c>
      <c r="F2800" s="105">
        <v>3</v>
      </c>
    </row>
    <row r="2801" spans="1:6" x14ac:dyDescent="0.25">
      <c r="A2801" s="105">
        <f t="shared" si="43"/>
        <v>7709137</v>
      </c>
      <c r="B2801" s="105" t="s">
        <v>4582</v>
      </c>
      <c r="C2801" s="105" t="s">
        <v>4583</v>
      </c>
      <c r="D2801" s="105">
        <v>477</v>
      </c>
      <c r="E2801" s="105">
        <v>286.2</v>
      </c>
      <c r="F2801" s="105">
        <v>17</v>
      </c>
    </row>
    <row r="2802" spans="1:6" x14ac:dyDescent="0.25">
      <c r="A2802" s="105">
        <f t="shared" si="43"/>
        <v>7709138</v>
      </c>
      <c r="B2802" s="105" t="s">
        <v>4584</v>
      </c>
      <c r="C2802" s="105" t="s">
        <v>4585</v>
      </c>
      <c r="D2802" s="105">
        <v>477</v>
      </c>
      <c r="E2802" s="105">
        <v>286.2</v>
      </c>
      <c r="F2802" s="105">
        <v>0</v>
      </c>
    </row>
    <row r="2803" spans="1:6" x14ac:dyDescent="0.25">
      <c r="A2803" s="105">
        <f t="shared" si="43"/>
        <v>7709139</v>
      </c>
      <c r="B2803" s="105" t="s">
        <v>4586</v>
      </c>
      <c r="C2803" s="105" t="s">
        <v>4587</v>
      </c>
      <c r="D2803" s="105">
        <v>477</v>
      </c>
      <c r="E2803" s="105">
        <v>286.2</v>
      </c>
      <c r="F2803" s="105">
        <v>0</v>
      </c>
    </row>
    <row r="2804" spans="1:6" x14ac:dyDescent="0.25">
      <c r="A2804" s="105">
        <f t="shared" si="43"/>
        <v>7709142</v>
      </c>
      <c r="B2804" s="105" t="s">
        <v>4588</v>
      </c>
      <c r="C2804" s="105" t="s">
        <v>4589</v>
      </c>
      <c r="D2804" s="105">
        <v>477</v>
      </c>
      <c r="E2804" s="105">
        <v>286.2</v>
      </c>
      <c r="F2804" s="105">
        <v>0</v>
      </c>
    </row>
    <row r="2805" spans="1:6" x14ac:dyDescent="0.25">
      <c r="A2805" s="105">
        <f t="shared" si="43"/>
        <v>7709156</v>
      </c>
      <c r="B2805" s="105" t="s">
        <v>4590</v>
      </c>
      <c r="C2805" s="105" t="s">
        <v>4591</v>
      </c>
      <c r="D2805" s="105">
        <v>477</v>
      </c>
      <c r="E2805" s="105">
        <v>286.2</v>
      </c>
      <c r="F2805" s="105">
        <v>22</v>
      </c>
    </row>
    <row r="2806" spans="1:6" x14ac:dyDescent="0.25">
      <c r="A2806" s="105" t="str">
        <f t="shared" si="43"/>
        <v/>
      </c>
      <c r="B2806" s="105" t="s">
        <v>4592</v>
      </c>
      <c r="C2806" s="105" t="s">
        <v>8</v>
      </c>
      <c r="D2806" s="105">
        <v>0</v>
      </c>
      <c r="E2806" s="105">
        <v>0</v>
      </c>
      <c r="F2806" s="105">
        <v>0</v>
      </c>
    </row>
    <row r="2807" spans="1:6" x14ac:dyDescent="0.25">
      <c r="A2807" s="105">
        <f t="shared" si="43"/>
        <v>7709157</v>
      </c>
      <c r="B2807" s="105" t="s">
        <v>4593</v>
      </c>
      <c r="C2807" s="105" t="s">
        <v>4594</v>
      </c>
      <c r="D2807" s="105">
        <v>0</v>
      </c>
      <c r="E2807" s="105">
        <v>0</v>
      </c>
      <c r="F2807" s="105">
        <v>0</v>
      </c>
    </row>
    <row r="2808" spans="1:6" x14ac:dyDescent="0.25">
      <c r="A2808" s="105">
        <f t="shared" si="43"/>
        <v>7709158</v>
      </c>
      <c r="B2808" s="105" t="s">
        <v>4595</v>
      </c>
      <c r="C2808" s="105" t="s">
        <v>4596</v>
      </c>
      <c r="D2808" s="105">
        <v>477</v>
      </c>
      <c r="E2808" s="105">
        <v>286.2</v>
      </c>
      <c r="F2808" s="105">
        <v>37</v>
      </c>
    </row>
    <row r="2809" spans="1:6" x14ac:dyDescent="0.25">
      <c r="A2809" s="105" t="str">
        <f t="shared" si="43"/>
        <v/>
      </c>
      <c r="B2809" s="105" t="s">
        <v>4597</v>
      </c>
      <c r="C2809" s="105" t="s">
        <v>8</v>
      </c>
      <c r="D2809" s="105">
        <v>0</v>
      </c>
      <c r="E2809" s="105">
        <v>0</v>
      </c>
      <c r="F2809" s="105">
        <v>0</v>
      </c>
    </row>
    <row r="2810" spans="1:6" x14ac:dyDescent="0.25">
      <c r="A2810" s="105">
        <f t="shared" si="43"/>
        <v>7709159</v>
      </c>
      <c r="B2810" s="105" t="s">
        <v>4598</v>
      </c>
      <c r="C2810" s="105" t="s">
        <v>4599</v>
      </c>
      <c r="D2810" s="105">
        <v>0</v>
      </c>
      <c r="E2810" s="105">
        <v>0</v>
      </c>
      <c r="F2810" s="105">
        <v>0</v>
      </c>
    </row>
    <row r="2811" spans="1:6" x14ac:dyDescent="0.25">
      <c r="A2811" s="105">
        <f t="shared" si="43"/>
        <v>7709160</v>
      </c>
      <c r="B2811" s="105" t="s">
        <v>4600</v>
      </c>
      <c r="C2811" s="105" t="s">
        <v>4601</v>
      </c>
      <c r="D2811" s="105">
        <v>477</v>
      </c>
      <c r="E2811" s="105">
        <v>286.2</v>
      </c>
      <c r="F2811" s="105">
        <v>456</v>
      </c>
    </row>
    <row r="2812" spans="1:6" x14ac:dyDescent="0.25">
      <c r="A2812" s="105">
        <f t="shared" si="43"/>
        <v>7709161</v>
      </c>
      <c r="B2812" s="105" t="s">
        <v>9386</v>
      </c>
      <c r="C2812" s="105" t="s">
        <v>9387</v>
      </c>
      <c r="D2812" s="105">
        <v>805.6</v>
      </c>
      <c r="E2812" s="105">
        <v>483.36</v>
      </c>
      <c r="F2812" s="105">
        <v>0</v>
      </c>
    </row>
    <row r="2813" spans="1:6" x14ac:dyDescent="0.25">
      <c r="A2813" s="105" t="str">
        <f t="shared" si="43"/>
        <v/>
      </c>
      <c r="B2813" s="105" t="s">
        <v>4602</v>
      </c>
      <c r="C2813" s="105" t="s">
        <v>8</v>
      </c>
      <c r="D2813" s="105">
        <v>0</v>
      </c>
      <c r="E2813" s="105">
        <v>0</v>
      </c>
      <c r="F2813" s="105">
        <v>0</v>
      </c>
    </row>
    <row r="2814" spans="1:6" x14ac:dyDescent="0.25">
      <c r="A2814" s="105">
        <f t="shared" si="43"/>
        <v>7709169</v>
      </c>
      <c r="B2814" s="105" t="s">
        <v>4603</v>
      </c>
      <c r="C2814" s="105" t="s">
        <v>4604</v>
      </c>
      <c r="D2814" s="105">
        <v>0</v>
      </c>
      <c r="E2814" s="105">
        <v>0</v>
      </c>
      <c r="F2814" s="105">
        <v>0</v>
      </c>
    </row>
    <row r="2815" spans="1:6" x14ac:dyDescent="0.25">
      <c r="A2815" s="105">
        <f t="shared" si="43"/>
        <v>7709174</v>
      </c>
      <c r="B2815" s="105" t="s">
        <v>4605</v>
      </c>
      <c r="C2815" s="105" t="s">
        <v>4606</v>
      </c>
      <c r="D2815" s="105">
        <v>477</v>
      </c>
      <c r="E2815" s="105">
        <v>286.2</v>
      </c>
      <c r="F2815" s="105">
        <v>0</v>
      </c>
    </row>
    <row r="2816" spans="1:6" x14ac:dyDescent="0.25">
      <c r="A2816" s="105" t="str">
        <f t="shared" si="43"/>
        <v/>
      </c>
      <c r="B2816" s="105" t="s">
        <v>4607</v>
      </c>
      <c r="C2816" s="105" t="s">
        <v>8</v>
      </c>
      <c r="D2816" s="105">
        <v>0</v>
      </c>
      <c r="E2816" s="105">
        <v>0</v>
      </c>
      <c r="F2816" s="105">
        <v>0</v>
      </c>
    </row>
    <row r="2817" spans="1:6" x14ac:dyDescent="0.25">
      <c r="A2817" s="105">
        <f t="shared" si="43"/>
        <v>7709198</v>
      </c>
      <c r="B2817" s="105" t="s">
        <v>4608</v>
      </c>
      <c r="C2817" s="105" t="s">
        <v>4609</v>
      </c>
      <c r="D2817" s="105">
        <v>0</v>
      </c>
      <c r="E2817" s="105">
        <v>0</v>
      </c>
      <c r="F2817" s="105">
        <v>0</v>
      </c>
    </row>
    <row r="2818" spans="1:6" x14ac:dyDescent="0.25">
      <c r="A2818" s="105" t="str">
        <f t="shared" si="43"/>
        <v/>
      </c>
      <c r="B2818" s="105" t="s">
        <v>4610</v>
      </c>
      <c r="C2818" s="105" t="s">
        <v>8</v>
      </c>
      <c r="D2818" s="105">
        <v>0</v>
      </c>
      <c r="E2818" s="105">
        <v>0</v>
      </c>
      <c r="F2818" s="105">
        <v>0</v>
      </c>
    </row>
    <row r="2819" spans="1:6" x14ac:dyDescent="0.25">
      <c r="A2819" s="105">
        <f t="shared" ref="A2819:A2882" si="44">IF(B2819&lt;&gt;"",IFERROR(B2819*1,""),"")</f>
        <v>7709200</v>
      </c>
      <c r="B2819" s="105" t="s">
        <v>4611</v>
      </c>
      <c r="C2819" s="105" t="s">
        <v>4612</v>
      </c>
      <c r="D2819" s="105">
        <v>0</v>
      </c>
      <c r="E2819" s="105">
        <v>0</v>
      </c>
      <c r="F2819" s="105">
        <v>0</v>
      </c>
    </row>
    <row r="2820" spans="1:6" x14ac:dyDescent="0.25">
      <c r="A2820" s="105" t="str">
        <f t="shared" si="44"/>
        <v/>
      </c>
      <c r="B2820" s="105" t="s">
        <v>4613</v>
      </c>
      <c r="C2820" s="105" t="s">
        <v>8</v>
      </c>
      <c r="D2820" s="105">
        <v>0</v>
      </c>
      <c r="E2820" s="105">
        <v>0</v>
      </c>
      <c r="F2820" s="105">
        <v>0</v>
      </c>
    </row>
    <row r="2821" spans="1:6" x14ac:dyDescent="0.25">
      <c r="A2821" s="105">
        <f t="shared" si="44"/>
        <v>7709203</v>
      </c>
      <c r="B2821" s="105" t="s">
        <v>4614</v>
      </c>
      <c r="C2821" s="105" t="s">
        <v>4615</v>
      </c>
      <c r="D2821" s="105">
        <v>0</v>
      </c>
      <c r="E2821" s="105">
        <v>0</v>
      </c>
      <c r="F2821" s="105">
        <v>4</v>
      </c>
    </row>
    <row r="2822" spans="1:6" x14ac:dyDescent="0.25">
      <c r="A2822" s="105">
        <f t="shared" si="44"/>
        <v>7709204</v>
      </c>
      <c r="B2822" s="105" t="s">
        <v>4616</v>
      </c>
      <c r="C2822" s="105" t="s">
        <v>4617</v>
      </c>
      <c r="D2822" s="105">
        <v>477</v>
      </c>
      <c r="E2822" s="105">
        <v>286.2</v>
      </c>
      <c r="F2822" s="105">
        <v>0</v>
      </c>
    </row>
    <row r="2823" spans="1:6" x14ac:dyDescent="0.25">
      <c r="A2823" s="105" t="str">
        <f t="shared" si="44"/>
        <v/>
      </c>
      <c r="B2823" s="105" t="s">
        <v>4618</v>
      </c>
      <c r="C2823" s="105" t="s">
        <v>8</v>
      </c>
      <c r="D2823" s="105">
        <v>0</v>
      </c>
      <c r="E2823" s="105">
        <v>0</v>
      </c>
      <c r="F2823" s="105">
        <v>0</v>
      </c>
    </row>
    <row r="2824" spans="1:6" x14ac:dyDescent="0.25">
      <c r="A2824" s="105">
        <f t="shared" si="44"/>
        <v>7709208</v>
      </c>
      <c r="B2824" s="105" t="s">
        <v>4619</v>
      </c>
      <c r="C2824" s="105" t="s">
        <v>4620</v>
      </c>
      <c r="D2824" s="105">
        <v>500</v>
      </c>
      <c r="E2824" s="105">
        <v>300</v>
      </c>
      <c r="F2824" s="105">
        <v>0</v>
      </c>
    </row>
    <row r="2825" spans="1:6" x14ac:dyDescent="0.25">
      <c r="A2825" s="105">
        <f t="shared" si="44"/>
        <v>7709212</v>
      </c>
      <c r="B2825" s="105" t="s">
        <v>4621</v>
      </c>
      <c r="C2825" s="105" t="s">
        <v>4622</v>
      </c>
      <c r="D2825" s="105">
        <v>477</v>
      </c>
      <c r="E2825" s="105">
        <v>286.2</v>
      </c>
      <c r="F2825" s="105">
        <v>24</v>
      </c>
    </row>
    <row r="2826" spans="1:6" x14ac:dyDescent="0.25">
      <c r="A2826" s="105">
        <f t="shared" si="44"/>
        <v>7709228</v>
      </c>
      <c r="B2826" s="105" t="s">
        <v>4623</v>
      </c>
      <c r="C2826" s="105" t="s">
        <v>4624</v>
      </c>
      <c r="D2826" s="105">
        <v>477</v>
      </c>
      <c r="E2826" s="105">
        <v>286.2</v>
      </c>
      <c r="F2826" s="105">
        <v>0</v>
      </c>
    </row>
    <row r="2827" spans="1:6" x14ac:dyDescent="0.25">
      <c r="A2827" s="105">
        <f t="shared" si="44"/>
        <v>7709229</v>
      </c>
      <c r="B2827" s="105" t="s">
        <v>4625</v>
      </c>
      <c r="C2827" s="105" t="s">
        <v>4626</v>
      </c>
      <c r="D2827" s="105">
        <v>477</v>
      </c>
      <c r="E2827" s="105">
        <v>286.2</v>
      </c>
      <c r="F2827" s="105">
        <v>18</v>
      </c>
    </row>
    <row r="2828" spans="1:6" x14ac:dyDescent="0.25">
      <c r="A2828" s="105">
        <f t="shared" si="44"/>
        <v>7709230</v>
      </c>
      <c r="B2828" s="105" t="s">
        <v>4627</v>
      </c>
      <c r="C2828" s="105" t="s">
        <v>4628</v>
      </c>
      <c r="D2828" s="105">
        <v>477</v>
      </c>
      <c r="E2828" s="105">
        <v>286.2</v>
      </c>
      <c r="F2828" s="105">
        <v>0</v>
      </c>
    </row>
    <row r="2829" spans="1:6" x14ac:dyDescent="0.25">
      <c r="A2829" s="105">
        <f t="shared" si="44"/>
        <v>7709233</v>
      </c>
      <c r="B2829" s="105" t="s">
        <v>4629</v>
      </c>
      <c r="C2829" s="105" t="s">
        <v>4630</v>
      </c>
      <c r="D2829" s="105">
        <v>477</v>
      </c>
      <c r="E2829" s="105">
        <v>286.2</v>
      </c>
      <c r="F2829" s="105">
        <v>77</v>
      </c>
    </row>
    <row r="2830" spans="1:6" x14ac:dyDescent="0.25">
      <c r="A2830" s="105" t="str">
        <f t="shared" si="44"/>
        <v/>
      </c>
      <c r="B2830" s="105" t="s">
        <v>4631</v>
      </c>
      <c r="C2830" s="105" t="s">
        <v>8</v>
      </c>
      <c r="D2830" s="105">
        <v>0</v>
      </c>
      <c r="E2830" s="105">
        <v>0</v>
      </c>
      <c r="F2830" s="105">
        <v>0</v>
      </c>
    </row>
    <row r="2831" spans="1:6" x14ac:dyDescent="0.25">
      <c r="A2831" s="105">
        <f t="shared" si="44"/>
        <v>7709234</v>
      </c>
      <c r="B2831" s="105" t="s">
        <v>4632</v>
      </c>
      <c r="C2831" s="105" t="s">
        <v>4633</v>
      </c>
      <c r="D2831" s="105">
        <v>0</v>
      </c>
      <c r="E2831" s="105">
        <v>0</v>
      </c>
      <c r="F2831" s="105">
        <v>0</v>
      </c>
    </row>
    <row r="2832" spans="1:6" x14ac:dyDescent="0.25">
      <c r="A2832" s="105">
        <f t="shared" si="44"/>
        <v>7709235</v>
      </c>
      <c r="B2832" s="105" t="s">
        <v>4634</v>
      </c>
      <c r="C2832" s="105" t="s">
        <v>4635</v>
      </c>
      <c r="D2832" s="105">
        <v>477</v>
      </c>
      <c r="E2832" s="105">
        <v>286.2</v>
      </c>
      <c r="F2832" s="105">
        <v>0</v>
      </c>
    </row>
    <row r="2833" spans="1:6" x14ac:dyDescent="0.25">
      <c r="A2833" s="105" t="str">
        <f t="shared" si="44"/>
        <v/>
      </c>
      <c r="B2833" s="105" t="s">
        <v>4636</v>
      </c>
      <c r="C2833" s="105" t="s">
        <v>8</v>
      </c>
      <c r="D2833" s="105">
        <v>0</v>
      </c>
      <c r="E2833" s="105">
        <v>0</v>
      </c>
      <c r="F2833" s="105">
        <v>0</v>
      </c>
    </row>
    <row r="2834" spans="1:6" x14ac:dyDescent="0.25">
      <c r="A2834" s="105">
        <f t="shared" si="44"/>
        <v>7709238</v>
      </c>
      <c r="B2834" s="105" t="s">
        <v>4637</v>
      </c>
      <c r="C2834" s="105" t="s">
        <v>4638</v>
      </c>
      <c r="D2834" s="105">
        <v>0</v>
      </c>
      <c r="E2834" s="105">
        <v>0</v>
      </c>
      <c r="F2834" s="105">
        <v>0</v>
      </c>
    </row>
    <row r="2835" spans="1:6" x14ac:dyDescent="0.25">
      <c r="A2835" s="105">
        <f t="shared" si="44"/>
        <v>7709245</v>
      </c>
      <c r="B2835" s="105" t="s">
        <v>4639</v>
      </c>
      <c r="C2835" s="105" t="s">
        <v>4640</v>
      </c>
      <c r="D2835" s="105">
        <v>477</v>
      </c>
      <c r="E2835" s="105">
        <v>286.2</v>
      </c>
      <c r="F2835" s="105">
        <v>42</v>
      </c>
    </row>
    <row r="2836" spans="1:6" x14ac:dyDescent="0.25">
      <c r="A2836" s="105">
        <f t="shared" si="44"/>
        <v>7709246</v>
      </c>
      <c r="B2836" s="105" t="s">
        <v>4641</v>
      </c>
      <c r="C2836" s="105" t="s">
        <v>4642</v>
      </c>
      <c r="D2836" s="105">
        <v>477</v>
      </c>
      <c r="E2836" s="105">
        <v>286.2</v>
      </c>
      <c r="F2836" s="105">
        <v>0</v>
      </c>
    </row>
    <row r="2837" spans="1:6" x14ac:dyDescent="0.25">
      <c r="A2837" s="105">
        <f t="shared" si="44"/>
        <v>7709251</v>
      </c>
      <c r="B2837" s="105" t="s">
        <v>4643</v>
      </c>
      <c r="C2837" s="105" t="s">
        <v>4644</v>
      </c>
      <c r="D2837" s="105">
        <v>477</v>
      </c>
      <c r="E2837" s="105">
        <v>286.2</v>
      </c>
      <c r="F2837" s="105">
        <v>0</v>
      </c>
    </row>
    <row r="2838" spans="1:6" x14ac:dyDescent="0.25">
      <c r="A2838" s="105" t="str">
        <f t="shared" si="44"/>
        <v/>
      </c>
      <c r="B2838" s="105" t="s">
        <v>4645</v>
      </c>
      <c r="C2838" s="105" t="s">
        <v>8</v>
      </c>
      <c r="D2838" s="105">
        <v>0</v>
      </c>
      <c r="E2838" s="105">
        <v>0</v>
      </c>
      <c r="F2838" s="105">
        <v>0</v>
      </c>
    </row>
    <row r="2839" spans="1:6" x14ac:dyDescent="0.25">
      <c r="A2839" s="105">
        <f t="shared" si="44"/>
        <v>7709272</v>
      </c>
      <c r="B2839" s="105" t="s">
        <v>4646</v>
      </c>
      <c r="C2839" s="105" t="s">
        <v>4647</v>
      </c>
      <c r="D2839" s="105">
        <v>0</v>
      </c>
      <c r="E2839" s="105">
        <v>0</v>
      </c>
      <c r="F2839" s="105">
        <v>0</v>
      </c>
    </row>
    <row r="2840" spans="1:6" x14ac:dyDescent="0.25">
      <c r="A2840" s="105" t="str">
        <f t="shared" si="44"/>
        <v/>
      </c>
      <c r="B2840" s="105" t="s">
        <v>4648</v>
      </c>
      <c r="C2840" s="105" t="s">
        <v>8</v>
      </c>
      <c r="D2840" s="105">
        <v>0</v>
      </c>
      <c r="E2840" s="105">
        <v>0</v>
      </c>
      <c r="F2840" s="105">
        <v>0</v>
      </c>
    </row>
    <row r="2841" spans="1:6" x14ac:dyDescent="0.25">
      <c r="A2841" s="105">
        <f t="shared" si="44"/>
        <v>7709273</v>
      </c>
      <c r="B2841" s="105" t="s">
        <v>4649</v>
      </c>
      <c r="C2841" s="105" t="s">
        <v>4650</v>
      </c>
      <c r="D2841" s="105">
        <v>0</v>
      </c>
      <c r="E2841" s="105">
        <v>0</v>
      </c>
      <c r="F2841" s="105">
        <v>0</v>
      </c>
    </row>
    <row r="2842" spans="1:6" x14ac:dyDescent="0.25">
      <c r="A2842" s="105" t="str">
        <f t="shared" si="44"/>
        <v/>
      </c>
      <c r="B2842" s="105" t="s">
        <v>4651</v>
      </c>
      <c r="C2842" s="105" t="s">
        <v>8</v>
      </c>
      <c r="D2842" s="105">
        <v>0</v>
      </c>
      <c r="E2842" s="105">
        <v>0</v>
      </c>
      <c r="F2842" s="105">
        <v>0</v>
      </c>
    </row>
    <row r="2843" spans="1:6" x14ac:dyDescent="0.25">
      <c r="A2843" s="105">
        <f t="shared" si="44"/>
        <v>7709274</v>
      </c>
      <c r="B2843" s="105" t="s">
        <v>4652</v>
      </c>
      <c r="C2843" s="105" t="s">
        <v>4653</v>
      </c>
      <c r="D2843" s="105">
        <v>0</v>
      </c>
      <c r="E2843" s="105">
        <v>0</v>
      </c>
      <c r="F2843" s="105">
        <v>0</v>
      </c>
    </row>
    <row r="2844" spans="1:6" x14ac:dyDescent="0.25">
      <c r="A2844" s="105" t="str">
        <f t="shared" si="44"/>
        <v/>
      </c>
      <c r="B2844" s="105" t="s">
        <v>4654</v>
      </c>
      <c r="C2844" s="105" t="s">
        <v>8</v>
      </c>
      <c r="D2844" s="105">
        <v>0</v>
      </c>
      <c r="E2844" s="105">
        <v>0</v>
      </c>
      <c r="F2844" s="105">
        <v>0</v>
      </c>
    </row>
    <row r="2845" spans="1:6" x14ac:dyDescent="0.25">
      <c r="A2845" s="105">
        <f t="shared" si="44"/>
        <v>7709285</v>
      </c>
      <c r="B2845" s="105" t="s">
        <v>4655</v>
      </c>
      <c r="C2845" s="105" t="s">
        <v>4656</v>
      </c>
      <c r="D2845" s="105">
        <v>0</v>
      </c>
      <c r="E2845" s="105">
        <v>0</v>
      </c>
      <c r="F2845" s="105">
        <v>0</v>
      </c>
    </row>
    <row r="2846" spans="1:6" x14ac:dyDescent="0.25">
      <c r="A2846" s="105">
        <f t="shared" si="44"/>
        <v>7709300</v>
      </c>
      <c r="B2846" s="105" t="s">
        <v>4657</v>
      </c>
      <c r="C2846" s="105" t="s">
        <v>4658</v>
      </c>
      <c r="D2846" s="105">
        <v>477</v>
      </c>
      <c r="E2846" s="105">
        <v>286.2</v>
      </c>
      <c r="F2846" s="105">
        <v>6</v>
      </c>
    </row>
    <row r="2847" spans="1:6" x14ac:dyDescent="0.25">
      <c r="A2847" s="105">
        <f t="shared" si="44"/>
        <v>7709301</v>
      </c>
      <c r="B2847" s="105" t="s">
        <v>4659</v>
      </c>
      <c r="C2847" s="105" t="s">
        <v>4660</v>
      </c>
      <c r="D2847" s="105">
        <v>477</v>
      </c>
      <c r="E2847" s="105">
        <v>286.2</v>
      </c>
      <c r="F2847" s="105">
        <v>0</v>
      </c>
    </row>
    <row r="2848" spans="1:6" x14ac:dyDescent="0.25">
      <c r="A2848" s="105" t="str">
        <f t="shared" si="44"/>
        <v/>
      </c>
      <c r="B2848" s="105" t="s">
        <v>4661</v>
      </c>
      <c r="C2848" s="105" t="s">
        <v>8</v>
      </c>
      <c r="D2848" s="105">
        <v>0</v>
      </c>
      <c r="E2848" s="105">
        <v>0</v>
      </c>
      <c r="F2848" s="105">
        <v>0</v>
      </c>
    </row>
    <row r="2849" spans="1:6" x14ac:dyDescent="0.25">
      <c r="A2849" s="105">
        <f t="shared" si="44"/>
        <v>7709302</v>
      </c>
      <c r="B2849" s="105" t="s">
        <v>4662</v>
      </c>
      <c r="C2849" s="105" t="s">
        <v>4663</v>
      </c>
      <c r="D2849" s="105">
        <v>0</v>
      </c>
      <c r="E2849" s="105">
        <v>0</v>
      </c>
      <c r="F2849" s="105">
        <v>0</v>
      </c>
    </row>
    <row r="2850" spans="1:6" x14ac:dyDescent="0.25">
      <c r="A2850" s="105" t="str">
        <f t="shared" si="44"/>
        <v/>
      </c>
      <c r="B2850" s="105" t="s">
        <v>4664</v>
      </c>
      <c r="C2850" s="105" t="s">
        <v>8</v>
      </c>
      <c r="D2850" s="105">
        <v>0</v>
      </c>
      <c r="E2850" s="105">
        <v>0</v>
      </c>
      <c r="F2850" s="105">
        <v>0</v>
      </c>
    </row>
    <row r="2851" spans="1:6" x14ac:dyDescent="0.25">
      <c r="A2851" s="105">
        <f t="shared" si="44"/>
        <v>7709303</v>
      </c>
      <c r="B2851" s="105" t="s">
        <v>4665</v>
      </c>
      <c r="C2851" s="105" t="s">
        <v>4666</v>
      </c>
      <c r="D2851" s="105">
        <v>0</v>
      </c>
      <c r="E2851" s="105">
        <v>0</v>
      </c>
      <c r="F2851" s="105">
        <v>0</v>
      </c>
    </row>
    <row r="2852" spans="1:6" x14ac:dyDescent="0.25">
      <c r="A2852" s="105">
        <f t="shared" si="44"/>
        <v>7709304</v>
      </c>
      <c r="B2852" s="105" t="s">
        <v>4667</v>
      </c>
      <c r="C2852" s="105" t="s">
        <v>4668</v>
      </c>
      <c r="D2852" s="105">
        <v>477</v>
      </c>
      <c r="E2852" s="105">
        <v>286.2</v>
      </c>
      <c r="F2852" s="105">
        <v>1</v>
      </c>
    </row>
    <row r="2853" spans="1:6" x14ac:dyDescent="0.25">
      <c r="A2853" s="105">
        <f t="shared" si="44"/>
        <v>7709306</v>
      </c>
      <c r="B2853" s="105" t="s">
        <v>4669</v>
      </c>
      <c r="C2853" s="105" t="s">
        <v>4670</v>
      </c>
      <c r="D2853" s="105">
        <v>477</v>
      </c>
      <c r="E2853" s="105">
        <v>286.2</v>
      </c>
      <c r="F2853" s="105">
        <v>9</v>
      </c>
    </row>
    <row r="2854" spans="1:6" x14ac:dyDescent="0.25">
      <c r="A2854" s="105">
        <f t="shared" si="44"/>
        <v>7709307</v>
      </c>
      <c r="B2854" s="105" t="s">
        <v>4671</v>
      </c>
      <c r="C2854" s="105" t="s">
        <v>4672</v>
      </c>
      <c r="D2854" s="105">
        <v>0</v>
      </c>
      <c r="E2854" s="105">
        <v>0</v>
      </c>
      <c r="F2854" s="105">
        <v>0</v>
      </c>
    </row>
    <row r="2855" spans="1:6" x14ac:dyDescent="0.25">
      <c r="A2855" s="105">
        <f t="shared" si="44"/>
        <v>7709308</v>
      </c>
      <c r="B2855" s="105" t="s">
        <v>4673</v>
      </c>
      <c r="C2855" s="105" t="s">
        <v>4674</v>
      </c>
      <c r="D2855" s="105">
        <v>477</v>
      </c>
      <c r="E2855" s="105">
        <v>286.2</v>
      </c>
      <c r="F2855" s="105">
        <v>0</v>
      </c>
    </row>
    <row r="2856" spans="1:6" x14ac:dyDescent="0.25">
      <c r="A2856" s="105">
        <f t="shared" si="44"/>
        <v>7709310</v>
      </c>
      <c r="B2856" s="105" t="s">
        <v>4675</v>
      </c>
      <c r="C2856" s="105" t="s">
        <v>4676</v>
      </c>
      <c r="D2856" s="105">
        <v>477</v>
      </c>
      <c r="E2856" s="105">
        <v>286.2</v>
      </c>
      <c r="F2856" s="105">
        <v>0</v>
      </c>
    </row>
    <row r="2857" spans="1:6" x14ac:dyDescent="0.25">
      <c r="A2857" s="105" t="str">
        <f t="shared" si="44"/>
        <v/>
      </c>
      <c r="B2857" s="105" t="s">
        <v>4677</v>
      </c>
      <c r="C2857" s="105" t="s">
        <v>8</v>
      </c>
      <c r="D2857" s="105">
        <v>0</v>
      </c>
      <c r="E2857" s="105">
        <v>0</v>
      </c>
      <c r="F2857" s="105">
        <v>0</v>
      </c>
    </row>
    <row r="2858" spans="1:6" x14ac:dyDescent="0.25">
      <c r="A2858" s="105">
        <f t="shared" si="44"/>
        <v>7709312</v>
      </c>
      <c r="B2858" s="105" t="s">
        <v>4678</v>
      </c>
      <c r="C2858" s="105" t="s">
        <v>4679</v>
      </c>
      <c r="D2858" s="105">
        <v>0</v>
      </c>
      <c r="E2858" s="105">
        <v>0</v>
      </c>
      <c r="F2858" s="105">
        <v>0</v>
      </c>
    </row>
    <row r="2859" spans="1:6" x14ac:dyDescent="0.25">
      <c r="A2859" s="105" t="str">
        <f t="shared" si="44"/>
        <v/>
      </c>
      <c r="B2859" s="105" t="s">
        <v>4680</v>
      </c>
      <c r="C2859" s="105" t="s">
        <v>8</v>
      </c>
      <c r="D2859" s="105">
        <v>0</v>
      </c>
      <c r="E2859" s="105">
        <v>0</v>
      </c>
      <c r="F2859" s="105">
        <v>0</v>
      </c>
    </row>
    <row r="2860" spans="1:6" x14ac:dyDescent="0.25">
      <c r="A2860" s="105">
        <f t="shared" si="44"/>
        <v>7709330</v>
      </c>
      <c r="B2860" s="105" t="s">
        <v>4681</v>
      </c>
      <c r="C2860" s="105" t="s">
        <v>4682</v>
      </c>
      <c r="D2860" s="105">
        <v>477</v>
      </c>
      <c r="E2860" s="105">
        <v>286.2</v>
      </c>
      <c r="F2860" s="105">
        <v>0</v>
      </c>
    </row>
    <row r="2861" spans="1:6" x14ac:dyDescent="0.25">
      <c r="A2861" s="105">
        <f t="shared" si="44"/>
        <v>7709333</v>
      </c>
      <c r="B2861" s="105" t="s">
        <v>4683</v>
      </c>
      <c r="C2861" s="105" t="s">
        <v>4684</v>
      </c>
      <c r="D2861" s="105">
        <v>477</v>
      </c>
      <c r="E2861" s="105">
        <v>286.2</v>
      </c>
      <c r="F2861" s="105">
        <v>21</v>
      </c>
    </row>
    <row r="2862" spans="1:6" x14ac:dyDescent="0.25">
      <c r="A2862" s="105">
        <f t="shared" si="44"/>
        <v>7709334</v>
      </c>
      <c r="B2862" s="105" t="s">
        <v>9388</v>
      </c>
      <c r="C2862" s="105" t="s">
        <v>9389</v>
      </c>
      <c r="D2862" s="105">
        <v>477</v>
      </c>
      <c r="E2862" s="105">
        <v>286.2</v>
      </c>
      <c r="F2862" s="105">
        <v>0</v>
      </c>
    </row>
    <row r="2863" spans="1:6" x14ac:dyDescent="0.25">
      <c r="A2863" s="105">
        <f t="shared" si="44"/>
        <v>7709338</v>
      </c>
      <c r="B2863" s="105" t="s">
        <v>4685</v>
      </c>
      <c r="C2863" s="105" t="s">
        <v>4686</v>
      </c>
      <c r="D2863" s="105">
        <v>477</v>
      </c>
      <c r="E2863" s="105">
        <v>286.2</v>
      </c>
      <c r="F2863" s="105">
        <v>0</v>
      </c>
    </row>
    <row r="2864" spans="1:6" x14ac:dyDescent="0.25">
      <c r="A2864" s="105" t="str">
        <f t="shared" si="44"/>
        <v/>
      </c>
      <c r="B2864" s="105" t="s">
        <v>4687</v>
      </c>
      <c r="C2864" s="105" t="s">
        <v>8</v>
      </c>
      <c r="D2864" s="105">
        <v>0</v>
      </c>
      <c r="E2864" s="105">
        <v>0</v>
      </c>
      <c r="F2864" s="105">
        <v>0</v>
      </c>
    </row>
    <row r="2865" spans="1:6" x14ac:dyDescent="0.25">
      <c r="A2865" s="105">
        <f t="shared" si="44"/>
        <v>7709339</v>
      </c>
      <c r="B2865" s="105" t="s">
        <v>4688</v>
      </c>
      <c r="C2865" s="105" t="s">
        <v>4689</v>
      </c>
      <c r="D2865" s="105">
        <v>0</v>
      </c>
      <c r="E2865" s="105">
        <v>0</v>
      </c>
      <c r="F2865" s="105">
        <v>0</v>
      </c>
    </row>
    <row r="2866" spans="1:6" x14ac:dyDescent="0.25">
      <c r="A2866" s="105" t="str">
        <f t="shared" si="44"/>
        <v/>
      </c>
      <c r="B2866" s="105" t="s">
        <v>4690</v>
      </c>
      <c r="C2866" s="105" t="s">
        <v>8</v>
      </c>
      <c r="D2866" s="105">
        <v>0</v>
      </c>
      <c r="E2866" s="105">
        <v>0</v>
      </c>
      <c r="F2866" s="105">
        <v>0</v>
      </c>
    </row>
    <row r="2867" spans="1:6" x14ac:dyDescent="0.25">
      <c r="A2867" s="105">
        <f t="shared" si="44"/>
        <v>7709340</v>
      </c>
      <c r="B2867" s="105" t="s">
        <v>4691</v>
      </c>
      <c r="C2867" s="105" t="s">
        <v>4692</v>
      </c>
      <c r="D2867" s="105">
        <v>0</v>
      </c>
      <c r="E2867" s="105">
        <v>0</v>
      </c>
      <c r="F2867" s="105">
        <v>0</v>
      </c>
    </row>
    <row r="2868" spans="1:6" x14ac:dyDescent="0.25">
      <c r="A2868" s="105">
        <f t="shared" si="44"/>
        <v>7709341</v>
      </c>
      <c r="B2868" s="105" t="s">
        <v>4693</v>
      </c>
      <c r="C2868" s="105" t="s">
        <v>4694</v>
      </c>
      <c r="D2868" s="105">
        <v>477</v>
      </c>
      <c r="E2868" s="105">
        <v>286.2</v>
      </c>
      <c r="F2868" s="105">
        <v>1</v>
      </c>
    </row>
    <row r="2869" spans="1:6" x14ac:dyDescent="0.25">
      <c r="A2869" s="105">
        <f t="shared" si="44"/>
        <v>7709350</v>
      </c>
      <c r="B2869" s="105" t="s">
        <v>4695</v>
      </c>
      <c r="C2869" s="105" t="s">
        <v>4696</v>
      </c>
      <c r="D2869" s="105">
        <v>477</v>
      </c>
      <c r="E2869" s="105">
        <v>286.2</v>
      </c>
      <c r="F2869" s="105">
        <v>0</v>
      </c>
    </row>
    <row r="2870" spans="1:6" x14ac:dyDescent="0.25">
      <c r="A2870" s="105" t="str">
        <f t="shared" si="44"/>
        <v/>
      </c>
      <c r="B2870" s="105" t="s">
        <v>4697</v>
      </c>
      <c r="C2870" s="105" t="s">
        <v>8</v>
      </c>
      <c r="D2870" s="105">
        <v>0</v>
      </c>
      <c r="E2870" s="105">
        <v>0</v>
      </c>
      <c r="F2870" s="105">
        <v>0</v>
      </c>
    </row>
    <row r="2871" spans="1:6" x14ac:dyDescent="0.25">
      <c r="A2871" s="105">
        <f t="shared" si="44"/>
        <v>7709351</v>
      </c>
      <c r="B2871" s="105" t="s">
        <v>4698</v>
      </c>
      <c r="C2871" s="105" t="s">
        <v>4699</v>
      </c>
      <c r="D2871" s="105">
        <v>0</v>
      </c>
      <c r="E2871" s="105">
        <v>0</v>
      </c>
      <c r="F2871" s="105">
        <v>0</v>
      </c>
    </row>
    <row r="2872" spans="1:6" x14ac:dyDescent="0.25">
      <c r="A2872" s="105" t="str">
        <f t="shared" si="44"/>
        <v/>
      </c>
      <c r="B2872" s="105" t="s">
        <v>4700</v>
      </c>
      <c r="C2872" s="105" t="s">
        <v>8</v>
      </c>
      <c r="D2872" s="105">
        <v>0</v>
      </c>
      <c r="E2872" s="105">
        <v>0</v>
      </c>
      <c r="F2872" s="105">
        <v>0</v>
      </c>
    </row>
    <row r="2873" spans="1:6" x14ac:dyDescent="0.25">
      <c r="A2873" s="105">
        <f t="shared" si="44"/>
        <v>7709352</v>
      </c>
      <c r="B2873" s="105" t="s">
        <v>4701</v>
      </c>
      <c r="C2873" s="105" t="s">
        <v>4702</v>
      </c>
      <c r="D2873" s="105">
        <v>0</v>
      </c>
      <c r="E2873" s="105">
        <v>0</v>
      </c>
      <c r="F2873" s="105">
        <v>0</v>
      </c>
    </row>
    <row r="2874" spans="1:6" x14ac:dyDescent="0.25">
      <c r="A2874" s="105">
        <f t="shared" si="44"/>
        <v>7709355</v>
      </c>
      <c r="B2874" s="105" t="s">
        <v>4703</v>
      </c>
      <c r="C2874" s="105" t="s">
        <v>4704</v>
      </c>
      <c r="D2874" s="105">
        <v>0</v>
      </c>
      <c r="E2874" s="105">
        <v>0</v>
      </c>
      <c r="F2874" s="105">
        <v>0</v>
      </c>
    </row>
    <row r="2875" spans="1:6" x14ac:dyDescent="0.25">
      <c r="A2875" s="105">
        <f t="shared" si="44"/>
        <v>7709358</v>
      </c>
      <c r="B2875" s="105" t="s">
        <v>4705</v>
      </c>
      <c r="C2875" s="105" t="s">
        <v>4706</v>
      </c>
      <c r="D2875" s="105">
        <v>477</v>
      </c>
      <c r="E2875" s="105">
        <v>286.2</v>
      </c>
      <c r="F2875" s="105">
        <v>0</v>
      </c>
    </row>
    <row r="2876" spans="1:6" x14ac:dyDescent="0.25">
      <c r="A2876" s="105">
        <f t="shared" si="44"/>
        <v>7709360</v>
      </c>
      <c r="B2876" s="105" t="s">
        <v>4707</v>
      </c>
      <c r="C2876" s="105" t="s">
        <v>4708</v>
      </c>
      <c r="D2876" s="105">
        <v>477</v>
      </c>
      <c r="E2876" s="105">
        <v>286.2</v>
      </c>
      <c r="F2876" s="105">
        <v>0</v>
      </c>
    </row>
    <row r="2877" spans="1:6" x14ac:dyDescent="0.25">
      <c r="A2877" s="105" t="str">
        <f t="shared" si="44"/>
        <v/>
      </c>
      <c r="B2877" s="105" t="s">
        <v>4709</v>
      </c>
      <c r="C2877" s="105" t="s">
        <v>8</v>
      </c>
      <c r="D2877" s="105">
        <v>0</v>
      </c>
      <c r="E2877" s="105">
        <v>0</v>
      </c>
      <c r="F2877" s="105">
        <v>0</v>
      </c>
    </row>
    <row r="2878" spans="1:6" x14ac:dyDescent="0.25">
      <c r="A2878" s="105">
        <f t="shared" si="44"/>
        <v>7709361</v>
      </c>
      <c r="B2878" s="105" t="s">
        <v>4710</v>
      </c>
      <c r="C2878" s="105" t="s">
        <v>4711</v>
      </c>
      <c r="D2878" s="105">
        <v>0</v>
      </c>
      <c r="E2878" s="105">
        <v>0</v>
      </c>
      <c r="F2878" s="105">
        <v>0</v>
      </c>
    </row>
    <row r="2879" spans="1:6" x14ac:dyDescent="0.25">
      <c r="A2879" s="105">
        <f t="shared" si="44"/>
        <v>7709364</v>
      </c>
      <c r="B2879" s="105" t="s">
        <v>4712</v>
      </c>
      <c r="C2879" s="105" t="s">
        <v>4713</v>
      </c>
      <c r="D2879" s="105">
        <v>477</v>
      </c>
      <c r="E2879" s="105">
        <v>286.2</v>
      </c>
      <c r="F2879" s="105">
        <v>0</v>
      </c>
    </row>
    <row r="2880" spans="1:6" x14ac:dyDescent="0.25">
      <c r="A2880" s="105">
        <f t="shared" si="44"/>
        <v>7709365</v>
      </c>
      <c r="B2880" s="105" t="s">
        <v>4714</v>
      </c>
      <c r="C2880" s="105" t="s">
        <v>4715</v>
      </c>
      <c r="D2880" s="105">
        <v>477</v>
      </c>
      <c r="E2880" s="105">
        <v>286.2</v>
      </c>
      <c r="F2880" s="105">
        <v>7</v>
      </c>
    </row>
    <row r="2881" spans="1:6" x14ac:dyDescent="0.25">
      <c r="A2881" s="105">
        <f t="shared" si="44"/>
        <v>7709380</v>
      </c>
      <c r="B2881" s="105" t="s">
        <v>4716</v>
      </c>
      <c r="C2881" s="105" t="s">
        <v>4717</v>
      </c>
      <c r="D2881" s="105">
        <v>477</v>
      </c>
      <c r="E2881" s="105">
        <v>286.2</v>
      </c>
      <c r="F2881" s="105">
        <v>19</v>
      </c>
    </row>
    <row r="2882" spans="1:6" x14ac:dyDescent="0.25">
      <c r="A2882" s="105">
        <f t="shared" si="44"/>
        <v>7709381</v>
      </c>
      <c r="B2882" s="105" t="s">
        <v>4718</v>
      </c>
      <c r="C2882" s="105" t="s">
        <v>4719</v>
      </c>
      <c r="D2882" s="105">
        <v>0</v>
      </c>
      <c r="E2882" s="105">
        <v>0</v>
      </c>
      <c r="F2882" s="105">
        <v>30</v>
      </c>
    </row>
    <row r="2883" spans="1:6" x14ac:dyDescent="0.25">
      <c r="A2883" s="105" t="str">
        <f t="shared" ref="A2883:A2946" si="45">IF(B2883&lt;&gt;"",IFERROR(B2883*1,""),"")</f>
        <v/>
      </c>
      <c r="B2883" s="105" t="s">
        <v>4720</v>
      </c>
      <c r="C2883" s="105" t="s">
        <v>8</v>
      </c>
      <c r="D2883" s="105">
        <v>0</v>
      </c>
      <c r="E2883" s="105">
        <v>0</v>
      </c>
      <c r="F2883" s="105">
        <v>0</v>
      </c>
    </row>
    <row r="2884" spans="1:6" x14ac:dyDescent="0.25">
      <c r="A2884" s="105">
        <f t="shared" si="45"/>
        <v>7709384</v>
      </c>
      <c r="B2884" s="105" t="s">
        <v>4721</v>
      </c>
      <c r="C2884" s="105" t="s">
        <v>9390</v>
      </c>
      <c r="D2884" s="105">
        <v>477</v>
      </c>
      <c r="E2884" s="105">
        <v>286.2</v>
      </c>
      <c r="F2884" s="105">
        <v>0</v>
      </c>
    </row>
    <row r="2885" spans="1:6" x14ac:dyDescent="0.25">
      <c r="A2885" s="105">
        <f t="shared" si="45"/>
        <v>7709393</v>
      </c>
      <c r="B2885" s="105" t="s">
        <v>4722</v>
      </c>
      <c r="C2885" s="105" t="s">
        <v>4723</v>
      </c>
      <c r="D2885" s="105">
        <v>477</v>
      </c>
      <c r="E2885" s="105">
        <v>286.2</v>
      </c>
      <c r="F2885" s="105">
        <v>0</v>
      </c>
    </row>
    <row r="2886" spans="1:6" x14ac:dyDescent="0.25">
      <c r="A2886" s="105" t="str">
        <f t="shared" si="45"/>
        <v/>
      </c>
      <c r="B2886" s="105" t="s">
        <v>4724</v>
      </c>
      <c r="C2886" s="105" t="s">
        <v>8</v>
      </c>
      <c r="D2886" s="105">
        <v>0</v>
      </c>
      <c r="E2886" s="105">
        <v>0</v>
      </c>
      <c r="F2886" s="105">
        <v>0</v>
      </c>
    </row>
    <row r="2887" spans="1:6" x14ac:dyDescent="0.25">
      <c r="A2887" s="105">
        <f t="shared" si="45"/>
        <v>7709394</v>
      </c>
      <c r="B2887" s="105" t="s">
        <v>4725</v>
      </c>
      <c r="C2887" s="105" t="s">
        <v>4726</v>
      </c>
      <c r="D2887" s="105">
        <v>477</v>
      </c>
      <c r="E2887" s="105">
        <v>286.2</v>
      </c>
      <c r="F2887" s="105">
        <v>0</v>
      </c>
    </row>
    <row r="2888" spans="1:6" x14ac:dyDescent="0.25">
      <c r="A2888" s="105" t="str">
        <f t="shared" si="45"/>
        <v/>
      </c>
      <c r="B2888" s="105" t="s">
        <v>4727</v>
      </c>
      <c r="C2888" s="105" t="s">
        <v>8</v>
      </c>
      <c r="D2888" s="105">
        <v>0</v>
      </c>
      <c r="E2888" s="105">
        <v>0</v>
      </c>
      <c r="F2888" s="105">
        <v>0</v>
      </c>
    </row>
    <row r="2889" spans="1:6" x14ac:dyDescent="0.25">
      <c r="A2889" s="105">
        <f t="shared" si="45"/>
        <v>7709395</v>
      </c>
      <c r="B2889" s="105" t="s">
        <v>4728</v>
      </c>
      <c r="C2889" s="105" t="s">
        <v>4729</v>
      </c>
      <c r="D2889" s="105">
        <v>0</v>
      </c>
      <c r="E2889" s="105">
        <v>0</v>
      </c>
      <c r="F2889" s="105">
        <v>0</v>
      </c>
    </row>
    <row r="2890" spans="1:6" x14ac:dyDescent="0.25">
      <c r="A2890" s="105">
        <f t="shared" si="45"/>
        <v>7709396</v>
      </c>
      <c r="B2890" s="105" t="s">
        <v>4730</v>
      </c>
      <c r="C2890" s="105" t="s">
        <v>4731</v>
      </c>
      <c r="D2890" s="105">
        <v>477</v>
      </c>
      <c r="E2890" s="105">
        <v>286.2</v>
      </c>
      <c r="F2890" s="105">
        <v>18</v>
      </c>
    </row>
    <row r="2891" spans="1:6" x14ac:dyDescent="0.25">
      <c r="A2891" s="105">
        <f t="shared" si="45"/>
        <v>7709401</v>
      </c>
      <c r="B2891" s="105" t="s">
        <v>4732</v>
      </c>
      <c r="C2891" s="105" t="s">
        <v>4733</v>
      </c>
      <c r="D2891" s="105">
        <v>477</v>
      </c>
      <c r="E2891" s="105">
        <v>286.2</v>
      </c>
      <c r="F2891" s="105">
        <v>3</v>
      </c>
    </row>
    <row r="2892" spans="1:6" x14ac:dyDescent="0.25">
      <c r="A2892" s="105" t="str">
        <f t="shared" si="45"/>
        <v/>
      </c>
      <c r="B2892" s="105" t="s">
        <v>4734</v>
      </c>
      <c r="C2892" s="105" t="s">
        <v>8</v>
      </c>
      <c r="D2892" s="105">
        <v>0</v>
      </c>
      <c r="E2892" s="105">
        <v>0</v>
      </c>
      <c r="F2892" s="105">
        <v>0</v>
      </c>
    </row>
    <row r="2893" spans="1:6" x14ac:dyDescent="0.25">
      <c r="A2893" s="105">
        <f t="shared" si="45"/>
        <v>7709406</v>
      </c>
      <c r="B2893" s="105" t="s">
        <v>4735</v>
      </c>
      <c r="C2893" s="105" t="s">
        <v>4736</v>
      </c>
      <c r="D2893" s="105">
        <v>0</v>
      </c>
      <c r="E2893" s="105">
        <v>0</v>
      </c>
      <c r="F2893" s="105">
        <v>0</v>
      </c>
    </row>
    <row r="2894" spans="1:6" x14ac:dyDescent="0.25">
      <c r="A2894" s="105">
        <f t="shared" si="45"/>
        <v>7709410</v>
      </c>
      <c r="B2894" s="105" t="s">
        <v>4737</v>
      </c>
      <c r="C2894" s="105" t="s">
        <v>4738</v>
      </c>
      <c r="D2894" s="105">
        <v>477</v>
      </c>
      <c r="E2894" s="105">
        <v>286.2</v>
      </c>
      <c r="F2894" s="105">
        <v>12</v>
      </c>
    </row>
    <row r="2895" spans="1:6" x14ac:dyDescent="0.25">
      <c r="A2895" s="105">
        <f t="shared" si="45"/>
        <v>7709411</v>
      </c>
      <c r="B2895" s="105" t="s">
        <v>4739</v>
      </c>
      <c r="C2895" s="105" t="s">
        <v>4740</v>
      </c>
      <c r="D2895" s="105">
        <v>477</v>
      </c>
      <c r="E2895" s="105">
        <v>286.2</v>
      </c>
      <c r="F2895" s="105">
        <v>0</v>
      </c>
    </row>
    <row r="2896" spans="1:6" x14ac:dyDescent="0.25">
      <c r="A2896" s="105" t="str">
        <f t="shared" si="45"/>
        <v/>
      </c>
      <c r="B2896" s="105" t="s">
        <v>4741</v>
      </c>
      <c r="C2896" s="105" t="s">
        <v>8</v>
      </c>
      <c r="D2896" s="105">
        <v>0</v>
      </c>
      <c r="E2896" s="105">
        <v>0</v>
      </c>
      <c r="F2896" s="105">
        <v>0</v>
      </c>
    </row>
    <row r="2897" spans="1:6" x14ac:dyDescent="0.25">
      <c r="A2897" s="105">
        <f t="shared" si="45"/>
        <v>7709412</v>
      </c>
      <c r="B2897" s="105" t="s">
        <v>4742</v>
      </c>
      <c r="C2897" s="105" t="s">
        <v>4743</v>
      </c>
      <c r="D2897" s="105">
        <v>477</v>
      </c>
      <c r="E2897" s="105">
        <v>286.2</v>
      </c>
      <c r="F2897" s="105">
        <v>0</v>
      </c>
    </row>
    <row r="2898" spans="1:6" x14ac:dyDescent="0.25">
      <c r="A2898" s="105" t="str">
        <f t="shared" si="45"/>
        <v/>
      </c>
      <c r="B2898" s="105" t="s">
        <v>4744</v>
      </c>
      <c r="C2898" s="105" t="s">
        <v>8</v>
      </c>
      <c r="D2898" s="105">
        <v>0</v>
      </c>
      <c r="E2898" s="105">
        <v>0</v>
      </c>
      <c r="F2898" s="105">
        <v>0</v>
      </c>
    </row>
    <row r="2899" spans="1:6" x14ac:dyDescent="0.25">
      <c r="A2899" s="105">
        <f t="shared" si="45"/>
        <v>7709413</v>
      </c>
      <c r="B2899" s="105" t="s">
        <v>4745</v>
      </c>
      <c r="C2899" s="105" t="s">
        <v>4746</v>
      </c>
      <c r="D2899" s="105">
        <v>0</v>
      </c>
      <c r="E2899" s="105">
        <v>0</v>
      </c>
      <c r="F2899" s="105">
        <v>0</v>
      </c>
    </row>
    <row r="2900" spans="1:6" x14ac:dyDescent="0.25">
      <c r="A2900" s="105">
        <f t="shared" si="45"/>
        <v>7709414</v>
      </c>
      <c r="B2900" s="105" t="s">
        <v>9391</v>
      </c>
      <c r="C2900" s="105" t="s">
        <v>9392</v>
      </c>
      <c r="D2900" s="105">
        <v>477</v>
      </c>
      <c r="E2900" s="105">
        <v>286.2</v>
      </c>
      <c r="F2900" s="105">
        <v>0</v>
      </c>
    </row>
    <row r="2901" spans="1:6" x14ac:dyDescent="0.25">
      <c r="A2901" s="105">
        <f t="shared" si="45"/>
        <v>7709415</v>
      </c>
      <c r="B2901" s="105" t="s">
        <v>9393</v>
      </c>
      <c r="C2901" s="105" t="s">
        <v>9394</v>
      </c>
      <c r="D2901" s="105">
        <v>477</v>
      </c>
      <c r="E2901" s="105">
        <v>286.2</v>
      </c>
      <c r="F2901" s="105">
        <v>5</v>
      </c>
    </row>
    <row r="2902" spans="1:6" x14ac:dyDescent="0.25">
      <c r="A2902" s="105">
        <f t="shared" si="45"/>
        <v>7709416</v>
      </c>
      <c r="B2902" s="105" t="s">
        <v>9395</v>
      </c>
      <c r="C2902" s="105" t="s">
        <v>9396</v>
      </c>
      <c r="D2902" s="105">
        <v>477</v>
      </c>
      <c r="E2902" s="105">
        <v>286.2</v>
      </c>
      <c r="F2902" s="105">
        <v>5</v>
      </c>
    </row>
    <row r="2903" spans="1:6" x14ac:dyDescent="0.25">
      <c r="A2903" s="105" t="str">
        <f t="shared" si="45"/>
        <v/>
      </c>
      <c r="B2903" s="105" t="s">
        <v>4747</v>
      </c>
      <c r="C2903" s="105" t="s">
        <v>8</v>
      </c>
      <c r="D2903" s="105">
        <v>0</v>
      </c>
      <c r="E2903" s="105">
        <v>0</v>
      </c>
      <c r="F2903" s="105">
        <v>0</v>
      </c>
    </row>
    <row r="2904" spans="1:6" x14ac:dyDescent="0.25">
      <c r="A2904" s="105">
        <f t="shared" si="45"/>
        <v>7709417</v>
      </c>
      <c r="B2904" s="105" t="s">
        <v>4748</v>
      </c>
      <c r="C2904" s="105" t="s">
        <v>4749</v>
      </c>
      <c r="D2904" s="105">
        <v>477</v>
      </c>
      <c r="E2904" s="105">
        <v>286.2</v>
      </c>
      <c r="F2904" s="105">
        <v>0</v>
      </c>
    </row>
    <row r="2905" spans="1:6" x14ac:dyDescent="0.25">
      <c r="A2905" s="105">
        <f t="shared" si="45"/>
        <v>7709419</v>
      </c>
      <c r="B2905" s="105" t="s">
        <v>4750</v>
      </c>
      <c r="C2905" s="105" t="s">
        <v>4751</v>
      </c>
      <c r="D2905" s="105">
        <v>477</v>
      </c>
      <c r="E2905" s="105">
        <v>286.2</v>
      </c>
      <c r="F2905" s="105">
        <v>0</v>
      </c>
    </row>
    <row r="2906" spans="1:6" x14ac:dyDescent="0.25">
      <c r="A2906" s="105">
        <f t="shared" si="45"/>
        <v>7709420</v>
      </c>
      <c r="B2906" s="105" t="s">
        <v>4752</v>
      </c>
      <c r="C2906" s="105" t="s">
        <v>4753</v>
      </c>
      <c r="D2906" s="105">
        <v>477</v>
      </c>
      <c r="E2906" s="105">
        <v>286.2</v>
      </c>
      <c r="F2906" s="105">
        <v>20</v>
      </c>
    </row>
    <row r="2907" spans="1:6" x14ac:dyDescent="0.25">
      <c r="A2907" s="105">
        <f t="shared" si="45"/>
        <v>7709421</v>
      </c>
      <c r="B2907" s="105" t="s">
        <v>4754</v>
      </c>
      <c r="C2907" s="105" t="s">
        <v>4755</v>
      </c>
      <c r="D2907" s="105">
        <v>477</v>
      </c>
      <c r="E2907" s="105">
        <v>286.2</v>
      </c>
      <c r="F2907" s="105">
        <v>2</v>
      </c>
    </row>
    <row r="2908" spans="1:6" x14ac:dyDescent="0.25">
      <c r="A2908" s="105">
        <f t="shared" si="45"/>
        <v>7709422</v>
      </c>
      <c r="B2908" s="105" t="s">
        <v>4756</v>
      </c>
      <c r="C2908" s="105" t="s">
        <v>4757</v>
      </c>
      <c r="D2908" s="105">
        <v>477</v>
      </c>
      <c r="E2908" s="105">
        <v>286.2</v>
      </c>
      <c r="F2908" s="105">
        <v>17</v>
      </c>
    </row>
    <row r="2909" spans="1:6" x14ac:dyDescent="0.25">
      <c r="A2909" s="105">
        <f t="shared" si="45"/>
        <v>7709425</v>
      </c>
      <c r="B2909" s="105" t="s">
        <v>4758</v>
      </c>
      <c r="C2909" s="105" t="s">
        <v>4759</v>
      </c>
      <c r="D2909" s="105">
        <v>477</v>
      </c>
      <c r="E2909" s="105">
        <v>286.2</v>
      </c>
      <c r="F2909" s="105">
        <v>66</v>
      </c>
    </row>
    <row r="2910" spans="1:6" x14ac:dyDescent="0.25">
      <c r="A2910" s="105">
        <f t="shared" si="45"/>
        <v>7709426</v>
      </c>
      <c r="B2910" s="105" t="s">
        <v>4760</v>
      </c>
      <c r="C2910" s="105" t="s">
        <v>4761</v>
      </c>
      <c r="D2910" s="105">
        <v>477</v>
      </c>
      <c r="E2910" s="105">
        <v>286.2</v>
      </c>
      <c r="F2910" s="105">
        <v>0</v>
      </c>
    </row>
    <row r="2911" spans="1:6" x14ac:dyDescent="0.25">
      <c r="A2911" s="105">
        <f t="shared" si="45"/>
        <v>7709439</v>
      </c>
      <c r="B2911" s="105" t="s">
        <v>4762</v>
      </c>
      <c r="C2911" s="105" t="s">
        <v>4763</v>
      </c>
      <c r="D2911" s="105">
        <v>477</v>
      </c>
      <c r="E2911" s="105">
        <v>286.2</v>
      </c>
      <c r="F2911" s="105">
        <v>91</v>
      </c>
    </row>
    <row r="2912" spans="1:6" x14ac:dyDescent="0.25">
      <c r="A2912" s="105">
        <f t="shared" si="45"/>
        <v>7709440</v>
      </c>
      <c r="B2912" s="105" t="s">
        <v>4764</v>
      </c>
      <c r="C2912" s="105" t="s">
        <v>4765</v>
      </c>
      <c r="D2912" s="105">
        <v>477</v>
      </c>
      <c r="E2912" s="105">
        <v>286.2</v>
      </c>
      <c r="F2912" s="105">
        <v>6</v>
      </c>
    </row>
    <row r="2913" spans="1:6" x14ac:dyDescent="0.25">
      <c r="A2913" s="105" t="str">
        <f t="shared" si="45"/>
        <v/>
      </c>
      <c r="B2913" s="105" t="s">
        <v>4766</v>
      </c>
      <c r="C2913" s="105" t="s">
        <v>8</v>
      </c>
      <c r="D2913" s="105">
        <v>0</v>
      </c>
      <c r="E2913" s="105">
        <v>0</v>
      </c>
      <c r="F2913" s="105">
        <v>0</v>
      </c>
    </row>
    <row r="2914" spans="1:6" x14ac:dyDescent="0.25">
      <c r="A2914" s="105">
        <f t="shared" si="45"/>
        <v>7709441</v>
      </c>
      <c r="B2914" s="105" t="s">
        <v>4767</v>
      </c>
      <c r="C2914" s="105" t="s">
        <v>4768</v>
      </c>
      <c r="D2914" s="105">
        <v>0</v>
      </c>
      <c r="E2914" s="105">
        <v>0</v>
      </c>
      <c r="F2914" s="105">
        <v>0</v>
      </c>
    </row>
    <row r="2915" spans="1:6" x14ac:dyDescent="0.25">
      <c r="A2915" s="105">
        <f t="shared" si="45"/>
        <v>7709442</v>
      </c>
      <c r="B2915" s="105" t="s">
        <v>4769</v>
      </c>
      <c r="C2915" s="105" t="s">
        <v>4770</v>
      </c>
      <c r="D2915" s="105">
        <v>477</v>
      </c>
      <c r="E2915" s="105">
        <v>286.2</v>
      </c>
      <c r="F2915" s="105">
        <v>15</v>
      </c>
    </row>
    <row r="2916" spans="1:6" x14ac:dyDescent="0.25">
      <c r="A2916" s="105">
        <f t="shared" si="45"/>
        <v>7709443</v>
      </c>
      <c r="B2916" s="105" t="s">
        <v>4771</v>
      </c>
      <c r="C2916" s="105" t="s">
        <v>4772</v>
      </c>
      <c r="D2916" s="105">
        <v>0</v>
      </c>
      <c r="E2916" s="105">
        <v>0</v>
      </c>
      <c r="F2916" s="105">
        <v>13</v>
      </c>
    </row>
    <row r="2917" spans="1:6" x14ac:dyDescent="0.25">
      <c r="A2917" s="105" t="str">
        <f t="shared" si="45"/>
        <v/>
      </c>
      <c r="B2917" s="105" t="s">
        <v>4773</v>
      </c>
      <c r="C2917" s="105" t="s">
        <v>8</v>
      </c>
      <c r="D2917" s="105">
        <v>0</v>
      </c>
      <c r="E2917" s="105">
        <v>0</v>
      </c>
      <c r="F2917" s="105">
        <v>0</v>
      </c>
    </row>
    <row r="2918" spans="1:6" x14ac:dyDescent="0.25">
      <c r="A2918" s="105">
        <f t="shared" si="45"/>
        <v>7709450</v>
      </c>
      <c r="B2918" s="105" t="s">
        <v>4774</v>
      </c>
      <c r="C2918" s="105" t="s">
        <v>4775</v>
      </c>
      <c r="D2918" s="105">
        <v>0</v>
      </c>
      <c r="E2918" s="105">
        <v>0</v>
      </c>
      <c r="F2918" s="105">
        <v>0</v>
      </c>
    </row>
    <row r="2919" spans="1:6" x14ac:dyDescent="0.25">
      <c r="A2919" s="105">
        <f t="shared" si="45"/>
        <v>7709451</v>
      </c>
      <c r="B2919" s="105" t="s">
        <v>4776</v>
      </c>
      <c r="C2919" s="105" t="s">
        <v>4777</v>
      </c>
      <c r="D2919" s="105">
        <v>477</v>
      </c>
      <c r="E2919" s="105">
        <v>286.2</v>
      </c>
      <c r="F2919" s="105">
        <v>6</v>
      </c>
    </row>
    <row r="2920" spans="1:6" x14ac:dyDescent="0.25">
      <c r="A2920" s="105">
        <f t="shared" si="45"/>
        <v>7709452</v>
      </c>
      <c r="B2920" s="105" t="s">
        <v>4778</v>
      </c>
      <c r="C2920" s="105" t="s">
        <v>4779</v>
      </c>
      <c r="D2920" s="105">
        <v>477</v>
      </c>
      <c r="E2920" s="105">
        <v>286.2</v>
      </c>
      <c r="F2920" s="105">
        <v>0</v>
      </c>
    </row>
    <row r="2921" spans="1:6" x14ac:dyDescent="0.25">
      <c r="A2921" s="105">
        <f t="shared" si="45"/>
        <v>7709453</v>
      </c>
      <c r="B2921" s="105" t="s">
        <v>4780</v>
      </c>
      <c r="C2921" s="105" t="s">
        <v>4781</v>
      </c>
      <c r="D2921" s="105">
        <v>477</v>
      </c>
      <c r="E2921" s="105">
        <v>286.2</v>
      </c>
      <c r="F2921" s="105">
        <v>0</v>
      </c>
    </row>
    <row r="2922" spans="1:6" x14ac:dyDescent="0.25">
      <c r="A2922" s="105" t="str">
        <f t="shared" si="45"/>
        <v/>
      </c>
      <c r="B2922" s="105" t="s">
        <v>4782</v>
      </c>
      <c r="C2922" s="105" t="s">
        <v>8</v>
      </c>
      <c r="D2922" s="105">
        <v>0</v>
      </c>
      <c r="E2922" s="105">
        <v>0</v>
      </c>
      <c r="F2922" s="105">
        <v>0</v>
      </c>
    </row>
    <row r="2923" spans="1:6" x14ac:dyDescent="0.25">
      <c r="A2923" s="105">
        <f t="shared" si="45"/>
        <v>7709454</v>
      </c>
      <c r="B2923" s="105" t="s">
        <v>4783</v>
      </c>
      <c r="C2923" s="105" t="s">
        <v>4784</v>
      </c>
      <c r="D2923" s="105">
        <v>0</v>
      </c>
      <c r="E2923" s="105">
        <v>0</v>
      </c>
      <c r="F2923" s="105">
        <v>0</v>
      </c>
    </row>
    <row r="2924" spans="1:6" x14ac:dyDescent="0.25">
      <c r="A2924" s="105">
        <f t="shared" si="45"/>
        <v>7709455</v>
      </c>
      <c r="B2924" s="105" t="s">
        <v>4785</v>
      </c>
      <c r="C2924" s="105" t="s">
        <v>4786</v>
      </c>
      <c r="D2924" s="105">
        <v>477</v>
      </c>
      <c r="E2924" s="105">
        <v>286.2</v>
      </c>
      <c r="F2924" s="105">
        <v>0</v>
      </c>
    </row>
    <row r="2925" spans="1:6" x14ac:dyDescent="0.25">
      <c r="A2925" s="105">
        <f t="shared" si="45"/>
        <v>7709456</v>
      </c>
      <c r="B2925" s="105" t="s">
        <v>4787</v>
      </c>
      <c r="C2925" s="105" t="s">
        <v>4788</v>
      </c>
      <c r="D2925" s="105">
        <v>477</v>
      </c>
      <c r="E2925" s="105">
        <v>286.2</v>
      </c>
      <c r="F2925" s="105">
        <v>27</v>
      </c>
    </row>
    <row r="2926" spans="1:6" x14ac:dyDescent="0.25">
      <c r="A2926" s="105">
        <f t="shared" si="45"/>
        <v>7709457</v>
      </c>
      <c r="B2926" s="105" t="s">
        <v>4789</v>
      </c>
      <c r="C2926" s="105" t="s">
        <v>4790</v>
      </c>
      <c r="D2926" s="105">
        <v>477</v>
      </c>
      <c r="E2926" s="105">
        <v>286.2</v>
      </c>
      <c r="F2926" s="105">
        <v>0</v>
      </c>
    </row>
    <row r="2927" spans="1:6" x14ac:dyDescent="0.25">
      <c r="A2927" s="105">
        <f t="shared" si="45"/>
        <v>7709458</v>
      </c>
      <c r="B2927" s="105" t="s">
        <v>4791</v>
      </c>
      <c r="C2927" s="105" t="s">
        <v>4792</v>
      </c>
      <c r="D2927" s="105">
        <v>477</v>
      </c>
      <c r="E2927" s="105">
        <v>286.2</v>
      </c>
      <c r="F2927" s="105">
        <v>14</v>
      </c>
    </row>
    <row r="2928" spans="1:6" x14ac:dyDescent="0.25">
      <c r="A2928" s="105">
        <f t="shared" si="45"/>
        <v>7709459</v>
      </c>
      <c r="B2928" s="105" t="s">
        <v>4793</v>
      </c>
      <c r="C2928" s="105" t="s">
        <v>4794</v>
      </c>
      <c r="D2928" s="105">
        <v>477</v>
      </c>
      <c r="E2928" s="105">
        <v>286.2</v>
      </c>
      <c r="F2928" s="105">
        <v>0</v>
      </c>
    </row>
    <row r="2929" spans="1:6" x14ac:dyDescent="0.25">
      <c r="A2929" s="105">
        <f t="shared" si="45"/>
        <v>7709460</v>
      </c>
      <c r="B2929" s="105" t="s">
        <v>4795</v>
      </c>
      <c r="C2929" s="105" t="s">
        <v>4796</v>
      </c>
      <c r="D2929" s="105">
        <v>477</v>
      </c>
      <c r="E2929" s="105">
        <v>286.2</v>
      </c>
      <c r="F2929" s="105">
        <v>14</v>
      </c>
    </row>
    <row r="2930" spans="1:6" x14ac:dyDescent="0.25">
      <c r="A2930" s="105">
        <f t="shared" si="45"/>
        <v>7709461</v>
      </c>
      <c r="B2930" s="105" t="s">
        <v>4797</v>
      </c>
      <c r="C2930" s="105" t="s">
        <v>4798</v>
      </c>
      <c r="D2930" s="105">
        <v>477</v>
      </c>
      <c r="E2930" s="105">
        <v>286.2</v>
      </c>
      <c r="F2930" s="105">
        <v>19</v>
      </c>
    </row>
    <row r="2931" spans="1:6" x14ac:dyDescent="0.25">
      <c r="A2931" s="105">
        <f t="shared" si="45"/>
        <v>7709462</v>
      </c>
      <c r="B2931" s="105" t="s">
        <v>4799</v>
      </c>
      <c r="C2931" s="105" t="s">
        <v>4800</v>
      </c>
      <c r="D2931" s="105">
        <v>477</v>
      </c>
      <c r="E2931" s="105">
        <v>286.2</v>
      </c>
      <c r="F2931" s="105">
        <v>0</v>
      </c>
    </row>
    <row r="2932" spans="1:6" x14ac:dyDescent="0.25">
      <c r="A2932" s="105">
        <f t="shared" si="45"/>
        <v>7709465</v>
      </c>
      <c r="B2932" s="105" t="s">
        <v>4801</v>
      </c>
      <c r="C2932" s="105" t="s">
        <v>4802</v>
      </c>
      <c r="D2932" s="105">
        <v>477</v>
      </c>
      <c r="E2932" s="105">
        <v>286.2</v>
      </c>
      <c r="F2932" s="105">
        <v>0</v>
      </c>
    </row>
    <row r="2933" spans="1:6" x14ac:dyDescent="0.25">
      <c r="A2933" s="105">
        <f t="shared" si="45"/>
        <v>7709473</v>
      </c>
      <c r="B2933" s="105" t="s">
        <v>4803</v>
      </c>
      <c r="C2933" s="105" t="s">
        <v>4804</v>
      </c>
      <c r="D2933" s="105">
        <v>477</v>
      </c>
      <c r="E2933" s="105">
        <v>286.2</v>
      </c>
      <c r="F2933" s="105">
        <v>0</v>
      </c>
    </row>
    <row r="2934" spans="1:6" x14ac:dyDescent="0.25">
      <c r="A2934" s="105" t="str">
        <f t="shared" si="45"/>
        <v/>
      </c>
      <c r="B2934" s="105" t="s">
        <v>4805</v>
      </c>
      <c r="C2934" s="105" t="s">
        <v>8</v>
      </c>
      <c r="D2934" s="105">
        <v>0</v>
      </c>
      <c r="E2934" s="105">
        <v>0</v>
      </c>
      <c r="F2934" s="105">
        <v>0</v>
      </c>
    </row>
    <row r="2935" spans="1:6" x14ac:dyDescent="0.25">
      <c r="A2935" s="105">
        <f t="shared" si="45"/>
        <v>7709490</v>
      </c>
      <c r="B2935" s="105" t="s">
        <v>4806</v>
      </c>
      <c r="C2935" s="105" t="s">
        <v>4807</v>
      </c>
      <c r="D2935" s="105">
        <v>0</v>
      </c>
      <c r="E2935" s="105">
        <v>0</v>
      </c>
      <c r="F2935" s="105">
        <v>0</v>
      </c>
    </row>
    <row r="2936" spans="1:6" x14ac:dyDescent="0.25">
      <c r="A2936" s="105" t="str">
        <f t="shared" si="45"/>
        <v/>
      </c>
      <c r="B2936" s="105" t="s">
        <v>4808</v>
      </c>
      <c r="C2936" s="105" t="s">
        <v>8</v>
      </c>
      <c r="D2936" s="105">
        <v>0</v>
      </c>
      <c r="E2936" s="105">
        <v>0</v>
      </c>
      <c r="F2936" s="105">
        <v>0</v>
      </c>
    </row>
    <row r="2937" spans="1:6" x14ac:dyDescent="0.25">
      <c r="A2937" s="105">
        <f t="shared" si="45"/>
        <v>7709495</v>
      </c>
      <c r="B2937" s="105" t="s">
        <v>4809</v>
      </c>
      <c r="C2937" s="105" t="s">
        <v>4810</v>
      </c>
      <c r="D2937" s="105">
        <v>0</v>
      </c>
      <c r="E2937" s="105">
        <v>0</v>
      </c>
      <c r="F2937" s="105">
        <v>0</v>
      </c>
    </row>
    <row r="2938" spans="1:6" x14ac:dyDescent="0.25">
      <c r="A2938" s="105" t="str">
        <f t="shared" si="45"/>
        <v/>
      </c>
      <c r="B2938" s="105" t="s">
        <v>4811</v>
      </c>
      <c r="C2938" s="105" t="s">
        <v>8</v>
      </c>
      <c r="D2938" s="105">
        <v>0</v>
      </c>
      <c r="E2938" s="105">
        <v>0</v>
      </c>
      <c r="F2938" s="105">
        <v>0</v>
      </c>
    </row>
    <row r="2939" spans="1:6" x14ac:dyDescent="0.25">
      <c r="A2939" s="105">
        <f t="shared" si="45"/>
        <v>7709499</v>
      </c>
      <c r="B2939" s="105" t="s">
        <v>4812</v>
      </c>
      <c r="C2939" s="105" t="s">
        <v>4813</v>
      </c>
      <c r="D2939" s="105">
        <v>0</v>
      </c>
      <c r="E2939" s="105">
        <v>0</v>
      </c>
      <c r="F2939" s="105">
        <v>0</v>
      </c>
    </row>
    <row r="2940" spans="1:6" x14ac:dyDescent="0.25">
      <c r="A2940" s="105">
        <f t="shared" si="45"/>
        <v>7709500</v>
      </c>
      <c r="B2940" s="105" t="s">
        <v>4814</v>
      </c>
      <c r="C2940" s="105" t="s">
        <v>4815</v>
      </c>
      <c r="D2940" s="105">
        <v>265</v>
      </c>
      <c r="E2940" s="105">
        <v>159</v>
      </c>
      <c r="F2940" s="105">
        <v>0</v>
      </c>
    </row>
    <row r="2941" spans="1:6" x14ac:dyDescent="0.25">
      <c r="A2941" s="105" t="str">
        <f t="shared" si="45"/>
        <v/>
      </c>
      <c r="B2941" s="105" t="s">
        <v>4816</v>
      </c>
      <c r="C2941" s="105" t="s">
        <v>8</v>
      </c>
      <c r="D2941" s="105">
        <v>0</v>
      </c>
      <c r="E2941" s="105">
        <v>0</v>
      </c>
      <c r="F2941" s="105">
        <v>0</v>
      </c>
    </row>
    <row r="2942" spans="1:6" x14ac:dyDescent="0.25">
      <c r="A2942" s="105">
        <f t="shared" si="45"/>
        <v>7709501</v>
      </c>
      <c r="B2942" s="105" t="s">
        <v>4817</v>
      </c>
      <c r="C2942" s="105" t="s">
        <v>4818</v>
      </c>
      <c r="D2942" s="105">
        <v>0</v>
      </c>
      <c r="E2942" s="105">
        <v>0</v>
      </c>
      <c r="F2942" s="105">
        <v>0</v>
      </c>
    </row>
    <row r="2943" spans="1:6" x14ac:dyDescent="0.25">
      <c r="A2943" s="105">
        <f t="shared" si="45"/>
        <v>7709502</v>
      </c>
      <c r="B2943" s="105" t="s">
        <v>4819</v>
      </c>
      <c r="C2943" s="105" t="s">
        <v>4820</v>
      </c>
      <c r="D2943" s="105">
        <v>477</v>
      </c>
      <c r="E2943" s="105">
        <v>286.2</v>
      </c>
      <c r="F2943" s="105">
        <v>50</v>
      </c>
    </row>
    <row r="2944" spans="1:6" x14ac:dyDescent="0.25">
      <c r="A2944" s="105">
        <f t="shared" si="45"/>
        <v>7709503</v>
      </c>
      <c r="B2944" s="105" t="s">
        <v>4821</v>
      </c>
      <c r="C2944" s="105" t="s">
        <v>4822</v>
      </c>
      <c r="D2944" s="105">
        <v>265</v>
      </c>
      <c r="E2944" s="105">
        <v>159</v>
      </c>
      <c r="F2944" s="105">
        <v>0</v>
      </c>
    </row>
    <row r="2945" spans="1:6" x14ac:dyDescent="0.25">
      <c r="A2945" s="105">
        <f t="shared" si="45"/>
        <v>7709504</v>
      </c>
      <c r="B2945" s="105" t="s">
        <v>4823</v>
      </c>
      <c r="C2945" s="105" t="s">
        <v>4824</v>
      </c>
      <c r="D2945" s="105">
        <v>477</v>
      </c>
      <c r="E2945" s="105">
        <v>286.2</v>
      </c>
      <c r="F2945" s="105">
        <v>20</v>
      </c>
    </row>
    <row r="2946" spans="1:6" x14ac:dyDescent="0.25">
      <c r="A2946" s="105">
        <f t="shared" si="45"/>
        <v>7709505</v>
      </c>
      <c r="B2946" s="105" t="s">
        <v>4825</v>
      </c>
      <c r="C2946" s="105" t="s">
        <v>4826</v>
      </c>
      <c r="D2946" s="105">
        <v>477</v>
      </c>
      <c r="E2946" s="105">
        <v>286.2</v>
      </c>
      <c r="F2946" s="105">
        <v>0</v>
      </c>
    </row>
    <row r="2947" spans="1:6" x14ac:dyDescent="0.25">
      <c r="A2947" s="105">
        <f t="shared" ref="A2947:A3010" si="46">IF(B2947&lt;&gt;"",IFERROR(B2947*1,""),"")</f>
        <v>7709506</v>
      </c>
      <c r="B2947" s="105" t="s">
        <v>4827</v>
      </c>
      <c r="C2947" s="105" t="s">
        <v>4828</v>
      </c>
      <c r="D2947" s="105">
        <v>265</v>
      </c>
      <c r="E2947" s="105">
        <v>159</v>
      </c>
      <c r="F2947" s="105">
        <v>0</v>
      </c>
    </row>
    <row r="2948" spans="1:6" x14ac:dyDescent="0.25">
      <c r="A2948" s="105">
        <f t="shared" si="46"/>
        <v>7709517</v>
      </c>
      <c r="B2948" s="105" t="s">
        <v>4829</v>
      </c>
      <c r="C2948" s="105" t="s">
        <v>4830</v>
      </c>
      <c r="D2948" s="105">
        <v>3637.92</v>
      </c>
      <c r="E2948" s="105">
        <v>2182.75</v>
      </c>
      <c r="F2948" s="105">
        <v>0</v>
      </c>
    </row>
    <row r="2949" spans="1:6" x14ac:dyDescent="0.25">
      <c r="A2949" s="105">
        <f t="shared" si="46"/>
        <v>7709540</v>
      </c>
      <c r="B2949" s="105" t="s">
        <v>4831</v>
      </c>
      <c r="C2949" s="105" t="s">
        <v>4832</v>
      </c>
      <c r="D2949" s="105">
        <v>265</v>
      </c>
      <c r="E2949" s="105">
        <v>159</v>
      </c>
      <c r="F2949" s="105">
        <v>19</v>
      </c>
    </row>
    <row r="2950" spans="1:6" x14ac:dyDescent="0.25">
      <c r="A2950" s="105">
        <f t="shared" si="46"/>
        <v>7709547</v>
      </c>
      <c r="B2950" s="105" t="s">
        <v>4833</v>
      </c>
      <c r="C2950" s="105" t="s">
        <v>4834</v>
      </c>
      <c r="D2950" s="105">
        <v>477</v>
      </c>
      <c r="E2950" s="105">
        <v>286.2</v>
      </c>
      <c r="F2950" s="105">
        <v>23</v>
      </c>
    </row>
    <row r="2951" spans="1:6" x14ac:dyDescent="0.25">
      <c r="A2951" s="105">
        <f t="shared" si="46"/>
        <v>7709549</v>
      </c>
      <c r="B2951" s="105" t="s">
        <v>4835</v>
      </c>
      <c r="C2951" s="105" t="s">
        <v>4836</v>
      </c>
      <c r="D2951" s="105">
        <v>477</v>
      </c>
      <c r="E2951" s="105">
        <v>286.2</v>
      </c>
      <c r="F2951" s="105">
        <v>14</v>
      </c>
    </row>
    <row r="2952" spans="1:6" x14ac:dyDescent="0.25">
      <c r="A2952" s="105" t="str">
        <f t="shared" si="46"/>
        <v/>
      </c>
      <c r="B2952" s="105" t="s">
        <v>4837</v>
      </c>
      <c r="C2952" s="105" t="s">
        <v>8</v>
      </c>
      <c r="D2952" s="105">
        <v>0</v>
      </c>
      <c r="E2952" s="105">
        <v>0</v>
      </c>
      <c r="F2952" s="105">
        <v>0</v>
      </c>
    </row>
    <row r="2953" spans="1:6" x14ac:dyDescent="0.25">
      <c r="A2953" s="105">
        <f t="shared" si="46"/>
        <v>7709555</v>
      </c>
      <c r="B2953" s="105" t="s">
        <v>4838</v>
      </c>
      <c r="C2953" s="105" t="s">
        <v>4839</v>
      </c>
      <c r="D2953" s="105">
        <v>0</v>
      </c>
      <c r="E2953" s="105">
        <v>0</v>
      </c>
      <c r="F2953" s="105">
        <v>0</v>
      </c>
    </row>
    <row r="2954" spans="1:6" x14ac:dyDescent="0.25">
      <c r="A2954" s="105" t="str">
        <f t="shared" si="46"/>
        <v/>
      </c>
      <c r="B2954" s="105" t="s">
        <v>4840</v>
      </c>
      <c r="C2954" s="105" t="s">
        <v>8</v>
      </c>
      <c r="D2954" s="105">
        <v>0</v>
      </c>
      <c r="E2954" s="105">
        <v>0</v>
      </c>
      <c r="F2954" s="105">
        <v>0</v>
      </c>
    </row>
    <row r="2955" spans="1:6" x14ac:dyDescent="0.25">
      <c r="A2955" s="105">
        <f t="shared" si="46"/>
        <v>7709556</v>
      </c>
      <c r="B2955" s="105" t="s">
        <v>4841</v>
      </c>
      <c r="C2955" s="105" t="s">
        <v>4842</v>
      </c>
      <c r="D2955" s="105">
        <v>0</v>
      </c>
      <c r="E2955" s="105">
        <v>0</v>
      </c>
      <c r="F2955" s="105">
        <v>0</v>
      </c>
    </row>
    <row r="2956" spans="1:6" x14ac:dyDescent="0.25">
      <c r="A2956" s="105">
        <f t="shared" si="46"/>
        <v>7709572</v>
      </c>
      <c r="B2956" s="105" t="s">
        <v>4843</v>
      </c>
      <c r="C2956" s="105" t="s">
        <v>4844</v>
      </c>
      <c r="D2956" s="105">
        <v>477</v>
      </c>
      <c r="E2956" s="105">
        <v>286.2</v>
      </c>
      <c r="F2956" s="105">
        <v>12</v>
      </c>
    </row>
    <row r="2957" spans="1:6" x14ac:dyDescent="0.25">
      <c r="A2957" s="105">
        <f t="shared" si="46"/>
        <v>7709600</v>
      </c>
      <c r="B2957" s="105" t="s">
        <v>4845</v>
      </c>
      <c r="C2957" s="105" t="s">
        <v>4846</v>
      </c>
      <c r="D2957" s="105">
        <v>477</v>
      </c>
      <c r="E2957" s="105">
        <v>286.2</v>
      </c>
      <c r="F2957" s="105">
        <v>8</v>
      </c>
    </row>
    <row r="2958" spans="1:6" x14ac:dyDescent="0.25">
      <c r="A2958" s="105" t="str">
        <f t="shared" si="46"/>
        <v/>
      </c>
      <c r="B2958" s="105" t="s">
        <v>4847</v>
      </c>
      <c r="C2958" s="105" t="s">
        <v>8</v>
      </c>
      <c r="D2958" s="105">
        <v>0</v>
      </c>
      <c r="E2958" s="105">
        <v>0</v>
      </c>
      <c r="F2958" s="105">
        <v>0</v>
      </c>
    </row>
    <row r="2959" spans="1:6" x14ac:dyDescent="0.25">
      <c r="A2959" s="105">
        <f t="shared" si="46"/>
        <v>7709601</v>
      </c>
      <c r="B2959" s="105" t="s">
        <v>4848</v>
      </c>
      <c r="C2959" s="105" t="s">
        <v>4849</v>
      </c>
      <c r="D2959" s="105">
        <v>0</v>
      </c>
      <c r="E2959" s="105">
        <v>0</v>
      </c>
      <c r="F2959" s="105">
        <v>0</v>
      </c>
    </row>
    <row r="2960" spans="1:6" x14ac:dyDescent="0.25">
      <c r="A2960" s="105" t="str">
        <f t="shared" si="46"/>
        <v/>
      </c>
      <c r="B2960" s="105" t="s">
        <v>4850</v>
      </c>
      <c r="C2960" s="105" t="s">
        <v>8</v>
      </c>
      <c r="D2960" s="105">
        <v>0</v>
      </c>
      <c r="E2960" s="105">
        <v>0</v>
      </c>
      <c r="F2960" s="105">
        <v>0</v>
      </c>
    </row>
    <row r="2961" spans="1:6" x14ac:dyDescent="0.25">
      <c r="A2961" s="105">
        <f t="shared" si="46"/>
        <v>7709602</v>
      </c>
      <c r="B2961" s="105" t="s">
        <v>4851</v>
      </c>
      <c r="C2961" s="105" t="s">
        <v>4852</v>
      </c>
      <c r="D2961" s="105">
        <v>0</v>
      </c>
      <c r="E2961" s="105">
        <v>0</v>
      </c>
      <c r="F2961" s="105">
        <v>0</v>
      </c>
    </row>
    <row r="2962" spans="1:6" x14ac:dyDescent="0.25">
      <c r="A2962" s="105" t="str">
        <f t="shared" si="46"/>
        <v/>
      </c>
      <c r="B2962" s="105" t="s">
        <v>4853</v>
      </c>
      <c r="C2962" s="105" t="s">
        <v>8</v>
      </c>
      <c r="D2962" s="105">
        <v>0</v>
      </c>
      <c r="E2962" s="105">
        <v>0</v>
      </c>
      <c r="F2962" s="105">
        <v>0</v>
      </c>
    </row>
    <row r="2963" spans="1:6" x14ac:dyDescent="0.25">
      <c r="A2963" s="105">
        <f t="shared" si="46"/>
        <v>7709603</v>
      </c>
      <c r="B2963" s="105" t="s">
        <v>4854</v>
      </c>
      <c r="C2963" s="105" t="s">
        <v>4855</v>
      </c>
      <c r="D2963" s="105">
        <v>0</v>
      </c>
      <c r="E2963" s="105">
        <v>0</v>
      </c>
      <c r="F2963" s="105">
        <v>0</v>
      </c>
    </row>
    <row r="2964" spans="1:6" x14ac:dyDescent="0.25">
      <c r="A2964" s="105" t="str">
        <f t="shared" si="46"/>
        <v/>
      </c>
      <c r="B2964" s="105" t="s">
        <v>4856</v>
      </c>
      <c r="C2964" s="105" t="s">
        <v>8</v>
      </c>
      <c r="D2964" s="105">
        <v>0</v>
      </c>
      <c r="E2964" s="105">
        <v>0</v>
      </c>
      <c r="F2964" s="105">
        <v>0</v>
      </c>
    </row>
    <row r="2965" spans="1:6" x14ac:dyDescent="0.25">
      <c r="A2965" s="105">
        <f t="shared" si="46"/>
        <v>7709606</v>
      </c>
      <c r="B2965" s="105" t="s">
        <v>4857</v>
      </c>
      <c r="C2965" s="105" t="s">
        <v>4858</v>
      </c>
      <c r="D2965" s="105">
        <v>550</v>
      </c>
      <c r="E2965" s="105">
        <v>330</v>
      </c>
      <c r="F2965" s="105">
        <v>49</v>
      </c>
    </row>
    <row r="2966" spans="1:6" x14ac:dyDescent="0.25">
      <c r="A2966" s="105">
        <f t="shared" si="46"/>
        <v>7709608</v>
      </c>
      <c r="B2966" s="105" t="s">
        <v>4859</v>
      </c>
      <c r="C2966" s="105" t="s">
        <v>4860</v>
      </c>
      <c r="D2966" s="105">
        <v>477</v>
      </c>
      <c r="E2966" s="105">
        <v>286.2</v>
      </c>
      <c r="F2966" s="105">
        <v>0</v>
      </c>
    </row>
    <row r="2967" spans="1:6" x14ac:dyDescent="0.25">
      <c r="A2967" s="105">
        <f t="shared" si="46"/>
        <v>7709625</v>
      </c>
      <c r="B2967" s="105" t="s">
        <v>4861</v>
      </c>
      <c r="C2967" s="105" t="s">
        <v>4862</v>
      </c>
      <c r="D2967" s="105">
        <v>477</v>
      </c>
      <c r="E2967" s="105">
        <v>286.2</v>
      </c>
      <c r="F2967" s="105">
        <v>74</v>
      </c>
    </row>
    <row r="2968" spans="1:6" x14ac:dyDescent="0.25">
      <c r="A2968" s="105">
        <f t="shared" si="46"/>
        <v>7709650</v>
      </c>
      <c r="B2968" s="105" t="s">
        <v>4863</v>
      </c>
      <c r="C2968" s="105" t="s">
        <v>4864</v>
      </c>
      <c r="D2968" s="105">
        <v>477</v>
      </c>
      <c r="E2968" s="105">
        <v>286.2</v>
      </c>
      <c r="F2968" s="105">
        <v>17</v>
      </c>
    </row>
    <row r="2969" spans="1:6" x14ac:dyDescent="0.25">
      <c r="A2969" s="105">
        <f t="shared" si="46"/>
        <v>7709653</v>
      </c>
      <c r="B2969" s="105" t="s">
        <v>4865</v>
      </c>
      <c r="C2969" s="105" t="s">
        <v>4866</v>
      </c>
      <c r="D2969" s="105">
        <v>477</v>
      </c>
      <c r="E2969" s="105">
        <v>286.2</v>
      </c>
      <c r="F2969" s="105">
        <v>0</v>
      </c>
    </row>
    <row r="2970" spans="1:6" x14ac:dyDescent="0.25">
      <c r="A2970" s="105">
        <f t="shared" si="46"/>
        <v>7709654</v>
      </c>
      <c r="B2970" s="105" t="s">
        <v>4867</v>
      </c>
      <c r="C2970" s="105" t="s">
        <v>4868</v>
      </c>
      <c r="D2970" s="105">
        <v>477</v>
      </c>
      <c r="E2970" s="105">
        <v>286.2</v>
      </c>
      <c r="F2970" s="105">
        <v>10</v>
      </c>
    </row>
    <row r="2971" spans="1:6" x14ac:dyDescent="0.25">
      <c r="A2971" s="105" t="str">
        <f t="shared" si="46"/>
        <v/>
      </c>
      <c r="B2971" s="105" t="s">
        <v>4869</v>
      </c>
      <c r="C2971" s="105" t="s">
        <v>8</v>
      </c>
      <c r="D2971" s="105">
        <v>0</v>
      </c>
      <c r="E2971" s="105">
        <v>0</v>
      </c>
      <c r="F2971" s="105">
        <v>0</v>
      </c>
    </row>
    <row r="2972" spans="1:6" x14ac:dyDescent="0.25">
      <c r="A2972" s="105">
        <f t="shared" si="46"/>
        <v>7709655</v>
      </c>
      <c r="B2972" s="105" t="s">
        <v>4870</v>
      </c>
      <c r="C2972" s="105" t="s">
        <v>4871</v>
      </c>
      <c r="D2972" s="105">
        <v>0</v>
      </c>
      <c r="E2972" s="105">
        <v>0</v>
      </c>
      <c r="F2972" s="105">
        <v>0</v>
      </c>
    </row>
    <row r="2973" spans="1:6" x14ac:dyDescent="0.25">
      <c r="A2973" s="105" t="str">
        <f t="shared" si="46"/>
        <v/>
      </c>
      <c r="B2973" s="105" t="s">
        <v>4872</v>
      </c>
      <c r="C2973" s="105" t="s">
        <v>8</v>
      </c>
      <c r="D2973" s="105">
        <v>0</v>
      </c>
      <c r="E2973" s="105">
        <v>0</v>
      </c>
      <c r="F2973" s="105">
        <v>0</v>
      </c>
    </row>
    <row r="2974" spans="1:6" x14ac:dyDescent="0.25">
      <c r="A2974" s="105">
        <f t="shared" si="46"/>
        <v>7709656</v>
      </c>
      <c r="B2974" s="105" t="s">
        <v>4873</v>
      </c>
      <c r="C2974" s="105" t="s">
        <v>4874</v>
      </c>
      <c r="D2974" s="105">
        <v>0</v>
      </c>
      <c r="E2974" s="105">
        <v>0</v>
      </c>
      <c r="F2974" s="105">
        <v>0</v>
      </c>
    </row>
    <row r="2975" spans="1:6" x14ac:dyDescent="0.25">
      <c r="A2975" s="105">
        <f t="shared" si="46"/>
        <v>7709660</v>
      </c>
      <c r="B2975" s="105" t="s">
        <v>4875</v>
      </c>
      <c r="C2975" s="105" t="s">
        <v>4876</v>
      </c>
      <c r="D2975" s="105">
        <v>477</v>
      </c>
      <c r="E2975" s="105">
        <v>286.2</v>
      </c>
      <c r="F2975" s="105">
        <v>0</v>
      </c>
    </row>
    <row r="2976" spans="1:6" x14ac:dyDescent="0.25">
      <c r="A2976" s="105">
        <f t="shared" si="46"/>
        <v>7709661</v>
      </c>
      <c r="B2976" s="105" t="s">
        <v>4877</v>
      </c>
      <c r="C2976" s="105" t="s">
        <v>4878</v>
      </c>
      <c r="D2976" s="105">
        <v>477</v>
      </c>
      <c r="E2976" s="105">
        <v>286.2</v>
      </c>
      <c r="F2976" s="105">
        <v>0</v>
      </c>
    </row>
    <row r="2977" spans="1:6" x14ac:dyDescent="0.25">
      <c r="A2977" s="105">
        <f t="shared" si="46"/>
        <v>7709662</v>
      </c>
      <c r="B2977" s="105" t="s">
        <v>4879</v>
      </c>
      <c r="C2977" s="105" t="s">
        <v>4880</v>
      </c>
      <c r="D2977" s="105">
        <v>477</v>
      </c>
      <c r="E2977" s="105">
        <v>286.2</v>
      </c>
      <c r="F2977" s="105">
        <v>0</v>
      </c>
    </row>
    <row r="2978" spans="1:6" x14ac:dyDescent="0.25">
      <c r="A2978" s="105">
        <f t="shared" si="46"/>
        <v>7709663</v>
      </c>
      <c r="B2978" s="105" t="s">
        <v>4881</v>
      </c>
      <c r="C2978" s="105" t="s">
        <v>4882</v>
      </c>
      <c r="D2978" s="105">
        <v>477</v>
      </c>
      <c r="E2978" s="105">
        <v>286.2</v>
      </c>
      <c r="F2978" s="105">
        <v>2</v>
      </c>
    </row>
    <row r="2979" spans="1:6" x14ac:dyDescent="0.25">
      <c r="A2979" s="105">
        <f t="shared" si="46"/>
        <v>7709664</v>
      </c>
      <c r="B2979" s="105" t="s">
        <v>4883</v>
      </c>
      <c r="C2979" s="105" t="s">
        <v>4884</v>
      </c>
      <c r="D2979" s="105">
        <v>477</v>
      </c>
      <c r="E2979" s="105">
        <v>286.2</v>
      </c>
      <c r="F2979" s="105">
        <v>0</v>
      </c>
    </row>
    <row r="2980" spans="1:6" x14ac:dyDescent="0.25">
      <c r="A2980" s="105">
        <f t="shared" si="46"/>
        <v>7709665</v>
      </c>
      <c r="B2980" s="105" t="s">
        <v>4885</v>
      </c>
      <c r="C2980" s="105" t="s">
        <v>4886</v>
      </c>
      <c r="D2980" s="105">
        <v>477</v>
      </c>
      <c r="E2980" s="105">
        <v>286.2</v>
      </c>
      <c r="F2980" s="105">
        <v>282</v>
      </c>
    </row>
    <row r="2981" spans="1:6" x14ac:dyDescent="0.25">
      <c r="A2981" s="105">
        <f t="shared" si="46"/>
        <v>7709666</v>
      </c>
      <c r="B2981" s="105" t="s">
        <v>4887</v>
      </c>
      <c r="C2981" s="105" t="s">
        <v>4888</v>
      </c>
      <c r="D2981" s="105">
        <v>477</v>
      </c>
      <c r="E2981" s="105">
        <v>286.2</v>
      </c>
      <c r="F2981" s="105">
        <v>0</v>
      </c>
    </row>
    <row r="2982" spans="1:6" x14ac:dyDescent="0.25">
      <c r="A2982" s="105" t="str">
        <f t="shared" si="46"/>
        <v/>
      </c>
      <c r="B2982" s="105" t="s">
        <v>4889</v>
      </c>
      <c r="C2982" s="105" t="s">
        <v>8</v>
      </c>
      <c r="D2982" s="105">
        <v>0</v>
      </c>
      <c r="E2982" s="105">
        <v>0</v>
      </c>
      <c r="F2982" s="105">
        <v>0</v>
      </c>
    </row>
    <row r="2983" spans="1:6" x14ac:dyDescent="0.25">
      <c r="A2983" s="105">
        <f t="shared" si="46"/>
        <v>7709667</v>
      </c>
      <c r="B2983" s="105" t="s">
        <v>4890</v>
      </c>
      <c r="C2983" s="105" t="s">
        <v>4891</v>
      </c>
      <c r="D2983" s="105">
        <v>477</v>
      </c>
      <c r="E2983" s="105">
        <v>286.2</v>
      </c>
      <c r="F2983" s="105">
        <v>0</v>
      </c>
    </row>
    <row r="2984" spans="1:6" x14ac:dyDescent="0.25">
      <c r="A2984" s="105">
        <f t="shared" si="46"/>
        <v>7709668</v>
      </c>
      <c r="B2984" s="105" t="s">
        <v>4892</v>
      </c>
      <c r="C2984" s="105" t="s">
        <v>4893</v>
      </c>
      <c r="D2984" s="105">
        <v>477</v>
      </c>
      <c r="E2984" s="105">
        <v>286.2</v>
      </c>
      <c r="F2984" s="105">
        <v>0</v>
      </c>
    </row>
    <row r="2985" spans="1:6" x14ac:dyDescent="0.25">
      <c r="A2985" s="105">
        <f t="shared" si="46"/>
        <v>7709669</v>
      </c>
      <c r="B2985" s="105" t="s">
        <v>4894</v>
      </c>
      <c r="C2985" s="105" t="s">
        <v>4895</v>
      </c>
      <c r="D2985" s="105">
        <v>477</v>
      </c>
      <c r="E2985" s="105">
        <v>286.2</v>
      </c>
      <c r="F2985" s="105">
        <v>0</v>
      </c>
    </row>
    <row r="2986" spans="1:6" x14ac:dyDescent="0.25">
      <c r="A2986" s="105" t="str">
        <f t="shared" si="46"/>
        <v/>
      </c>
      <c r="B2986" s="105" t="s">
        <v>4896</v>
      </c>
      <c r="C2986" s="105" t="s">
        <v>8</v>
      </c>
      <c r="D2986" s="105">
        <v>0</v>
      </c>
      <c r="E2986" s="105">
        <v>0</v>
      </c>
      <c r="F2986" s="105">
        <v>0</v>
      </c>
    </row>
    <row r="2987" spans="1:6" x14ac:dyDescent="0.25">
      <c r="A2987" s="105">
        <f t="shared" si="46"/>
        <v>7709670</v>
      </c>
      <c r="B2987" s="105" t="s">
        <v>4897</v>
      </c>
      <c r="C2987" s="105" t="s">
        <v>4898</v>
      </c>
      <c r="D2987" s="105">
        <v>477</v>
      </c>
      <c r="E2987" s="105">
        <v>286.2</v>
      </c>
      <c r="F2987" s="105">
        <v>0</v>
      </c>
    </row>
    <row r="2988" spans="1:6" x14ac:dyDescent="0.25">
      <c r="A2988" s="105">
        <f t="shared" si="46"/>
        <v>7709671</v>
      </c>
      <c r="B2988" s="105" t="s">
        <v>4899</v>
      </c>
      <c r="C2988" s="105" t="s">
        <v>4900</v>
      </c>
      <c r="D2988" s="105">
        <v>477</v>
      </c>
      <c r="E2988" s="105">
        <v>286.2</v>
      </c>
      <c r="F2988" s="105">
        <v>0</v>
      </c>
    </row>
    <row r="2989" spans="1:6" x14ac:dyDescent="0.25">
      <c r="A2989" s="105">
        <f t="shared" si="46"/>
        <v>7709680</v>
      </c>
      <c r="B2989" s="105" t="s">
        <v>4901</v>
      </c>
      <c r="C2989" s="105" t="s">
        <v>4902</v>
      </c>
      <c r="D2989" s="105">
        <v>477</v>
      </c>
      <c r="E2989" s="105">
        <v>286.2</v>
      </c>
      <c r="F2989" s="105">
        <v>0</v>
      </c>
    </row>
    <row r="2990" spans="1:6" x14ac:dyDescent="0.25">
      <c r="A2990" s="105">
        <f t="shared" si="46"/>
        <v>7709700</v>
      </c>
      <c r="B2990" s="105" t="s">
        <v>4903</v>
      </c>
      <c r="C2990" s="105" t="s">
        <v>4904</v>
      </c>
      <c r="D2990" s="105">
        <v>477</v>
      </c>
      <c r="E2990" s="105">
        <v>286.2</v>
      </c>
      <c r="F2990" s="105">
        <v>0</v>
      </c>
    </row>
    <row r="2991" spans="1:6" x14ac:dyDescent="0.25">
      <c r="A2991" s="105">
        <f t="shared" si="46"/>
        <v>7709709</v>
      </c>
      <c r="B2991" s="105" t="s">
        <v>4905</v>
      </c>
      <c r="C2991" s="105" t="s">
        <v>4906</v>
      </c>
      <c r="D2991" s="105">
        <v>477</v>
      </c>
      <c r="E2991" s="105">
        <v>286.2</v>
      </c>
      <c r="F2991" s="105">
        <v>0</v>
      </c>
    </row>
    <row r="2992" spans="1:6" x14ac:dyDescent="0.25">
      <c r="A2992" s="105">
        <f t="shared" si="46"/>
        <v>7709712</v>
      </c>
      <c r="B2992" s="105" t="s">
        <v>4907</v>
      </c>
      <c r="C2992" s="105" t="s">
        <v>4908</v>
      </c>
      <c r="D2992" s="105">
        <v>477</v>
      </c>
      <c r="E2992" s="105">
        <v>286.2</v>
      </c>
      <c r="F2992" s="105">
        <v>22</v>
      </c>
    </row>
    <row r="2993" spans="1:6" x14ac:dyDescent="0.25">
      <c r="A2993" s="105">
        <f t="shared" si="46"/>
        <v>7709753</v>
      </c>
      <c r="B2993" s="105" t="s">
        <v>4909</v>
      </c>
      <c r="C2993" s="105" t="s">
        <v>4910</v>
      </c>
      <c r="D2993" s="105">
        <v>477</v>
      </c>
      <c r="E2993" s="105">
        <v>286.2</v>
      </c>
      <c r="F2993" s="105">
        <v>21</v>
      </c>
    </row>
    <row r="2994" spans="1:6" x14ac:dyDescent="0.25">
      <c r="A2994" s="105">
        <f t="shared" si="46"/>
        <v>7709754</v>
      </c>
      <c r="B2994" s="105" t="s">
        <v>4911</v>
      </c>
      <c r="C2994" s="105" t="s">
        <v>4912</v>
      </c>
      <c r="D2994" s="105">
        <v>763.2</v>
      </c>
      <c r="E2994" s="105">
        <v>457.92</v>
      </c>
      <c r="F2994" s="105">
        <v>65</v>
      </c>
    </row>
    <row r="2995" spans="1:6" x14ac:dyDescent="0.25">
      <c r="A2995" s="105">
        <f t="shared" si="46"/>
        <v>7709755</v>
      </c>
      <c r="B2995" s="105" t="s">
        <v>4913</v>
      </c>
      <c r="C2995" s="105" t="s">
        <v>4914</v>
      </c>
      <c r="D2995" s="105">
        <v>477</v>
      </c>
      <c r="E2995" s="105">
        <v>286.2</v>
      </c>
      <c r="F2995" s="105">
        <v>12</v>
      </c>
    </row>
    <row r="2996" spans="1:6" x14ac:dyDescent="0.25">
      <c r="A2996" s="105">
        <f t="shared" si="46"/>
        <v>7709756</v>
      </c>
      <c r="B2996" s="105" t="s">
        <v>4915</v>
      </c>
      <c r="C2996" s="105" t="s">
        <v>4916</v>
      </c>
      <c r="D2996" s="105">
        <v>477</v>
      </c>
      <c r="E2996" s="105">
        <v>286.2</v>
      </c>
      <c r="F2996" s="105">
        <v>35</v>
      </c>
    </row>
    <row r="2997" spans="1:6" x14ac:dyDescent="0.25">
      <c r="A2997" s="105" t="str">
        <f t="shared" si="46"/>
        <v/>
      </c>
      <c r="B2997" s="105" t="s">
        <v>4917</v>
      </c>
      <c r="C2997" s="105" t="s">
        <v>8</v>
      </c>
      <c r="D2997" s="105">
        <v>0</v>
      </c>
      <c r="E2997" s="105">
        <v>0</v>
      </c>
      <c r="F2997" s="105">
        <v>0</v>
      </c>
    </row>
    <row r="2998" spans="1:6" x14ac:dyDescent="0.25">
      <c r="A2998" s="105">
        <f t="shared" si="46"/>
        <v>7709784</v>
      </c>
      <c r="B2998" s="105" t="s">
        <v>4918</v>
      </c>
      <c r="C2998" s="105" t="s">
        <v>4919</v>
      </c>
      <c r="D2998" s="105">
        <v>0</v>
      </c>
      <c r="E2998" s="105">
        <v>0</v>
      </c>
      <c r="F2998" s="105">
        <v>0</v>
      </c>
    </row>
    <row r="2999" spans="1:6" x14ac:dyDescent="0.25">
      <c r="A2999" s="105" t="str">
        <f t="shared" si="46"/>
        <v/>
      </c>
      <c r="B2999" s="105" t="s">
        <v>4920</v>
      </c>
      <c r="C2999" s="105" t="s">
        <v>8</v>
      </c>
      <c r="D2999" s="105">
        <v>0</v>
      </c>
      <c r="E2999" s="105">
        <v>0</v>
      </c>
      <c r="F2999" s="105">
        <v>0</v>
      </c>
    </row>
    <row r="3000" spans="1:6" x14ac:dyDescent="0.25">
      <c r="A3000" s="105">
        <f t="shared" si="46"/>
        <v>7709785</v>
      </c>
      <c r="B3000" s="105" t="s">
        <v>4921</v>
      </c>
      <c r="C3000" s="105" t="s">
        <v>4922</v>
      </c>
      <c r="D3000" s="105">
        <v>0</v>
      </c>
      <c r="E3000" s="105">
        <v>0</v>
      </c>
      <c r="F3000" s="105">
        <v>0</v>
      </c>
    </row>
    <row r="3001" spans="1:6" x14ac:dyDescent="0.25">
      <c r="A3001" s="105">
        <f t="shared" si="46"/>
        <v>7709786</v>
      </c>
      <c r="B3001" s="105" t="s">
        <v>4923</v>
      </c>
      <c r="C3001" s="105" t="s">
        <v>4924</v>
      </c>
      <c r="D3001" s="105">
        <v>477</v>
      </c>
      <c r="E3001" s="105">
        <v>286.2</v>
      </c>
      <c r="F3001" s="105">
        <v>0</v>
      </c>
    </row>
    <row r="3002" spans="1:6" x14ac:dyDescent="0.25">
      <c r="A3002" s="105">
        <f t="shared" si="46"/>
        <v>7709787</v>
      </c>
      <c r="B3002" s="105" t="s">
        <v>4925</v>
      </c>
      <c r="C3002" s="105" t="s">
        <v>4926</v>
      </c>
      <c r="D3002" s="105">
        <v>477</v>
      </c>
      <c r="E3002" s="105">
        <v>286.2</v>
      </c>
      <c r="F3002" s="105">
        <v>13</v>
      </c>
    </row>
    <row r="3003" spans="1:6" x14ac:dyDescent="0.25">
      <c r="A3003" s="105" t="str">
        <f t="shared" si="46"/>
        <v/>
      </c>
      <c r="B3003" s="105" t="s">
        <v>4927</v>
      </c>
      <c r="C3003" s="105" t="s">
        <v>8</v>
      </c>
      <c r="D3003" s="105">
        <v>0</v>
      </c>
      <c r="E3003" s="105">
        <v>0</v>
      </c>
      <c r="F3003" s="105">
        <v>0</v>
      </c>
    </row>
    <row r="3004" spans="1:6" x14ac:dyDescent="0.25">
      <c r="A3004" s="105">
        <f t="shared" si="46"/>
        <v>7709788</v>
      </c>
      <c r="B3004" s="105" t="s">
        <v>4928</v>
      </c>
      <c r="C3004" s="105" t="s">
        <v>4929</v>
      </c>
      <c r="D3004" s="105">
        <v>477</v>
      </c>
      <c r="E3004" s="105">
        <v>286.2</v>
      </c>
      <c r="F3004" s="105">
        <v>0</v>
      </c>
    </row>
    <row r="3005" spans="1:6" x14ac:dyDescent="0.25">
      <c r="A3005" s="105">
        <f t="shared" si="46"/>
        <v>7709789</v>
      </c>
      <c r="B3005" s="105" t="s">
        <v>4930</v>
      </c>
      <c r="C3005" s="105" t="s">
        <v>4931</v>
      </c>
      <c r="D3005" s="105">
        <v>312.52999999999997</v>
      </c>
      <c r="E3005" s="105">
        <v>187.52</v>
      </c>
      <c r="F3005" s="105">
        <v>100</v>
      </c>
    </row>
    <row r="3006" spans="1:6" x14ac:dyDescent="0.25">
      <c r="A3006" s="105" t="str">
        <f t="shared" si="46"/>
        <v/>
      </c>
      <c r="B3006" s="105" t="s">
        <v>4932</v>
      </c>
      <c r="C3006" s="105" t="s">
        <v>8</v>
      </c>
      <c r="D3006" s="105">
        <v>0</v>
      </c>
      <c r="E3006" s="105">
        <v>0</v>
      </c>
      <c r="F3006" s="105">
        <v>0</v>
      </c>
    </row>
    <row r="3007" spans="1:6" x14ac:dyDescent="0.25">
      <c r="A3007" s="105">
        <f t="shared" si="46"/>
        <v>7709790</v>
      </c>
      <c r="B3007" s="105" t="s">
        <v>4933</v>
      </c>
      <c r="C3007" s="105" t="s">
        <v>4934</v>
      </c>
      <c r="D3007" s="105">
        <v>312.52999999999997</v>
      </c>
      <c r="E3007" s="105">
        <v>187.52</v>
      </c>
      <c r="F3007" s="105">
        <v>20</v>
      </c>
    </row>
    <row r="3008" spans="1:6" x14ac:dyDescent="0.25">
      <c r="A3008" s="105">
        <f t="shared" si="46"/>
        <v>7709800</v>
      </c>
      <c r="B3008" s="105" t="s">
        <v>4935</v>
      </c>
      <c r="C3008" s="105" t="s">
        <v>4936</v>
      </c>
      <c r="D3008" s="105">
        <v>477</v>
      </c>
      <c r="E3008" s="105">
        <v>286.2</v>
      </c>
      <c r="F3008" s="105">
        <v>86</v>
      </c>
    </row>
    <row r="3009" spans="1:6" x14ac:dyDescent="0.25">
      <c r="A3009" s="105">
        <f t="shared" si="46"/>
        <v>7709801</v>
      </c>
      <c r="B3009" s="105" t="s">
        <v>4937</v>
      </c>
      <c r="C3009" s="105" t="s">
        <v>4938</v>
      </c>
      <c r="D3009" s="105">
        <v>477</v>
      </c>
      <c r="E3009" s="105">
        <v>286.2</v>
      </c>
      <c r="F3009" s="105">
        <v>28</v>
      </c>
    </row>
    <row r="3010" spans="1:6" x14ac:dyDescent="0.25">
      <c r="A3010" s="105" t="str">
        <f t="shared" si="46"/>
        <v/>
      </c>
      <c r="B3010" s="105" t="s">
        <v>4939</v>
      </c>
      <c r="C3010" s="105" t="s">
        <v>8</v>
      </c>
      <c r="D3010" s="105">
        <v>0</v>
      </c>
      <c r="E3010" s="105">
        <v>0</v>
      </c>
      <c r="F3010" s="105">
        <v>0</v>
      </c>
    </row>
    <row r="3011" spans="1:6" x14ac:dyDescent="0.25">
      <c r="A3011" s="105">
        <f t="shared" ref="A3011:A3074" si="47">IF(B3011&lt;&gt;"",IFERROR(B3011*1,""),"")</f>
        <v>7709802</v>
      </c>
      <c r="B3011" s="105" t="s">
        <v>4940</v>
      </c>
      <c r="C3011" s="105" t="s">
        <v>4941</v>
      </c>
      <c r="D3011" s="105">
        <v>0</v>
      </c>
      <c r="E3011" s="105">
        <v>0</v>
      </c>
      <c r="F3011" s="105">
        <v>0</v>
      </c>
    </row>
    <row r="3012" spans="1:6" x14ac:dyDescent="0.25">
      <c r="A3012" s="105" t="str">
        <f t="shared" si="47"/>
        <v/>
      </c>
      <c r="B3012" s="105" t="s">
        <v>4942</v>
      </c>
      <c r="C3012" s="105" t="s">
        <v>8</v>
      </c>
      <c r="D3012" s="105">
        <v>0</v>
      </c>
      <c r="E3012" s="105">
        <v>0</v>
      </c>
      <c r="F3012" s="105">
        <v>0</v>
      </c>
    </row>
    <row r="3013" spans="1:6" x14ac:dyDescent="0.25">
      <c r="A3013" s="105">
        <f t="shared" si="47"/>
        <v>7709803</v>
      </c>
      <c r="B3013" s="105" t="s">
        <v>4943</v>
      </c>
      <c r="C3013" s="105" t="s">
        <v>4944</v>
      </c>
      <c r="D3013" s="105">
        <v>0</v>
      </c>
      <c r="E3013" s="105">
        <v>0</v>
      </c>
      <c r="F3013" s="105">
        <v>0</v>
      </c>
    </row>
    <row r="3014" spans="1:6" x14ac:dyDescent="0.25">
      <c r="A3014" s="105" t="str">
        <f t="shared" si="47"/>
        <v/>
      </c>
      <c r="B3014" s="105" t="s">
        <v>4945</v>
      </c>
      <c r="C3014" s="105" t="s">
        <v>8</v>
      </c>
      <c r="D3014" s="105">
        <v>0</v>
      </c>
      <c r="E3014" s="105">
        <v>0</v>
      </c>
      <c r="F3014" s="105">
        <v>0</v>
      </c>
    </row>
    <row r="3015" spans="1:6" x14ac:dyDescent="0.25">
      <c r="A3015" s="105">
        <f t="shared" si="47"/>
        <v>7709804</v>
      </c>
      <c r="B3015" s="105" t="s">
        <v>4946</v>
      </c>
      <c r="C3015" s="105" t="s">
        <v>4947</v>
      </c>
      <c r="D3015" s="105">
        <v>0</v>
      </c>
      <c r="E3015" s="105">
        <v>0</v>
      </c>
      <c r="F3015" s="105">
        <v>0</v>
      </c>
    </row>
    <row r="3016" spans="1:6" x14ac:dyDescent="0.25">
      <c r="A3016" s="105" t="str">
        <f t="shared" si="47"/>
        <v/>
      </c>
      <c r="B3016" s="105" t="s">
        <v>4948</v>
      </c>
      <c r="C3016" s="105" t="s">
        <v>8</v>
      </c>
      <c r="D3016" s="105">
        <v>0</v>
      </c>
      <c r="E3016" s="105">
        <v>0</v>
      </c>
      <c r="F3016" s="105">
        <v>0</v>
      </c>
    </row>
    <row r="3017" spans="1:6" x14ac:dyDescent="0.25">
      <c r="A3017" s="105">
        <f t="shared" si="47"/>
        <v>7709805</v>
      </c>
      <c r="B3017" s="105" t="s">
        <v>4949</v>
      </c>
      <c r="C3017" s="105" t="s">
        <v>4950</v>
      </c>
      <c r="D3017" s="105">
        <v>0</v>
      </c>
      <c r="E3017" s="105">
        <v>0</v>
      </c>
      <c r="F3017" s="105">
        <v>0</v>
      </c>
    </row>
    <row r="3018" spans="1:6" x14ac:dyDescent="0.25">
      <c r="A3018" s="105" t="str">
        <f t="shared" si="47"/>
        <v/>
      </c>
      <c r="B3018" s="105" t="s">
        <v>4951</v>
      </c>
      <c r="C3018" s="105" t="s">
        <v>8</v>
      </c>
      <c r="D3018" s="105">
        <v>0</v>
      </c>
      <c r="E3018" s="105">
        <v>0</v>
      </c>
      <c r="F3018" s="105">
        <v>0</v>
      </c>
    </row>
    <row r="3019" spans="1:6" x14ac:dyDescent="0.25">
      <c r="A3019" s="105">
        <f t="shared" si="47"/>
        <v>7709806</v>
      </c>
      <c r="B3019" s="105" t="s">
        <v>4952</v>
      </c>
      <c r="C3019" s="105" t="s">
        <v>4953</v>
      </c>
      <c r="D3019" s="105">
        <v>0</v>
      </c>
      <c r="E3019" s="105">
        <v>0</v>
      </c>
      <c r="F3019" s="105">
        <v>0</v>
      </c>
    </row>
    <row r="3020" spans="1:6" x14ac:dyDescent="0.25">
      <c r="A3020" s="105" t="str">
        <f t="shared" si="47"/>
        <v/>
      </c>
      <c r="B3020" s="105" t="s">
        <v>4954</v>
      </c>
      <c r="C3020" s="105" t="s">
        <v>8</v>
      </c>
      <c r="D3020" s="105">
        <v>0</v>
      </c>
      <c r="E3020" s="105">
        <v>0</v>
      </c>
      <c r="F3020" s="105">
        <v>0</v>
      </c>
    </row>
    <row r="3021" spans="1:6" x14ac:dyDescent="0.25">
      <c r="A3021" s="105">
        <f t="shared" si="47"/>
        <v>7709807</v>
      </c>
      <c r="B3021" s="105" t="s">
        <v>4955</v>
      </c>
      <c r="C3021" s="105" t="s">
        <v>4956</v>
      </c>
      <c r="D3021" s="105">
        <v>0</v>
      </c>
      <c r="E3021" s="105">
        <v>0</v>
      </c>
      <c r="F3021" s="105">
        <v>0</v>
      </c>
    </row>
    <row r="3022" spans="1:6" x14ac:dyDescent="0.25">
      <c r="A3022" s="105" t="str">
        <f t="shared" si="47"/>
        <v/>
      </c>
      <c r="B3022" s="105" t="s">
        <v>4957</v>
      </c>
      <c r="C3022" s="105" t="s">
        <v>8</v>
      </c>
      <c r="D3022" s="105">
        <v>0</v>
      </c>
      <c r="E3022" s="105">
        <v>0</v>
      </c>
      <c r="F3022" s="105">
        <v>0</v>
      </c>
    </row>
    <row r="3023" spans="1:6" x14ac:dyDescent="0.25">
      <c r="A3023" s="105">
        <f t="shared" si="47"/>
        <v>7709808</v>
      </c>
      <c r="B3023" s="105" t="s">
        <v>4958</v>
      </c>
      <c r="C3023" s="105" t="s">
        <v>4959</v>
      </c>
      <c r="D3023" s="105">
        <v>0</v>
      </c>
      <c r="E3023" s="105">
        <v>0</v>
      </c>
      <c r="F3023" s="105">
        <v>0</v>
      </c>
    </row>
    <row r="3024" spans="1:6" x14ac:dyDescent="0.25">
      <c r="A3024" s="105" t="str">
        <f t="shared" si="47"/>
        <v/>
      </c>
      <c r="B3024" s="105" t="s">
        <v>4960</v>
      </c>
      <c r="C3024" s="105" t="s">
        <v>8</v>
      </c>
      <c r="D3024" s="105">
        <v>0</v>
      </c>
      <c r="E3024" s="105">
        <v>0</v>
      </c>
      <c r="F3024" s="105">
        <v>0</v>
      </c>
    </row>
    <row r="3025" spans="1:6" x14ac:dyDescent="0.25">
      <c r="A3025" s="105">
        <f t="shared" si="47"/>
        <v>7709809</v>
      </c>
      <c r="B3025" s="105" t="s">
        <v>4961</v>
      </c>
      <c r="C3025" s="105" t="s">
        <v>4962</v>
      </c>
      <c r="D3025" s="105">
        <v>0</v>
      </c>
      <c r="E3025" s="105">
        <v>0</v>
      </c>
      <c r="F3025" s="105">
        <v>0</v>
      </c>
    </row>
    <row r="3026" spans="1:6" x14ac:dyDescent="0.25">
      <c r="A3026" s="105" t="str">
        <f t="shared" si="47"/>
        <v/>
      </c>
      <c r="B3026" s="105" t="s">
        <v>4963</v>
      </c>
      <c r="C3026" s="105" t="s">
        <v>8</v>
      </c>
      <c r="D3026" s="105">
        <v>0</v>
      </c>
      <c r="E3026" s="105">
        <v>0</v>
      </c>
      <c r="F3026" s="105">
        <v>0</v>
      </c>
    </row>
    <row r="3027" spans="1:6" x14ac:dyDescent="0.25">
      <c r="A3027" s="105">
        <f t="shared" si="47"/>
        <v>7709810</v>
      </c>
      <c r="B3027" s="105" t="s">
        <v>4964</v>
      </c>
      <c r="C3027" s="105" t="s">
        <v>4965</v>
      </c>
      <c r="D3027" s="105">
        <v>0</v>
      </c>
      <c r="E3027" s="105">
        <v>0</v>
      </c>
      <c r="F3027" s="105">
        <v>0</v>
      </c>
    </row>
    <row r="3028" spans="1:6" x14ac:dyDescent="0.25">
      <c r="A3028" s="105" t="str">
        <f t="shared" si="47"/>
        <v/>
      </c>
      <c r="B3028" s="105" t="s">
        <v>4966</v>
      </c>
      <c r="C3028" s="105" t="s">
        <v>8</v>
      </c>
      <c r="D3028" s="105">
        <v>0</v>
      </c>
      <c r="E3028" s="105">
        <v>0</v>
      </c>
      <c r="F3028" s="105">
        <v>0</v>
      </c>
    </row>
    <row r="3029" spans="1:6" x14ac:dyDescent="0.25">
      <c r="A3029" s="105">
        <f t="shared" si="47"/>
        <v>7709811</v>
      </c>
      <c r="B3029" s="105" t="s">
        <v>4967</v>
      </c>
      <c r="C3029" s="105" t="s">
        <v>4968</v>
      </c>
      <c r="D3029" s="105">
        <v>0</v>
      </c>
      <c r="E3029" s="105">
        <v>0</v>
      </c>
      <c r="F3029" s="105">
        <v>0</v>
      </c>
    </row>
    <row r="3030" spans="1:6" x14ac:dyDescent="0.25">
      <c r="A3030" s="105" t="str">
        <f t="shared" si="47"/>
        <v/>
      </c>
      <c r="B3030" s="105" t="s">
        <v>4969</v>
      </c>
      <c r="C3030" s="105" t="s">
        <v>8</v>
      </c>
      <c r="D3030" s="105">
        <v>0</v>
      </c>
      <c r="E3030" s="105">
        <v>0</v>
      </c>
      <c r="F3030" s="105">
        <v>0</v>
      </c>
    </row>
    <row r="3031" spans="1:6" x14ac:dyDescent="0.25">
      <c r="A3031" s="105">
        <f t="shared" si="47"/>
        <v>7709812</v>
      </c>
      <c r="B3031" s="105" t="s">
        <v>4970</v>
      </c>
      <c r="C3031" s="105" t="s">
        <v>4971</v>
      </c>
      <c r="D3031" s="105">
        <v>0</v>
      </c>
      <c r="E3031" s="105">
        <v>0</v>
      </c>
      <c r="F3031" s="105">
        <v>0</v>
      </c>
    </row>
    <row r="3032" spans="1:6" x14ac:dyDescent="0.25">
      <c r="A3032" s="105" t="str">
        <f t="shared" si="47"/>
        <v/>
      </c>
      <c r="B3032" s="105" t="s">
        <v>4972</v>
      </c>
      <c r="C3032" s="105" t="s">
        <v>8</v>
      </c>
      <c r="D3032" s="105">
        <v>0</v>
      </c>
      <c r="E3032" s="105">
        <v>0</v>
      </c>
      <c r="F3032" s="105">
        <v>0</v>
      </c>
    </row>
    <row r="3033" spans="1:6" x14ac:dyDescent="0.25">
      <c r="A3033" s="105">
        <f t="shared" si="47"/>
        <v>7709813</v>
      </c>
      <c r="B3033" s="105" t="s">
        <v>4973</v>
      </c>
      <c r="C3033" s="105" t="s">
        <v>4974</v>
      </c>
      <c r="D3033" s="105">
        <v>0</v>
      </c>
      <c r="E3033" s="105">
        <v>0</v>
      </c>
      <c r="F3033" s="105">
        <v>0</v>
      </c>
    </row>
    <row r="3034" spans="1:6" x14ac:dyDescent="0.25">
      <c r="A3034" s="105" t="str">
        <f t="shared" si="47"/>
        <v/>
      </c>
      <c r="B3034" s="105" t="s">
        <v>4975</v>
      </c>
      <c r="C3034" s="105" t="s">
        <v>8</v>
      </c>
      <c r="D3034" s="105">
        <v>0</v>
      </c>
      <c r="E3034" s="105">
        <v>0</v>
      </c>
      <c r="F3034" s="105">
        <v>0</v>
      </c>
    </row>
    <row r="3035" spans="1:6" x14ac:dyDescent="0.25">
      <c r="A3035" s="105">
        <f t="shared" si="47"/>
        <v>7709814</v>
      </c>
      <c r="B3035" s="105" t="s">
        <v>4976</v>
      </c>
      <c r="C3035" s="105" t="s">
        <v>4977</v>
      </c>
      <c r="D3035" s="105">
        <v>0</v>
      </c>
      <c r="E3035" s="105">
        <v>0</v>
      </c>
      <c r="F3035" s="105">
        <v>0</v>
      </c>
    </row>
    <row r="3036" spans="1:6" x14ac:dyDescent="0.25">
      <c r="A3036" s="105" t="str">
        <f t="shared" si="47"/>
        <v/>
      </c>
      <c r="B3036" s="105" t="s">
        <v>4978</v>
      </c>
      <c r="C3036" s="105" t="s">
        <v>8</v>
      </c>
      <c r="D3036" s="105">
        <v>0</v>
      </c>
      <c r="E3036" s="105">
        <v>0</v>
      </c>
      <c r="F3036" s="105">
        <v>0</v>
      </c>
    </row>
    <row r="3037" spans="1:6" x14ac:dyDescent="0.25">
      <c r="A3037" s="105">
        <f t="shared" si="47"/>
        <v>7709815</v>
      </c>
      <c r="B3037" s="105" t="s">
        <v>4979</v>
      </c>
      <c r="C3037" s="105" t="s">
        <v>4980</v>
      </c>
      <c r="D3037" s="105">
        <v>0</v>
      </c>
      <c r="E3037" s="105">
        <v>0</v>
      </c>
      <c r="F3037" s="105">
        <v>0</v>
      </c>
    </row>
    <row r="3038" spans="1:6" x14ac:dyDescent="0.25">
      <c r="A3038" s="105" t="str">
        <f t="shared" si="47"/>
        <v/>
      </c>
      <c r="B3038" s="105" t="s">
        <v>4981</v>
      </c>
      <c r="C3038" s="105" t="s">
        <v>8</v>
      </c>
      <c r="D3038" s="105">
        <v>0</v>
      </c>
      <c r="E3038" s="105">
        <v>0</v>
      </c>
      <c r="F3038" s="105">
        <v>0</v>
      </c>
    </row>
    <row r="3039" spans="1:6" x14ac:dyDescent="0.25">
      <c r="A3039" s="105">
        <f t="shared" si="47"/>
        <v>7709816</v>
      </c>
      <c r="B3039" s="105" t="s">
        <v>4982</v>
      </c>
      <c r="C3039" s="105" t="s">
        <v>4983</v>
      </c>
      <c r="D3039" s="105">
        <v>0</v>
      </c>
      <c r="E3039" s="105">
        <v>0</v>
      </c>
      <c r="F3039" s="105">
        <v>0</v>
      </c>
    </row>
    <row r="3040" spans="1:6" x14ac:dyDescent="0.25">
      <c r="A3040" s="105" t="str">
        <f t="shared" si="47"/>
        <v/>
      </c>
      <c r="B3040" s="105" t="s">
        <v>4984</v>
      </c>
      <c r="C3040" s="105" t="s">
        <v>8</v>
      </c>
      <c r="D3040" s="105">
        <v>0</v>
      </c>
      <c r="E3040" s="105">
        <v>0</v>
      </c>
      <c r="F3040" s="105">
        <v>0</v>
      </c>
    </row>
    <row r="3041" spans="1:6" x14ac:dyDescent="0.25">
      <c r="A3041" s="105">
        <f t="shared" si="47"/>
        <v>7709817</v>
      </c>
      <c r="B3041" s="105" t="s">
        <v>4985</v>
      </c>
      <c r="C3041" s="105" t="s">
        <v>4986</v>
      </c>
      <c r="D3041" s="105">
        <v>0</v>
      </c>
      <c r="E3041" s="105">
        <v>0</v>
      </c>
      <c r="F3041" s="105">
        <v>0</v>
      </c>
    </row>
    <row r="3042" spans="1:6" x14ac:dyDescent="0.25">
      <c r="A3042" s="105" t="str">
        <f t="shared" si="47"/>
        <v/>
      </c>
      <c r="B3042" s="105" t="s">
        <v>4987</v>
      </c>
      <c r="C3042" s="105" t="s">
        <v>8</v>
      </c>
      <c r="D3042" s="105">
        <v>0</v>
      </c>
      <c r="E3042" s="105">
        <v>0</v>
      </c>
      <c r="F3042" s="105">
        <v>0</v>
      </c>
    </row>
    <row r="3043" spans="1:6" x14ac:dyDescent="0.25">
      <c r="A3043" s="105">
        <f t="shared" si="47"/>
        <v>7709818</v>
      </c>
      <c r="B3043" s="105" t="s">
        <v>4988</v>
      </c>
      <c r="C3043" s="105" t="s">
        <v>4989</v>
      </c>
      <c r="D3043" s="105">
        <v>0</v>
      </c>
      <c r="E3043" s="105">
        <v>0</v>
      </c>
      <c r="F3043" s="105">
        <v>0</v>
      </c>
    </row>
    <row r="3044" spans="1:6" x14ac:dyDescent="0.25">
      <c r="A3044" s="105" t="str">
        <f t="shared" si="47"/>
        <v/>
      </c>
      <c r="B3044" s="105" t="s">
        <v>4990</v>
      </c>
      <c r="C3044" s="105" t="s">
        <v>8</v>
      </c>
      <c r="D3044" s="105">
        <v>0</v>
      </c>
      <c r="E3044" s="105">
        <v>0</v>
      </c>
      <c r="F3044" s="105">
        <v>0</v>
      </c>
    </row>
    <row r="3045" spans="1:6" x14ac:dyDescent="0.25">
      <c r="A3045" s="105">
        <f t="shared" si="47"/>
        <v>7709819</v>
      </c>
      <c r="B3045" s="105" t="s">
        <v>4991</v>
      </c>
      <c r="C3045" s="105" t="s">
        <v>4992</v>
      </c>
      <c r="D3045" s="105">
        <v>0</v>
      </c>
      <c r="E3045" s="105">
        <v>0</v>
      </c>
      <c r="F3045" s="105">
        <v>0</v>
      </c>
    </row>
    <row r="3046" spans="1:6" x14ac:dyDescent="0.25">
      <c r="A3046" s="105" t="str">
        <f t="shared" si="47"/>
        <v/>
      </c>
      <c r="B3046" s="105" t="s">
        <v>4993</v>
      </c>
      <c r="C3046" s="105" t="s">
        <v>8</v>
      </c>
      <c r="D3046" s="105">
        <v>0</v>
      </c>
      <c r="E3046" s="105">
        <v>0</v>
      </c>
      <c r="F3046" s="105">
        <v>0</v>
      </c>
    </row>
    <row r="3047" spans="1:6" x14ac:dyDescent="0.25">
      <c r="A3047" s="105">
        <f t="shared" si="47"/>
        <v>7709820</v>
      </c>
      <c r="B3047" s="105" t="s">
        <v>4994</v>
      </c>
      <c r="C3047" s="105" t="s">
        <v>4995</v>
      </c>
      <c r="D3047" s="105">
        <v>0</v>
      </c>
      <c r="E3047" s="105">
        <v>0</v>
      </c>
      <c r="F3047" s="105">
        <v>0</v>
      </c>
    </row>
    <row r="3048" spans="1:6" x14ac:dyDescent="0.25">
      <c r="A3048" s="105" t="str">
        <f t="shared" si="47"/>
        <v/>
      </c>
      <c r="B3048" s="105" t="s">
        <v>4996</v>
      </c>
      <c r="C3048" s="105" t="s">
        <v>8</v>
      </c>
      <c r="D3048" s="105">
        <v>0</v>
      </c>
      <c r="E3048" s="105">
        <v>0</v>
      </c>
      <c r="F3048" s="105">
        <v>0</v>
      </c>
    </row>
    <row r="3049" spans="1:6" x14ac:dyDescent="0.25">
      <c r="A3049" s="105">
        <f t="shared" si="47"/>
        <v>7709821</v>
      </c>
      <c r="B3049" s="105" t="s">
        <v>4997</v>
      </c>
      <c r="C3049" s="105" t="s">
        <v>4998</v>
      </c>
      <c r="D3049" s="105">
        <v>0</v>
      </c>
      <c r="E3049" s="105">
        <v>0</v>
      </c>
      <c r="F3049" s="105">
        <v>0</v>
      </c>
    </row>
    <row r="3050" spans="1:6" x14ac:dyDescent="0.25">
      <c r="A3050" s="105">
        <f t="shared" si="47"/>
        <v>7709831</v>
      </c>
      <c r="B3050" s="105" t="s">
        <v>4999</v>
      </c>
      <c r="C3050" s="105" t="s">
        <v>5000</v>
      </c>
      <c r="D3050" s="105">
        <v>0</v>
      </c>
      <c r="E3050" s="105">
        <v>0</v>
      </c>
      <c r="F3050" s="105">
        <v>0</v>
      </c>
    </row>
    <row r="3051" spans="1:6" x14ac:dyDescent="0.25">
      <c r="A3051" s="105" t="str">
        <f t="shared" si="47"/>
        <v/>
      </c>
      <c r="B3051" s="105" t="s">
        <v>5001</v>
      </c>
      <c r="C3051" s="105" t="s">
        <v>8</v>
      </c>
      <c r="D3051" s="105">
        <v>0</v>
      </c>
      <c r="E3051" s="105">
        <v>0</v>
      </c>
      <c r="F3051" s="105">
        <v>0</v>
      </c>
    </row>
    <row r="3052" spans="1:6" x14ac:dyDescent="0.25">
      <c r="A3052" s="105">
        <f t="shared" si="47"/>
        <v>7709833</v>
      </c>
      <c r="B3052" s="105" t="s">
        <v>5002</v>
      </c>
      <c r="C3052" s="105" t="s">
        <v>5003</v>
      </c>
      <c r="D3052" s="105">
        <v>0</v>
      </c>
      <c r="E3052" s="105">
        <v>0</v>
      </c>
      <c r="F3052" s="105">
        <v>0</v>
      </c>
    </row>
    <row r="3053" spans="1:6" x14ac:dyDescent="0.25">
      <c r="A3053" s="105" t="str">
        <f t="shared" si="47"/>
        <v/>
      </c>
      <c r="B3053" s="105" t="s">
        <v>5004</v>
      </c>
      <c r="C3053" s="105" t="s">
        <v>8</v>
      </c>
      <c r="D3053" s="105">
        <v>0</v>
      </c>
      <c r="E3053" s="105">
        <v>0</v>
      </c>
      <c r="F3053" s="105">
        <v>0</v>
      </c>
    </row>
    <row r="3054" spans="1:6" x14ac:dyDescent="0.25">
      <c r="A3054" s="105">
        <f t="shared" si="47"/>
        <v>7709834</v>
      </c>
      <c r="B3054" s="105" t="s">
        <v>5005</v>
      </c>
      <c r="C3054" s="105" t="s">
        <v>5006</v>
      </c>
      <c r="D3054" s="105">
        <v>0</v>
      </c>
      <c r="E3054" s="105">
        <v>0</v>
      </c>
      <c r="F3054" s="105">
        <v>0</v>
      </c>
    </row>
    <row r="3055" spans="1:6" x14ac:dyDescent="0.25">
      <c r="A3055" s="105" t="str">
        <f t="shared" si="47"/>
        <v/>
      </c>
      <c r="B3055" s="105" t="s">
        <v>5007</v>
      </c>
      <c r="C3055" s="105" t="s">
        <v>8</v>
      </c>
      <c r="D3055" s="105">
        <v>0</v>
      </c>
      <c r="E3055" s="105">
        <v>0</v>
      </c>
      <c r="F3055" s="105">
        <v>0</v>
      </c>
    </row>
    <row r="3056" spans="1:6" x14ac:dyDescent="0.25">
      <c r="A3056" s="105">
        <f t="shared" si="47"/>
        <v>7709835</v>
      </c>
      <c r="B3056" s="105" t="s">
        <v>5008</v>
      </c>
      <c r="C3056" s="105" t="s">
        <v>5009</v>
      </c>
      <c r="D3056" s="105">
        <v>0</v>
      </c>
      <c r="E3056" s="105">
        <v>0</v>
      </c>
      <c r="F3056" s="105">
        <v>0</v>
      </c>
    </row>
    <row r="3057" spans="1:6" x14ac:dyDescent="0.25">
      <c r="A3057" s="105" t="str">
        <f t="shared" si="47"/>
        <v/>
      </c>
      <c r="B3057" s="105" t="s">
        <v>5010</v>
      </c>
      <c r="C3057" s="105" t="s">
        <v>8</v>
      </c>
      <c r="D3057" s="105">
        <v>0</v>
      </c>
      <c r="E3057" s="105">
        <v>0</v>
      </c>
      <c r="F3057" s="105">
        <v>0</v>
      </c>
    </row>
    <row r="3058" spans="1:6" x14ac:dyDescent="0.25">
      <c r="A3058" s="105">
        <f t="shared" si="47"/>
        <v>7709836</v>
      </c>
      <c r="B3058" s="105" t="s">
        <v>5011</v>
      </c>
      <c r="C3058" s="105" t="s">
        <v>5012</v>
      </c>
      <c r="D3058" s="105">
        <v>0</v>
      </c>
      <c r="E3058" s="105">
        <v>0</v>
      </c>
      <c r="F3058" s="105">
        <v>0</v>
      </c>
    </row>
    <row r="3059" spans="1:6" x14ac:dyDescent="0.25">
      <c r="A3059" s="105" t="str">
        <f t="shared" si="47"/>
        <v/>
      </c>
      <c r="B3059" s="105" t="s">
        <v>5013</v>
      </c>
      <c r="C3059" s="105" t="s">
        <v>8</v>
      </c>
      <c r="D3059" s="105">
        <v>0</v>
      </c>
      <c r="E3059" s="105">
        <v>0</v>
      </c>
      <c r="F3059" s="105">
        <v>0</v>
      </c>
    </row>
    <row r="3060" spans="1:6" x14ac:dyDescent="0.25">
      <c r="A3060" s="105">
        <f t="shared" si="47"/>
        <v>7709850</v>
      </c>
      <c r="B3060" s="105" t="s">
        <v>5014</v>
      </c>
      <c r="C3060" s="105" t="s">
        <v>5015</v>
      </c>
      <c r="D3060" s="105">
        <v>0</v>
      </c>
      <c r="E3060" s="105">
        <v>0</v>
      </c>
      <c r="F3060" s="105">
        <v>0</v>
      </c>
    </row>
    <row r="3061" spans="1:6" x14ac:dyDescent="0.25">
      <c r="A3061" s="105" t="str">
        <f t="shared" si="47"/>
        <v/>
      </c>
      <c r="B3061" s="105" t="s">
        <v>5016</v>
      </c>
      <c r="C3061" s="105" t="s">
        <v>8</v>
      </c>
      <c r="D3061" s="105">
        <v>0</v>
      </c>
      <c r="E3061" s="105">
        <v>0</v>
      </c>
      <c r="F3061" s="105">
        <v>0</v>
      </c>
    </row>
    <row r="3062" spans="1:6" x14ac:dyDescent="0.25">
      <c r="A3062" s="105">
        <f t="shared" si="47"/>
        <v>7709851</v>
      </c>
      <c r="B3062" s="105" t="s">
        <v>5017</v>
      </c>
      <c r="C3062" s="105" t="s">
        <v>5018</v>
      </c>
      <c r="D3062" s="105">
        <v>0</v>
      </c>
      <c r="E3062" s="105">
        <v>0</v>
      </c>
      <c r="F3062" s="105">
        <v>0</v>
      </c>
    </row>
    <row r="3063" spans="1:6" x14ac:dyDescent="0.25">
      <c r="A3063" s="105">
        <f t="shared" si="47"/>
        <v>7709852</v>
      </c>
      <c r="B3063" s="105" t="s">
        <v>5019</v>
      </c>
      <c r="C3063" s="105" t="s">
        <v>5020</v>
      </c>
      <c r="D3063" s="105">
        <v>477</v>
      </c>
      <c r="E3063" s="105">
        <v>286.2</v>
      </c>
      <c r="F3063" s="105">
        <v>0</v>
      </c>
    </row>
    <row r="3064" spans="1:6" x14ac:dyDescent="0.25">
      <c r="A3064" s="105">
        <f t="shared" si="47"/>
        <v>7709853</v>
      </c>
      <c r="B3064" s="105" t="s">
        <v>5021</v>
      </c>
      <c r="C3064" s="105" t="s">
        <v>5022</v>
      </c>
      <c r="D3064" s="105">
        <v>606.32000000000005</v>
      </c>
      <c r="E3064" s="105">
        <v>363.79</v>
      </c>
      <c r="F3064" s="105">
        <v>10</v>
      </c>
    </row>
    <row r="3065" spans="1:6" x14ac:dyDescent="0.25">
      <c r="A3065" s="105">
        <f t="shared" si="47"/>
        <v>7709854</v>
      </c>
      <c r="B3065" s="105" t="s">
        <v>5023</v>
      </c>
      <c r="C3065" s="105" t="s">
        <v>5024</v>
      </c>
      <c r="D3065" s="105">
        <v>477</v>
      </c>
      <c r="E3065" s="105">
        <v>286.2</v>
      </c>
      <c r="F3065" s="105">
        <v>25</v>
      </c>
    </row>
    <row r="3066" spans="1:6" x14ac:dyDescent="0.25">
      <c r="A3066" s="105">
        <f t="shared" si="47"/>
        <v>7709855</v>
      </c>
      <c r="B3066" s="105" t="s">
        <v>5025</v>
      </c>
      <c r="C3066" s="105" t="s">
        <v>5026</v>
      </c>
      <c r="D3066" s="105">
        <v>477</v>
      </c>
      <c r="E3066" s="105">
        <v>286.2</v>
      </c>
      <c r="F3066" s="105">
        <v>14</v>
      </c>
    </row>
    <row r="3067" spans="1:6" x14ac:dyDescent="0.25">
      <c r="A3067" s="105">
        <f t="shared" si="47"/>
        <v>7709856</v>
      </c>
      <c r="B3067" s="105" t="s">
        <v>5027</v>
      </c>
      <c r="C3067" s="105" t="s">
        <v>5028</v>
      </c>
      <c r="D3067" s="105">
        <v>477</v>
      </c>
      <c r="E3067" s="105">
        <v>286.2</v>
      </c>
      <c r="F3067" s="105">
        <v>0</v>
      </c>
    </row>
    <row r="3068" spans="1:6" x14ac:dyDescent="0.25">
      <c r="A3068" s="105">
        <f t="shared" si="47"/>
        <v>7709857</v>
      </c>
      <c r="B3068" s="105" t="s">
        <v>5029</v>
      </c>
      <c r="C3068" s="105" t="s">
        <v>5030</v>
      </c>
      <c r="D3068" s="105">
        <v>477</v>
      </c>
      <c r="E3068" s="105">
        <v>286.2</v>
      </c>
      <c r="F3068" s="105">
        <v>15</v>
      </c>
    </row>
    <row r="3069" spans="1:6" x14ac:dyDescent="0.25">
      <c r="A3069" s="105">
        <f t="shared" si="47"/>
        <v>7709858</v>
      </c>
      <c r="B3069" s="105" t="s">
        <v>5031</v>
      </c>
      <c r="C3069" s="105" t="s">
        <v>5032</v>
      </c>
      <c r="D3069" s="105">
        <v>477</v>
      </c>
      <c r="E3069" s="105">
        <v>286.2</v>
      </c>
      <c r="F3069" s="105">
        <v>0</v>
      </c>
    </row>
    <row r="3070" spans="1:6" x14ac:dyDescent="0.25">
      <c r="A3070" s="105">
        <f t="shared" si="47"/>
        <v>7709859</v>
      </c>
      <c r="B3070" s="105" t="s">
        <v>5033</v>
      </c>
      <c r="C3070" s="105" t="s">
        <v>5034</v>
      </c>
      <c r="D3070" s="105">
        <v>477</v>
      </c>
      <c r="E3070" s="105">
        <v>286.2</v>
      </c>
      <c r="F3070" s="105">
        <v>6</v>
      </c>
    </row>
    <row r="3071" spans="1:6" x14ac:dyDescent="0.25">
      <c r="A3071" s="105" t="str">
        <f t="shared" si="47"/>
        <v/>
      </c>
      <c r="B3071" s="105" t="s">
        <v>5035</v>
      </c>
      <c r="C3071" s="105" t="s">
        <v>8</v>
      </c>
      <c r="D3071" s="105">
        <v>0</v>
      </c>
      <c r="E3071" s="105">
        <v>0</v>
      </c>
      <c r="F3071" s="105">
        <v>0</v>
      </c>
    </row>
    <row r="3072" spans="1:6" x14ac:dyDescent="0.25">
      <c r="A3072" s="105">
        <f t="shared" si="47"/>
        <v>7709860</v>
      </c>
      <c r="B3072" s="105" t="s">
        <v>5036</v>
      </c>
      <c r="C3072" s="105" t="s">
        <v>5037</v>
      </c>
      <c r="D3072" s="105">
        <v>0</v>
      </c>
      <c r="E3072" s="105">
        <v>0</v>
      </c>
      <c r="F3072" s="105">
        <v>0</v>
      </c>
    </row>
    <row r="3073" spans="1:6" x14ac:dyDescent="0.25">
      <c r="A3073" s="105">
        <f t="shared" si="47"/>
        <v>7709861</v>
      </c>
      <c r="B3073" s="105" t="s">
        <v>5038</v>
      </c>
      <c r="C3073" s="105" t="s">
        <v>5039</v>
      </c>
      <c r="D3073" s="105">
        <v>477</v>
      </c>
      <c r="E3073" s="105">
        <v>286.2</v>
      </c>
      <c r="F3073" s="105">
        <v>0</v>
      </c>
    </row>
    <row r="3074" spans="1:6" x14ac:dyDescent="0.25">
      <c r="A3074" s="105">
        <f t="shared" si="47"/>
        <v>7709865</v>
      </c>
      <c r="B3074" s="105" t="s">
        <v>5040</v>
      </c>
      <c r="C3074" s="105" t="s">
        <v>5041</v>
      </c>
      <c r="D3074" s="105">
        <v>477</v>
      </c>
      <c r="E3074" s="105">
        <v>286.2</v>
      </c>
      <c r="F3074" s="105">
        <v>0</v>
      </c>
    </row>
    <row r="3075" spans="1:6" x14ac:dyDescent="0.25">
      <c r="A3075" s="105">
        <f t="shared" ref="A3075:A3138" si="48">IF(B3075&lt;&gt;"",IFERROR(B3075*1,""),"")</f>
        <v>7709866</v>
      </c>
      <c r="B3075" s="105" t="s">
        <v>5042</v>
      </c>
      <c r="C3075" s="105" t="s">
        <v>5043</v>
      </c>
      <c r="D3075" s="105">
        <v>477</v>
      </c>
      <c r="E3075" s="105">
        <v>286.2</v>
      </c>
      <c r="F3075" s="105">
        <v>0</v>
      </c>
    </row>
    <row r="3076" spans="1:6" x14ac:dyDescent="0.25">
      <c r="A3076" s="105">
        <f t="shared" si="48"/>
        <v>7709867</v>
      </c>
      <c r="B3076" s="105" t="s">
        <v>5044</v>
      </c>
      <c r="C3076" s="105" t="s">
        <v>5045</v>
      </c>
      <c r="D3076" s="105">
        <v>477</v>
      </c>
      <c r="E3076" s="105">
        <v>286.2</v>
      </c>
      <c r="F3076" s="105">
        <v>13</v>
      </c>
    </row>
    <row r="3077" spans="1:6" x14ac:dyDescent="0.25">
      <c r="A3077" s="105" t="str">
        <f t="shared" si="48"/>
        <v/>
      </c>
      <c r="B3077" s="105" t="s">
        <v>5046</v>
      </c>
      <c r="C3077" s="105" t="s">
        <v>8</v>
      </c>
      <c r="D3077" s="105">
        <v>0</v>
      </c>
      <c r="E3077" s="105">
        <v>0</v>
      </c>
      <c r="F3077" s="105">
        <v>0</v>
      </c>
    </row>
    <row r="3078" spans="1:6" x14ac:dyDescent="0.25">
      <c r="A3078" s="105">
        <f t="shared" si="48"/>
        <v>7709869</v>
      </c>
      <c r="B3078" s="105" t="s">
        <v>5047</v>
      </c>
      <c r="C3078" s="105" t="s">
        <v>5048</v>
      </c>
      <c r="D3078" s="105">
        <v>0</v>
      </c>
      <c r="E3078" s="105">
        <v>0</v>
      </c>
      <c r="F3078" s="105">
        <v>0</v>
      </c>
    </row>
    <row r="3079" spans="1:6" x14ac:dyDescent="0.25">
      <c r="A3079" s="105" t="str">
        <f t="shared" si="48"/>
        <v/>
      </c>
      <c r="B3079" s="105" t="s">
        <v>5049</v>
      </c>
      <c r="C3079" s="105" t="s">
        <v>8</v>
      </c>
      <c r="D3079" s="105">
        <v>0</v>
      </c>
      <c r="E3079" s="105">
        <v>0</v>
      </c>
      <c r="F3079" s="105">
        <v>0</v>
      </c>
    </row>
    <row r="3080" spans="1:6" x14ac:dyDescent="0.25">
      <c r="A3080" s="105">
        <f t="shared" si="48"/>
        <v>77098818</v>
      </c>
      <c r="B3080" s="105" t="s">
        <v>5050</v>
      </c>
      <c r="C3080" s="105" t="s">
        <v>4971</v>
      </c>
      <c r="D3080" s="105">
        <v>0</v>
      </c>
      <c r="E3080" s="105">
        <v>0</v>
      </c>
      <c r="F3080" s="105">
        <v>0</v>
      </c>
    </row>
    <row r="3081" spans="1:6" x14ac:dyDescent="0.25">
      <c r="A3081" s="105" t="str">
        <f t="shared" si="48"/>
        <v/>
      </c>
      <c r="B3081" s="105" t="s">
        <v>5051</v>
      </c>
      <c r="C3081" s="105" t="s">
        <v>8</v>
      </c>
      <c r="D3081" s="105">
        <v>0</v>
      </c>
      <c r="E3081" s="105">
        <v>0</v>
      </c>
      <c r="F3081" s="105">
        <v>0</v>
      </c>
    </row>
    <row r="3082" spans="1:6" x14ac:dyDescent="0.25">
      <c r="A3082" s="105">
        <f t="shared" si="48"/>
        <v>7709890</v>
      </c>
      <c r="B3082" s="105" t="s">
        <v>5052</v>
      </c>
      <c r="C3082" s="105" t="s">
        <v>5053</v>
      </c>
      <c r="D3082" s="105">
        <v>0</v>
      </c>
      <c r="E3082" s="105">
        <v>0</v>
      </c>
      <c r="F3082" s="105">
        <v>0</v>
      </c>
    </row>
    <row r="3083" spans="1:6" x14ac:dyDescent="0.25">
      <c r="A3083" s="105" t="str">
        <f t="shared" si="48"/>
        <v/>
      </c>
      <c r="B3083" s="105" t="s">
        <v>5054</v>
      </c>
      <c r="C3083" s="105" t="s">
        <v>8</v>
      </c>
      <c r="D3083" s="105">
        <v>0</v>
      </c>
      <c r="E3083" s="105">
        <v>0</v>
      </c>
      <c r="F3083" s="105">
        <v>0</v>
      </c>
    </row>
    <row r="3084" spans="1:6" x14ac:dyDescent="0.25">
      <c r="A3084" s="105">
        <f t="shared" si="48"/>
        <v>7709900</v>
      </c>
      <c r="B3084" s="105" t="s">
        <v>5055</v>
      </c>
      <c r="C3084" s="105" t="s">
        <v>5056</v>
      </c>
      <c r="D3084" s="105">
        <v>0</v>
      </c>
      <c r="E3084" s="105">
        <v>0</v>
      </c>
      <c r="F3084" s="105">
        <v>0</v>
      </c>
    </row>
    <row r="3085" spans="1:6" x14ac:dyDescent="0.25">
      <c r="A3085" s="105" t="str">
        <f t="shared" si="48"/>
        <v/>
      </c>
      <c r="B3085" s="105" t="s">
        <v>5057</v>
      </c>
      <c r="C3085" s="105" t="s">
        <v>8</v>
      </c>
      <c r="D3085" s="105">
        <v>0</v>
      </c>
      <c r="E3085" s="105">
        <v>0</v>
      </c>
      <c r="F3085" s="105">
        <v>0</v>
      </c>
    </row>
    <row r="3086" spans="1:6" x14ac:dyDescent="0.25">
      <c r="A3086" s="105">
        <f t="shared" si="48"/>
        <v>7709901</v>
      </c>
      <c r="B3086" s="105" t="s">
        <v>5058</v>
      </c>
      <c r="C3086" s="105" t="s">
        <v>5059</v>
      </c>
      <c r="D3086" s="105">
        <v>0</v>
      </c>
      <c r="E3086" s="105">
        <v>0</v>
      </c>
      <c r="F3086" s="105">
        <v>0</v>
      </c>
    </row>
    <row r="3087" spans="1:6" x14ac:dyDescent="0.25">
      <c r="A3087" s="105">
        <f t="shared" si="48"/>
        <v>7709902</v>
      </c>
      <c r="B3087" s="105" t="s">
        <v>5060</v>
      </c>
      <c r="C3087" s="105" t="s">
        <v>5061</v>
      </c>
      <c r="D3087" s="105">
        <v>477</v>
      </c>
      <c r="E3087" s="105">
        <v>286.2</v>
      </c>
      <c r="F3087" s="105">
        <v>0</v>
      </c>
    </row>
    <row r="3088" spans="1:6" x14ac:dyDescent="0.25">
      <c r="A3088" s="105" t="str">
        <f t="shared" si="48"/>
        <v/>
      </c>
      <c r="B3088" s="105" t="s">
        <v>5062</v>
      </c>
      <c r="C3088" s="105" t="s">
        <v>8</v>
      </c>
      <c r="D3088" s="105">
        <v>0</v>
      </c>
      <c r="E3088" s="105">
        <v>0</v>
      </c>
      <c r="F3088" s="105">
        <v>0</v>
      </c>
    </row>
    <row r="3089" spans="1:6" x14ac:dyDescent="0.25">
      <c r="A3089" s="105">
        <f t="shared" si="48"/>
        <v>7709909</v>
      </c>
      <c r="B3089" s="105" t="s">
        <v>5063</v>
      </c>
      <c r="C3089" s="105" t="s">
        <v>5064</v>
      </c>
      <c r="D3089" s="105">
        <v>0</v>
      </c>
      <c r="E3089" s="105">
        <v>0</v>
      </c>
      <c r="F3089" s="105">
        <v>0</v>
      </c>
    </row>
    <row r="3090" spans="1:6" x14ac:dyDescent="0.25">
      <c r="A3090" s="105">
        <f t="shared" si="48"/>
        <v>7709943</v>
      </c>
      <c r="B3090" s="105" t="s">
        <v>5065</v>
      </c>
      <c r="C3090" s="105" t="s">
        <v>5066</v>
      </c>
      <c r="D3090" s="105">
        <v>477</v>
      </c>
      <c r="E3090" s="105">
        <v>286.2</v>
      </c>
      <c r="F3090" s="105">
        <v>3</v>
      </c>
    </row>
    <row r="3091" spans="1:6" x14ac:dyDescent="0.25">
      <c r="A3091" s="105" t="str">
        <f t="shared" si="48"/>
        <v/>
      </c>
      <c r="B3091" s="105" t="s">
        <v>5067</v>
      </c>
      <c r="C3091" s="105" t="s">
        <v>8</v>
      </c>
      <c r="D3091" s="105">
        <v>0</v>
      </c>
      <c r="E3091" s="105">
        <v>0</v>
      </c>
      <c r="F3091" s="105">
        <v>0</v>
      </c>
    </row>
    <row r="3092" spans="1:6" x14ac:dyDescent="0.25">
      <c r="A3092" s="105">
        <f t="shared" si="48"/>
        <v>7709955</v>
      </c>
      <c r="B3092" s="105" t="s">
        <v>5068</v>
      </c>
      <c r="C3092" s="105" t="s">
        <v>5069</v>
      </c>
      <c r="D3092" s="105">
        <v>0</v>
      </c>
      <c r="E3092" s="105">
        <v>0</v>
      </c>
      <c r="F3092" s="105">
        <v>0</v>
      </c>
    </row>
    <row r="3093" spans="1:6" x14ac:dyDescent="0.25">
      <c r="A3093" s="105">
        <f t="shared" si="48"/>
        <v>7709956</v>
      </c>
      <c r="B3093" s="105" t="s">
        <v>5070</v>
      </c>
      <c r="C3093" s="105" t="s">
        <v>5071</v>
      </c>
      <c r="D3093" s="105">
        <v>477</v>
      </c>
      <c r="E3093" s="105">
        <v>286.2</v>
      </c>
      <c r="F3093" s="105">
        <v>0</v>
      </c>
    </row>
    <row r="3094" spans="1:6" x14ac:dyDescent="0.25">
      <c r="A3094" s="105" t="str">
        <f t="shared" si="48"/>
        <v/>
      </c>
      <c r="B3094" s="105" t="s">
        <v>5072</v>
      </c>
      <c r="C3094" s="105" t="s">
        <v>8</v>
      </c>
      <c r="D3094" s="105">
        <v>0</v>
      </c>
      <c r="E3094" s="105">
        <v>0</v>
      </c>
      <c r="F3094" s="105">
        <v>0</v>
      </c>
    </row>
    <row r="3095" spans="1:6" x14ac:dyDescent="0.25">
      <c r="A3095" s="105">
        <f t="shared" si="48"/>
        <v>7709998</v>
      </c>
      <c r="B3095" s="105" t="s">
        <v>5073</v>
      </c>
      <c r="C3095" s="105" t="s">
        <v>5074</v>
      </c>
      <c r="D3095" s="105">
        <v>0</v>
      </c>
      <c r="E3095" s="105">
        <v>0</v>
      </c>
      <c r="F3095" s="105">
        <v>0</v>
      </c>
    </row>
    <row r="3096" spans="1:6" x14ac:dyDescent="0.25">
      <c r="A3096" s="105">
        <f t="shared" si="48"/>
        <v>7709999</v>
      </c>
      <c r="B3096" s="105" t="s">
        <v>5075</v>
      </c>
      <c r="C3096" s="105" t="s">
        <v>5076</v>
      </c>
      <c r="D3096" s="105">
        <v>477</v>
      </c>
      <c r="E3096" s="105">
        <v>286.2</v>
      </c>
      <c r="F3096" s="105">
        <v>0</v>
      </c>
    </row>
    <row r="3097" spans="1:6" x14ac:dyDescent="0.25">
      <c r="A3097" s="105">
        <f t="shared" si="48"/>
        <v>7710001</v>
      </c>
      <c r="B3097" s="105" t="s">
        <v>5077</v>
      </c>
      <c r="C3097" s="105" t="s">
        <v>5078</v>
      </c>
      <c r="D3097" s="105">
        <v>477</v>
      </c>
      <c r="E3097" s="105">
        <v>286.2</v>
      </c>
      <c r="F3097" s="105">
        <v>107</v>
      </c>
    </row>
    <row r="3098" spans="1:6" x14ac:dyDescent="0.25">
      <c r="A3098" s="105" t="str">
        <f t="shared" si="48"/>
        <v/>
      </c>
      <c r="B3098" s="105" t="s">
        <v>5079</v>
      </c>
      <c r="C3098" s="105" t="s">
        <v>8</v>
      </c>
      <c r="D3098" s="105">
        <v>0</v>
      </c>
      <c r="E3098" s="105">
        <v>0</v>
      </c>
      <c r="F3098" s="105">
        <v>0</v>
      </c>
    </row>
    <row r="3099" spans="1:6" x14ac:dyDescent="0.25">
      <c r="A3099" s="105">
        <f t="shared" si="48"/>
        <v>7710010</v>
      </c>
      <c r="B3099" s="105" t="s">
        <v>5080</v>
      </c>
      <c r="C3099" s="105" t="s">
        <v>5081</v>
      </c>
      <c r="D3099" s="105">
        <v>0</v>
      </c>
      <c r="E3099" s="105">
        <v>0</v>
      </c>
      <c r="F3099" s="105">
        <v>0</v>
      </c>
    </row>
    <row r="3100" spans="1:6" x14ac:dyDescent="0.25">
      <c r="A3100" s="105">
        <f t="shared" si="48"/>
        <v>7710020</v>
      </c>
      <c r="B3100" s="105" t="s">
        <v>5082</v>
      </c>
      <c r="C3100" s="105" t="s">
        <v>5083</v>
      </c>
      <c r="D3100" s="105">
        <v>477</v>
      </c>
      <c r="E3100" s="105">
        <v>286.2</v>
      </c>
      <c r="F3100" s="105">
        <v>49</v>
      </c>
    </row>
    <row r="3101" spans="1:6" x14ac:dyDescent="0.25">
      <c r="A3101" s="105" t="str">
        <f t="shared" si="48"/>
        <v/>
      </c>
      <c r="B3101" s="105" t="s">
        <v>5084</v>
      </c>
      <c r="C3101" s="105" t="s">
        <v>8</v>
      </c>
      <c r="D3101" s="105">
        <v>0</v>
      </c>
      <c r="E3101" s="105">
        <v>0</v>
      </c>
      <c r="F3101" s="105">
        <v>0</v>
      </c>
    </row>
    <row r="3102" spans="1:6" x14ac:dyDescent="0.25">
      <c r="A3102" s="105">
        <f t="shared" si="48"/>
        <v>7710021</v>
      </c>
      <c r="B3102" s="105" t="s">
        <v>5085</v>
      </c>
      <c r="C3102" s="105" t="s">
        <v>5086</v>
      </c>
      <c r="D3102" s="105">
        <v>0</v>
      </c>
      <c r="E3102" s="105">
        <v>0</v>
      </c>
      <c r="F3102" s="105">
        <v>0</v>
      </c>
    </row>
    <row r="3103" spans="1:6" x14ac:dyDescent="0.25">
      <c r="A3103" s="105">
        <f t="shared" si="48"/>
        <v>7710022</v>
      </c>
      <c r="B3103" s="105" t="s">
        <v>5087</v>
      </c>
      <c r="C3103" s="105" t="s">
        <v>5088</v>
      </c>
      <c r="D3103" s="105">
        <v>0</v>
      </c>
      <c r="E3103" s="105">
        <v>0</v>
      </c>
      <c r="F3103" s="105">
        <v>40</v>
      </c>
    </row>
    <row r="3104" spans="1:6" x14ac:dyDescent="0.25">
      <c r="A3104" s="105">
        <f t="shared" si="48"/>
        <v>7710030</v>
      </c>
      <c r="B3104" s="105" t="s">
        <v>5089</v>
      </c>
      <c r="C3104" s="105" t="s">
        <v>5090</v>
      </c>
      <c r="D3104" s="105">
        <v>361.65</v>
      </c>
      <c r="E3104" s="105">
        <v>216.99</v>
      </c>
      <c r="F3104" s="105">
        <v>23</v>
      </c>
    </row>
    <row r="3105" spans="1:6" x14ac:dyDescent="0.25">
      <c r="A3105" s="105">
        <f t="shared" si="48"/>
        <v>7710031</v>
      </c>
      <c r="B3105" s="105" t="s">
        <v>5091</v>
      </c>
      <c r="C3105" s="105" t="s">
        <v>5092</v>
      </c>
      <c r="D3105" s="105">
        <v>361.65</v>
      </c>
      <c r="E3105" s="105">
        <v>216.99</v>
      </c>
      <c r="F3105" s="105">
        <v>7</v>
      </c>
    </row>
    <row r="3106" spans="1:6" x14ac:dyDescent="0.25">
      <c r="A3106" s="105">
        <f t="shared" si="48"/>
        <v>7710032</v>
      </c>
      <c r="B3106" s="105" t="s">
        <v>5093</v>
      </c>
      <c r="C3106" s="105" t="s">
        <v>5094</v>
      </c>
      <c r="D3106" s="105">
        <v>361.65</v>
      </c>
      <c r="E3106" s="105">
        <v>216.99</v>
      </c>
      <c r="F3106" s="105">
        <v>3</v>
      </c>
    </row>
    <row r="3107" spans="1:6" x14ac:dyDescent="0.25">
      <c r="A3107" s="105" t="str">
        <f t="shared" si="48"/>
        <v/>
      </c>
      <c r="B3107" s="105" t="s">
        <v>5095</v>
      </c>
      <c r="C3107" s="105" t="s">
        <v>8</v>
      </c>
      <c r="D3107" s="105">
        <v>0</v>
      </c>
      <c r="E3107" s="105">
        <v>0</v>
      </c>
      <c r="F3107" s="105">
        <v>0</v>
      </c>
    </row>
    <row r="3108" spans="1:6" x14ac:dyDescent="0.25">
      <c r="A3108" s="105">
        <f t="shared" si="48"/>
        <v>7711003</v>
      </c>
      <c r="B3108" s="105" t="s">
        <v>5096</v>
      </c>
      <c r="C3108" s="105" t="s">
        <v>5097</v>
      </c>
      <c r="D3108" s="105">
        <v>771.68</v>
      </c>
      <c r="E3108" s="105">
        <v>463.01</v>
      </c>
      <c r="F3108" s="105">
        <v>2</v>
      </c>
    </row>
    <row r="3109" spans="1:6" x14ac:dyDescent="0.25">
      <c r="A3109" s="105">
        <f t="shared" si="48"/>
        <v>7711034</v>
      </c>
      <c r="B3109" s="105" t="s">
        <v>5098</v>
      </c>
      <c r="C3109" s="105" t="s">
        <v>5099</v>
      </c>
      <c r="D3109" s="105">
        <v>771.68</v>
      </c>
      <c r="E3109" s="105">
        <v>463.01</v>
      </c>
      <c r="F3109" s="105">
        <v>4</v>
      </c>
    </row>
    <row r="3110" spans="1:6" x14ac:dyDescent="0.25">
      <c r="A3110" s="105" t="str">
        <f t="shared" si="48"/>
        <v/>
      </c>
      <c r="B3110" s="105" t="s">
        <v>5100</v>
      </c>
      <c r="C3110" s="105" t="s">
        <v>8</v>
      </c>
      <c r="D3110" s="105">
        <v>0</v>
      </c>
      <c r="E3110" s="105">
        <v>0</v>
      </c>
      <c r="F3110" s="105">
        <v>0</v>
      </c>
    </row>
    <row r="3111" spans="1:6" x14ac:dyDescent="0.25">
      <c r="A3111" s="105">
        <f t="shared" si="48"/>
        <v>7711068</v>
      </c>
      <c r="B3111" s="105" t="s">
        <v>5101</v>
      </c>
      <c r="C3111" s="105" t="s">
        <v>5102</v>
      </c>
      <c r="D3111" s="105">
        <v>0</v>
      </c>
      <c r="E3111" s="105">
        <v>0</v>
      </c>
      <c r="F3111" s="105">
        <v>0</v>
      </c>
    </row>
    <row r="3112" spans="1:6" x14ac:dyDescent="0.25">
      <c r="A3112" s="105" t="str">
        <f t="shared" si="48"/>
        <v/>
      </c>
      <c r="B3112" s="105" t="s">
        <v>5103</v>
      </c>
      <c r="C3112" s="105" t="s">
        <v>8</v>
      </c>
      <c r="D3112" s="105">
        <v>0</v>
      </c>
      <c r="E3112" s="105">
        <v>0</v>
      </c>
      <c r="F3112" s="105">
        <v>0</v>
      </c>
    </row>
    <row r="3113" spans="1:6" x14ac:dyDescent="0.25">
      <c r="A3113" s="105">
        <f t="shared" si="48"/>
        <v>7711069</v>
      </c>
      <c r="B3113" s="105" t="s">
        <v>5104</v>
      </c>
      <c r="C3113" s="105" t="s">
        <v>5105</v>
      </c>
      <c r="D3113" s="105">
        <v>689</v>
      </c>
      <c r="E3113" s="105">
        <v>413.4</v>
      </c>
      <c r="F3113" s="105">
        <v>0</v>
      </c>
    </row>
    <row r="3114" spans="1:6" x14ac:dyDescent="0.25">
      <c r="A3114" s="105" t="str">
        <f t="shared" si="48"/>
        <v/>
      </c>
      <c r="B3114" s="105" t="s">
        <v>5106</v>
      </c>
      <c r="C3114" s="105" t="s">
        <v>8</v>
      </c>
      <c r="D3114" s="105">
        <v>0</v>
      </c>
      <c r="E3114" s="105">
        <v>0</v>
      </c>
      <c r="F3114" s="105">
        <v>0</v>
      </c>
    </row>
    <row r="3115" spans="1:6" x14ac:dyDescent="0.25">
      <c r="A3115" s="105">
        <f t="shared" si="48"/>
        <v>7711070</v>
      </c>
      <c r="B3115" s="105" t="s">
        <v>5107</v>
      </c>
      <c r="C3115" s="105" t="s">
        <v>5108</v>
      </c>
      <c r="D3115" s="105">
        <v>275.60000000000002</v>
      </c>
      <c r="E3115" s="105">
        <v>165.36</v>
      </c>
      <c r="F3115" s="105">
        <v>0</v>
      </c>
    </row>
    <row r="3116" spans="1:6" x14ac:dyDescent="0.25">
      <c r="A3116" s="105">
        <f t="shared" si="48"/>
        <v>7711091</v>
      </c>
      <c r="B3116" s="105" t="s">
        <v>5109</v>
      </c>
      <c r="C3116" s="105" t="s">
        <v>5110</v>
      </c>
      <c r="D3116" s="105">
        <v>477</v>
      </c>
      <c r="E3116" s="105">
        <v>286.2</v>
      </c>
      <c r="F3116" s="105">
        <v>53</v>
      </c>
    </row>
    <row r="3117" spans="1:6" x14ac:dyDescent="0.25">
      <c r="A3117" s="105">
        <f t="shared" si="48"/>
        <v>7711100</v>
      </c>
      <c r="B3117" s="105" t="s">
        <v>5111</v>
      </c>
      <c r="C3117" s="105" t="s">
        <v>5112</v>
      </c>
      <c r="D3117" s="105">
        <v>477</v>
      </c>
      <c r="E3117" s="105">
        <v>286.2</v>
      </c>
      <c r="F3117" s="105">
        <v>0</v>
      </c>
    </row>
    <row r="3118" spans="1:6" x14ac:dyDescent="0.25">
      <c r="A3118" s="105" t="str">
        <f t="shared" si="48"/>
        <v/>
      </c>
      <c r="B3118" s="105" t="s">
        <v>5113</v>
      </c>
      <c r="C3118" s="105" t="s">
        <v>8</v>
      </c>
      <c r="D3118" s="105">
        <v>0</v>
      </c>
      <c r="E3118" s="105">
        <v>0</v>
      </c>
      <c r="F3118" s="105">
        <v>0</v>
      </c>
    </row>
    <row r="3119" spans="1:6" x14ac:dyDescent="0.25">
      <c r="A3119" s="105">
        <f t="shared" si="48"/>
        <v>7711136</v>
      </c>
      <c r="B3119" s="105" t="s">
        <v>5114</v>
      </c>
      <c r="C3119" s="105" t="s">
        <v>5115</v>
      </c>
      <c r="D3119" s="105">
        <v>0</v>
      </c>
      <c r="E3119" s="105">
        <v>0</v>
      </c>
      <c r="F3119" s="105">
        <v>0</v>
      </c>
    </row>
    <row r="3120" spans="1:6" x14ac:dyDescent="0.25">
      <c r="A3120" s="105" t="str">
        <f t="shared" si="48"/>
        <v/>
      </c>
      <c r="B3120" s="105" t="s">
        <v>5116</v>
      </c>
      <c r="C3120" s="105" t="s">
        <v>8</v>
      </c>
      <c r="D3120" s="105">
        <v>0</v>
      </c>
      <c r="E3120" s="105">
        <v>0</v>
      </c>
      <c r="F3120" s="105">
        <v>0</v>
      </c>
    </row>
    <row r="3121" spans="1:6" x14ac:dyDescent="0.25">
      <c r="A3121" s="105">
        <f t="shared" si="48"/>
        <v>7711137</v>
      </c>
      <c r="B3121" s="105" t="s">
        <v>5117</v>
      </c>
      <c r="C3121" s="105" t="s">
        <v>5118</v>
      </c>
      <c r="D3121" s="105">
        <v>0</v>
      </c>
      <c r="E3121" s="105">
        <v>0</v>
      </c>
      <c r="F3121" s="105">
        <v>0</v>
      </c>
    </row>
    <row r="3122" spans="1:6" x14ac:dyDescent="0.25">
      <c r="A3122" s="105" t="str">
        <f t="shared" si="48"/>
        <v/>
      </c>
      <c r="B3122" s="105" t="s">
        <v>5119</v>
      </c>
      <c r="C3122" s="105" t="s">
        <v>8</v>
      </c>
      <c r="D3122" s="105">
        <v>0</v>
      </c>
      <c r="E3122" s="105">
        <v>0</v>
      </c>
      <c r="F3122" s="105">
        <v>0</v>
      </c>
    </row>
    <row r="3123" spans="1:6" x14ac:dyDescent="0.25">
      <c r="A3123" s="105">
        <f t="shared" si="48"/>
        <v>7711138</v>
      </c>
      <c r="B3123" s="105" t="s">
        <v>5120</v>
      </c>
      <c r="C3123" s="105" t="s">
        <v>5121</v>
      </c>
      <c r="D3123" s="105">
        <v>0</v>
      </c>
      <c r="E3123" s="105">
        <v>0</v>
      </c>
      <c r="F3123" s="105">
        <v>0</v>
      </c>
    </row>
    <row r="3124" spans="1:6" x14ac:dyDescent="0.25">
      <c r="A3124" s="105">
        <f t="shared" si="48"/>
        <v>7711139</v>
      </c>
      <c r="B3124" s="105" t="s">
        <v>5122</v>
      </c>
      <c r="C3124" s="105" t="s">
        <v>5123</v>
      </c>
      <c r="D3124" s="105">
        <v>229.61</v>
      </c>
      <c r="E3124" s="105">
        <v>137.77000000000001</v>
      </c>
      <c r="F3124" s="105">
        <v>0</v>
      </c>
    </row>
    <row r="3125" spans="1:6" x14ac:dyDescent="0.25">
      <c r="A3125" s="105" t="str">
        <f t="shared" si="48"/>
        <v/>
      </c>
      <c r="B3125" s="105" t="s">
        <v>5124</v>
      </c>
      <c r="C3125" s="105" t="s">
        <v>8</v>
      </c>
      <c r="D3125" s="105">
        <v>0</v>
      </c>
      <c r="E3125" s="105">
        <v>0</v>
      </c>
      <c r="F3125" s="105">
        <v>0</v>
      </c>
    </row>
    <row r="3126" spans="1:6" x14ac:dyDescent="0.25">
      <c r="A3126" s="105">
        <f t="shared" si="48"/>
        <v>7711141</v>
      </c>
      <c r="B3126" s="105" t="s">
        <v>5125</v>
      </c>
      <c r="C3126" s="105" t="s">
        <v>5126</v>
      </c>
      <c r="D3126" s="105">
        <v>0</v>
      </c>
      <c r="E3126" s="105">
        <v>0</v>
      </c>
      <c r="F3126" s="105">
        <v>0</v>
      </c>
    </row>
    <row r="3127" spans="1:6" x14ac:dyDescent="0.25">
      <c r="A3127" s="105" t="str">
        <f t="shared" si="48"/>
        <v/>
      </c>
      <c r="B3127" s="105" t="s">
        <v>5127</v>
      </c>
      <c r="C3127" s="105" t="s">
        <v>8</v>
      </c>
      <c r="D3127" s="105">
        <v>0</v>
      </c>
      <c r="E3127" s="105">
        <v>0</v>
      </c>
      <c r="F3127" s="105">
        <v>0</v>
      </c>
    </row>
    <row r="3128" spans="1:6" x14ac:dyDescent="0.25">
      <c r="A3128" s="105">
        <f t="shared" si="48"/>
        <v>7711205</v>
      </c>
      <c r="B3128" s="105" t="s">
        <v>5128</v>
      </c>
      <c r="C3128" s="105" t="s">
        <v>5129</v>
      </c>
      <c r="D3128" s="105">
        <v>0</v>
      </c>
      <c r="E3128" s="105">
        <v>0</v>
      </c>
      <c r="F3128" s="105">
        <v>0</v>
      </c>
    </row>
    <row r="3129" spans="1:6" x14ac:dyDescent="0.25">
      <c r="A3129" s="105">
        <f t="shared" si="48"/>
        <v>7711213</v>
      </c>
      <c r="B3129" s="105" t="s">
        <v>5130</v>
      </c>
      <c r="C3129" s="105" t="s">
        <v>5131</v>
      </c>
      <c r="D3129" s="105">
        <v>265</v>
      </c>
      <c r="E3129" s="105">
        <v>159</v>
      </c>
      <c r="F3129" s="105">
        <v>20</v>
      </c>
    </row>
    <row r="3130" spans="1:6" x14ac:dyDescent="0.25">
      <c r="A3130" s="105" t="str">
        <f t="shared" si="48"/>
        <v/>
      </c>
      <c r="B3130" s="105" t="s">
        <v>5132</v>
      </c>
      <c r="C3130" s="105" t="s">
        <v>8</v>
      </c>
      <c r="D3130" s="105">
        <v>0</v>
      </c>
      <c r="E3130" s="105">
        <v>0</v>
      </c>
      <c r="F3130" s="105">
        <v>0</v>
      </c>
    </row>
    <row r="3131" spans="1:6" x14ac:dyDescent="0.25">
      <c r="A3131" s="105">
        <f t="shared" si="48"/>
        <v>7711214</v>
      </c>
      <c r="B3131" s="105" t="s">
        <v>5133</v>
      </c>
      <c r="C3131" s="105" t="s">
        <v>5134</v>
      </c>
      <c r="D3131" s="105">
        <v>0</v>
      </c>
      <c r="E3131" s="105">
        <v>0</v>
      </c>
      <c r="F3131" s="105">
        <v>0</v>
      </c>
    </row>
    <row r="3132" spans="1:6" x14ac:dyDescent="0.25">
      <c r="A3132" s="105" t="str">
        <f t="shared" si="48"/>
        <v/>
      </c>
      <c r="B3132" s="105" t="s">
        <v>5135</v>
      </c>
      <c r="C3132" s="105" t="s">
        <v>8</v>
      </c>
      <c r="D3132" s="105">
        <v>0</v>
      </c>
      <c r="E3132" s="105">
        <v>0</v>
      </c>
      <c r="F3132" s="105">
        <v>0</v>
      </c>
    </row>
    <row r="3133" spans="1:6" x14ac:dyDescent="0.25">
      <c r="A3133" s="105">
        <f t="shared" si="48"/>
        <v>7711222</v>
      </c>
      <c r="B3133" s="105" t="s">
        <v>5136</v>
      </c>
      <c r="C3133" s="105" t="s">
        <v>5137</v>
      </c>
      <c r="D3133" s="105">
        <v>0</v>
      </c>
      <c r="E3133" s="105">
        <v>0</v>
      </c>
      <c r="F3133" s="105">
        <v>0</v>
      </c>
    </row>
    <row r="3134" spans="1:6" x14ac:dyDescent="0.25">
      <c r="A3134" s="105">
        <f t="shared" si="48"/>
        <v>7711300</v>
      </c>
      <c r="B3134" s="105" t="s">
        <v>5138</v>
      </c>
      <c r="C3134" s="105" t="s">
        <v>5139</v>
      </c>
      <c r="D3134" s="105">
        <v>265</v>
      </c>
      <c r="E3134" s="105">
        <v>159</v>
      </c>
      <c r="F3134" s="105">
        <v>0</v>
      </c>
    </row>
    <row r="3135" spans="1:6" x14ac:dyDescent="0.25">
      <c r="A3135" s="105" t="str">
        <f t="shared" si="48"/>
        <v/>
      </c>
      <c r="B3135" s="105" t="s">
        <v>5140</v>
      </c>
      <c r="C3135" s="105" t="s">
        <v>8</v>
      </c>
      <c r="D3135" s="105">
        <v>0</v>
      </c>
      <c r="E3135" s="105">
        <v>0</v>
      </c>
      <c r="F3135" s="105">
        <v>0</v>
      </c>
    </row>
    <row r="3136" spans="1:6" x14ac:dyDescent="0.25">
      <c r="A3136" s="105">
        <f t="shared" si="48"/>
        <v>7711413</v>
      </c>
      <c r="B3136" s="105" t="s">
        <v>5141</v>
      </c>
      <c r="C3136" s="105" t="s">
        <v>5142</v>
      </c>
      <c r="D3136" s="105">
        <v>0</v>
      </c>
      <c r="E3136" s="105">
        <v>0</v>
      </c>
      <c r="F3136" s="105">
        <v>0</v>
      </c>
    </row>
    <row r="3137" spans="1:6" x14ac:dyDescent="0.25">
      <c r="A3137" s="105">
        <f t="shared" si="48"/>
        <v>7711503</v>
      </c>
      <c r="B3137" s="105" t="s">
        <v>5143</v>
      </c>
      <c r="C3137" s="105" t="s">
        <v>5144</v>
      </c>
      <c r="D3137" s="105">
        <v>111.78</v>
      </c>
      <c r="E3137" s="105">
        <v>67.069999999999993</v>
      </c>
      <c r="F3137" s="105">
        <v>0</v>
      </c>
    </row>
    <row r="3138" spans="1:6" x14ac:dyDescent="0.25">
      <c r="A3138" s="105" t="str">
        <f t="shared" si="48"/>
        <v/>
      </c>
      <c r="B3138" s="105" t="s">
        <v>5145</v>
      </c>
      <c r="C3138" s="105" t="s">
        <v>8</v>
      </c>
      <c r="D3138" s="105">
        <v>0</v>
      </c>
      <c r="E3138" s="105">
        <v>0</v>
      </c>
      <c r="F3138" s="105">
        <v>0</v>
      </c>
    </row>
    <row r="3139" spans="1:6" x14ac:dyDescent="0.25">
      <c r="A3139" s="105">
        <f t="shared" ref="A3139:A3202" si="49">IF(B3139&lt;&gt;"",IFERROR(B3139*1,""),"")</f>
        <v>7711676</v>
      </c>
      <c r="B3139" s="105" t="s">
        <v>5146</v>
      </c>
      <c r="C3139" s="105" t="s">
        <v>5147</v>
      </c>
      <c r="D3139" s="105">
        <v>771.68</v>
      </c>
      <c r="E3139" s="105">
        <v>463.01</v>
      </c>
      <c r="F3139" s="105">
        <v>6</v>
      </c>
    </row>
    <row r="3140" spans="1:6" x14ac:dyDescent="0.25">
      <c r="A3140" s="105">
        <f t="shared" si="49"/>
        <v>7800000</v>
      </c>
      <c r="B3140" s="105" t="s">
        <v>5148</v>
      </c>
      <c r="C3140" s="105" t="s">
        <v>5149</v>
      </c>
      <c r="D3140" s="105">
        <v>250.02</v>
      </c>
      <c r="E3140" s="105">
        <v>150.01</v>
      </c>
      <c r="F3140" s="105">
        <v>1480</v>
      </c>
    </row>
    <row r="3141" spans="1:6" x14ac:dyDescent="0.25">
      <c r="A3141" s="105">
        <f t="shared" si="49"/>
        <v>8203124</v>
      </c>
      <c r="B3141" s="105" t="s">
        <v>5150</v>
      </c>
      <c r="C3141" s="105" t="s">
        <v>5151</v>
      </c>
      <c r="D3141" s="105">
        <v>1187</v>
      </c>
      <c r="E3141" s="105">
        <v>712.2</v>
      </c>
      <c r="F3141" s="105">
        <v>0</v>
      </c>
    </row>
    <row r="3142" spans="1:6" x14ac:dyDescent="0.25">
      <c r="A3142" s="105">
        <f t="shared" si="49"/>
        <v>8203265</v>
      </c>
      <c r="B3142" s="105" t="s">
        <v>5152</v>
      </c>
      <c r="C3142" s="105" t="s">
        <v>5153</v>
      </c>
      <c r="D3142" s="105">
        <v>7827.04</v>
      </c>
      <c r="E3142" s="105">
        <v>4696.22</v>
      </c>
      <c r="F3142" s="105">
        <v>0</v>
      </c>
    </row>
    <row r="3143" spans="1:6" x14ac:dyDescent="0.25">
      <c r="A3143" s="105" t="str">
        <f t="shared" si="49"/>
        <v/>
      </c>
      <c r="B3143" s="105" t="s">
        <v>5154</v>
      </c>
      <c r="C3143" s="105" t="s">
        <v>8</v>
      </c>
      <c r="D3143" s="105">
        <v>0</v>
      </c>
      <c r="E3143" s="105">
        <v>0</v>
      </c>
      <c r="F3143" s="105">
        <v>0</v>
      </c>
    </row>
    <row r="3144" spans="1:6" x14ac:dyDescent="0.25">
      <c r="A3144" s="105">
        <f t="shared" si="49"/>
        <v>8203267</v>
      </c>
      <c r="B3144" s="105" t="s">
        <v>5155</v>
      </c>
      <c r="C3144" s="105" t="s">
        <v>5156</v>
      </c>
      <c r="D3144" s="105">
        <v>0</v>
      </c>
      <c r="E3144" s="105">
        <v>0</v>
      </c>
      <c r="F3144" s="105">
        <v>0</v>
      </c>
    </row>
    <row r="3145" spans="1:6" x14ac:dyDescent="0.25">
      <c r="A3145" s="105" t="str">
        <f t="shared" si="49"/>
        <v/>
      </c>
      <c r="B3145" s="105" t="s">
        <v>5157</v>
      </c>
      <c r="C3145" s="105" t="s">
        <v>8</v>
      </c>
      <c r="D3145" s="105">
        <v>0</v>
      </c>
      <c r="E3145" s="105">
        <v>0</v>
      </c>
      <c r="F3145" s="105">
        <v>0</v>
      </c>
    </row>
    <row r="3146" spans="1:6" x14ac:dyDescent="0.25">
      <c r="A3146" s="105">
        <f t="shared" si="49"/>
        <v>8203268</v>
      </c>
      <c r="B3146" s="105" t="s">
        <v>5158</v>
      </c>
      <c r="C3146" s="105" t="s">
        <v>5159</v>
      </c>
      <c r="D3146" s="105">
        <v>0</v>
      </c>
      <c r="E3146" s="105">
        <v>0</v>
      </c>
      <c r="F3146" s="105">
        <v>0</v>
      </c>
    </row>
    <row r="3147" spans="1:6" x14ac:dyDescent="0.25">
      <c r="A3147" s="105">
        <f t="shared" si="49"/>
        <v>8203830</v>
      </c>
      <c r="B3147" s="105" t="s">
        <v>5160</v>
      </c>
      <c r="C3147" s="105" t="s">
        <v>5161</v>
      </c>
      <c r="D3147" s="105">
        <v>10059.4</v>
      </c>
      <c r="E3147" s="105">
        <v>6035.64</v>
      </c>
      <c r="F3147" s="105">
        <v>75</v>
      </c>
    </row>
    <row r="3148" spans="1:6" x14ac:dyDescent="0.25">
      <c r="A3148" s="105" t="str">
        <f t="shared" si="49"/>
        <v/>
      </c>
      <c r="B3148" s="105" t="s">
        <v>5162</v>
      </c>
      <c r="C3148" s="105" t="s">
        <v>8</v>
      </c>
      <c r="D3148" s="105">
        <v>0</v>
      </c>
      <c r="E3148" s="105">
        <v>0</v>
      </c>
      <c r="F3148" s="105">
        <v>0</v>
      </c>
    </row>
    <row r="3149" spans="1:6" x14ac:dyDescent="0.25">
      <c r="A3149" s="105">
        <f t="shared" si="49"/>
        <v>8203835</v>
      </c>
      <c r="B3149" s="105" t="s">
        <v>5163</v>
      </c>
      <c r="C3149" s="105" t="s">
        <v>5164</v>
      </c>
      <c r="D3149" s="105">
        <v>0</v>
      </c>
      <c r="E3149" s="105">
        <v>0</v>
      </c>
      <c r="F3149" s="105">
        <v>0</v>
      </c>
    </row>
    <row r="3150" spans="1:6" x14ac:dyDescent="0.25">
      <c r="A3150" s="105">
        <f t="shared" si="49"/>
        <v>8205010</v>
      </c>
      <c r="B3150" s="105" t="s">
        <v>5165</v>
      </c>
      <c r="C3150" s="105" t="s">
        <v>5166</v>
      </c>
      <c r="D3150" s="105">
        <v>7634</v>
      </c>
      <c r="E3150" s="105">
        <v>4580.3999999999996</v>
      </c>
      <c r="F3150" s="105">
        <v>23</v>
      </c>
    </row>
    <row r="3151" spans="1:6" x14ac:dyDescent="0.25">
      <c r="A3151" s="105" t="str">
        <f t="shared" si="49"/>
        <v/>
      </c>
      <c r="B3151" s="105" t="s">
        <v>5167</v>
      </c>
      <c r="C3151" s="105" t="s">
        <v>8</v>
      </c>
      <c r="D3151" s="105">
        <v>0</v>
      </c>
      <c r="E3151" s="105">
        <v>0</v>
      </c>
      <c r="F3151" s="105">
        <v>0</v>
      </c>
    </row>
    <row r="3152" spans="1:6" x14ac:dyDescent="0.25">
      <c r="A3152" s="105">
        <f t="shared" si="49"/>
        <v>8205011</v>
      </c>
      <c r="B3152" s="105" t="s">
        <v>5168</v>
      </c>
      <c r="C3152" s="105" t="s">
        <v>5169</v>
      </c>
      <c r="D3152" s="105">
        <v>0</v>
      </c>
      <c r="E3152" s="105">
        <v>0</v>
      </c>
      <c r="F3152" s="105">
        <v>0</v>
      </c>
    </row>
    <row r="3153" spans="1:6" x14ac:dyDescent="0.25">
      <c r="A3153" s="105">
        <f t="shared" si="49"/>
        <v>8205016</v>
      </c>
      <c r="B3153" s="105" t="s">
        <v>5170</v>
      </c>
      <c r="C3153" s="105" t="s">
        <v>5171</v>
      </c>
      <c r="D3153" s="105">
        <v>5900</v>
      </c>
      <c r="E3153" s="105">
        <v>3540</v>
      </c>
      <c r="F3153" s="105">
        <v>12</v>
      </c>
    </row>
    <row r="3154" spans="1:6" x14ac:dyDescent="0.25">
      <c r="A3154" s="105">
        <f t="shared" si="49"/>
        <v>8205018</v>
      </c>
      <c r="B3154" s="105" t="s">
        <v>5172</v>
      </c>
      <c r="C3154" s="105" t="s">
        <v>5173</v>
      </c>
      <c r="D3154" s="105">
        <v>6829.37</v>
      </c>
      <c r="E3154" s="105">
        <v>4097.62</v>
      </c>
      <c r="F3154" s="105">
        <v>70</v>
      </c>
    </row>
    <row r="3155" spans="1:6" x14ac:dyDescent="0.25">
      <c r="A3155" s="105">
        <f t="shared" si="49"/>
        <v>8205020</v>
      </c>
      <c r="B3155" s="105" t="s">
        <v>5174</v>
      </c>
      <c r="C3155" s="105" t="s">
        <v>5175</v>
      </c>
      <c r="D3155" s="105">
        <v>5500.53</v>
      </c>
      <c r="E3155" s="105">
        <v>3300.32</v>
      </c>
      <c r="F3155" s="105">
        <v>5</v>
      </c>
    </row>
    <row r="3156" spans="1:6" x14ac:dyDescent="0.25">
      <c r="A3156" s="105" t="str">
        <f t="shared" si="49"/>
        <v/>
      </c>
      <c r="B3156" s="105" t="s">
        <v>5176</v>
      </c>
      <c r="C3156" s="105" t="s">
        <v>8</v>
      </c>
      <c r="D3156" s="105">
        <v>0</v>
      </c>
      <c r="E3156" s="105">
        <v>0</v>
      </c>
      <c r="F3156" s="105">
        <v>0</v>
      </c>
    </row>
    <row r="3157" spans="1:6" x14ac:dyDescent="0.25">
      <c r="A3157" s="105">
        <f t="shared" si="49"/>
        <v>8205021</v>
      </c>
      <c r="B3157" s="105" t="s">
        <v>5177</v>
      </c>
      <c r="C3157" s="105" t="s">
        <v>5178</v>
      </c>
      <c r="D3157" s="105">
        <v>0</v>
      </c>
      <c r="E3157" s="105">
        <v>0</v>
      </c>
      <c r="F3157" s="105">
        <v>0</v>
      </c>
    </row>
    <row r="3158" spans="1:6" x14ac:dyDescent="0.25">
      <c r="A3158" s="105" t="str">
        <f t="shared" si="49"/>
        <v/>
      </c>
      <c r="B3158" s="105" t="s">
        <v>5179</v>
      </c>
      <c r="C3158" s="105" t="s">
        <v>8</v>
      </c>
      <c r="D3158" s="105">
        <v>0</v>
      </c>
      <c r="E3158" s="105">
        <v>0</v>
      </c>
      <c r="F3158" s="105">
        <v>0</v>
      </c>
    </row>
    <row r="3159" spans="1:6" x14ac:dyDescent="0.25">
      <c r="A3159" s="105">
        <f t="shared" si="49"/>
        <v>8205030</v>
      </c>
      <c r="B3159" s="105" t="s">
        <v>5180</v>
      </c>
      <c r="C3159" s="105" t="s">
        <v>5181</v>
      </c>
      <c r="D3159" s="105">
        <v>0</v>
      </c>
      <c r="E3159" s="105">
        <v>0</v>
      </c>
      <c r="F3159" s="105">
        <v>0</v>
      </c>
    </row>
    <row r="3160" spans="1:6" x14ac:dyDescent="0.25">
      <c r="A3160" s="105">
        <f t="shared" si="49"/>
        <v>8205040</v>
      </c>
      <c r="B3160" s="105" t="s">
        <v>5182</v>
      </c>
      <c r="C3160" s="105" t="s">
        <v>5183</v>
      </c>
      <c r="D3160" s="105">
        <v>4500.4399999999996</v>
      </c>
      <c r="E3160" s="105">
        <v>2700.26</v>
      </c>
      <c r="F3160" s="105">
        <v>22</v>
      </c>
    </row>
    <row r="3161" spans="1:6" x14ac:dyDescent="0.25">
      <c r="A3161" s="105">
        <f t="shared" si="49"/>
        <v>8205041</v>
      </c>
      <c r="B3161" s="105" t="s">
        <v>5184</v>
      </c>
      <c r="C3161" s="105" t="s">
        <v>5185</v>
      </c>
      <c r="D3161" s="105">
        <v>9838.91</v>
      </c>
      <c r="E3161" s="105">
        <v>5903.35</v>
      </c>
      <c r="F3161" s="105">
        <v>162</v>
      </c>
    </row>
    <row r="3162" spans="1:6" x14ac:dyDescent="0.25">
      <c r="A3162" s="105" t="str">
        <f t="shared" si="49"/>
        <v/>
      </c>
      <c r="B3162" s="105" t="s">
        <v>5186</v>
      </c>
      <c r="C3162" s="105" t="s">
        <v>8</v>
      </c>
      <c r="D3162" s="105">
        <v>0</v>
      </c>
      <c r="E3162" s="105">
        <v>0</v>
      </c>
      <c r="F3162" s="105">
        <v>0</v>
      </c>
    </row>
    <row r="3163" spans="1:6" x14ac:dyDescent="0.25">
      <c r="A3163" s="105">
        <f t="shared" si="49"/>
        <v>8205042</v>
      </c>
      <c r="B3163" s="105" t="s">
        <v>5187</v>
      </c>
      <c r="C3163" s="105" t="s">
        <v>5188</v>
      </c>
      <c r="D3163" s="105">
        <v>0</v>
      </c>
      <c r="E3163" s="105">
        <v>0</v>
      </c>
      <c r="F3163" s="105">
        <v>0</v>
      </c>
    </row>
    <row r="3164" spans="1:6" x14ac:dyDescent="0.25">
      <c r="A3164" s="105" t="str">
        <f t="shared" si="49"/>
        <v/>
      </c>
      <c r="B3164" s="105" t="s">
        <v>5189</v>
      </c>
      <c r="C3164" s="105" t="s">
        <v>8</v>
      </c>
      <c r="D3164" s="105">
        <v>0</v>
      </c>
      <c r="E3164" s="105">
        <v>0</v>
      </c>
      <c r="F3164" s="105">
        <v>0</v>
      </c>
    </row>
    <row r="3165" spans="1:6" x14ac:dyDescent="0.25">
      <c r="A3165" s="105">
        <f t="shared" si="49"/>
        <v>8205044</v>
      </c>
      <c r="B3165" s="105" t="s">
        <v>5190</v>
      </c>
      <c r="C3165" s="105" t="s">
        <v>5191</v>
      </c>
      <c r="D3165" s="105">
        <v>0</v>
      </c>
      <c r="E3165" s="105">
        <v>0</v>
      </c>
      <c r="F3165" s="105">
        <v>0</v>
      </c>
    </row>
    <row r="3166" spans="1:6" x14ac:dyDescent="0.25">
      <c r="A3166" s="105">
        <f t="shared" si="49"/>
        <v>8205050</v>
      </c>
      <c r="B3166" s="105" t="s">
        <v>5192</v>
      </c>
      <c r="C3166" s="105" t="s">
        <v>5193</v>
      </c>
      <c r="D3166" s="105">
        <v>14882.4</v>
      </c>
      <c r="E3166" s="105">
        <v>8929.44</v>
      </c>
      <c r="F3166" s="105">
        <v>10</v>
      </c>
    </row>
    <row r="3167" spans="1:6" x14ac:dyDescent="0.25">
      <c r="A3167" s="105">
        <f t="shared" si="49"/>
        <v>8205051</v>
      </c>
      <c r="B3167" s="105" t="s">
        <v>5194</v>
      </c>
      <c r="C3167" s="105" t="s">
        <v>5195</v>
      </c>
      <c r="D3167" s="105">
        <v>10301.93</v>
      </c>
      <c r="E3167" s="105">
        <v>6181.16</v>
      </c>
      <c r="F3167" s="105">
        <v>91</v>
      </c>
    </row>
    <row r="3168" spans="1:6" x14ac:dyDescent="0.25">
      <c r="A3168" s="105">
        <f t="shared" si="49"/>
        <v>8205060</v>
      </c>
      <c r="B3168" s="105" t="s">
        <v>5196</v>
      </c>
      <c r="C3168" s="105" t="s">
        <v>5197</v>
      </c>
      <c r="D3168" s="105">
        <v>4500</v>
      </c>
      <c r="E3168" s="105">
        <v>2700</v>
      </c>
      <c r="F3168" s="105">
        <v>11</v>
      </c>
    </row>
    <row r="3169" spans="1:6" x14ac:dyDescent="0.25">
      <c r="A3169" s="105" t="str">
        <f t="shared" si="49"/>
        <v/>
      </c>
      <c r="B3169" s="105" t="s">
        <v>5198</v>
      </c>
      <c r="C3169" s="105" t="s">
        <v>8</v>
      </c>
      <c r="D3169" s="105">
        <v>0</v>
      </c>
      <c r="E3169" s="105">
        <v>0</v>
      </c>
      <c r="F3169" s="105">
        <v>0</v>
      </c>
    </row>
    <row r="3170" spans="1:6" x14ac:dyDescent="0.25">
      <c r="A3170" s="105">
        <f t="shared" si="49"/>
        <v>8205061</v>
      </c>
      <c r="B3170" s="105" t="s">
        <v>5199</v>
      </c>
      <c r="C3170" s="105" t="s">
        <v>5200</v>
      </c>
      <c r="D3170" s="105">
        <v>0</v>
      </c>
      <c r="E3170" s="105">
        <v>0</v>
      </c>
      <c r="F3170" s="105">
        <v>0</v>
      </c>
    </row>
    <row r="3171" spans="1:6" x14ac:dyDescent="0.25">
      <c r="A3171" s="105" t="str">
        <f t="shared" si="49"/>
        <v/>
      </c>
      <c r="B3171" s="105" t="s">
        <v>5201</v>
      </c>
      <c r="C3171" s="105" t="s">
        <v>8</v>
      </c>
      <c r="D3171" s="105">
        <v>0</v>
      </c>
      <c r="E3171" s="105">
        <v>0</v>
      </c>
      <c r="F3171" s="105">
        <v>0</v>
      </c>
    </row>
    <row r="3172" spans="1:6" x14ac:dyDescent="0.25">
      <c r="A3172" s="105">
        <f t="shared" si="49"/>
        <v>8205078</v>
      </c>
      <c r="B3172" s="105" t="s">
        <v>5202</v>
      </c>
      <c r="C3172" s="105" t="s">
        <v>5203</v>
      </c>
      <c r="D3172" s="105">
        <v>0</v>
      </c>
      <c r="E3172" s="105">
        <v>0</v>
      </c>
      <c r="F3172" s="105">
        <v>0</v>
      </c>
    </row>
    <row r="3173" spans="1:6" x14ac:dyDescent="0.25">
      <c r="A3173" s="105" t="str">
        <f t="shared" si="49"/>
        <v/>
      </c>
      <c r="B3173" s="105" t="s">
        <v>5204</v>
      </c>
      <c r="C3173" s="105" t="s">
        <v>8</v>
      </c>
      <c r="D3173" s="105">
        <v>0</v>
      </c>
      <c r="E3173" s="105">
        <v>0</v>
      </c>
      <c r="F3173" s="105">
        <v>0</v>
      </c>
    </row>
    <row r="3174" spans="1:6" x14ac:dyDescent="0.25">
      <c r="A3174" s="105">
        <f t="shared" si="49"/>
        <v>8205079</v>
      </c>
      <c r="B3174" s="105" t="s">
        <v>5205</v>
      </c>
      <c r="C3174" s="105" t="s">
        <v>5206</v>
      </c>
      <c r="D3174" s="105">
        <v>0</v>
      </c>
      <c r="E3174" s="105">
        <v>0</v>
      </c>
      <c r="F3174" s="105">
        <v>0</v>
      </c>
    </row>
    <row r="3175" spans="1:6" x14ac:dyDescent="0.25">
      <c r="A3175" s="105">
        <f t="shared" si="49"/>
        <v>8205080</v>
      </c>
      <c r="B3175" s="105" t="s">
        <v>5207</v>
      </c>
      <c r="C3175" s="105" t="s">
        <v>5208</v>
      </c>
      <c r="D3175" s="105">
        <v>14999</v>
      </c>
      <c r="E3175" s="105">
        <v>8999.4</v>
      </c>
      <c r="F3175" s="105">
        <v>117</v>
      </c>
    </row>
    <row r="3176" spans="1:6" x14ac:dyDescent="0.25">
      <c r="A3176" s="105">
        <f t="shared" si="49"/>
        <v>8205090</v>
      </c>
      <c r="B3176" s="105" t="s">
        <v>9397</v>
      </c>
      <c r="C3176" s="105" t="s">
        <v>9398</v>
      </c>
      <c r="D3176" s="105">
        <v>14999.99</v>
      </c>
      <c r="E3176" s="105">
        <v>8999.99</v>
      </c>
      <c r="F3176" s="105">
        <v>6</v>
      </c>
    </row>
    <row r="3177" spans="1:6" x14ac:dyDescent="0.25">
      <c r="A3177" s="105">
        <f t="shared" si="49"/>
        <v>8205115</v>
      </c>
      <c r="B3177" s="105" t="s">
        <v>5209</v>
      </c>
      <c r="C3177" s="105" t="s">
        <v>5210</v>
      </c>
      <c r="D3177" s="105">
        <v>9838.91</v>
      </c>
      <c r="E3177" s="105">
        <v>5903.35</v>
      </c>
      <c r="F3177" s="105">
        <v>560</v>
      </c>
    </row>
    <row r="3178" spans="1:6" x14ac:dyDescent="0.25">
      <c r="A3178" s="105">
        <f t="shared" si="49"/>
        <v>8205116</v>
      </c>
      <c r="B3178" s="105" t="s">
        <v>5211</v>
      </c>
      <c r="C3178" s="105" t="s">
        <v>5212</v>
      </c>
      <c r="D3178" s="105">
        <v>10070.41</v>
      </c>
      <c r="E3178" s="105">
        <v>6042.25</v>
      </c>
      <c r="F3178" s="105">
        <v>3</v>
      </c>
    </row>
    <row r="3179" spans="1:6" x14ac:dyDescent="0.25">
      <c r="A3179" s="105">
        <f t="shared" si="49"/>
        <v>8205117</v>
      </c>
      <c r="B3179" s="105" t="s">
        <v>5213</v>
      </c>
      <c r="C3179" s="105" t="s">
        <v>5214</v>
      </c>
      <c r="D3179" s="105">
        <v>2750.25</v>
      </c>
      <c r="E3179" s="105">
        <v>1650.15</v>
      </c>
      <c r="F3179" s="105">
        <v>1</v>
      </c>
    </row>
    <row r="3180" spans="1:6" x14ac:dyDescent="0.25">
      <c r="A3180" s="105">
        <f t="shared" si="49"/>
        <v>8205118</v>
      </c>
      <c r="B3180" s="105" t="s">
        <v>5215</v>
      </c>
      <c r="C3180" s="105" t="s">
        <v>5216</v>
      </c>
      <c r="D3180" s="105">
        <v>14999</v>
      </c>
      <c r="E3180" s="105">
        <v>8999.4</v>
      </c>
      <c r="F3180" s="105">
        <v>202</v>
      </c>
    </row>
    <row r="3181" spans="1:6" x14ac:dyDescent="0.25">
      <c r="A3181" s="105">
        <f t="shared" si="49"/>
        <v>8205119</v>
      </c>
      <c r="B3181" s="105" t="s">
        <v>5217</v>
      </c>
      <c r="C3181" s="105" t="s">
        <v>5218</v>
      </c>
      <c r="D3181" s="105">
        <v>14990</v>
      </c>
      <c r="E3181" s="105">
        <v>8994</v>
      </c>
      <c r="F3181" s="105">
        <v>27</v>
      </c>
    </row>
    <row r="3182" spans="1:6" x14ac:dyDescent="0.25">
      <c r="A3182" s="105">
        <f t="shared" si="49"/>
        <v>8205120</v>
      </c>
      <c r="B3182" s="105" t="s">
        <v>5219</v>
      </c>
      <c r="C3182" s="105" t="s">
        <v>5220</v>
      </c>
      <c r="D3182" s="105">
        <v>9838.91</v>
      </c>
      <c r="E3182" s="105">
        <v>5903.35</v>
      </c>
      <c r="F3182" s="105">
        <v>58</v>
      </c>
    </row>
    <row r="3183" spans="1:6" x14ac:dyDescent="0.25">
      <c r="A3183" s="105">
        <f t="shared" si="49"/>
        <v>8205150</v>
      </c>
      <c r="B3183" s="105" t="s">
        <v>5221</v>
      </c>
      <c r="C3183" s="105" t="s">
        <v>5222</v>
      </c>
      <c r="D3183" s="105">
        <v>6695.34</v>
      </c>
      <c r="E3183" s="105">
        <v>4017.2</v>
      </c>
      <c r="F3183" s="105">
        <v>0</v>
      </c>
    </row>
    <row r="3184" spans="1:6" x14ac:dyDescent="0.25">
      <c r="A3184" s="105">
        <f t="shared" si="49"/>
        <v>8205450</v>
      </c>
      <c r="B3184" s="105" t="s">
        <v>5223</v>
      </c>
      <c r="C3184" s="105" t="s">
        <v>5224</v>
      </c>
      <c r="D3184" s="105">
        <v>9565.58</v>
      </c>
      <c r="E3184" s="105">
        <v>5739.35</v>
      </c>
      <c r="F3184" s="105">
        <v>0</v>
      </c>
    </row>
    <row r="3185" spans="1:6" x14ac:dyDescent="0.25">
      <c r="A3185" s="105">
        <f t="shared" si="49"/>
        <v>8205456</v>
      </c>
      <c r="B3185" s="105" t="s">
        <v>5225</v>
      </c>
      <c r="C3185" s="105" t="s">
        <v>5226</v>
      </c>
      <c r="D3185" s="105">
        <v>0</v>
      </c>
      <c r="E3185" s="105">
        <v>0</v>
      </c>
      <c r="F3185" s="105">
        <v>0</v>
      </c>
    </row>
    <row r="3186" spans="1:6" x14ac:dyDescent="0.25">
      <c r="A3186" s="105">
        <f t="shared" si="49"/>
        <v>8205800</v>
      </c>
      <c r="B3186" s="105" t="s">
        <v>5227</v>
      </c>
      <c r="C3186" s="105" t="s">
        <v>5228</v>
      </c>
      <c r="D3186" s="105">
        <v>9565.58</v>
      </c>
      <c r="E3186" s="105">
        <v>5739.35</v>
      </c>
      <c r="F3186" s="105">
        <v>0</v>
      </c>
    </row>
    <row r="3187" spans="1:6" x14ac:dyDescent="0.25">
      <c r="A3187" s="105">
        <f t="shared" si="49"/>
        <v>8205801</v>
      </c>
      <c r="B3187" s="105" t="s">
        <v>5229</v>
      </c>
      <c r="C3187" s="105" t="s">
        <v>5230</v>
      </c>
      <c r="D3187" s="105">
        <v>9565.58</v>
      </c>
      <c r="E3187" s="105">
        <v>5739.35</v>
      </c>
      <c r="F3187" s="105">
        <v>0</v>
      </c>
    </row>
    <row r="3188" spans="1:6" x14ac:dyDescent="0.25">
      <c r="A3188" s="105">
        <f t="shared" si="49"/>
        <v>8205881</v>
      </c>
      <c r="B3188" s="105" t="s">
        <v>5231</v>
      </c>
      <c r="C3188" s="105" t="s">
        <v>5232</v>
      </c>
      <c r="D3188" s="105">
        <v>14999</v>
      </c>
      <c r="E3188" s="105">
        <v>8999.4</v>
      </c>
      <c r="F3188" s="105">
        <v>50</v>
      </c>
    </row>
    <row r="3189" spans="1:6" x14ac:dyDescent="0.25">
      <c r="A3189" s="105">
        <f t="shared" si="49"/>
        <v>8205989</v>
      </c>
      <c r="B3189" s="105" t="s">
        <v>9399</v>
      </c>
      <c r="C3189" s="105" t="s">
        <v>9400</v>
      </c>
      <c r="D3189" s="105">
        <v>4903.1400000000003</v>
      </c>
      <c r="E3189" s="105">
        <v>2941.88</v>
      </c>
      <c r="F3189" s="105">
        <v>0</v>
      </c>
    </row>
    <row r="3190" spans="1:6" x14ac:dyDescent="0.25">
      <c r="A3190" s="105">
        <f t="shared" si="49"/>
        <v>8251025</v>
      </c>
      <c r="B3190" s="105" t="s">
        <v>5233</v>
      </c>
      <c r="C3190" s="105" t="s">
        <v>5234</v>
      </c>
      <c r="D3190" s="105">
        <v>2485.65</v>
      </c>
      <c r="E3190" s="105">
        <v>1491.39</v>
      </c>
      <c r="F3190" s="105">
        <v>0</v>
      </c>
    </row>
    <row r="3191" spans="1:6" x14ac:dyDescent="0.25">
      <c r="A3191" s="105" t="str">
        <f t="shared" si="49"/>
        <v/>
      </c>
      <c r="B3191" s="105" t="s">
        <v>5235</v>
      </c>
      <c r="C3191" s="105" t="s">
        <v>8</v>
      </c>
      <c r="D3191" s="105">
        <v>0</v>
      </c>
      <c r="E3191" s="105">
        <v>0</v>
      </c>
      <c r="F3191" s="105">
        <v>0</v>
      </c>
    </row>
    <row r="3192" spans="1:6" x14ac:dyDescent="0.25">
      <c r="A3192" s="105">
        <f t="shared" si="49"/>
        <v>8300777</v>
      </c>
      <c r="B3192" s="105" t="s">
        <v>5236</v>
      </c>
      <c r="C3192" s="105" t="s">
        <v>5237</v>
      </c>
      <c r="D3192" s="105">
        <v>1060</v>
      </c>
      <c r="E3192" s="105">
        <v>636</v>
      </c>
      <c r="F3192" s="105">
        <v>0</v>
      </c>
    </row>
    <row r="3193" spans="1:6" x14ac:dyDescent="0.25">
      <c r="A3193" s="105">
        <f t="shared" si="49"/>
        <v>8301000</v>
      </c>
      <c r="B3193" s="105" t="s">
        <v>5238</v>
      </c>
      <c r="C3193" s="105" t="s">
        <v>5239</v>
      </c>
      <c r="D3193" s="105">
        <v>1625.16</v>
      </c>
      <c r="E3193" s="105">
        <v>975.1</v>
      </c>
      <c r="F3193" s="105">
        <v>27</v>
      </c>
    </row>
    <row r="3194" spans="1:6" x14ac:dyDescent="0.25">
      <c r="A3194" s="105">
        <f t="shared" si="49"/>
        <v>830100001</v>
      </c>
      <c r="B3194" s="105" t="s">
        <v>5240</v>
      </c>
      <c r="C3194" s="105" t="s">
        <v>5241</v>
      </c>
      <c r="D3194" s="105">
        <v>0</v>
      </c>
      <c r="E3194" s="105">
        <v>0</v>
      </c>
      <c r="F3194" s="105">
        <v>1</v>
      </c>
    </row>
    <row r="3195" spans="1:6" x14ac:dyDescent="0.25">
      <c r="A3195" s="105">
        <f t="shared" si="49"/>
        <v>830100002</v>
      </c>
      <c r="B3195" s="105" t="s">
        <v>5242</v>
      </c>
      <c r="C3195" s="105" t="s">
        <v>5243</v>
      </c>
      <c r="D3195" s="105">
        <v>649</v>
      </c>
      <c r="E3195" s="105">
        <v>389.4</v>
      </c>
      <c r="F3195" s="105">
        <v>0</v>
      </c>
    </row>
    <row r="3196" spans="1:6" x14ac:dyDescent="0.25">
      <c r="A3196" s="105">
        <f t="shared" si="49"/>
        <v>830100003</v>
      </c>
      <c r="B3196" s="105" t="s">
        <v>5244</v>
      </c>
      <c r="C3196" s="105" t="s">
        <v>5245</v>
      </c>
      <c r="D3196" s="105">
        <v>0</v>
      </c>
      <c r="E3196" s="105">
        <v>0</v>
      </c>
      <c r="F3196" s="105">
        <v>8</v>
      </c>
    </row>
    <row r="3197" spans="1:6" x14ac:dyDescent="0.25">
      <c r="A3197" s="105">
        <f t="shared" si="49"/>
        <v>8301008</v>
      </c>
      <c r="B3197" s="105" t="s">
        <v>5246</v>
      </c>
      <c r="C3197" s="105" t="s">
        <v>5247</v>
      </c>
      <c r="D3197" s="105">
        <v>1625.16</v>
      </c>
      <c r="E3197" s="105">
        <v>975.1</v>
      </c>
      <c r="F3197" s="105">
        <v>26</v>
      </c>
    </row>
    <row r="3198" spans="1:6" x14ac:dyDescent="0.25">
      <c r="A3198" s="105">
        <f t="shared" si="49"/>
        <v>830100801</v>
      </c>
      <c r="B3198" s="105" t="s">
        <v>5248</v>
      </c>
      <c r="C3198" s="105" t="s">
        <v>5249</v>
      </c>
      <c r="D3198" s="105">
        <v>649</v>
      </c>
      <c r="E3198" s="105">
        <v>389.4</v>
      </c>
      <c r="F3198" s="105">
        <v>0</v>
      </c>
    </row>
    <row r="3199" spans="1:6" x14ac:dyDescent="0.25">
      <c r="A3199" s="105">
        <f t="shared" si="49"/>
        <v>830100802</v>
      </c>
      <c r="B3199" s="105" t="s">
        <v>5250</v>
      </c>
      <c r="C3199" s="105" t="s">
        <v>5251</v>
      </c>
      <c r="D3199" s="105">
        <v>649</v>
      </c>
      <c r="E3199" s="105">
        <v>389.4</v>
      </c>
      <c r="F3199" s="105">
        <v>0</v>
      </c>
    </row>
    <row r="3200" spans="1:6" x14ac:dyDescent="0.25">
      <c r="A3200" s="105">
        <f t="shared" si="49"/>
        <v>830100803</v>
      </c>
      <c r="B3200" s="105" t="s">
        <v>5252</v>
      </c>
      <c r="C3200" s="105" t="s">
        <v>5253</v>
      </c>
      <c r="D3200" s="105">
        <v>649</v>
      </c>
      <c r="E3200" s="105">
        <v>389.4</v>
      </c>
      <c r="F3200" s="105">
        <v>0</v>
      </c>
    </row>
    <row r="3201" spans="1:6" x14ac:dyDescent="0.25">
      <c r="A3201" s="105" t="str">
        <f t="shared" si="49"/>
        <v/>
      </c>
      <c r="B3201" s="105" t="s">
        <v>5254</v>
      </c>
      <c r="C3201" s="105" t="s">
        <v>8</v>
      </c>
      <c r="D3201" s="105">
        <v>0</v>
      </c>
      <c r="E3201" s="105">
        <v>0</v>
      </c>
      <c r="F3201" s="105">
        <v>0</v>
      </c>
    </row>
    <row r="3202" spans="1:6" x14ac:dyDescent="0.25">
      <c r="A3202" s="105">
        <f t="shared" si="49"/>
        <v>8301300</v>
      </c>
      <c r="B3202" s="105" t="s">
        <v>5255</v>
      </c>
      <c r="C3202" s="105" t="s">
        <v>5256</v>
      </c>
      <c r="D3202" s="105">
        <v>0</v>
      </c>
      <c r="E3202" s="105">
        <v>0</v>
      </c>
      <c r="F3202" s="105">
        <v>0</v>
      </c>
    </row>
    <row r="3203" spans="1:6" x14ac:dyDescent="0.25">
      <c r="A3203" s="105">
        <f t="shared" ref="A3203:A3266" si="50">IF(B3203&lt;&gt;"",IFERROR(B3203*1,""),"")</f>
        <v>8301301</v>
      </c>
      <c r="B3203" s="105" t="s">
        <v>9401</v>
      </c>
      <c r="C3203" s="105" t="s">
        <v>9402</v>
      </c>
      <c r="D3203" s="105">
        <v>4028</v>
      </c>
      <c r="E3203" s="105">
        <v>2416.8000000000002</v>
      </c>
      <c r="F3203" s="105">
        <v>6</v>
      </c>
    </row>
    <row r="3204" spans="1:6" x14ac:dyDescent="0.25">
      <c r="A3204" s="105" t="str">
        <f t="shared" si="50"/>
        <v/>
      </c>
      <c r="B3204" s="105" t="s">
        <v>5257</v>
      </c>
      <c r="C3204" s="105" t="s">
        <v>8</v>
      </c>
      <c r="D3204" s="105">
        <v>0</v>
      </c>
      <c r="E3204" s="105">
        <v>0</v>
      </c>
      <c r="F3204" s="105">
        <v>0</v>
      </c>
    </row>
    <row r="3205" spans="1:6" x14ac:dyDescent="0.25">
      <c r="A3205" s="105">
        <f t="shared" si="50"/>
        <v>8301310</v>
      </c>
      <c r="B3205" s="105" t="s">
        <v>5258</v>
      </c>
      <c r="C3205" s="105" t="s">
        <v>5259</v>
      </c>
      <c r="D3205" s="105">
        <v>0</v>
      </c>
      <c r="E3205" s="105">
        <v>0</v>
      </c>
      <c r="F3205" s="105">
        <v>0</v>
      </c>
    </row>
    <row r="3206" spans="1:6" x14ac:dyDescent="0.25">
      <c r="A3206" s="105">
        <f t="shared" si="50"/>
        <v>8301311</v>
      </c>
      <c r="B3206" s="105" t="s">
        <v>5260</v>
      </c>
      <c r="C3206" s="105" t="s">
        <v>5261</v>
      </c>
      <c r="D3206" s="105">
        <v>1212.6400000000001</v>
      </c>
      <c r="E3206" s="105">
        <v>727.58</v>
      </c>
      <c r="F3206" s="105">
        <v>0</v>
      </c>
    </row>
    <row r="3207" spans="1:6" x14ac:dyDescent="0.25">
      <c r="A3207" s="105">
        <f t="shared" si="50"/>
        <v>8301312</v>
      </c>
      <c r="B3207" s="105" t="s">
        <v>5262</v>
      </c>
      <c r="C3207" s="105" t="s">
        <v>5263</v>
      </c>
      <c r="D3207" s="105">
        <v>1212.6400000000001</v>
      </c>
      <c r="E3207" s="105">
        <v>727.58</v>
      </c>
      <c r="F3207" s="105">
        <v>0</v>
      </c>
    </row>
    <row r="3208" spans="1:6" x14ac:dyDescent="0.25">
      <c r="A3208" s="105" t="str">
        <f t="shared" si="50"/>
        <v/>
      </c>
      <c r="B3208" s="105" t="s">
        <v>5264</v>
      </c>
      <c r="C3208" s="105" t="s">
        <v>8</v>
      </c>
      <c r="D3208" s="105">
        <v>0</v>
      </c>
      <c r="E3208" s="105">
        <v>0</v>
      </c>
      <c r="F3208" s="105">
        <v>0</v>
      </c>
    </row>
    <row r="3209" spans="1:6" x14ac:dyDescent="0.25">
      <c r="A3209" s="105">
        <f t="shared" si="50"/>
        <v>8301313</v>
      </c>
      <c r="B3209" s="105" t="s">
        <v>5265</v>
      </c>
      <c r="C3209" s="105" t="s">
        <v>5266</v>
      </c>
      <c r="D3209" s="105">
        <v>0</v>
      </c>
      <c r="E3209" s="105">
        <v>0</v>
      </c>
      <c r="F3209" s="105">
        <v>0</v>
      </c>
    </row>
    <row r="3210" spans="1:6" x14ac:dyDescent="0.25">
      <c r="A3210" s="105" t="str">
        <f t="shared" si="50"/>
        <v/>
      </c>
      <c r="B3210" s="105" t="s">
        <v>5267</v>
      </c>
      <c r="C3210" s="105" t="s">
        <v>8</v>
      </c>
      <c r="D3210" s="105">
        <v>0</v>
      </c>
      <c r="E3210" s="105">
        <v>0</v>
      </c>
      <c r="F3210" s="105">
        <v>0</v>
      </c>
    </row>
    <row r="3211" spans="1:6" x14ac:dyDescent="0.25">
      <c r="A3211" s="105">
        <f t="shared" si="50"/>
        <v>8301350</v>
      </c>
      <c r="B3211" s="105" t="s">
        <v>5268</v>
      </c>
      <c r="C3211" s="105" t="s">
        <v>5269</v>
      </c>
      <c r="D3211" s="105">
        <v>0</v>
      </c>
      <c r="E3211" s="105">
        <v>0</v>
      </c>
      <c r="F3211" s="105">
        <v>0</v>
      </c>
    </row>
    <row r="3212" spans="1:6" x14ac:dyDescent="0.25">
      <c r="A3212" s="105">
        <f t="shared" si="50"/>
        <v>8301495</v>
      </c>
      <c r="B3212" s="105" t="s">
        <v>5270</v>
      </c>
      <c r="C3212" s="105" t="s">
        <v>5271</v>
      </c>
      <c r="D3212" s="105">
        <v>1696</v>
      </c>
      <c r="E3212" s="105">
        <v>1017.6</v>
      </c>
      <c r="F3212" s="105">
        <v>34</v>
      </c>
    </row>
    <row r="3213" spans="1:6" x14ac:dyDescent="0.25">
      <c r="A3213" s="105">
        <f t="shared" si="50"/>
        <v>8301558</v>
      </c>
      <c r="B3213" s="105" t="s">
        <v>5272</v>
      </c>
      <c r="C3213" s="105" t="s">
        <v>5273</v>
      </c>
      <c r="D3213" s="105">
        <v>954</v>
      </c>
      <c r="E3213" s="105">
        <v>572.4</v>
      </c>
      <c r="F3213" s="105">
        <v>917</v>
      </c>
    </row>
    <row r="3214" spans="1:6" x14ac:dyDescent="0.25">
      <c r="A3214" s="105">
        <f t="shared" si="50"/>
        <v>8301700</v>
      </c>
      <c r="B3214" s="105" t="s">
        <v>5274</v>
      </c>
      <c r="C3214" s="105" t="s">
        <v>5275</v>
      </c>
      <c r="D3214" s="105">
        <v>1696</v>
      </c>
      <c r="E3214" s="105">
        <v>1017.6</v>
      </c>
      <c r="F3214" s="105">
        <v>15</v>
      </c>
    </row>
    <row r="3215" spans="1:6" x14ac:dyDescent="0.25">
      <c r="A3215" s="105">
        <f t="shared" si="50"/>
        <v>8301805</v>
      </c>
      <c r="B3215" s="105" t="s">
        <v>5276</v>
      </c>
      <c r="C3215" s="105" t="s">
        <v>5277</v>
      </c>
      <c r="D3215" s="105">
        <v>1625.16</v>
      </c>
      <c r="E3215" s="105">
        <v>975.1</v>
      </c>
      <c r="F3215" s="105">
        <v>49</v>
      </c>
    </row>
    <row r="3216" spans="1:6" x14ac:dyDescent="0.25">
      <c r="A3216" s="105">
        <f t="shared" si="50"/>
        <v>830180500</v>
      </c>
      <c r="B3216" s="105" t="s">
        <v>5278</v>
      </c>
      <c r="C3216" s="105" t="s">
        <v>5279</v>
      </c>
      <c r="D3216" s="105">
        <v>649</v>
      </c>
      <c r="E3216" s="105">
        <v>389.4</v>
      </c>
      <c r="F3216" s="105">
        <v>0</v>
      </c>
    </row>
    <row r="3217" spans="1:6" x14ac:dyDescent="0.25">
      <c r="A3217" s="105">
        <f t="shared" si="50"/>
        <v>830180501</v>
      </c>
      <c r="B3217" s="105" t="s">
        <v>5280</v>
      </c>
      <c r="C3217" s="105" t="s">
        <v>5281</v>
      </c>
      <c r="D3217" s="105">
        <v>649</v>
      </c>
      <c r="E3217" s="105">
        <v>389.4</v>
      </c>
      <c r="F3217" s="105">
        <v>0</v>
      </c>
    </row>
    <row r="3218" spans="1:6" x14ac:dyDescent="0.25">
      <c r="A3218" s="105">
        <f t="shared" si="50"/>
        <v>830180502</v>
      </c>
      <c r="B3218" s="105" t="s">
        <v>5282</v>
      </c>
      <c r="C3218" s="105" t="s">
        <v>5283</v>
      </c>
      <c r="D3218" s="105">
        <v>649</v>
      </c>
      <c r="E3218" s="105">
        <v>389.4</v>
      </c>
      <c r="F3218" s="105">
        <v>0</v>
      </c>
    </row>
    <row r="3219" spans="1:6" x14ac:dyDescent="0.25">
      <c r="A3219" s="105">
        <f t="shared" si="50"/>
        <v>830180503</v>
      </c>
      <c r="B3219" s="105" t="s">
        <v>5284</v>
      </c>
      <c r="C3219" s="105" t="s">
        <v>5285</v>
      </c>
      <c r="D3219" s="105">
        <v>649</v>
      </c>
      <c r="E3219" s="105">
        <v>389.4</v>
      </c>
      <c r="F3219" s="105">
        <v>0</v>
      </c>
    </row>
    <row r="3220" spans="1:6" x14ac:dyDescent="0.25">
      <c r="A3220" s="105">
        <f t="shared" si="50"/>
        <v>8301900</v>
      </c>
      <c r="B3220" s="105" t="s">
        <v>5286</v>
      </c>
      <c r="C3220" s="105" t="s">
        <v>5287</v>
      </c>
      <c r="D3220" s="105">
        <v>1497.53</v>
      </c>
      <c r="E3220" s="105">
        <v>898.52</v>
      </c>
      <c r="F3220" s="105">
        <v>0</v>
      </c>
    </row>
    <row r="3221" spans="1:6" x14ac:dyDescent="0.25">
      <c r="A3221" s="105">
        <f t="shared" si="50"/>
        <v>830190001</v>
      </c>
      <c r="B3221" s="105" t="s">
        <v>5288</v>
      </c>
      <c r="C3221" s="105" t="s">
        <v>5289</v>
      </c>
      <c r="D3221" s="105">
        <v>649</v>
      </c>
      <c r="E3221" s="105">
        <v>389.4</v>
      </c>
      <c r="F3221" s="105">
        <v>0</v>
      </c>
    </row>
    <row r="3222" spans="1:6" x14ac:dyDescent="0.25">
      <c r="A3222" s="105">
        <f t="shared" si="50"/>
        <v>830190002</v>
      </c>
      <c r="B3222" s="105" t="s">
        <v>5290</v>
      </c>
      <c r="C3222" s="105" t="s">
        <v>5291</v>
      </c>
      <c r="D3222" s="105">
        <v>649</v>
      </c>
      <c r="E3222" s="105">
        <v>389.4</v>
      </c>
      <c r="F3222" s="105">
        <v>0</v>
      </c>
    </row>
    <row r="3223" spans="1:6" x14ac:dyDescent="0.25">
      <c r="A3223" s="105">
        <f t="shared" si="50"/>
        <v>830190003</v>
      </c>
      <c r="B3223" s="105" t="s">
        <v>5292</v>
      </c>
      <c r="C3223" s="105" t="s">
        <v>5293</v>
      </c>
      <c r="D3223" s="105">
        <v>649</v>
      </c>
      <c r="E3223" s="105">
        <v>389.4</v>
      </c>
      <c r="F3223" s="105">
        <v>7</v>
      </c>
    </row>
    <row r="3224" spans="1:6" x14ac:dyDescent="0.25">
      <c r="A3224" s="105" t="str">
        <f t="shared" si="50"/>
        <v/>
      </c>
      <c r="B3224" s="105" t="s">
        <v>5294</v>
      </c>
      <c r="C3224" s="105" t="s">
        <v>8</v>
      </c>
      <c r="D3224" s="105">
        <v>0</v>
      </c>
      <c r="E3224" s="105">
        <v>0</v>
      </c>
      <c r="F3224" s="105">
        <v>0</v>
      </c>
    </row>
    <row r="3225" spans="1:6" x14ac:dyDescent="0.25">
      <c r="A3225" s="105">
        <f t="shared" si="50"/>
        <v>8301901</v>
      </c>
      <c r="B3225" s="105" t="s">
        <v>5295</v>
      </c>
      <c r="C3225" s="105" t="s">
        <v>5296</v>
      </c>
      <c r="D3225" s="105">
        <v>0</v>
      </c>
      <c r="E3225" s="105">
        <v>0</v>
      </c>
      <c r="F3225" s="105">
        <v>0</v>
      </c>
    </row>
    <row r="3226" spans="1:6" x14ac:dyDescent="0.25">
      <c r="A3226" s="105" t="str">
        <f t="shared" si="50"/>
        <v/>
      </c>
      <c r="B3226" s="105" t="s">
        <v>5297</v>
      </c>
      <c r="C3226" s="105" t="s">
        <v>8</v>
      </c>
      <c r="D3226" s="105">
        <v>0</v>
      </c>
      <c r="E3226" s="105">
        <v>0</v>
      </c>
      <c r="F3226" s="105">
        <v>0</v>
      </c>
    </row>
    <row r="3227" spans="1:6" x14ac:dyDescent="0.25">
      <c r="A3227" s="105">
        <f t="shared" si="50"/>
        <v>8302001</v>
      </c>
      <c r="B3227" s="105" t="s">
        <v>5298</v>
      </c>
      <c r="C3227" s="105" t="s">
        <v>5299</v>
      </c>
      <c r="D3227" s="105">
        <v>0</v>
      </c>
      <c r="E3227" s="105">
        <v>0</v>
      </c>
      <c r="F3227" s="105">
        <v>0</v>
      </c>
    </row>
    <row r="3228" spans="1:6" x14ac:dyDescent="0.25">
      <c r="A3228" s="105" t="str">
        <f t="shared" si="50"/>
        <v/>
      </c>
      <c r="B3228" s="105" t="s">
        <v>5300</v>
      </c>
      <c r="C3228" s="105" t="s">
        <v>8</v>
      </c>
      <c r="D3228" s="105">
        <v>0</v>
      </c>
      <c r="E3228" s="105">
        <v>0</v>
      </c>
      <c r="F3228" s="105">
        <v>0</v>
      </c>
    </row>
    <row r="3229" spans="1:6" x14ac:dyDescent="0.25">
      <c r="A3229" s="105">
        <f t="shared" si="50"/>
        <v>8303000</v>
      </c>
      <c r="B3229" s="105" t="s">
        <v>5301</v>
      </c>
      <c r="C3229" s="105" t="s">
        <v>5302</v>
      </c>
      <c r="D3229" s="105">
        <v>0</v>
      </c>
      <c r="E3229" s="105">
        <v>0</v>
      </c>
      <c r="F3229" s="105">
        <v>0</v>
      </c>
    </row>
    <row r="3230" spans="1:6" x14ac:dyDescent="0.25">
      <c r="A3230" s="105">
        <f t="shared" si="50"/>
        <v>8303002</v>
      </c>
      <c r="B3230" s="105" t="s">
        <v>5303</v>
      </c>
      <c r="C3230" s="105" t="s">
        <v>5304</v>
      </c>
      <c r="D3230" s="105">
        <v>1375.14</v>
      </c>
      <c r="E3230" s="105">
        <v>825.08</v>
      </c>
      <c r="F3230" s="105">
        <v>0</v>
      </c>
    </row>
    <row r="3231" spans="1:6" x14ac:dyDescent="0.25">
      <c r="A3231" s="105">
        <f t="shared" si="50"/>
        <v>8303003</v>
      </c>
      <c r="B3231" s="105" t="s">
        <v>5305</v>
      </c>
      <c r="C3231" s="105" t="s">
        <v>5306</v>
      </c>
      <c r="D3231" s="105">
        <v>1625.16</v>
      </c>
      <c r="E3231" s="105">
        <v>975.1</v>
      </c>
      <c r="F3231" s="105">
        <v>4</v>
      </c>
    </row>
    <row r="3232" spans="1:6" x14ac:dyDescent="0.25">
      <c r="A3232" s="105">
        <f t="shared" si="50"/>
        <v>8303004</v>
      </c>
      <c r="B3232" s="105" t="s">
        <v>5307</v>
      </c>
      <c r="C3232" s="105" t="s">
        <v>5308</v>
      </c>
      <c r="D3232" s="105">
        <v>1375.14</v>
      </c>
      <c r="E3232" s="105">
        <v>825.08</v>
      </c>
      <c r="F3232" s="105">
        <v>12</v>
      </c>
    </row>
    <row r="3233" spans="1:6" x14ac:dyDescent="0.25">
      <c r="A3233" s="105">
        <f t="shared" si="50"/>
        <v>8303005</v>
      </c>
      <c r="B3233" s="105" t="s">
        <v>5309</v>
      </c>
      <c r="C3233" s="105" t="s">
        <v>5310</v>
      </c>
      <c r="D3233" s="105">
        <v>1125.0899999999999</v>
      </c>
      <c r="E3233" s="105">
        <v>675.05</v>
      </c>
      <c r="F3233" s="105">
        <v>15</v>
      </c>
    </row>
    <row r="3234" spans="1:6" x14ac:dyDescent="0.25">
      <c r="A3234" s="105">
        <f t="shared" si="50"/>
        <v>8303006</v>
      </c>
      <c r="B3234" s="105" t="s">
        <v>5311</v>
      </c>
      <c r="C3234" s="105" t="s">
        <v>5312</v>
      </c>
      <c r="D3234" s="105">
        <v>1125.0899999999999</v>
      </c>
      <c r="E3234" s="105">
        <v>675.05</v>
      </c>
      <c r="F3234" s="105">
        <v>17</v>
      </c>
    </row>
    <row r="3235" spans="1:6" x14ac:dyDescent="0.25">
      <c r="A3235" s="105">
        <f t="shared" si="50"/>
        <v>8303007</v>
      </c>
      <c r="B3235" s="105" t="s">
        <v>5313</v>
      </c>
      <c r="C3235" s="105" t="s">
        <v>5314</v>
      </c>
      <c r="D3235" s="105">
        <v>1187</v>
      </c>
      <c r="E3235" s="105">
        <v>712.2</v>
      </c>
      <c r="F3235" s="105">
        <v>6</v>
      </c>
    </row>
    <row r="3236" spans="1:6" x14ac:dyDescent="0.25">
      <c r="A3236" s="105" t="str">
        <f t="shared" si="50"/>
        <v/>
      </c>
      <c r="B3236" s="105" t="s">
        <v>5315</v>
      </c>
      <c r="C3236" s="105" t="s">
        <v>8</v>
      </c>
      <c r="D3236" s="105">
        <v>0</v>
      </c>
      <c r="E3236" s="105">
        <v>0</v>
      </c>
      <c r="F3236" s="105">
        <v>0</v>
      </c>
    </row>
    <row r="3237" spans="1:6" x14ac:dyDescent="0.25">
      <c r="A3237" s="105">
        <f t="shared" si="50"/>
        <v>8303008</v>
      </c>
      <c r="B3237" s="105" t="s">
        <v>5316</v>
      </c>
      <c r="C3237" s="105" t="s">
        <v>5317</v>
      </c>
      <c r="D3237" s="105">
        <v>0</v>
      </c>
      <c r="E3237" s="105">
        <v>0</v>
      </c>
      <c r="F3237" s="105">
        <v>0</v>
      </c>
    </row>
    <row r="3238" spans="1:6" x14ac:dyDescent="0.25">
      <c r="A3238" s="105" t="str">
        <f t="shared" si="50"/>
        <v/>
      </c>
      <c r="B3238" s="105" t="s">
        <v>5318</v>
      </c>
      <c r="C3238" s="105" t="s">
        <v>8</v>
      </c>
      <c r="D3238" s="105">
        <v>0</v>
      </c>
      <c r="E3238" s="105">
        <v>0</v>
      </c>
      <c r="F3238" s="105">
        <v>0</v>
      </c>
    </row>
    <row r="3239" spans="1:6" x14ac:dyDescent="0.25">
      <c r="A3239" s="105">
        <f t="shared" si="50"/>
        <v>8303009</v>
      </c>
      <c r="B3239" s="105" t="s">
        <v>5319</v>
      </c>
      <c r="C3239" s="105" t="s">
        <v>5320</v>
      </c>
      <c r="D3239" s="105">
        <v>0</v>
      </c>
      <c r="E3239" s="105">
        <v>0</v>
      </c>
      <c r="F3239" s="105">
        <v>0</v>
      </c>
    </row>
    <row r="3240" spans="1:6" x14ac:dyDescent="0.25">
      <c r="A3240" s="105" t="str">
        <f t="shared" si="50"/>
        <v/>
      </c>
      <c r="B3240" s="105" t="s">
        <v>5322</v>
      </c>
      <c r="C3240" s="105" t="s">
        <v>8</v>
      </c>
      <c r="D3240" s="105">
        <v>0</v>
      </c>
      <c r="E3240" s="105">
        <v>0</v>
      </c>
      <c r="F3240" s="105">
        <v>0</v>
      </c>
    </row>
    <row r="3241" spans="1:6" x14ac:dyDescent="0.25">
      <c r="A3241" s="105">
        <f t="shared" si="50"/>
        <v>8303010</v>
      </c>
      <c r="B3241" s="105" t="s">
        <v>5323</v>
      </c>
      <c r="C3241" s="105" t="s">
        <v>5310</v>
      </c>
      <c r="D3241" s="105">
        <v>0</v>
      </c>
      <c r="E3241" s="105">
        <v>0</v>
      </c>
      <c r="F3241" s="105">
        <v>0</v>
      </c>
    </row>
    <row r="3242" spans="1:6" x14ac:dyDescent="0.25">
      <c r="A3242" s="105">
        <f t="shared" si="50"/>
        <v>8303011</v>
      </c>
      <c r="B3242" s="105" t="s">
        <v>5324</v>
      </c>
      <c r="C3242" s="105" t="s">
        <v>5325</v>
      </c>
      <c r="D3242" s="105">
        <v>1125.0899999999999</v>
      </c>
      <c r="E3242" s="105">
        <v>675.05</v>
      </c>
      <c r="F3242" s="105">
        <v>0</v>
      </c>
    </row>
    <row r="3243" spans="1:6" x14ac:dyDescent="0.25">
      <c r="A3243" s="105" t="str">
        <f t="shared" si="50"/>
        <v/>
      </c>
      <c r="B3243" s="105" t="s">
        <v>5326</v>
      </c>
      <c r="C3243" s="105" t="s">
        <v>8</v>
      </c>
      <c r="D3243" s="105">
        <v>0</v>
      </c>
      <c r="E3243" s="105">
        <v>0</v>
      </c>
      <c r="F3243" s="105">
        <v>0</v>
      </c>
    </row>
    <row r="3244" spans="1:6" x14ac:dyDescent="0.25">
      <c r="A3244" s="105">
        <f t="shared" si="50"/>
        <v>8303012</v>
      </c>
      <c r="B3244" s="105" t="s">
        <v>5327</v>
      </c>
      <c r="C3244" s="105" t="s">
        <v>5328</v>
      </c>
      <c r="D3244" s="105">
        <v>0</v>
      </c>
      <c r="E3244" s="105">
        <v>0</v>
      </c>
      <c r="F3244" s="105">
        <v>0</v>
      </c>
    </row>
    <row r="3245" spans="1:6" x14ac:dyDescent="0.25">
      <c r="A3245" s="105" t="str">
        <f t="shared" si="50"/>
        <v/>
      </c>
      <c r="B3245" s="105" t="s">
        <v>5329</v>
      </c>
      <c r="C3245" s="105" t="s">
        <v>8</v>
      </c>
      <c r="D3245" s="105">
        <v>0</v>
      </c>
      <c r="E3245" s="105">
        <v>0</v>
      </c>
      <c r="F3245" s="105">
        <v>0</v>
      </c>
    </row>
    <row r="3246" spans="1:6" x14ac:dyDescent="0.25">
      <c r="A3246" s="105">
        <f t="shared" si="50"/>
        <v>8303013</v>
      </c>
      <c r="B3246" s="105" t="s">
        <v>5330</v>
      </c>
      <c r="C3246" s="105" t="s">
        <v>5331</v>
      </c>
      <c r="D3246" s="105">
        <v>0</v>
      </c>
      <c r="E3246" s="105">
        <v>0</v>
      </c>
      <c r="F3246" s="105">
        <v>0</v>
      </c>
    </row>
    <row r="3247" spans="1:6" x14ac:dyDescent="0.25">
      <c r="A3247" s="105">
        <f t="shared" si="50"/>
        <v>8303014</v>
      </c>
      <c r="B3247" s="105" t="s">
        <v>5332</v>
      </c>
      <c r="C3247" s="105" t="s">
        <v>5333</v>
      </c>
      <c r="D3247" s="105">
        <v>1250.1099999999999</v>
      </c>
      <c r="E3247" s="105">
        <v>750.07</v>
      </c>
      <c r="F3247" s="105">
        <v>0</v>
      </c>
    </row>
    <row r="3248" spans="1:6" x14ac:dyDescent="0.25">
      <c r="A3248" s="105" t="str">
        <f t="shared" si="50"/>
        <v/>
      </c>
      <c r="B3248" s="105" t="s">
        <v>5334</v>
      </c>
      <c r="C3248" s="105" t="s">
        <v>8</v>
      </c>
      <c r="D3248" s="105">
        <v>0</v>
      </c>
      <c r="E3248" s="105">
        <v>0</v>
      </c>
      <c r="F3248" s="105">
        <v>0</v>
      </c>
    </row>
    <row r="3249" spans="1:6" x14ac:dyDescent="0.25">
      <c r="A3249" s="105">
        <f t="shared" si="50"/>
        <v>8303015</v>
      </c>
      <c r="B3249" s="105" t="s">
        <v>5335</v>
      </c>
      <c r="C3249" s="105" t="s">
        <v>5336</v>
      </c>
      <c r="D3249" s="105">
        <v>0</v>
      </c>
      <c r="E3249" s="105">
        <v>0</v>
      </c>
      <c r="F3249" s="105">
        <v>0</v>
      </c>
    </row>
    <row r="3250" spans="1:6" x14ac:dyDescent="0.25">
      <c r="A3250" s="105" t="str">
        <f t="shared" si="50"/>
        <v/>
      </c>
      <c r="B3250" s="105" t="s">
        <v>5337</v>
      </c>
      <c r="C3250" s="105" t="s">
        <v>8</v>
      </c>
      <c r="D3250" s="105">
        <v>0</v>
      </c>
      <c r="E3250" s="105">
        <v>0</v>
      </c>
      <c r="F3250" s="105">
        <v>0</v>
      </c>
    </row>
    <row r="3251" spans="1:6" x14ac:dyDescent="0.25">
      <c r="A3251" s="105">
        <f t="shared" si="50"/>
        <v>8303016</v>
      </c>
      <c r="B3251" s="105" t="s">
        <v>5338</v>
      </c>
      <c r="C3251" s="105" t="s">
        <v>5339</v>
      </c>
      <c r="D3251" s="105">
        <v>0</v>
      </c>
      <c r="E3251" s="105">
        <v>0</v>
      </c>
      <c r="F3251" s="105">
        <v>0</v>
      </c>
    </row>
    <row r="3252" spans="1:6" x14ac:dyDescent="0.25">
      <c r="A3252" s="105" t="str">
        <f t="shared" si="50"/>
        <v/>
      </c>
      <c r="B3252" s="105" t="s">
        <v>5340</v>
      </c>
      <c r="C3252" s="105" t="s">
        <v>8</v>
      </c>
      <c r="D3252" s="105">
        <v>0</v>
      </c>
      <c r="E3252" s="105">
        <v>0</v>
      </c>
      <c r="F3252" s="105">
        <v>0</v>
      </c>
    </row>
    <row r="3253" spans="1:6" x14ac:dyDescent="0.25">
      <c r="A3253" s="105">
        <f t="shared" si="50"/>
        <v>8303017</v>
      </c>
      <c r="B3253" s="105" t="s">
        <v>5341</v>
      </c>
      <c r="C3253" s="105" t="s">
        <v>5342</v>
      </c>
      <c r="D3253" s="105">
        <v>0</v>
      </c>
      <c r="E3253" s="105">
        <v>0</v>
      </c>
      <c r="F3253" s="105">
        <v>0</v>
      </c>
    </row>
    <row r="3254" spans="1:6" x14ac:dyDescent="0.25">
      <c r="A3254" s="105" t="str">
        <f t="shared" si="50"/>
        <v/>
      </c>
      <c r="B3254" s="105" t="s">
        <v>5343</v>
      </c>
      <c r="C3254" s="105" t="s">
        <v>8</v>
      </c>
      <c r="D3254" s="105">
        <v>0</v>
      </c>
      <c r="E3254" s="105">
        <v>0</v>
      </c>
      <c r="F3254" s="105">
        <v>0</v>
      </c>
    </row>
    <row r="3255" spans="1:6" x14ac:dyDescent="0.25">
      <c r="A3255" s="105">
        <f t="shared" si="50"/>
        <v>8303018</v>
      </c>
      <c r="B3255" s="105" t="s">
        <v>5344</v>
      </c>
      <c r="C3255" s="105" t="s">
        <v>5345</v>
      </c>
      <c r="D3255" s="105">
        <v>0</v>
      </c>
      <c r="E3255" s="105">
        <v>0</v>
      </c>
      <c r="F3255" s="105">
        <v>0</v>
      </c>
    </row>
    <row r="3256" spans="1:6" x14ac:dyDescent="0.25">
      <c r="A3256" s="105" t="str">
        <f t="shared" si="50"/>
        <v/>
      </c>
      <c r="B3256" s="105" t="s">
        <v>5346</v>
      </c>
      <c r="C3256" s="105" t="s">
        <v>8</v>
      </c>
      <c r="D3256" s="105">
        <v>0</v>
      </c>
      <c r="E3256" s="105">
        <v>0</v>
      </c>
      <c r="F3256" s="105">
        <v>0</v>
      </c>
    </row>
    <row r="3257" spans="1:6" x14ac:dyDescent="0.25">
      <c r="A3257" s="105">
        <f t="shared" si="50"/>
        <v>8303019</v>
      </c>
      <c r="B3257" s="105" t="s">
        <v>5347</v>
      </c>
      <c r="C3257" s="105" t="s">
        <v>5348</v>
      </c>
      <c r="D3257" s="105">
        <v>0</v>
      </c>
      <c r="E3257" s="105">
        <v>0</v>
      </c>
      <c r="F3257" s="105">
        <v>0</v>
      </c>
    </row>
    <row r="3258" spans="1:6" x14ac:dyDescent="0.25">
      <c r="A3258" s="105" t="str">
        <f t="shared" si="50"/>
        <v/>
      </c>
      <c r="B3258" s="105" t="s">
        <v>5349</v>
      </c>
      <c r="C3258" s="105" t="s">
        <v>8</v>
      </c>
      <c r="D3258" s="105">
        <v>0</v>
      </c>
      <c r="E3258" s="105">
        <v>0</v>
      </c>
      <c r="F3258" s="105">
        <v>0</v>
      </c>
    </row>
    <row r="3259" spans="1:6" x14ac:dyDescent="0.25">
      <c r="A3259" s="105">
        <f t="shared" si="50"/>
        <v>8303032</v>
      </c>
      <c r="B3259" s="105" t="s">
        <v>5350</v>
      </c>
      <c r="C3259" s="105" t="s">
        <v>5351</v>
      </c>
      <c r="D3259" s="105">
        <v>0</v>
      </c>
      <c r="E3259" s="105">
        <v>0</v>
      </c>
      <c r="F3259" s="105">
        <v>0</v>
      </c>
    </row>
    <row r="3260" spans="1:6" x14ac:dyDescent="0.25">
      <c r="A3260" s="105" t="str">
        <f t="shared" si="50"/>
        <v/>
      </c>
      <c r="B3260" s="105" t="s">
        <v>5352</v>
      </c>
      <c r="C3260" s="105" t="s">
        <v>8</v>
      </c>
      <c r="D3260" s="105">
        <v>0</v>
      </c>
      <c r="E3260" s="105">
        <v>0</v>
      </c>
      <c r="F3260" s="105">
        <v>0</v>
      </c>
    </row>
    <row r="3261" spans="1:6" x14ac:dyDescent="0.25">
      <c r="A3261" s="105">
        <f t="shared" si="50"/>
        <v>8303033</v>
      </c>
      <c r="B3261" s="105" t="s">
        <v>5353</v>
      </c>
      <c r="C3261" s="105" t="s">
        <v>5354</v>
      </c>
      <c r="D3261" s="105">
        <v>0</v>
      </c>
      <c r="E3261" s="105">
        <v>0</v>
      </c>
      <c r="F3261" s="105">
        <v>0</v>
      </c>
    </row>
    <row r="3262" spans="1:6" x14ac:dyDescent="0.25">
      <c r="A3262" s="105">
        <f t="shared" si="50"/>
        <v>8303110</v>
      </c>
      <c r="B3262" s="105" t="s">
        <v>5355</v>
      </c>
      <c r="C3262" s="105" t="s">
        <v>5356</v>
      </c>
      <c r="D3262" s="105">
        <v>1374.82</v>
      </c>
      <c r="E3262" s="105">
        <v>824.89</v>
      </c>
      <c r="F3262" s="105">
        <v>0</v>
      </c>
    </row>
    <row r="3263" spans="1:6" x14ac:dyDescent="0.25">
      <c r="A3263" s="105">
        <f t="shared" si="50"/>
        <v>8303111</v>
      </c>
      <c r="B3263" s="105" t="s">
        <v>5357</v>
      </c>
      <c r="C3263" s="105" t="s">
        <v>5358</v>
      </c>
      <c r="D3263" s="105">
        <v>1375.14</v>
      </c>
      <c r="E3263" s="105">
        <v>825.08</v>
      </c>
      <c r="F3263" s="105">
        <v>3</v>
      </c>
    </row>
    <row r="3264" spans="1:6" x14ac:dyDescent="0.25">
      <c r="A3264" s="105">
        <f t="shared" si="50"/>
        <v>8303112</v>
      </c>
      <c r="B3264" s="105" t="s">
        <v>5359</v>
      </c>
      <c r="C3264" s="105" t="s">
        <v>5360</v>
      </c>
      <c r="D3264" s="105">
        <v>1375.14</v>
      </c>
      <c r="E3264" s="105">
        <v>825.08</v>
      </c>
      <c r="F3264" s="105">
        <v>0</v>
      </c>
    </row>
    <row r="3265" spans="1:6" x14ac:dyDescent="0.25">
      <c r="A3265" s="105">
        <f t="shared" si="50"/>
        <v>8303113</v>
      </c>
      <c r="B3265" s="105" t="s">
        <v>5361</v>
      </c>
      <c r="C3265" s="105" t="s">
        <v>5362</v>
      </c>
      <c r="D3265" s="105">
        <v>1125.0899999999999</v>
      </c>
      <c r="E3265" s="105">
        <v>675.05</v>
      </c>
      <c r="F3265" s="105">
        <v>0</v>
      </c>
    </row>
    <row r="3266" spans="1:6" x14ac:dyDescent="0.25">
      <c r="A3266" s="105">
        <f t="shared" si="50"/>
        <v>8303114</v>
      </c>
      <c r="B3266" s="105" t="s">
        <v>5363</v>
      </c>
      <c r="C3266" s="105" t="s">
        <v>5364</v>
      </c>
      <c r="D3266" s="105">
        <v>1125.0899999999999</v>
      </c>
      <c r="E3266" s="105">
        <v>675.05</v>
      </c>
      <c r="F3266" s="105">
        <v>0</v>
      </c>
    </row>
    <row r="3267" spans="1:6" x14ac:dyDescent="0.25">
      <c r="A3267" s="105">
        <f t="shared" ref="A3267:A3330" si="51">IF(B3267&lt;&gt;"",IFERROR(B3267*1,""),"")</f>
        <v>8303115</v>
      </c>
      <c r="B3267" s="105" t="s">
        <v>5365</v>
      </c>
      <c r="C3267" s="105" t="s">
        <v>5366</v>
      </c>
      <c r="D3267" s="105">
        <v>1157.51</v>
      </c>
      <c r="E3267" s="105">
        <v>694.51</v>
      </c>
      <c r="F3267" s="105">
        <v>0</v>
      </c>
    </row>
    <row r="3268" spans="1:6" x14ac:dyDescent="0.25">
      <c r="A3268" s="105">
        <f t="shared" si="51"/>
        <v>8303120</v>
      </c>
      <c r="B3268" s="105" t="s">
        <v>5367</v>
      </c>
      <c r="C3268" s="105" t="s">
        <v>5368</v>
      </c>
      <c r="D3268" s="105">
        <v>1125.0899999999999</v>
      </c>
      <c r="E3268" s="105">
        <v>675.05</v>
      </c>
      <c r="F3268" s="105">
        <v>64</v>
      </c>
    </row>
    <row r="3269" spans="1:6" x14ac:dyDescent="0.25">
      <c r="A3269" s="105">
        <f t="shared" si="51"/>
        <v>8303121</v>
      </c>
      <c r="B3269" s="105" t="s">
        <v>5369</v>
      </c>
      <c r="C3269" s="105" t="s">
        <v>5370</v>
      </c>
      <c r="D3269" s="105">
        <v>1125.0899999999999</v>
      </c>
      <c r="E3269" s="105">
        <v>675.05</v>
      </c>
      <c r="F3269" s="105">
        <v>0</v>
      </c>
    </row>
    <row r="3270" spans="1:6" x14ac:dyDescent="0.25">
      <c r="A3270" s="105">
        <f t="shared" si="51"/>
        <v>8303123</v>
      </c>
      <c r="B3270" s="105" t="s">
        <v>5371</v>
      </c>
      <c r="C3270" s="105" t="s">
        <v>5372</v>
      </c>
      <c r="D3270" s="105">
        <v>1125.0899999999999</v>
      </c>
      <c r="E3270" s="105">
        <v>675.05</v>
      </c>
      <c r="F3270" s="105">
        <v>348</v>
      </c>
    </row>
    <row r="3271" spans="1:6" x14ac:dyDescent="0.25">
      <c r="A3271" s="105" t="str">
        <f t="shared" si="51"/>
        <v/>
      </c>
      <c r="B3271" s="105" t="s">
        <v>5373</v>
      </c>
      <c r="C3271" s="105" t="s">
        <v>8</v>
      </c>
      <c r="D3271" s="105">
        <v>0</v>
      </c>
      <c r="E3271" s="105">
        <v>0</v>
      </c>
      <c r="F3271" s="105">
        <v>0</v>
      </c>
    </row>
    <row r="3272" spans="1:6" x14ac:dyDescent="0.25">
      <c r="A3272" s="105">
        <f t="shared" si="51"/>
        <v>8303124</v>
      </c>
      <c r="B3272" s="105" t="s">
        <v>5374</v>
      </c>
      <c r="C3272" s="105" t="s">
        <v>5375</v>
      </c>
      <c r="D3272" s="105">
        <v>0</v>
      </c>
      <c r="E3272" s="105">
        <v>0</v>
      </c>
      <c r="F3272" s="105">
        <v>0</v>
      </c>
    </row>
    <row r="3273" spans="1:6" x14ac:dyDescent="0.25">
      <c r="A3273" s="105">
        <f t="shared" si="51"/>
        <v>8303125</v>
      </c>
      <c r="B3273" s="105" t="s">
        <v>5376</v>
      </c>
      <c r="C3273" s="105" t="s">
        <v>5377</v>
      </c>
      <c r="D3273" s="105">
        <v>0</v>
      </c>
      <c r="E3273" s="105">
        <v>0</v>
      </c>
      <c r="F3273" s="105">
        <v>0</v>
      </c>
    </row>
    <row r="3274" spans="1:6" x14ac:dyDescent="0.25">
      <c r="A3274" s="105" t="str">
        <f t="shared" si="51"/>
        <v/>
      </c>
      <c r="B3274" s="105" t="s">
        <v>5378</v>
      </c>
      <c r="C3274" s="105" t="s">
        <v>8</v>
      </c>
      <c r="D3274" s="105">
        <v>0</v>
      </c>
      <c r="E3274" s="105">
        <v>0</v>
      </c>
      <c r="F3274" s="105">
        <v>0</v>
      </c>
    </row>
    <row r="3275" spans="1:6" x14ac:dyDescent="0.25">
      <c r="A3275" s="105">
        <f t="shared" si="51"/>
        <v>8303126</v>
      </c>
      <c r="B3275" s="105" t="s">
        <v>5379</v>
      </c>
      <c r="C3275" s="105" t="s">
        <v>5380</v>
      </c>
      <c r="D3275" s="105">
        <v>0</v>
      </c>
      <c r="E3275" s="105">
        <v>0</v>
      </c>
      <c r="F3275" s="105">
        <v>0</v>
      </c>
    </row>
    <row r="3276" spans="1:6" x14ac:dyDescent="0.25">
      <c r="A3276" s="105">
        <f t="shared" si="51"/>
        <v>8303127</v>
      </c>
      <c r="B3276" s="105" t="s">
        <v>5381</v>
      </c>
      <c r="C3276" s="105" t="s">
        <v>5382</v>
      </c>
      <c r="D3276" s="105">
        <v>1187</v>
      </c>
      <c r="E3276" s="105">
        <v>712.2</v>
      </c>
      <c r="F3276" s="105">
        <v>-13</v>
      </c>
    </row>
    <row r="3277" spans="1:6" x14ac:dyDescent="0.25">
      <c r="A3277" s="105">
        <f t="shared" si="51"/>
        <v>8303128</v>
      </c>
      <c r="B3277" s="105" t="s">
        <v>5383</v>
      </c>
      <c r="C3277" s="105" t="s">
        <v>5384</v>
      </c>
      <c r="D3277" s="105">
        <v>1187</v>
      </c>
      <c r="E3277" s="105">
        <v>712.2</v>
      </c>
      <c r="F3277" s="105">
        <v>0</v>
      </c>
    </row>
    <row r="3278" spans="1:6" x14ac:dyDescent="0.25">
      <c r="A3278" s="105">
        <f t="shared" si="51"/>
        <v>8303129</v>
      </c>
      <c r="B3278" s="105" t="s">
        <v>5385</v>
      </c>
      <c r="C3278" s="105" t="s">
        <v>5386</v>
      </c>
      <c r="D3278" s="105">
        <v>716.56</v>
      </c>
      <c r="E3278" s="105">
        <v>429.94</v>
      </c>
      <c r="F3278" s="105">
        <v>239</v>
      </c>
    </row>
    <row r="3279" spans="1:6" x14ac:dyDescent="0.25">
      <c r="A3279" s="105">
        <f t="shared" si="51"/>
        <v>8303130</v>
      </c>
      <c r="B3279" s="105" t="s">
        <v>5387</v>
      </c>
      <c r="C3279" s="105" t="s">
        <v>5388</v>
      </c>
      <c r="D3279" s="105">
        <v>1125.0899999999999</v>
      </c>
      <c r="E3279" s="105">
        <v>675.05</v>
      </c>
      <c r="F3279" s="105">
        <v>63</v>
      </c>
    </row>
    <row r="3280" spans="1:6" x14ac:dyDescent="0.25">
      <c r="A3280" s="105" t="str">
        <f t="shared" si="51"/>
        <v/>
      </c>
      <c r="B3280" s="105" t="s">
        <v>5389</v>
      </c>
      <c r="C3280" s="105" t="s">
        <v>8</v>
      </c>
      <c r="D3280" s="105">
        <v>0</v>
      </c>
      <c r="E3280" s="105">
        <v>0</v>
      </c>
      <c r="F3280" s="105">
        <v>0</v>
      </c>
    </row>
    <row r="3281" spans="1:6" x14ac:dyDescent="0.25">
      <c r="A3281" s="105">
        <f t="shared" si="51"/>
        <v>8303131</v>
      </c>
      <c r="B3281" s="105" t="s">
        <v>5390</v>
      </c>
      <c r="C3281" s="105" t="s">
        <v>5391</v>
      </c>
      <c r="D3281" s="105">
        <v>0</v>
      </c>
      <c r="E3281" s="105">
        <v>0</v>
      </c>
      <c r="F3281" s="105">
        <v>0</v>
      </c>
    </row>
    <row r="3282" spans="1:6" x14ac:dyDescent="0.25">
      <c r="A3282" s="105" t="str">
        <f t="shared" si="51"/>
        <v/>
      </c>
      <c r="B3282" s="105" t="s">
        <v>5392</v>
      </c>
      <c r="C3282" s="105" t="s">
        <v>8</v>
      </c>
      <c r="D3282" s="105">
        <v>0</v>
      </c>
      <c r="E3282" s="105">
        <v>0</v>
      </c>
      <c r="F3282" s="105">
        <v>0</v>
      </c>
    </row>
    <row r="3283" spans="1:6" x14ac:dyDescent="0.25">
      <c r="A3283" s="105">
        <f t="shared" si="51"/>
        <v>8303132</v>
      </c>
      <c r="B3283" s="105" t="s">
        <v>5393</v>
      </c>
      <c r="C3283" s="105" t="s">
        <v>5394</v>
      </c>
      <c r="D3283" s="105">
        <v>0</v>
      </c>
      <c r="E3283" s="105">
        <v>0</v>
      </c>
      <c r="F3283" s="105">
        <v>0</v>
      </c>
    </row>
    <row r="3284" spans="1:6" x14ac:dyDescent="0.25">
      <c r="A3284" s="105" t="str">
        <f t="shared" si="51"/>
        <v/>
      </c>
      <c r="B3284" s="105" t="s">
        <v>5395</v>
      </c>
      <c r="C3284" s="105" t="s">
        <v>8</v>
      </c>
      <c r="D3284" s="105">
        <v>0</v>
      </c>
      <c r="E3284" s="105">
        <v>0</v>
      </c>
      <c r="F3284" s="105">
        <v>0</v>
      </c>
    </row>
    <row r="3285" spans="1:6" x14ac:dyDescent="0.25">
      <c r="A3285" s="105">
        <f t="shared" si="51"/>
        <v>8303133</v>
      </c>
      <c r="B3285" s="105" t="s">
        <v>5396</v>
      </c>
      <c r="C3285" s="105" t="s">
        <v>5397</v>
      </c>
      <c r="D3285" s="105">
        <v>0</v>
      </c>
      <c r="E3285" s="105">
        <v>0</v>
      </c>
      <c r="F3285" s="105">
        <v>0</v>
      </c>
    </row>
    <row r="3286" spans="1:6" x14ac:dyDescent="0.25">
      <c r="A3286" s="105">
        <f t="shared" si="51"/>
        <v>8303222</v>
      </c>
      <c r="B3286" s="105" t="s">
        <v>5398</v>
      </c>
      <c r="C3286" s="105" t="s">
        <v>5399</v>
      </c>
      <c r="D3286" s="105">
        <v>1852.03</v>
      </c>
      <c r="E3286" s="105">
        <v>1111.22</v>
      </c>
      <c r="F3286" s="105">
        <v>29</v>
      </c>
    </row>
    <row r="3287" spans="1:6" x14ac:dyDescent="0.25">
      <c r="A3287" s="105">
        <f t="shared" si="51"/>
        <v>8303297</v>
      </c>
      <c r="B3287" s="105" t="s">
        <v>5400</v>
      </c>
      <c r="C3287" s="105" t="s">
        <v>5401</v>
      </c>
      <c r="D3287" s="105">
        <v>1908</v>
      </c>
      <c r="E3287" s="105">
        <v>1144.8</v>
      </c>
      <c r="F3287" s="105">
        <v>464</v>
      </c>
    </row>
    <row r="3288" spans="1:6" x14ac:dyDescent="0.25">
      <c r="A3288" s="105">
        <f t="shared" si="51"/>
        <v>8303298</v>
      </c>
      <c r="B3288" s="105" t="s">
        <v>5402</v>
      </c>
      <c r="C3288" s="105" t="s">
        <v>5403</v>
      </c>
      <c r="D3288" s="105">
        <v>3392</v>
      </c>
      <c r="E3288" s="105">
        <v>2035.2</v>
      </c>
      <c r="F3288" s="105">
        <v>71</v>
      </c>
    </row>
    <row r="3289" spans="1:6" x14ac:dyDescent="0.25">
      <c r="A3289" s="105">
        <f t="shared" si="51"/>
        <v>8303299</v>
      </c>
      <c r="B3289" s="105" t="s">
        <v>5404</v>
      </c>
      <c r="C3289" s="105" t="s">
        <v>5405</v>
      </c>
      <c r="D3289" s="105">
        <v>3286</v>
      </c>
      <c r="E3289" s="105">
        <v>1971.6</v>
      </c>
      <c r="F3289" s="105">
        <v>109</v>
      </c>
    </row>
    <row r="3290" spans="1:6" x14ac:dyDescent="0.25">
      <c r="A3290" s="105">
        <f t="shared" si="51"/>
        <v>8303300</v>
      </c>
      <c r="B3290" s="105" t="s">
        <v>5406</v>
      </c>
      <c r="C3290" s="105" t="s">
        <v>5407</v>
      </c>
      <c r="D3290" s="105">
        <v>3286</v>
      </c>
      <c r="E3290" s="105">
        <v>1971.6</v>
      </c>
      <c r="F3290" s="105">
        <v>50</v>
      </c>
    </row>
    <row r="3291" spans="1:6" x14ac:dyDescent="0.25">
      <c r="A3291" s="105">
        <f t="shared" si="51"/>
        <v>8303356</v>
      </c>
      <c r="B3291" s="105" t="s">
        <v>5408</v>
      </c>
      <c r="C3291" s="105" t="s">
        <v>5409</v>
      </c>
      <c r="D3291" s="105">
        <v>0</v>
      </c>
      <c r="E3291" s="105">
        <v>0</v>
      </c>
      <c r="F3291" s="105">
        <v>0</v>
      </c>
    </row>
    <row r="3292" spans="1:6" x14ac:dyDescent="0.25">
      <c r="A3292" s="105">
        <f t="shared" si="51"/>
        <v>8303357</v>
      </c>
      <c r="B3292" s="105" t="s">
        <v>5410</v>
      </c>
      <c r="C3292" s="105" t="s">
        <v>5304</v>
      </c>
      <c r="D3292" s="105">
        <v>1375.14</v>
      </c>
      <c r="E3292" s="105">
        <v>825.08</v>
      </c>
      <c r="F3292" s="105">
        <v>0</v>
      </c>
    </row>
    <row r="3293" spans="1:6" x14ac:dyDescent="0.25">
      <c r="A3293" s="105" t="str">
        <f t="shared" si="51"/>
        <v/>
      </c>
      <c r="B3293" s="105" t="s">
        <v>5411</v>
      </c>
      <c r="C3293" s="105" t="s">
        <v>8</v>
      </c>
      <c r="D3293" s="105">
        <v>0</v>
      </c>
      <c r="E3293" s="105">
        <v>0</v>
      </c>
      <c r="F3293" s="105">
        <v>0</v>
      </c>
    </row>
    <row r="3294" spans="1:6" x14ac:dyDescent="0.25">
      <c r="A3294" s="105">
        <f t="shared" si="51"/>
        <v>8303358</v>
      </c>
      <c r="B3294" s="105" t="s">
        <v>5412</v>
      </c>
      <c r="C3294" s="105" t="s">
        <v>5413</v>
      </c>
      <c r="D3294" s="105">
        <v>0</v>
      </c>
      <c r="E3294" s="105">
        <v>0</v>
      </c>
      <c r="F3294" s="105">
        <v>0</v>
      </c>
    </row>
    <row r="3295" spans="1:6" x14ac:dyDescent="0.25">
      <c r="A3295" s="105">
        <f t="shared" si="51"/>
        <v>8303495</v>
      </c>
      <c r="B3295" s="105" t="s">
        <v>5414</v>
      </c>
      <c r="C3295" s="105" t="s">
        <v>5415</v>
      </c>
      <c r="D3295" s="105">
        <v>1125.0899999999999</v>
      </c>
      <c r="E3295" s="105">
        <v>675.05</v>
      </c>
      <c r="F3295" s="105">
        <v>27</v>
      </c>
    </row>
    <row r="3296" spans="1:6" x14ac:dyDescent="0.25">
      <c r="A3296" s="105">
        <f t="shared" si="51"/>
        <v>8303496</v>
      </c>
      <c r="B3296" s="105" t="s">
        <v>5416</v>
      </c>
      <c r="C3296" s="105" t="s">
        <v>5417</v>
      </c>
      <c r="D3296" s="105">
        <v>1187</v>
      </c>
      <c r="E3296" s="105">
        <v>712.2</v>
      </c>
      <c r="F3296" s="105">
        <v>1</v>
      </c>
    </row>
    <row r="3297" spans="1:6" x14ac:dyDescent="0.25">
      <c r="A3297" s="105">
        <f t="shared" si="51"/>
        <v>8303523</v>
      </c>
      <c r="B3297" s="105" t="s">
        <v>5418</v>
      </c>
      <c r="C3297" s="105" t="s">
        <v>5419</v>
      </c>
      <c r="D3297" s="105">
        <v>2014</v>
      </c>
      <c r="E3297" s="105">
        <v>1208.4000000000001</v>
      </c>
      <c r="F3297" s="105">
        <v>571</v>
      </c>
    </row>
    <row r="3298" spans="1:6" x14ac:dyDescent="0.25">
      <c r="A3298" s="105">
        <f t="shared" si="51"/>
        <v>8303544</v>
      </c>
      <c r="B3298" s="105" t="s">
        <v>5420</v>
      </c>
      <c r="C3298" s="105" t="s">
        <v>5421</v>
      </c>
      <c r="D3298" s="105">
        <v>1125</v>
      </c>
      <c r="E3298" s="105">
        <v>675</v>
      </c>
      <c r="F3298" s="105">
        <v>35</v>
      </c>
    </row>
    <row r="3299" spans="1:6" x14ac:dyDescent="0.25">
      <c r="A3299" s="105">
        <f t="shared" si="51"/>
        <v>8303665</v>
      </c>
      <c r="B3299" s="105" t="s">
        <v>5422</v>
      </c>
      <c r="C3299" s="105" t="s">
        <v>5423</v>
      </c>
      <c r="D3299" s="105">
        <v>1802</v>
      </c>
      <c r="E3299" s="105">
        <v>1081.2</v>
      </c>
      <c r="F3299" s="105">
        <v>6</v>
      </c>
    </row>
    <row r="3300" spans="1:6" x14ac:dyDescent="0.25">
      <c r="A3300" s="105">
        <f t="shared" si="51"/>
        <v>8303674</v>
      </c>
      <c r="B3300" s="105" t="s">
        <v>5424</v>
      </c>
      <c r="C3300" s="105" t="s">
        <v>5425</v>
      </c>
      <c r="D3300" s="105">
        <v>636</v>
      </c>
      <c r="E3300" s="105">
        <v>381.6</v>
      </c>
      <c r="F3300" s="105">
        <v>0</v>
      </c>
    </row>
    <row r="3301" spans="1:6" x14ac:dyDescent="0.25">
      <c r="A3301" s="105">
        <f t="shared" si="51"/>
        <v>8303677</v>
      </c>
      <c r="B3301" s="105" t="s">
        <v>5426</v>
      </c>
      <c r="C3301" s="105" t="s">
        <v>5427</v>
      </c>
      <c r="D3301" s="105">
        <v>636</v>
      </c>
      <c r="E3301" s="105">
        <v>381.6</v>
      </c>
      <c r="F3301" s="105">
        <v>0</v>
      </c>
    </row>
    <row r="3302" spans="1:6" x14ac:dyDescent="0.25">
      <c r="A3302" s="105" t="str">
        <f t="shared" si="51"/>
        <v/>
      </c>
      <c r="B3302" s="105" t="s">
        <v>5428</v>
      </c>
      <c r="C3302" s="105" t="s">
        <v>8</v>
      </c>
      <c r="D3302" s="105">
        <v>0</v>
      </c>
      <c r="E3302" s="105">
        <v>0</v>
      </c>
      <c r="F3302" s="105">
        <v>0</v>
      </c>
    </row>
    <row r="3303" spans="1:6" x14ac:dyDescent="0.25">
      <c r="A3303" s="105">
        <f t="shared" si="51"/>
        <v>8303700</v>
      </c>
      <c r="B3303" s="105" t="s">
        <v>5429</v>
      </c>
      <c r="C3303" s="105" t="s">
        <v>5430</v>
      </c>
      <c r="D3303" s="105">
        <v>0</v>
      </c>
      <c r="E3303" s="105">
        <v>0</v>
      </c>
      <c r="F3303" s="105">
        <v>0</v>
      </c>
    </row>
    <row r="3304" spans="1:6" x14ac:dyDescent="0.25">
      <c r="A3304" s="105">
        <f t="shared" si="51"/>
        <v>8303701</v>
      </c>
      <c r="B3304" s="105" t="s">
        <v>5431</v>
      </c>
      <c r="C3304" s="105" t="s">
        <v>5432</v>
      </c>
      <c r="D3304" s="105">
        <v>1625.16</v>
      </c>
      <c r="E3304" s="105">
        <v>975.1</v>
      </c>
      <c r="F3304" s="105">
        <v>0</v>
      </c>
    </row>
    <row r="3305" spans="1:6" x14ac:dyDescent="0.25">
      <c r="A3305" s="105">
        <f t="shared" si="51"/>
        <v>8303800</v>
      </c>
      <c r="B3305" s="105" t="s">
        <v>5433</v>
      </c>
      <c r="C3305" s="105" t="s">
        <v>5434</v>
      </c>
      <c r="D3305" s="105">
        <v>1125.0899999999999</v>
      </c>
      <c r="E3305" s="105">
        <v>675.05</v>
      </c>
      <c r="F3305" s="105">
        <v>0</v>
      </c>
    </row>
    <row r="3306" spans="1:6" x14ac:dyDescent="0.25">
      <c r="A3306" s="105">
        <f t="shared" si="51"/>
        <v>8303900</v>
      </c>
      <c r="B3306" s="105" t="s">
        <v>5435</v>
      </c>
      <c r="C3306" s="105" t="s">
        <v>5436</v>
      </c>
      <c r="D3306" s="105">
        <v>1125.0899999999999</v>
      </c>
      <c r="E3306" s="105">
        <v>675.05</v>
      </c>
      <c r="F3306" s="105">
        <v>38</v>
      </c>
    </row>
    <row r="3307" spans="1:6" x14ac:dyDescent="0.25">
      <c r="A3307" s="105">
        <f t="shared" si="51"/>
        <v>8303901</v>
      </c>
      <c r="B3307" s="105" t="s">
        <v>5437</v>
      </c>
      <c r="C3307" s="105" t="s">
        <v>5438</v>
      </c>
      <c r="D3307" s="105">
        <v>1375.14</v>
      </c>
      <c r="E3307" s="105">
        <v>825.08</v>
      </c>
      <c r="F3307" s="105">
        <v>0</v>
      </c>
    </row>
    <row r="3308" spans="1:6" x14ac:dyDescent="0.25">
      <c r="A3308" s="105">
        <f t="shared" si="51"/>
        <v>8303902</v>
      </c>
      <c r="B3308" s="105" t="s">
        <v>5439</v>
      </c>
      <c r="C3308" s="105" t="s">
        <v>5440</v>
      </c>
      <c r="D3308" s="105">
        <v>1125.0899999999999</v>
      </c>
      <c r="E3308" s="105">
        <v>675.05</v>
      </c>
      <c r="F3308" s="105">
        <v>0</v>
      </c>
    </row>
    <row r="3309" spans="1:6" x14ac:dyDescent="0.25">
      <c r="A3309" s="105" t="str">
        <f t="shared" si="51"/>
        <v/>
      </c>
      <c r="B3309" s="105" t="s">
        <v>5441</v>
      </c>
      <c r="C3309" s="105" t="s">
        <v>8</v>
      </c>
      <c r="D3309" s="105">
        <v>0</v>
      </c>
      <c r="E3309" s="105">
        <v>0</v>
      </c>
      <c r="F3309" s="105">
        <v>0</v>
      </c>
    </row>
    <row r="3310" spans="1:6" x14ac:dyDescent="0.25">
      <c r="A3310" s="105">
        <f t="shared" si="51"/>
        <v>8303987</v>
      </c>
      <c r="B3310" s="105" t="s">
        <v>5442</v>
      </c>
      <c r="C3310" s="105" t="s">
        <v>5443</v>
      </c>
      <c r="D3310" s="105">
        <v>0</v>
      </c>
      <c r="E3310" s="105">
        <v>0</v>
      </c>
      <c r="F3310" s="105">
        <v>0</v>
      </c>
    </row>
    <row r="3311" spans="1:6" x14ac:dyDescent="0.25">
      <c r="A3311" s="105">
        <f t="shared" si="51"/>
        <v>8305000</v>
      </c>
      <c r="B3311" s="105" t="s">
        <v>5444</v>
      </c>
      <c r="C3311" s="105" t="s">
        <v>5445</v>
      </c>
      <c r="D3311" s="105">
        <v>6996</v>
      </c>
      <c r="E3311" s="105">
        <v>4197.6000000000004</v>
      </c>
      <c r="F3311" s="105">
        <v>17</v>
      </c>
    </row>
    <row r="3312" spans="1:6" x14ac:dyDescent="0.25">
      <c r="A3312" s="105">
        <f t="shared" si="51"/>
        <v>8305001</v>
      </c>
      <c r="B3312" s="105" t="s">
        <v>5446</v>
      </c>
      <c r="C3312" s="105" t="s">
        <v>5447</v>
      </c>
      <c r="D3312" s="105">
        <v>6996</v>
      </c>
      <c r="E3312" s="105">
        <v>4197.6000000000004</v>
      </c>
      <c r="F3312" s="105">
        <v>0</v>
      </c>
    </row>
    <row r="3313" spans="1:6" x14ac:dyDescent="0.25">
      <c r="A3313" s="105">
        <f t="shared" si="51"/>
        <v>8305002</v>
      </c>
      <c r="B3313" s="105" t="s">
        <v>5448</v>
      </c>
      <c r="C3313" s="105" t="s">
        <v>5449</v>
      </c>
      <c r="D3313" s="105">
        <v>6996</v>
      </c>
      <c r="E3313" s="105">
        <v>4197.6000000000004</v>
      </c>
      <c r="F3313" s="105">
        <v>49</v>
      </c>
    </row>
    <row r="3314" spans="1:6" x14ac:dyDescent="0.25">
      <c r="A3314" s="105" t="str">
        <f t="shared" si="51"/>
        <v/>
      </c>
      <c r="B3314" s="105" t="s">
        <v>5450</v>
      </c>
      <c r="C3314" s="105" t="s">
        <v>8</v>
      </c>
      <c r="D3314" s="105">
        <v>0</v>
      </c>
      <c r="E3314" s="105">
        <v>0</v>
      </c>
      <c r="F3314" s="105">
        <v>0</v>
      </c>
    </row>
    <row r="3315" spans="1:6" x14ac:dyDescent="0.25">
      <c r="A3315" s="105">
        <f t="shared" si="51"/>
        <v>8305003</v>
      </c>
      <c r="B3315" s="105" t="s">
        <v>5451</v>
      </c>
      <c r="C3315" s="105" t="s">
        <v>5452</v>
      </c>
      <c r="D3315" s="105">
        <v>0</v>
      </c>
      <c r="E3315" s="105">
        <v>0</v>
      </c>
      <c r="F3315" s="105">
        <v>0</v>
      </c>
    </row>
    <row r="3316" spans="1:6" x14ac:dyDescent="0.25">
      <c r="A3316" s="105" t="str">
        <f t="shared" si="51"/>
        <v/>
      </c>
      <c r="B3316" s="105" t="s">
        <v>5453</v>
      </c>
      <c r="C3316" s="105" t="s">
        <v>8</v>
      </c>
      <c r="D3316" s="105">
        <v>0</v>
      </c>
      <c r="E3316" s="105">
        <v>0</v>
      </c>
      <c r="F3316" s="105">
        <v>0</v>
      </c>
    </row>
    <row r="3317" spans="1:6" x14ac:dyDescent="0.25">
      <c r="A3317" s="105">
        <f t="shared" si="51"/>
        <v>8305004</v>
      </c>
      <c r="B3317" s="105" t="s">
        <v>5454</v>
      </c>
      <c r="C3317" s="105" t="s">
        <v>5455</v>
      </c>
      <c r="D3317" s="105">
        <v>0</v>
      </c>
      <c r="E3317" s="105">
        <v>0</v>
      </c>
      <c r="F3317" s="105">
        <v>0</v>
      </c>
    </row>
    <row r="3318" spans="1:6" x14ac:dyDescent="0.25">
      <c r="A3318" s="105">
        <f t="shared" si="51"/>
        <v>8305006</v>
      </c>
      <c r="B3318" s="105" t="s">
        <v>5456</v>
      </c>
      <c r="C3318" s="105" t="s">
        <v>5457</v>
      </c>
      <c r="D3318" s="105">
        <v>0</v>
      </c>
      <c r="E3318" s="105">
        <v>0</v>
      </c>
      <c r="F3318" s="105">
        <v>8</v>
      </c>
    </row>
    <row r="3319" spans="1:6" x14ac:dyDescent="0.25">
      <c r="A3319" s="105">
        <f t="shared" si="51"/>
        <v>8305007</v>
      </c>
      <c r="B3319" s="105" t="s">
        <v>5458</v>
      </c>
      <c r="C3319" s="105" t="s">
        <v>5459</v>
      </c>
      <c r="D3319" s="105">
        <v>0</v>
      </c>
      <c r="E3319" s="105">
        <v>0</v>
      </c>
      <c r="F3319" s="105">
        <v>2</v>
      </c>
    </row>
    <row r="3320" spans="1:6" x14ac:dyDescent="0.25">
      <c r="A3320" s="105">
        <f t="shared" si="51"/>
        <v>8305008</v>
      </c>
      <c r="B3320" s="105" t="s">
        <v>5460</v>
      </c>
      <c r="C3320" s="105" t="s">
        <v>5461</v>
      </c>
      <c r="D3320" s="105">
        <v>0</v>
      </c>
      <c r="E3320" s="105">
        <v>0</v>
      </c>
      <c r="F3320" s="105">
        <v>0</v>
      </c>
    </row>
    <row r="3321" spans="1:6" x14ac:dyDescent="0.25">
      <c r="A3321" s="105">
        <f t="shared" si="51"/>
        <v>8305009</v>
      </c>
      <c r="B3321" s="105" t="s">
        <v>9403</v>
      </c>
      <c r="C3321" s="105" t="s">
        <v>9404</v>
      </c>
      <c r="D3321" s="105">
        <v>0</v>
      </c>
      <c r="E3321" s="105">
        <v>0</v>
      </c>
      <c r="F3321" s="105">
        <v>0</v>
      </c>
    </row>
    <row r="3322" spans="1:6" x14ac:dyDescent="0.25">
      <c r="A3322" s="105">
        <f t="shared" si="51"/>
        <v>8306100</v>
      </c>
      <c r="B3322" s="105" t="s">
        <v>5462</v>
      </c>
      <c r="C3322" s="105" t="s">
        <v>5463</v>
      </c>
      <c r="D3322" s="105">
        <v>1590</v>
      </c>
      <c r="E3322" s="105">
        <v>954</v>
      </c>
      <c r="F3322" s="105">
        <v>0</v>
      </c>
    </row>
    <row r="3323" spans="1:6" x14ac:dyDescent="0.25">
      <c r="A3323" s="105">
        <f t="shared" si="51"/>
        <v>8306101</v>
      </c>
      <c r="B3323" s="105" t="s">
        <v>5464</v>
      </c>
      <c r="C3323" s="105" t="s">
        <v>5465</v>
      </c>
      <c r="D3323" s="105">
        <v>1590</v>
      </c>
      <c r="E3323" s="105">
        <v>954</v>
      </c>
      <c r="F3323" s="105">
        <v>85</v>
      </c>
    </row>
    <row r="3324" spans="1:6" x14ac:dyDescent="0.25">
      <c r="A3324" s="105">
        <f t="shared" si="51"/>
        <v>8306200</v>
      </c>
      <c r="B3324" s="105" t="s">
        <v>5466</v>
      </c>
      <c r="C3324" s="105" t="s">
        <v>5467</v>
      </c>
      <c r="D3324" s="105">
        <v>689</v>
      </c>
      <c r="E3324" s="105">
        <v>413.4</v>
      </c>
      <c r="F3324" s="105">
        <v>37</v>
      </c>
    </row>
    <row r="3325" spans="1:6" x14ac:dyDescent="0.25">
      <c r="A3325" s="105" t="str">
        <f t="shared" si="51"/>
        <v/>
      </c>
      <c r="B3325" s="105" t="s">
        <v>5468</v>
      </c>
      <c r="C3325" s="105" t="s">
        <v>8</v>
      </c>
      <c r="D3325" s="105">
        <v>0</v>
      </c>
      <c r="E3325" s="105">
        <v>0</v>
      </c>
      <c r="F3325" s="105">
        <v>0</v>
      </c>
    </row>
    <row r="3326" spans="1:6" x14ac:dyDescent="0.25">
      <c r="A3326" s="105">
        <f t="shared" si="51"/>
        <v>8307001</v>
      </c>
      <c r="B3326" s="105" t="s">
        <v>5469</v>
      </c>
      <c r="C3326" s="105" t="s">
        <v>5470</v>
      </c>
      <c r="D3326" s="105">
        <v>0</v>
      </c>
      <c r="E3326" s="105">
        <v>0</v>
      </c>
      <c r="F3326" s="105">
        <v>0</v>
      </c>
    </row>
    <row r="3327" spans="1:6" x14ac:dyDescent="0.25">
      <c r="A3327" s="105">
        <f t="shared" si="51"/>
        <v>8307002</v>
      </c>
      <c r="B3327" s="105" t="s">
        <v>5471</v>
      </c>
      <c r="C3327" s="105" t="s">
        <v>5472</v>
      </c>
      <c r="D3327" s="105">
        <v>1337.54</v>
      </c>
      <c r="E3327" s="105">
        <v>802.52</v>
      </c>
      <c r="F3327" s="105">
        <v>0</v>
      </c>
    </row>
    <row r="3328" spans="1:6" x14ac:dyDescent="0.25">
      <c r="A3328" s="105">
        <f t="shared" si="51"/>
        <v>8307017</v>
      </c>
      <c r="B3328" s="105" t="s">
        <v>5473</v>
      </c>
      <c r="C3328" s="105" t="s">
        <v>5474</v>
      </c>
      <c r="D3328" s="105">
        <v>0</v>
      </c>
      <c r="E3328" s="105">
        <v>0</v>
      </c>
      <c r="F3328" s="105">
        <v>10</v>
      </c>
    </row>
    <row r="3329" spans="1:6" x14ac:dyDescent="0.25">
      <c r="A3329" s="105">
        <f t="shared" si="51"/>
        <v>8307018</v>
      </c>
      <c r="B3329" s="105" t="s">
        <v>5475</v>
      </c>
      <c r="C3329" s="105" t="s">
        <v>5476</v>
      </c>
      <c r="D3329" s="105">
        <v>0</v>
      </c>
      <c r="E3329" s="105">
        <v>0</v>
      </c>
      <c r="F3329" s="105">
        <v>9</v>
      </c>
    </row>
    <row r="3330" spans="1:6" x14ac:dyDescent="0.25">
      <c r="A3330" s="105" t="str">
        <f t="shared" si="51"/>
        <v/>
      </c>
      <c r="B3330" s="105" t="s">
        <v>5477</v>
      </c>
      <c r="C3330" s="105" t="s">
        <v>8</v>
      </c>
      <c r="D3330" s="105">
        <v>0</v>
      </c>
      <c r="E3330" s="105">
        <v>0</v>
      </c>
      <c r="F3330" s="105">
        <v>0</v>
      </c>
    </row>
    <row r="3331" spans="1:6" x14ac:dyDescent="0.25">
      <c r="A3331" s="105">
        <f t="shared" ref="A3331:A3394" si="52">IF(B3331&lt;&gt;"",IFERROR(B3331*1,""),"")</f>
        <v>8307159</v>
      </c>
      <c r="B3331" s="105" t="s">
        <v>5478</v>
      </c>
      <c r="C3331" s="105" t="s">
        <v>5479</v>
      </c>
      <c r="D3331" s="105">
        <v>0</v>
      </c>
      <c r="E3331" s="105">
        <v>0</v>
      </c>
      <c r="F3331" s="105">
        <v>0</v>
      </c>
    </row>
    <row r="3332" spans="1:6" x14ac:dyDescent="0.25">
      <c r="A3332" s="105">
        <f t="shared" si="52"/>
        <v>8307810</v>
      </c>
      <c r="B3332" s="105" t="s">
        <v>5480</v>
      </c>
      <c r="C3332" s="105" t="s">
        <v>5481</v>
      </c>
      <c r="D3332" s="105">
        <v>15900</v>
      </c>
      <c r="E3332" s="105">
        <v>9540</v>
      </c>
      <c r="F3332" s="105">
        <v>3</v>
      </c>
    </row>
    <row r="3333" spans="1:6" x14ac:dyDescent="0.25">
      <c r="A3333" s="105" t="str">
        <f t="shared" si="52"/>
        <v/>
      </c>
      <c r="B3333" s="105" t="s">
        <v>5482</v>
      </c>
      <c r="C3333" s="105" t="s">
        <v>8</v>
      </c>
      <c r="D3333" s="105">
        <v>0</v>
      </c>
      <c r="E3333" s="105">
        <v>0</v>
      </c>
      <c r="F3333" s="105">
        <v>0</v>
      </c>
    </row>
    <row r="3334" spans="1:6" x14ac:dyDescent="0.25">
      <c r="A3334" s="105">
        <f t="shared" si="52"/>
        <v>8307811</v>
      </c>
      <c r="B3334" s="105" t="s">
        <v>5483</v>
      </c>
      <c r="C3334" s="105" t="s">
        <v>5484</v>
      </c>
      <c r="D3334" s="105">
        <v>0</v>
      </c>
      <c r="E3334" s="105">
        <v>0</v>
      </c>
      <c r="F3334" s="105">
        <v>0</v>
      </c>
    </row>
    <row r="3335" spans="1:6" x14ac:dyDescent="0.25">
      <c r="A3335" s="105" t="str">
        <f t="shared" si="52"/>
        <v/>
      </c>
      <c r="B3335" s="105" t="s">
        <v>5485</v>
      </c>
      <c r="C3335" s="105" t="s">
        <v>8</v>
      </c>
      <c r="D3335" s="105">
        <v>0</v>
      </c>
      <c r="E3335" s="105">
        <v>0</v>
      </c>
      <c r="F3335" s="105">
        <v>0</v>
      </c>
    </row>
    <row r="3336" spans="1:6" x14ac:dyDescent="0.25">
      <c r="A3336" s="105">
        <f t="shared" si="52"/>
        <v>8307812</v>
      </c>
      <c r="B3336" s="105" t="s">
        <v>5486</v>
      </c>
      <c r="C3336" s="105" t="s">
        <v>5487</v>
      </c>
      <c r="D3336" s="105">
        <v>0</v>
      </c>
      <c r="E3336" s="105">
        <v>0</v>
      </c>
      <c r="F3336" s="105">
        <v>0</v>
      </c>
    </row>
    <row r="3337" spans="1:6" x14ac:dyDescent="0.25">
      <c r="A3337" s="105" t="str">
        <f t="shared" si="52"/>
        <v/>
      </c>
      <c r="B3337" s="105" t="s">
        <v>5488</v>
      </c>
      <c r="C3337" s="105" t="s">
        <v>8</v>
      </c>
      <c r="D3337" s="105">
        <v>0</v>
      </c>
      <c r="E3337" s="105">
        <v>0</v>
      </c>
      <c r="F3337" s="105">
        <v>0</v>
      </c>
    </row>
    <row r="3338" spans="1:6" x14ac:dyDescent="0.25">
      <c r="A3338" s="105">
        <f t="shared" si="52"/>
        <v>8307813</v>
      </c>
      <c r="B3338" s="105" t="s">
        <v>5489</v>
      </c>
      <c r="C3338" s="105" t="s">
        <v>5490</v>
      </c>
      <c r="D3338" s="105">
        <v>0</v>
      </c>
      <c r="E3338" s="105">
        <v>0</v>
      </c>
      <c r="F3338" s="105">
        <v>0</v>
      </c>
    </row>
    <row r="3339" spans="1:6" x14ac:dyDescent="0.25">
      <c r="A3339" s="105" t="str">
        <f t="shared" si="52"/>
        <v/>
      </c>
      <c r="B3339" s="105" t="s">
        <v>5491</v>
      </c>
      <c r="C3339" s="105" t="s">
        <v>8</v>
      </c>
      <c r="D3339" s="105">
        <v>0</v>
      </c>
      <c r="E3339" s="105">
        <v>0</v>
      </c>
      <c r="F3339" s="105">
        <v>0</v>
      </c>
    </row>
    <row r="3340" spans="1:6" x14ac:dyDescent="0.25">
      <c r="A3340" s="105">
        <f t="shared" si="52"/>
        <v>8351026</v>
      </c>
      <c r="B3340" s="105" t="s">
        <v>5492</v>
      </c>
      <c r="C3340" s="105" t="s">
        <v>5493</v>
      </c>
      <c r="D3340" s="105">
        <v>0</v>
      </c>
      <c r="E3340" s="105">
        <v>0</v>
      </c>
      <c r="F3340" s="105">
        <v>0</v>
      </c>
    </row>
    <row r="3341" spans="1:6" x14ac:dyDescent="0.25">
      <c r="A3341" s="105">
        <f t="shared" si="52"/>
        <v>8400000</v>
      </c>
      <c r="B3341" s="105" t="s">
        <v>5494</v>
      </c>
      <c r="C3341" s="105" t="s">
        <v>5495</v>
      </c>
      <c r="D3341" s="105">
        <v>636</v>
      </c>
      <c r="E3341" s="105">
        <v>381.6</v>
      </c>
      <c r="F3341" s="105">
        <v>0</v>
      </c>
    </row>
    <row r="3342" spans="1:6" x14ac:dyDescent="0.25">
      <c r="A3342" s="105">
        <f t="shared" si="52"/>
        <v>8400001</v>
      </c>
      <c r="B3342" s="105" t="s">
        <v>5496</v>
      </c>
      <c r="C3342" s="105" t="s">
        <v>5497</v>
      </c>
      <c r="D3342" s="105">
        <v>636</v>
      </c>
      <c r="E3342" s="105">
        <v>381.6</v>
      </c>
      <c r="F3342" s="105">
        <v>0</v>
      </c>
    </row>
    <row r="3343" spans="1:6" x14ac:dyDescent="0.25">
      <c r="A3343" s="105">
        <f t="shared" si="52"/>
        <v>8400002</v>
      </c>
      <c r="B3343" s="105" t="s">
        <v>5498</v>
      </c>
      <c r="C3343" s="105" t="s">
        <v>5499</v>
      </c>
      <c r="D3343" s="105">
        <v>636</v>
      </c>
      <c r="E3343" s="105">
        <v>381.6</v>
      </c>
      <c r="F3343" s="105">
        <v>0</v>
      </c>
    </row>
    <row r="3344" spans="1:6" x14ac:dyDescent="0.25">
      <c r="A3344" s="105">
        <f t="shared" si="52"/>
        <v>8400003</v>
      </c>
      <c r="B3344" s="105" t="s">
        <v>5500</v>
      </c>
      <c r="C3344" s="105" t="s">
        <v>9405</v>
      </c>
      <c r="D3344" s="105">
        <v>848</v>
      </c>
      <c r="E3344" s="105">
        <v>508.8</v>
      </c>
      <c r="F3344" s="105">
        <v>0</v>
      </c>
    </row>
    <row r="3345" spans="1:6" x14ac:dyDescent="0.25">
      <c r="A3345" s="105">
        <f t="shared" si="52"/>
        <v>8400004</v>
      </c>
      <c r="B3345" s="105" t="s">
        <v>9406</v>
      </c>
      <c r="C3345" s="105" t="s">
        <v>9407</v>
      </c>
      <c r="D3345" s="105">
        <v>943.4</v>
      </c>
      <c r="E3345" s="105">
        <v>566.04</v>
      </c>
      <c r="F3345" s="105">
        <v>0</v>
      </c>
    </row>
    <row r="3346" spans="1:6" x14ac:dyDescent="0.25">
      <c r="A3346" s="105">
        <f t="shared" si="52"/>
        <v>8400008</v>
      </c>
      <c r="B3346" s="105" t="s">
        <v>5501</v>
      </c>
      <c r="C3346" s="105" t="s">
        <v>5502</v>
      </c>
      <c r="D3346" s="105">
        <v>943.4</v>
      </c>
      <c r="E3346" s="105">
        <v>566.04</v>
      </c>
      <c r="F3346" s="105">
        <v>0</v>
      </c>
    </row>
    <row r="3347" spans="1:6" x14ac:dyDescent="0.25">
      <c r="A3347" s="105" t="str">
        <f t="shared" si="52"/>
        <v/>
      </c>
      <c r="B3347" s="105" t="s">
        <v>5503</v>
      </c>
      <c r="C3347" s="105" t="s">
        <v>8</v>
      </c>
      <c r="D3347" s="105">
        <v>0</v>
      </c>
      <c r="E3347" s="105">
        <v>0</v>
      </c>
      <c r="F3347" s="105">
        <v>0</v>
      </c>
    </row>
    <row r="3348" spans="1:6" x14ac:dyDescent="0.25">
      <c r="A3348" s="105">
        <f t="shared" si="52"/>
        <v>8400009</v>
      </c>
      <c r="B3348" s="105" t="s">
        <v>5504</v>
      </c>
      <c r="C3348" s="105" t="s">
        <v>5505</v>
      </c>
      <c r="D3348" s="105">
        <v>0</v>
      </c>
      <c r="E3348" s="105">
        <v>0</v>
      </c>
      <c r="F3348" s="105">
        <v>0</v>
      </c>
    </row>
    <row r="3349" spans="1:6" x14ac:dyDescent="0.25">
      <c r="A3349" s="105">
        <f t="shared" si="52"/>
        <v>8400010</v>
      </c>
      <c r="B3349" s="105" t="s">
        <v>5506</v>
      </c>
      <c r="C3349" s="105" t="s">
        <v>5507</v>
      </c>
      <c r="D3349" s="105">
        <v>636</v>
      </c>
      <c r="E3349" s="105">
        <v>381.6</v>
      </c>
      <c r="F3349" s="105">
        <v>4</v>
      </c>
    </row>
    <row r="3350" spans="1:6" x14ac:dyDescent="0.25">
      <c r="A3350" s="105" t="str">
        <f t="shared" si="52"/>
        <v/>
      </c>
      <c r="B3350" s="105" t="s">
        <v>5508</v>
      </c>
      <c r="C3350" s="105" t="s">
        <v>8</v>
      </c>
      <c r="D3350" s="105">
        <v>0</v>
      </c>
      <c r="E3350" s="105">
        <v>0</v>
      </c>
      <c r="F3350" s="105">
        <v>0</v>
      </c>
    </row>
    <row r="3351" spans="1:6" x14ac:dyDescent="0.25">
      <c r="A3351" s="105">
        <f t="shared" si="52"/>
        <v>8400020</v>
      </c>
      <c r="B3351" s="105" t="s">
        <v>5509</v>
      </c>
      <c r="C3351" s="105" t="s">
        <v>5510</v>
      </c>
      <c r="D3351" s="105">
        <v>0</v>
      </c>
      <c r="E3351" s="105">
        <v>0</v>
      </c>
      <c r="F3351" s="105">
        <v>0</v>
      </c>
    </row>
    <row r="3352" spans="1:6" x14ac:dyDescent="0.25">
      <c r="A3352" s="105" t="str">
        <f t="shared" si="52"/>
        <v/>
      </c>
      <c r="B3352" s="105" t="s">
        <v>5511</v>
      </c>
      <c r="C3352" s="105" t="s">
        <v>8</v>
      </c>
      <c r="D3352" s="105">
        <v>0</v>
      </c>
      <c r="E3352" s="105">
        <v>0</v>
      </c>
      <c r="F3352" s="105">
        <v>0</v>
      </c>
    </row>
    <row r="3353" spans="1:6" x14ac:dyDescent="0.25">
      <c r="A3353" s="105">
        <f t="shared" si="52"/>
        <v>8400021</v>
      </c>
      <c r="B3353" s="105" t="s">
        <v>5512</v>
      </c>
      <c r="C3353" s="105" t="s">
        <v>5513</v>
      </c>
      <c r="D3353" s="105">
        <v>0</v>
      </c>
      <c r="E3353" s="105">
        <v>0</v>
      </c>
      <c r="F3353" s="105">
        <v>0</v>
      </c>
    </row>
    <row r="3354" spans="1:6" x14ac:dyDescent="0.25">
      <c r="A3354" s="105">
        <f t="shared" si="52"/>
        <v>8400024</v>
      </c>
      <c r="B3354" s="105" t="s">
        <v>5514</v>
      </c>
      <c r="C3354" s="105" t="s">
        <v>5515</v>
      </c>
      <c r="D3354" s="105">
        <v>943.4</v>
      </c>
      <c r="E3354" s="105">
        <v>566.04</v>
      </c>
      <c r="F3354" s="105">
        <v>0</v>
      </c>
    </row>
    <row r="3355" spans="1:6" x14ac:dyDescent="0.25">
      <c r="A3355" s="105" t="str">
        <f t="shared" si="52"/>
        <v/>
      </c>
      <c r="B3355" s="105" t="s">
        <v>5516</v>
      </c>
      <c r="C3355" s="105" t="s">
        <v>8</v>
      </c>
      <c r="D3355" s="105">
        <v>0</v>
      </c>
      <c r="E3355" s="105">
        <v>0</v>
      </c>
      <c r="F3355" s="105">
        <v>0</v>
      </c>
    </row>
    <row r="3356" spans="1:6" x14ac:dyDescent="0.25">
      <c r="A3356" s="105">
        <f t="shared" si="52"/>
        <v>8400025</v>
      </c>
      <c r="B3356" s="105" t="s">
        <v>5517</v>
      </c>
      <c r="C3356" s="105" t="s">
        <v>5518</v>
      </c>
      <c r="D3356" s="105">
        <v>0</v>
      </c>
      <c r="E3356" s="105">
        <v>0</v>
      </c>
      <c r="F3356" s="105">
        <v>0</v>
      </c>
    </row>
    <row r="3357" spans="1:6" x14ac:dyDescent="0.25">
      <c r="A3357" s="105">
        <f t="shared" si="52"/>
        <v>8400026</v>
      </c>
      <c r="B3357" s="105" t="s">
        <v>5519</v>
      </c>
      <c r="C3357" s="105" t="s">
        <v>5520</v>
      </c>
      <c r="D3357" s="105">
        <v>943.4</v>
      </c>
      <c r="E3357" s="105">
        <v>566.04</v>
      </c>
      <c r="F3357" s="105">
        <v>0</v>
      </c>
    </row>
    <row r="3358" spans="1:6" x14ac:dyDescent="0.25">
      <c r="A3358" s="105">
        <f t="shared" si="52"/>
        <v>8400027</v>
      </c>
      <c r="B3358" s="105" t="s">
        <v>5521</v>
      </c>
      <c r="C3358" s="105" t="s">
        <v>5522</v>
      </c>
      <c r="D3358" s="105">
        <v>943.4</v>
      </c>
      <c r="E3358" s="105">
        <v>566.04</v>
      </c>
      <c r="F3358" s="105">
        <v>0</v>
      </c>
    </row>
    <row r="3359" spans="1:6" x14ac:dyDescent="0.25">
      <c r="A3359" s="105" t="str">
        <f t="shared" si="52"/>
        <v/>
      </c>
      <c r="B3359" s="105" t="s">
        <v>5523</v>
      </c>
      <c r="C3359" s="105" t="s">
        <v>8</v>
      </c>
      <c r="D3359" s="105">
        <v>0</v>
      </c>
      <c r="E3359" s="105">
        <v>0</v>
      </c>
      <c r="F3359" s="105">
        <v>0</v>
      </c>
    </row>
    <row r="3360" spans="1:6" x14ac:dyDescent="0.25">
      <c r="A3360" s="105">
        <f t="shared" si="52"/>
        <v>8400028</v>
      </c>
      <c r="B3360" s="105" t="s">
        <v>5524</v>
      </c>
      <c r="C3360" s="105" t="s">
        <v>5525</v>
      </c>
      <c r="D3360" s="105">
        <v>0</v>
      </c>
      <c r="E3360" s="105">
        <v>0</v>
      </c>
      <c r="F3360" s="105">
        <v>0</v>
      </c>
    </row>
    <row r="3361" spans="1:6" x14ac:dyDescent="0.25">
      <c r="A3361" s="105" t="str">
        <f t="shared" si="52"/>
        <v/>
      </c>
      <c r="B3361" s="105" t="s">
        <v>5526</v>
      </c>
      <c r="C3361" s="105" t="s">
        <v>8</v>
      </c>
      <c r="D3361" s="105">
        <v>0</v>
      </c>
      <c r="E3361" s="105">
        <v>0</v>
      </c>
      <c r="F3361" s="105">
        <v>0</v>
      </c>
    </row>
    <row r="3362" spans="1:6" x14ac:dyDescent="0.25">
      <c r="A3362" s="105">
        <f t="shared" si="52"/>
        <v>8400029</v>
      </c>
      <c r="B3362" s="105" t="s">
        <v>5527</v>
      </c>
      <c r="C3362" s="105" t="s">
        <v>5528</v>
      </c>
      <c r="D3362" s="105">
        <v>0</v>
      </c>
      <c r="E3362" s="105">
        <v>0</v>
      </c>
      <c r="F3362" s="105">
        <v>0</v>
      </c>
    </row>
    <row r="3363" spans="1:6" x14ac:dyDescent="0.25">
      <c r="A3363" s="105" t="str">
        <f t="shared" si="52"/>
        <v/>
      </c>
      <c r="B3363" s="105" t="s">
        <v>5529</v>
      </c>
      <c r="C3363" s="105" t="s">
        <v>8</v>
      </c>
      <c r="D3363" s="105">
        <v>0</v>
      </c>
      <c r="E3363" s="105">
        <v>0</v>
      </c>
      <c r="F3363" s="105">
        <v>0</v>
      </c>
    </row>
    <row r="3364" spans="1:6" x14ac:dyDescent="0.25">
      <c r="A3364" s="105">
        <f t="shared" si="52"/>
        <v>8400030</v>
      </c>
      <c r="B3364" s="105" t="s">
        <v>5530</v>
      </c>
      <c r="C3364" s="105" t="s">
        <v>5531</v>
      </c>
      <c r="D3364" s="105">
        <v>0</v>
      </c>
      <c r="E3364" s="105">
        <v>0</v>
      </c>
      <c r="F3364" s="105">
        <v>0</v>
      </c>
    </row>
    <row r="3365" spans="1:6" x14ac:dyDescent="0.25">
      <c r="A3365" s="105">
        <f t="shared" si="52"/>
        <v>8400032</v>
      </c>
      <c r="B3365" s="105" t="s">
        <v>5532</v>
      </c>
      <c r="C3365" s="105" t="s">
        <v>5533</v>
      </c>
      <c r="D3365" s="105">
        <v>0</v>
      </c>
      <c r="E3365" s="105">
        <v>0</v>
      </c>
      <c r="F3365" s="105">
        <v>0</v>
      </c>
    </row>
    <row r="3366" spans="1:6" x14ac:dyDescent="0.25">
      <c r="A3366" s="105">
        <f t="shared" si="52"/>
        <v>8400035</v>
      </c>
      <c r="B3366" s="105" t="s">
        <v>5534</v>
      </c>
      <c r="C3366" s="105" t="s">
        <v>5535</v>
      </c>
      <c r="D3366" s="105">
        <v>0</v>
      </c>
      <c r="E3366" s="105">
        <v>0</v>
      </c>
      <c r="F3366" s="105">
        <v>0</v>
      </c>
    </row>
    <row r="3367" spans="1:6" x14ac:dyDescent="0.25">
      <c r="A3367" s="105">
        <f t="shared" si="52"/>
        <v>8400036</v>
      </c>
      <c r="B3367" s="105" t="s">
        <v>5536</v>
      </c>
      <c r="C3367" s="105" t="s">
        <v>5537</v>
      </c>
      <c r="D3367" s="105">
        <v>0</v>
      </c>
      <c r="E3367" s="105">
        <v>0</v>
      </c>
      <c r="F3367" s="105">
        <v>0</v>
      </c>
    </row>
    <row r="3368" spans="1:6" x14ac:dyDescent="0.25">
      <c r="A3368" s="105">
        <f t="shared" si="52"/>
        <v>8400062</v>
      </c>
      <c r="B3368" s="105" t="s">
        <v>5538</v>
      </c>
      <c r="C3368" s="105" t="s">
        <v>5539</v>
      </c>
      <c r="D3368" s="105">
        <v>943.4</v>
      </c>
      <c r="E3368" s="105">
        <v>566.04</v>
      </c>
      <c r="F3368" s="105">
        <v>0</v>
      </c>
    </row>
    <row r="3369" spans="1:6" x14ac:dyDescent="0.25">
      <c r="A3369" s="105">
        <f t="shared" si="52"/>
        <v>8400070</v>
      </c>
      <c r="B3369" s="105" t="s">
        <v>5540</v>
      </c>
      <c r="C3369" s="105" t="s">
        <v>5541</v>
      </c>
      <c r="D3369" s="105">
        <v>225.39</v>
      </c>
      <c r="E3369" s="105">
        <v>135.22999999999999</v>
      </c>
      <c r="F3369" s="105">
        <v>91</v>
      </c>
    </row>
    <row r="3370" spans="1:6" x14ac:dyDescent="0.25">
      <c r="A3370" s="105">
        <f t="shared" si="52"/>
        <v>8400076</v>
      </c>
      <c r="B3370" s="105" t="s">
        <v>5542</v>
      </c>
      <c r="C3370" s="105" t="s">
        <v>5543</v>
      </c>
      <c r="D3370" s="105">
        <v>0</v>
      </c>
      <c r="E3370" s="105">
        <v>0</v>
      </c>
      <c r="F3370" s="105">
        <v>0</v>
      </c>
    </row>
    <row r="3371" spans="1:6" x14ac:dyDescent="0.25">
      <c r="A3371" s="105">
        <f t="shared" si="52"/>
        <v>8400080</v>
      </c>
      <c r="B3371" s="105" t="s">
        <v>5544</v>
      </c>
      <c r="C3371" s="105" t="s">
        <v>5545</v>
      </c>
      <c r="D3371" s="105">
        <v>189.43</v>
      </c>
      <c r="E3371" s="105">
        <v>113.66</v>
      </c>
      <c r="F3371" s="105">
        <v>10</v>
      </c>
    </row>
    <row r="3372" spans="1:6" x14ac:dyDescent="0.25">
      <c r="A3372" s="105" t="str">
        <f t="shared" si="52"/>
        <v/>
      </c>
      <c r="B3372" s="105" t="s">
        <v>5546</v>
      </c>
      <c r="C3372" s="105" t="s">
        <v>8</v>
      </c>
      <c r="D3372" s="105">
        <v>0</v>
      </c>
      <c r="E3372" s="105">
        <v>0</v>
      </c>
      <c r="F3372" s="105">
        <v>0</v>
      </c>
    </row>
    <row r="3373" spans="1:6" x14ac:dyDescent="0.25">
      <c r="A3373" s="105">
        <f t="shared" si="52"/>
        <v>8400085</v>
      </c>
      <c r="B3373" s="105" t="s">
        <v>5547</v>
      </c>
      <c r="C3373" s="105" t="s">
        <v>5548</v>
      </c>
      <c r="D3373" s="105">
        <v>0</v>
      </c>
      <c r="E3373" s="105">
        <v>0</v>
      </c>
      <c r="F3373" s="105">
        <v>0</v>
      </c>
    </row>
    <row r="3374" spans="1:6" x14ac:dyDescent="0.25">
      <c r="A3374" s="105" t="str">
        <f t="shared" si="52"/>
        <v/>
      </c>
      <c r="B3374" s="105" t="s">
        <v>5549</v>
      </c>
      <c r="C3374" s="105" t="s">
        <v>8</v>
      </c>
      <c r="D3374" s="105">
        <v>0</v>
      </c>
      <c r="E3374" s="105">
        <v>0</v>
      </c>
      <c r="F3374" s="105">
        <v>0</v>
      </c>
    </row>
    <row r="3375" spans="1:6" x14ac:dyDescent="0.25">
      <c r="A3375" s="105">
        <f t="shared" si="52"/>
        <v>8400086</v>
      </c>
      <c r="B3375" s="105" t="s">
        <v>5550</v>
      </c>
      <c r="C3375" s="105" t="s">
        <v>5551</v>
      </c>
      <c r="D3375" s="105">
        <v>0</v>
      </c>
      <c r="E3375" s="105">
        <v>0</v>
      </c>
      <c r="F3375" s="105">
        <v>0</v>
      </c>
    </row>
    <row r="3376" spans="1:6" x14ac:dyDescent="0.25">
      <c r="A3376" s="105" t="str">
        <f t="shared" si="52"/>
        <v/>
      </c>
      <c r="B3376" s="105" t="s">
        <v>5552</v>
      </c>
      <c r="C3376" s="105" t="s">
        <v>8</v>
      </c>
      <c r="D3376" s="105">
        <v>0</v>
      </c>
      <c r="E3376" s="105">
        <v>0</v>
      </c>
      <c r="F3376" s="105">
        <v>0</v>
      </c>
    </row>
    <row r="3377" spans="1:6" x14ac:dyDescent="0.25">
      <c r="A3377" s="105">
        <f t="shared" si="52"/>
        <v>8400087</v>
      </c>
      <c r="B3377" s="105" t="s">
        <v>5553</v>
      </c>
      <c r="C3377" s="105" t="s">
        <v>5554</v>
      </c>
      <c r="D3377" s="105">
        <v>0</v>
      </c>
      <c r="E3377" s="105">
        <v>0</v>
      </c>
      <c r="F3377" s="105">
        <v>0</v>
      </c>
    </row>
    <row r="3378" spans="1:6" x14ac:dyDescent="0.25">
      <c r="A3378" s="105" t="str">
        <f t="shared" si="52"/>
        <v/>
      </c>
      <c r="B3378" s="105" t="s">
        <v>5555</v>
      </c>
      <c r="C3378" s="105" t="s">
        <v>8</v>
      </c>
      <c r="D3378" s="105">
        <v>0</v>
      </c>
      <c r="E3378" s="105">
        <v>0</v>
      </c>
      <c r="F3378" s="105">
        <v>0</v>
      </c>
    </row>
    <row r="3379" spans="1:6" x14ac:dyDescent="0.25">
      <c r="A3379" s="105">
        <f t="shared" si="52"/>
        <v>8400088</v>
      </c>
      <c r="B3379" s="105" t="s">
        <v>5556</v>
      </c>
      <c r="C3379" s="105" t="s">
        <v>5557</v>
      </c>
      <c r="D3379" s="105">
        <v>0</v>
      </c>
      <c r="E3379" s="105">
        <v>0</v>
      </c>
      <c r="F3379" s="105">
        <v>0</v>
      </c>
    </row>
    <row r="3380" spans="1:6" x14ac:dyDescent="0.25">
      <c r="A3380" s="105" t="str">
        <f t="shared" si="52"/>
        <v/>
      </c>
      <c r="B3380" s="105" t="s">
        <v>5558</v>
      </c>
      <c r="C3380" s="105" t="s">
        <v>8</v>
      </c>
      <c r="D3380" s="105">
        <v>0</v>
      </c>
      <c r="E3380" s="105">
        <v>0</v>
      </c>
      <c r="F3380" s="105">
        <v>0</v>
      </c>
    </row>
    <row r="3381" spans="1:6" x14ac:dyDescent="0.25">
      <c r="A3381" s="105">
        <f t="shared" si="52"/>
        <v>8400089</v>
      </c>
      <c r="B3381" s="105" t="s">
        <v>5559</v>
      </c>
      <c r="C3381" s="105" t="s">
        <v>5560</v>
      </c>
      <c r="D3381" s="105">
        <v>0</v>
      </c>
      <c r="E3381" s="105">
        <v>0</v>
      </c>
      <c r="F3381" s="105">
        <v>0</v>
      </c>
    </row>
    <row r="3382" spans="1:6" x14ac:dyDescent="0.25">
      <c r="A3382" s="105" t="str">
        <f t="shared" si="52"/>
        <v/>
      </c>
      <c r="B3382" s="105" t="s">
        <v>5561</v>
      </c>
      <c r="C3382" s="105" t="s">
        <v>8</v>
      </c>
      <c r="D3382" s="105">
        <v>0</v>
      </c>
      <c r="E3382" s="105">
        <v>0</v>
      </c>
      <c r="F3382" s="105">
        <v>0</v>
      </c>
    </row>
    <row r="3383" spans="1:6" x14ac:dyDescent="0.25">
      <c r="A3383" s="105">
        <f t="shared" si="52"/>
        <v>8400090</v>
      </c>
      <c r="B3383" s="105" t="s">
        <v>5562</v>
      </c>
      <c r="C3383" s="105" t="s">
        <v>5563</v>
      </c>
      <c r="D3383" s="105">
        <v>0</v>
      </c>
      <c r="E3383" s="105">
        <v>0</v>
      </c>
      <c r="F3383" s="105">
        <v>0</v>
      </c>
    </row>
    <row r="3384" spans="1:6" x14ac:dyDescent="0.25">
      <c r="A3384" s="105">
        <f t="shared" si="52"/>
        <v>8400091</v>
      </c>
      <c r="B3384" s="105" t="s">
        <v>9408</v>
      </c>
      <c r="C3384" s="105" t="s">
        <v>9409</v>
      </c>
      <c r="D3384" s="105">
        <v>1102.4000000000001</v>
      </c>
      <c r="E3384" s="105">
        <v>661.44</v>
      </c>
      <c r="F3384" s="105">
        <v>0</v>
      </c>
    </row>
    <row r="3385" spans="1:6" x14ac:dyDescent="0.25">
      <c r="A3385" s="105">
        <f t="shared" si="52"/>
        <v>8400105</v>
      </c>
      <c r="B3385" s="105" t="s">
        <v>5564</v>
      </c>
      <c r="C3385" s="105" t="s">
        <v>5565</v>
      </c>
      <c r="D3385" s="105">
        <v>943.4</v>
      </c>
      <c r="E3385" s="105">
        <v>566.04</v>
      </c>
      <c r="F3385" s="105">
        <v>0</v>
      </c>
    </row>
    <row r="3386" spans="1:6" x14ac:dyDescent="0.25">
      <c r="A3386" s="105" t="str">
        <f t="shared" si="52"/>
        <v/>
      </c>
      <c r="B3386" s="105" t="s">
        <v>5566</v>
      </c>
      <c r="C3386" s="105" t="s">
        <v>8</v>
      </c>
      <c r="D3386" s="105">
        <v>0</v>
      </c>
      <c r="E3386" s="105">
        <v>0</v>
      </c>
      <c r="F3386" s="105">
        <v>0</v>
      </c>
    </row>
    <row r="3387" spans="1:6" x14ac:dyDescent="0.25">
      <c r="A3387" s="105">
        <f t="shared" si="52"/>
        <v>8400106</v>
      </c>
      <c r="B3387" s="105" t="s">
        <v>5567</v>
      </c>
      <c r="C3387" s="105" t="s">
        <v>5568</v>
      </c>
      <c r="D3387" s="105">
        <v>0</v>
      </c>
      <c r="E3387" s="105">
        <v>0</v>
      </c>
      <c r="F3387" s="105">
        <v>0</v>
      </c>
    </row>
    <row r="3388" spans="1:6" x14ac:dyDescent="0.25">
      <c r="A3388" s="105">
        <f t="shared" si="52"/>
        <v>8400107</v>
      </c>
      <c r="B3388" s="105" t="s">
        <v>9410</v>
      </c>
      <c r="C3388" s="105" t="s">
        <v>9411</v>
      </c>
      <c r="D3388" s="105">
        <v>1219</v>
      </c>
      <c r="E3388" s="105">
        <v>731.4</v>
      </c>
      <c r="F3388" s="105">
        <v>0</v>
      </c>
    </row>
    <row r="3389" spans="1:6" x14ac:dyDescent="0.25">
      <c r="A3389" s="105">
        <f t="shared" si="52"/>
        <v>8400110</v>
      </c>
      <c r="B3389" s="105" t="s">
        <v>5569</v>
      </c>
      <c r="C3389" s="105" t="s">
        <v>5570</v>
      </c>
      <c r="D3389" s="105">
        <v>943.4</v>
      </c>
      <c r="E3389" s="105">
        <v>566.04</v>
      </c>
      <c r="F3389" s="105">
        <v>0</v>
      </c>
    </row>
    <row r="3390" spans="1:6" x14ac:dyDescent="0.25">
      <c r="A3390" s="105">
        <f t="shared" si="52"/>
        <v>8400111</v>
      </c>
      <c r="B3390" s="105" t="s">
        <v>5571</v>
      </c>
      <c r="C3390" s="105" t="s">
        <v>5572</v>
      </c>
      <c r="D3390" s="105">
        <v>784.4</v>
      </c>
      <c r="E3390" s="105">
        <v>470.64</v>
      </c>
      <c r="F3390" s="105">
        <v>0</v>
      </c>
    </row>
    <row r="3391" spans="1:6" x14ac:dyDescent="0.25">
      <c r="A3391" s="105">
        <f t="shared" si="52"/>
        <v>8400112</v>
      </c>
      <c r="B3391" s="105" t="s">
        <v>5573</v>
      </c>
      <c r="C3391" s="105" t="s">
        <v>5574</v>
      </c>
      <c r="D3391" s="105">
        <v>943.4</v>
      </c>
      <c r="E3391" s="105">
        <v>566.04</v>
      </c>
      <c r="F3391" s="105">
        <v>0</v>
      </c>
    </row>
    <row r="3392" spans="1:6" x14ac:dyDescent="0.25">
      <c r="A3392" s="105" t="str">
        <f t="shared" si="52"/>
        <v/>
      </c>
      <c r="B3392" s="105" t="s">
        <v>5575</v>
      </c>
      <c r="C3392" s="105" t="s">
        <v>8</v>
      </c>
      <c r="D3392" s="105">
        <v>0</v>
      </c>
      <c r="E3392" s="105">
        <v>0</v>
      </c>
      <c r="F3392" s="105">
        <v>0</v>
      </c>
    </row>
    <row r="3393" spans="1:6" x14ac:dyDescent="0.25">
      <c r="A3393" s="105">
        <f t="shared" si="52"/>
        <v>8400113</v>
      </c>
      <c r="B3393" s="105" t="s">
        <v>5576</v>
      </c>
      <c r="C3393" s="105" t="s">
        <v>5577</v>
      </c>
      <c r="D3393" s="105">
        <v>0</v>
      </c>
      <c r="E3393" s="105">
        <v>0</v>
      </c>
      <c r="F3393" s="105">
        <v>0</v>
      </c>
    </row>
    <row r="3394" spans="1:6" x14ac:dyDescent="0.25">
      <c r="A3394" s="105" t="str">
        <f t="shared" si="52"/>
        <v/>
      </c>
      <c r="B3394" s="105" t="s">
        <v>5578</v>
      </c>
      <c r="C3394" s="105" t="s">
        <v>8</v>
      </c>
      <c r="D3394" s="105">
        <v>0</v>
      </c>
      <c r="E3394" s="105">
        <v>0</v>
      </c>
      <c r="F3394" s="105">
        <v>0</v>
      </c>
    </row>
    <row r="3395" spans="1:6" x14ac:dyDescent="0.25">
      <c r="A3395" s="105">
        <f t="shared" ref="A3395:A3458" si="53">IF(B3395&lt;&gt;"",IFERROR(B3395*1,""),"")</f>
        <v>8400114</v>
      </c>
      <c r="B3395" s="105" t="s">
        <v>5579</v>
      </c>
      <c r="C3395" s="105" t="s">
        <v>5580</v>
      </c>
      <c r="D3395" s="105">
        <v>0</v>
      </c>
      <c r="E3395" s="105">
        <v>0</v>
      </c>
      <c r="F3395" s="105">
        <v>0</v>
      </c>
    </row>
    <row r="3396" spans="1:6" x14ac:dyDescent="0.25">
      <c r="A3396" s="105">
        <f t="shared" si="53"/>
        <v>8400116</v>
      </c>
      <c r="B3396" s="105" t="s">
        <v>5581</v>
      </c>
      <c r="C3396" s="105" t="s">
        <v>5582</v>
      </c>
      <c r="D3396" s="105">
        <v>839.83</v>
      </c>
      <c r="E3396" s="105">
        <v>503.9</v>
      </c>
      <c r="F3396" s="105">
        <v>0</v>
      </c>
    </row>
    <row r="3397" spans="1:6" x14ac:dyDescent="0.25">
      <c r="A3397" s="105" t="str">
        <f t="shared" si="53"/>
        <v/>
      </c>
      <c r="B3397" s="105" t="s">
        <v>5583</v>
      </c>
      <c r="C3397" s="105" t="s">
        <v>8</v>
      </c>
      <c r="D3397" s="105">
        <v>0</v>
      </c>
      <c r="E3397" s="105">
        <v>0</v>
      </c>
      <c r="F3397" s="105">
        <v>0</v>
      </c>
    </row>
    <row r="3398" spans="1:6" x14ac:dyDescent="0.25">
      <c r="A3398" s="105">
        <f t="shared" si="53"/>
        <v>8400117</v>
      </c>
      <c r="B3398" s="105" t="s">
        <v>5584</v>
      </c>
      <c r="C3398" s="105" t="s">
        <v>5585</v>
      </c>
      <c r="D3398" s="105">
        <v>0</v>
      </c>
      <c r="E3398" s="105">
        <v>0</v>
      </c>
      <c r="F3398" s="105">
        <v>0</v>
      </c>
    </row>
    <row r="3399" spans="1:6" x14ac:dyDescent="0.25">
      <c r="A3399" s="105">
        <f t="shared" si="53"/>
        <v>8400119</v>
      </c>
      <c r="B3399" s="105" t="s">
        <v>5586</v>
      </c>
      <c r="C3399" s="105" t="s">
        <v>5587</v>
      </c>
      <c r="D3399" s="105">
        <v>943.4</v>
      </c>
      <c r="E3399" s="105">
        <v>566.04</v>
      </c>
      <c r="F3399" s="105">
        <v>30</v>
      </c>
    </row>
    <row r="3400" spans="1:6" x14ac:dyDescent="0.25">
      <c r="A3400" s="105">
        <f t="shared" si="53"/>
        <v>8400120</v>
      </c>
      <c r="B3400" s="105" t="s">
        <v>5588</v>
      </c>
      <c r="C3400" s="105" t="s">
        <v>5589</v>
      </c>
      <c r="D3400" s="105">
        <v>943.4</v>
      </c>
      <c r="E3400" s="105">
        <v>566.04</v>
      </c>
      <c r="F3400" s="105">
        <v>0</v>
      </c>
    </row>
    <row r="3401" spans="1:6" x14ac:dyDescent="0.25">
      <c r="A3401" s="105">
        <f t="shared" si="53"/>
        <v>8400121</v>
      </c>
      <c r="B3401" s="105" t="s">
        <v>5590</v>
      </c>
      <c r="C3401" s="105" t="s">
        <v>5591</v>
      </c>
      <c r="D3401" s="105">
        <v>943.4</v>
      </c>
      <c r="E3401" s="105">
        <v>566.04</v>
      </c>
      <c r="F3401" s="105">
        <v>0</v>
      </c>
    </row>
    <row r="3402" spans="1:6" x14ac:dyDescent="0.25">
      <c r="A3402" s="105">
        <f t="shared" si="53"/>
        <v>8400122</v>
      </c>
      <c r="B3402" s="105" t="s">
        <v>5592</v>
      </c>
      <c r="C3402" s="105" t="s">
        <v>5593</v>
      </c>
      <c r="D3402" s="105">
        <v>943.4</v>
      </c>
      <c r="E3402" s="105">
        <v>566.04</v>
      </c>
      <c r="F3402" s="105">
        <v>0</v>
      </c>
    </row>
    <row r="3403" spans="1:6" x14ac:dyDescent="0.25">
      <c r="A3403" s="105">
        <f t="shared" si="53"/>
        <v>8400123</v>
      </c>
      <c r="B3403" s="105" t="s">
        <v>5594</v>
      </c>
      <c r="C3403" s="105" t="s">
        <v>5595</v>
      </c>
      <c r="D3403" s="105">
        <v>943.4</v>
      </c>
      <c r="E3403" s="105">
        <v>566.04</v>
      </c>
      <c r="F3403" s="105">
        <v>0</v>
      </c>
    </row>
    <row r="3404" spans="1:6" x14ac:dyDescent="0.25">
      <c r="A3404" s="105">
        <f t="shared" si="53"/>
        <v>8400124</v>
      </c>
      <c r="B3404" s="105" t="s">
        <v>5596</v>
      </c>
      <c r="C3404" s="105" t="s">
        <v>5597</v>
      </c>
      <c r="D3404" s="105">
        <v>943.4</v>
      </c>
      <c r="E3404" s="105">
        <v>566.04</v>
      </c>
      <c r="F3404" s="105">
        <v>0</v>
      </c>
    </row>
    <row r="3405" spans="1:6" x14ac:dyDescent="0.25">
      <c r="A3405" s="105" t="str">
        <f t="shared" si="53"/>
        <v/>
      </c>
      <c r="B3405" s="105" t="s">
        <v>5598</v>
      </c>
      <c r="C3405" s="105" t="s">
        <v>8</v>
      </c>
      <c r="D3405" s="105">
        <v>0</v>
      </c>
      <c r="E3405" s="105">
        <v>0</v>
      </c>
      <c r="F3405" s="105">
        <v>0</v>
      </c>
    </row>
    <row r="3406" spans="1:6" x14ac:dyDescent="0.25">
      <c r="A3406" s="105">
        <f t="shared" si="53"/>
        <v>8400125</v>
      </c>
      <c r="B3406" s="105" t="s">
        <v>5599</v>
      </c>
      <c r="C3406" s="105" t="s">
        <v>5600</v>
      </c>
      <c r="D3406" s="105">
        <v>0</v>
      </c>
      <c r="E3406" s="105">
        <v>0</v>
      </c>
      <c r="F3406" s="105">
        <v>0</v>
      </c>
    </row>
    <row r="3407" spans="1:6" x14ac:dyDescent="0.25">
      <c r="A3407" s="105" t="str">
        <f t="shared" si="53"/>
        <v/>
      </c>
      <c r="B3407" s="105" t="s">
        <v>5601</v>
      </c>
      <c r="C3407" s="105" t="s">
        <v>8</v>
      </c>
      <c r="D3407" s="105">
        <v>0</v>
      </c>
      <c r="E3407" s="105">
        <v>0</v>
      </c>
      <c r="F3407" s="105">
        <v>0</v>
      </c>
    </row>
    <row r="3408" spans="1:6" x14ac:dyDescent="0.25">
      <c r="A3408" s="105">
        <f t="shared" si="53"/>
        <v>8400126</v>
      </c>
      <c r="B3408" s="105" t="s">
        <v>5602</v>
      </c>
      <c r="C3408" s="105" t="s">
        <v>5603</v>
      </c>
      <c r="D3408" s="105">
        <v>943.4</v>
      </c>
      <c r="E3408" s="105">
        <v>566.04</v>
      </c>
      <c r="F3408" s="105">
        <v>0</v>
      </c>
    </row>
    <row r="3409" spans="1:6" x14ac:dyDescent="0.25">
      <c r="A3409" s="105">
        <f t="shared" si="53"/>
        <v>8400127</v>
      </c>
      <c r="B3409" s="105" t="s">
        <v>5604</v>
      </c>
      <c r="C3409" s="105" t="s">
        <v>5605</v>
      </c>
      <c r="D3409" s="105">
        <v>943.4</v>
      </c>
      <c r="E3409" s="105">
        <v>566.04</v>
      </c>
      <c r="F3409" s="105">
        <v>0</v>
      </c>
    </row>
    <row r="3410" spans="1:6" x14ac:dyDescent="0.25">
      <c r="A3410" s="105">
        <f t="shared" si="53"/>
        <v>8400128</v>
      </c>
      <c r="B3410" s="105" t="s">
        <v>5606</v>
      </c>
      <c r="C3410" s="105" t="s">
        <v>5607</v>
      </c>
      <c r="D3410" s="105">
        <v>636</v>
      </c>
      <c r="E3410" s="105">
        <v>381.6</v>
      </c>
      <c r="F3410" s="105">
        <v>0</v>
      </c>
    </row>
    <row r="3411" spans="1:6" x14ac:dyDescent="0.25">
      <c r="A3411" s="105">
        <f t="shared" si="53"/>
        <v>8400129</v>
      </c>
      <c r="B3411" s="105" t="s">
        <v>5608</v>
      </c>
      <c r="C3411" s="105" t="s">
        <v>5609</v>
      </c>
      <c r="D3411" s="105">
        <v>636</v>
      </c>
      <c r="E3411" s="105">
        <v>381.6</v>
      </c>
      <c r="F3411" s="105">
        <v>0</v>
      </c>
    </row>
    <row r="3412" spans="1:6" x14ac:dyDescent="0.25">
      <c r="A3412" s="105" t="str">
        <f t="shared" si="53"/>
        <v/>
      </c>
      <c r="B3412" s="105" t="s">
        <v>5610</v>
      </c>
      <c r="C3412" s="105" t="s">
        <v>8</v>
      </c>
      <c r="D3412" s="105">
        <v>0</v>
      </c>
      <c r="E3412" s="105">
        <v>0</v>
      </c>
      <c r="F3412" s="105">
        <v>0</v>
      </c>
    </row>
    <row r="3413" spans="1:6" x14ac:dyDescent="0.25">
      <c r="A3413" s="105">
        <f t="shared" si="53"/>
        <v>8400130</v>
      </c>
      <c r="B3413" s="105" t="s">
        <v>5611</v>
      </c>
      <c r="C3413" s="105" t="s">
        <v>5612</v>
      </c>
      <c r="D3413" s="105">
        <v>943.4</v>
      </c>
      <c r="E3413" s="105">
        <v>566.04</v>
      </c>
      <c r="F3413" s="105">
        <v>0</v>
      </c>
    </row>
    <row r="3414" spans="1:6" x14ac:dyDescent="0.25">
      <c r="A3414" s="105">
        <f t="shared" si="53"/>
        <v>8400131</v>
      </c>
      <c r="B3414" s="105" t="s">
        <v>5613</v>
      </c>
      <c r="C3414" s="105" t="s">
        <v>5614</v>
      </c>
      <c r="D3414" s="105">
        <v>943.4</v>
      </c>
      <c r="E3414" s="105">
        <v>566.04</v>
      </c>
      <c r="F3414" s="105">
        <v>0</v>
      </c>
    </row>
    <row r="3415" spans="1:6" x14ac:dyDescent="0.25">
      <c r="A3415" s="105" t="str">
        <f t="shared" si="53"/>
        <v/>
      </c>
      <c r="B3415" s="105" t="s">
        <v>5615</v>
      </c>
      <c r="C3415" s="105" t="s">
        <v>8</v>
      </c>
      <c r="D3415" s="105">
        <v>0</v>
      </c>
      <c r="E3415" s="105">
        <v>0</v>
      </c>
      <c r="F3415" s="105">
        <v>0</v>
      </c>
    </row>
    <row r="3416" spans="1:6" x14ac:dyDescent="0.25">
      <c r="A3416" s="105">
        <f t="shared" si="53"/>
        <v>8400132</v>
      </c>
      <c r="B3416" s="105" t="s">
        <v>5616</v>
      </c>
      <c r="C3416" s="105" t="s">
        <v>5617</v>
      </c>
      <c r="D3416" s="105">
        <v>0</v>
      </c>
      <c r="E3416" s="105">
        <v>0</v>
      </c>
      <c r="F3416" s="105">
        <v>0</v>
      </c>
    </row>
    <row r="3417" spans="1:6" x14ac:dyDescent="0.25">
      <c r="A3417" s="105">
        <f t="shared" si="53"/>
        <v>8400142</v>
      </c>
      <c r="B3417" s="105" t="s">
        <v>5618</v>
      </c>
      <c r="C3417" s="105" t="s">
        <v>5619</v>
      </c>
      <c r="D3417" s="105">
        <v>943.4</v>
      </c>
      <c r="E3417" s="105">
        <v>566.04</v>
      </c>
      <c r="F3417" s="105">
        <v>0</v>
      </c>
    </row>
    <row r="3418" spans="1:6" x14ac:dyDescent="0.25">
      <c r="A3418" s="105">
        <f t="shared" si="53"/>
        <v>8400150</v>
      </c>
      <c r="B3418" s="105" t="s">
        <v>5620</v>
      </c>
      <c r="C3418" s="105" t="s">
        <v>5621</v>
      </c>
      <c r="D3418" s="105">
        <v>943.4</v>
      </c>
      <c r="E3418" s="105">
        <v>566.04</v>
      </c>
      <c r="F3418" s="105">
        <v>0</v>
      </c>
    </row>
    <row r="3419" spans="1:6" x14ac:dyDescent="0.25">
      <c r="A3419" s="105" t="str">
        <f t="shared" si="53"/>
        <v/>
      </c>
      <c r="B3419" s="105" t="s">
        <v>5622</v>
      </c>
      <c r="C3419" s="105" t="s">
        <v>8</v>
      </c>
      <c r="D3419" s="105">
        <v>0</v>
      </c>
      <c r="E3419" s="105">
        <v>0</v>
      </c>
      <c r="F3419" s="105">
        <v>0</v>
      </c>
    </row>
    <row r="3420" spans="1:6" x14ac:dyDescent="0.25">
      <c r="A3420" s="105">
        <f t="shared" si="53"/>
        <v>8400155</v>
      </c>
      <c r="B3420" s="105" t="s">
        <v>5623</v>
      </c>
      <c r="C3420" s="105" t="s">
        <v>5624</v>
      </c>
      <c r="D3420" s="105">
        <v>0</v>
      </c>
      <c r="E3420" s="105">
        <v>0</v>
      </c>
      <c r="F3420" s="105">
        <v>0</v>
      </c>
    </row>
    <row r="3421" spans="1:6" x14ac:dyDescent="0.25">
      <c r="A3421" s="105">
        <f t="shared" si="53"/>
        <v>8400158</v>
      </c>
      <c r="B3421" s="105" t="s">
        <v>5625</v>
      </c>
      <c r="C3421" s="105" t="s">
        <v>5626</v>
      </c>
      <c r="D3421" s="105">
        <v>0</v>
      </c>
      <c r="E3421" s="105">
        <v>0</v>
      </c>
      <c r="F3421" s="105">
        <v>0</v>
      </c>
    </row>
    <row r="3422" spans="1:6" x14ac:dyDescent="0.25">
      <c r="A3422" s="105" t="str">
        <f t="shared" si="53"/>
        <v/>
      </c>
      <c r="B3422" s="105" t="s">
        <v>5627</v>
      </c>
      <c r="C3422" s="105" t="s">
        <v>8</v>
      </c>
      <c r="D3422" s="105">
        <v>0</v>
      </c>
      <c r="E3422" s="105">
        <v>0</v>
      </c>
      <c r="F3422" s="105">
        <v>0</v>
      </c>
    </row>
    <row r="3423" spans="1:6" x14ac:dyDescent="0.25">
      <c r="A3423" s="105">
        <f t="shared" si="53"/>
        <v>8400164</v>
      </c>
      <c r="B3423" s="105" t="s">
        <v>5628</v>
      </c>
      <c r="C3423" s="105" t="s">
        <v>5629</v>
      </c>
      <c r="D3423" s="105">
        <v>0</v>
      </c>
      <c r="E3423" s="105">
        <v>0</v>
      </c>
      <c r="F3423" s="105">
        <v>0</v>
      </c>
    </row>
    <row r="3424" spans="1:6" x14ac:dyDescent="0.25">
      <c r="A3424" s="105" t="str">
        <f t="shared" si="53"/>
        <v/>
      </c>
      <c r="B3424" s="105" t="s">
        <v>5630</v>
      </c>
      <c r="C3424" s="105" t="s">
        <v>8</v>
      </c>
      <c r="D3424" s="105">
        <v>0</v>
      </c>
      <c r="E3424" s="105">
        <v>0</v>
      </c>
      <c r="F3424" s="105">
        <v>0</v>
      </c>
    </row>
    <row r="3425" spans="1:6" x14ac:dyDescent="0.25">
      <c r="A3425" s="105">
        <f t="shared" si="53"/>
        <v>8400165</v>
      </c>
      <c r="B3425" s="105" t="s">
        <v>5631</v>
      </c>
      <c r="C3425" s="105" t="s">
        <v>5632</v>
      </c>
      <c r="D3425" s="105">
        <v>0</v>
      </c>
      <c r="E3425" s="105">
        <v>0</v>
      </c>
      <c r="F3425" s="105">
        <v>0</v>
      </c>
    </row>
    <row r="3426" spans="1:6" x14ac:dyDescent="0.25">
      <c r="A3426" s="105" t="str">
        <f t="shared" si="53"/>
        <v/>
      </c>
      <c r="B3426" s="105" t="s">
        <v>5633</v>
      </c>
      <c r="C3426" s="105" t="s">
        <v>8</v>
      </c>
      <c r="D3426" s="105">
        <v>0</v>
      </c>
      <c r="E3426" s="105">
        <v>0</v>
      </c>
      <c r="F3426" s="105">
        <v>0</v>
      </c>
    </row>
    <row r="3427" spans="1:6" x14ac:dyDescent="0.25">
      <c r="A3427" s="105">
        <f t="shared" si="53"/>
        <v>8400166</v>
      </c>
      <c r="B3427" s="105" t="s">
        <v>5634</v>
      </c>
      <c r="C3427" s="105" t="s">
        <v>5635</v>
      </c>
      <c r="D3427" s="105">
        <v>0</v>
      </c>
      <c r="E3427" s="105">
        <v>0</v>
      </c>
      <c r="F3427" s="105">
        <v>0</v>
      </c>
    </row>
    <row r="3428" spans="1:6" x14ac:dyDescent="0.25">
      <c r="A3428" s="105" t="str">
        <f t="shared" si="53"/>
        <v/>
      </c>
      <c r="B3428" s="105" t="s">
        <v>5636</v>
      </c>
      <c r="C3428" s="105" t="s">
        <v>8</v>
      </c>
      <c r="D3428" s="105">
        <v>0</v>
      </c>
      <c r="E3428" s="105">
        <v>0</v>
      </c>
      <c r="F3428" s="105">
        <v>0</v>
      </c>
    </row>
    <row r="3429" spans="1:6" x14ac:dyDescent="0.25">
      <c r="A3429" s="105">
        <f t="shared" si="53"/>
        <v>8400167</v>
      </c>
      <c r="B3429" s="105" t="s">
        <v>5637</v>
      </c>
      <c r="C3429" s="105" t="s">
        <v>5638</v>
      </c>
      <c r="D3429" s="105">
        <v>943.4</v>
      </c>
      <c r="E3429" s="105">
        <v>566.04</v>
      </c>
      <c r="F3429" s="105">
        <v>0</v>
      </c>
    </row>
    <row r="3430" spans="1:6" x14ac:dyDescent="0.25">
      <c r="A3430" s="105">
        <f t="shared" si="53"/>
        <v>8400168</v>
      </c>
      <c r="B3430" s="105" t="s">
        <v>5639</v>
      </c>
      <c r="C3430" s="105" t="s">
        <v>5640</v>
      </c>
      <c r="D3430" s="105">
        <v>943.4</v>
      </c>
      <c r="E3430" s="105">
        <v>566.04</v>
      </c>
      <c r="F3430" s="105">
        <v>0</v>
      </c>
    </row>
    <row r="3431" spans="1:6" x14ac:dyDescent="0.25">
      <c r="A3431" s="105" t="str">
        <f t="shared" si="53"/>
        <v/>
      </c>
      <c r="B3431" s="105" t="s">
        <v>5641</v>
      </c>
      <c r="C3431" s="105" t="s">
        <v>8</v>
      </c>
      <c r="D3431" s="105">
        <v>0</v>
      </c>
      <c r="E3431" s="105">
        <v>0</v>
      </c>
      <c r="F3431" s="105">
        <v>0</v>
      </c>
    </row>
    <row r="3432" spans="1:6" x14ac:dyDescent="0.25">
      <c r="A3432" s="105">
        <f t="shared" si="53"/>
        <v>8400169</v>
      </c>
      <c r="B3432" s="105" t="s">
        <v>5642</v>
      </c>
      <c r="C3432" s="105" t="s">
        <v>5643</v>
      </c>
      <c r="D3432" s="105">
        <v>943.4</v>
      </c>
      <c r="E3432" s="105">
        <v>566.04</v>
      </c>
      <c r="F3432" s="105">
        <v>0</v>
      </c>
    </row>
    <row r="3433" spans="1:6" x14ac:dyDescent="0.25">
      <c r="A3433" s="105" t="str">
        <f t="shared" si="53"/>
        <v/>
      </c>
      <c r="B3433" s="105" t="s">
        <v>5644</v>
      </c>
      <c r="C3433" s="105" t="s">
        <v>8</v>
      </c>
      <c r="D3433" s="105">
        <v>0</v>
      </c>
      <c r="E3433" s="105">
        <v>0</v>
      </c>
      <c r="F3433" s="105">
        <v>0</v>
      </c>
    </row>
    <row r="3434" spans="1:6" x14ac:dyDescent="0.25">
      <c r="A3434" s="105">
        <f t="shared" si="53"/>
        <v>8400170</v>
      </c>
      <c r="B3434" s="105" t="s">
        <v>5645</v>
      </c>
      <c r="C3434" s="105" t="s">
        <v>5646</v>
      </c>
      <c r="D3434" s="105">
        <v>0</v>
      </c>
      <c r="E3434" s="105">
        <v>0</v>
      </c>
      <c r="F3434" s="105">
        <v>15</v>
      </c>
    </row>
    <row r="3435" spans="1:6" x14ac:dyDescent="0.25">
      <c r="A3435" s="105">
        <f t="shared" si="53"/>
        <v>8400173</v>
      </c>
      <c r="B3435" s="105" t="s">
        <v>5647</v>
      </c>
      <c r="C3435" s="105" t="s">
        <v>5648</v>
      </c>
      <c r="D3435" s="105">
        <v>943.4</v>
      </c>
      <c r="E3435" s="105">
        <v>566.04</v>
      </c>
      <c r="F3435" s="105">
        <v>0</v>
      </c>
    </row>
    <row r="3436" spans="1:6" x14ac:dyDescent="0.25">
      <c r="A3436" s="105" t="str">
        <f t="shared" si="53"/>
        <v/>
      </c>
      <c r="B3436" s="105" t="s">
        <v>5649</v>
      </c>
      <c r="C3436" s="105" t="s">
        <v>8</v>
      </c>
      <c r="D3436" s="105">
        <v>0</v>
      </c>
      <c r="E3436" s="105">
        <v>0</v>
      </c>
      <c r="F3436" s="105">
        <v>0</v>
      </c>
    </row>
    <row r="3437" spans="1:6" x14ac:dyDescent="0.25">
      <c r="A3437" s="105">
        <f t="shared" si="53"/>
        <v>8400174</v>
      </c>
      <c r="B3437" s="105" t="s">
        <v>5650</v>
      </c>
      <c r="C3437" s="105" t="s">
        <v>5651</v>
      </c>
      <c r="D3437" s="105">
        <v>0</v>
      </c>
      <c r="E3437" s="105">
        <v>0</v>
      </c>
      <c r="F3437" s="105">
        <v>0</v>
      </c>
    </row>
    <row r="3438" spans="1:6" x14ac:dyDescent="0.25">
      <c r="A3438" s="105">
        <f t="shared" si="53"/>
        <v>8400175</v>
      </c>
      <c r="B3438" s="105" t="s">
        <v>9412</v>
      </c>
      <c r="C3438" s="105" t="s">
        <v>9413</v>
      </c>
      <c r="D3438" s="105">
        <v>943.4</v>
      </c>
      <c r="E3438" s="105">
        <v>566.04</v>
      </c>
      <c r="F3438" s="105">
        <v>0</v>
      </c>
    </row>
    <row r="3439" spans="1:6" x14ac:dyDescent="0.25">
      <c r="A3439" s="105" t="str">
        <f t="shared" si="53"/>
        <v/>
      </c>
      <c r="B3439" s="105" t="s">
        <v>5652</v>
      </c>
      <c r="C3439" s="105" t="s">
        <v>8</v>
      </c>
      <c r="D3439" s="105">
        <v>0</v>
      </c>
      <c r="E3439" s="105">
        <v>0</v>
      </c>
      <c r="F3439" s="105">
        <v>0</v>
      </c>
    </row>
    <row r="3440" spans="1:6" x14ac:dyDescent="0.25">
      <c r="A3440" s="105">
        <f t="shared" si="53"/>
        <v>8400190</v>
      </c>
      <c r="B3440" s="105" t="s">
        <v>5653</v>
      </c>
      <c r="C3440" s="105" t="s">
        <v>5654</v>
      </c>
      <c r="D3440" s="105">
        <v>0</v>
      </c>
      <c r="E3440" s="105">
        <v>0</v>
      </c>
      <c r="F3440" s="105">
        <v>0</v>
      </c>
    </row>
    <row r="3441" spans="1:6" x14ac:dyDescent="0.25">
      <c r="A3441" s="105" t="str">
        <f t="shared" si="53"/>
        <v/>
      </c>
      <c r="B3441" s="105" t="s">
        <v>5655</v>
      </c>
      <c r="C3441" s="105" t="s">
        <v>8</v>
      </c>
      <c r="D3441" s="105">
        <v>0</v>
      </c>
      <c r="E3441" s="105">
        <v>0</v>
      </c>
      <c r="F3441" s="105">
        <v>0</v>
      </c>
    </row>
    <row r="3442" spans="1:6" x14ac:dyDescent="0.25">
      <c r="A3442" s="105">
        <f t="shared" si="53"/>
        <v>8400214</v>
      </c>
      <c r="B3442" s="105" t="s">
        <v>5656</v>
      </c>
      <c r="C3442" s="105" t="s">
        <v>5657</v>
      </c>
      <c r="D3442" s="105">
        <v>0</v>
      </c>
      <c r="E3442" s="105">
        <v>0</v>
      </c>
      <c r="F3442" s="105">
        <v>0</v>
      </c>
    </row>
    <row r="3443" spans="1:6" x14ac:dyDescent="0.25">
      <c r="A3443" s="105" t="str">
        <f t="shared" si="53"/>
        <v/>
      </c>
      <c r="B3443" s="105" t="s">
        <v>5658</v>
      </c>
      <c r="C3443" s="105" t="s">
        <v>8</v>
      </c>
      <c r="D3443" s="105">
        <v>0</v>
      </c>
      <c r="E3443" s="105">
        <v>0</v>
      </c>
      <c r="F3443" s="105">
        <v>0</v>
      </c>
    </row>
    <row r="3444" spans="1:6" x14ac:dyDescent="0.25">
      <c r="A3444" s="105">
        <f t="shared" si="53"/>
        <v>8400222</v>
      </c>
      <c r="B3444" s="105" t="s">
        <v>5659</v>
      </c>
      <c r="C3444" s="105" t="s">
        <v>5660</v>
      </c>
      <c r="D3444" s="105">
        <v>0</v>
      </c>
      <c r="E3444" s="105">
        <v>0</v>
      </c>
      <c r="F3444" s="105">
        <v>0</v>
      </c>
    </row>
    <row r="3445" spans="1:6" x14ac:dyDescent="0.25">
      <c r="A3445" s="105" t="str">
        <f t="shared" si="53"/>
        <v/>
      </c>
      <c r="B3445" s="105" t="s">
        <v>5661</v>
      </c>
      <c r="C3445" s="105" t="s">
        <v>8</v>
      </c>
      <c r="D3445" s="105">
        <v>0</v>
      </c>
      <c r="E3445" s="105">
        <v>0</v>
      </c>
      <c r="F3445" s="105">
        <v>0</v>
      </c>
    </row>
    <row r="3446" spans="1:6" x14ac:dyDescent="0.25">
      <c r="A3446" s="105">
        <f t="shared" si="53"/>
        <v>8400223</v>
      </c>
      <c r="B3446" s="105" t="s">
        <v>5662</v>
      </c>
      <c r="C3446" s="105" t="s">
        <v>5663</v>
      </c>
      <c r="D3446" s="105">
        <v>0</v>
      </c>
      <c r="E3446" s="105">
        <v>0</v>
      </c>
      <c r="F3446" s="105">
        <v>0</v>
      </c>
    </row>
    <row r="3447" spans="1:6" x14ac:dyDescent="0.25">
      <c r="A3447" s="105">
        <f t="shared" si="53"/>
        <v>8400224</v>
      </c>
      <c r="B3447" s="105" t="s">
        <v>5664</v>
      </c>
      <c r="C3447" s="105" t="s">
        <v>5665</v>
      </c>
      <c r="D3447" s="105">
        <v>1663.89</v>
      </c>
      <c r="E3447" s="105">
        <v>998.33</v>
      </c>
      <c r="F3447" s="105">
        <v>0</v>
      </c>
    </row>
    <row r="3448" spans="1:6" x14ac:dyDescent="0.25">
      <c r="A3448" s="105">
        <f t="shared" si="53"/>
        <v>8400240</v>
      </c>
      <c r="B3448" s="105" t="s">
        <v>5666</v>
      </c>
      <c r="C3448" s="105" t="s">
        <v>5667</v>
      </c>
      <c r="D3448" s="105">
        <v>380.79</v>
      </c>
      <c r="E3448" s="105">
        <v>228.47</v>
      </c>
      <c r="F3448" s="105">
        <v>101</v>
      </c>
    </row>
    <row r="3449" spans="1:6" x14ac:dyDescent="0.25">
      <c r="A3449" s="105">
        <f t="shared" si="53"/>
        <v>8400252</v>
      </c>
      <c r="B3449" s="105" t="s">
        <v>5668</v>
      </c>
      <c r="C3449" s="105" t="s">
        <v>5669</v>
      </c>
      <c r="D3449" s="105">
        <v>943.4</v>
      </c>
      <c r="E3449" s="105">
        <v>566.04</v>
      </c>
      <c r="F3449" s="105">
        <v>0</v>
      </c>
    </row>
    <row r="3450" spans="1:6" x14ac:dyDescent="0.25">
      <c r="A3450" s="105" t="str">
        <f t="shared" si="53"/>
        <v/>
      </c>
      <c r="B3450" s="105" t="s">
        <v>5670</v>
      </c>
      <c r="C3450" s="105" t="s">
        <v>8</v>
      </c>
      <c r="D3450" s="105">
        <v>0</v>
      </c>
      <c r="E3450" s="105">
        <v>0</v>
      </c>
      <c r="F3450" s="105">
        <v>0</v>
      </c>
    </row>
    <row r="3451" spans="1:6" x14ac:dyDescent="0.25">
      <c r="A3451" s="105">
        <f t="shared" si="53"/>
        <v>8400265</v>
      </c>
      <c r="B3451" s="105" t="s">
        <v>5671</v>
      </c>
      <c r="C3451" s="105" t="s">
        <v>5672</v>
      </c>
      <c r="D3451" s="105">
        <v>0</v>
      </c>
      <c r="E3451" s="105">
        <v>0</v>
      </c>
      <c r="F3451" s="105">
        <v>0</v>
      </c>
    </row>
    <row r="3452" spans="1:6" x14ac:dyDescent="0.25">
      <c r="A3452" s="105">
        <f t="shared" si="53"/>
        <v>8400266</v>
      </c>
      <c r="B3452" s="105" t="s">
        <v>9414</v>
      </c>
      <c r="C3452" s="105" t="s">
        <v>9415</v>
      </c>
      <c r="D3452" s="105">
        <v>943.4</v>
      </c>
      <c r="E3452" s="105">
        <v>566.04</v>
      </c>
      <c r="F3452" s="105">
        <v>0</v>
      </c>
    </row>
    <row r="3453" spans="1:6" x14ac:dyDescent="0.25">
      <c r="A3453" s="105" t="str">
        <f t="shared" si="53"/>
        <v/>
      </c>
      <c r="B3453" s="105" t="s">
        <v>5673</v>
      </c>
      <c r="C3453" s="105" t="s">
        <v>8</v>
      </c>
      <c r="D3453" s="105">
        <v>0</v>
      </c>
      <c r="E3453" s="105">
        <v>0</v>
      </c>
      <c r="F3453" s="105">
        <v>0</v>
      </c>
    </row>
    <row r="3454" spans="1:6" x14ac:dyDescent="0.25">
      <c r="A3454" s="105">
        <f t="shared" si="53"/>
        <v>8400280</v>
      </c>
      <c r="B3454" s="105" t="s">
        <v>5674</v>
      </c>
      <c r="C3454" s="105" t="s">
        <v>5675</v>
      </c>
      <c r="D3454" s="105">
        <v>0</v>
      </c>
      <c r="E3454" s="105">
        <v>0</v>
      </c>
      <c r="F3454" s="105">
        <v>0</v>
      </c>
    </row>
    <row r="3455" spans="1:6" x14ac:dyDescent="0.25">
      <c r="A3455" s="105">
        <f t="shared" si="53"/>
        <v>8400286</v>
      </c>
      <c r="B3455" s="105" t="s">
        <v>5676</v>
      </c>
      <c r="C3455" s="105" t="s">
        <v>5677</v>
      </c>
      <c r="D3455" s="105">
        <v>943.4</v>
      </c>
      <c r="E3455" s="105">
        <v>566.04</v>
      </c>
      <c r="F3455" s="105">
        <v>19</v>
      </c>
    </row>
    <row r="3456" spans="1:6" x14ac:dyDescent="0.25">
      <c r="A3456" s="105" t="str">
        <f t="shared" si="53"/>
        <v/>
      </c>
      <c r="B3456" s="105" t="s">
        <v>5678</v>
      </c>
      <c r="C3456" s="105" t="s">
        <v>8</v>
      </c>
      <c r="D3456" s="105">
        <v>0</v>
      </c>
      <c r="E3456" s="105">
        <v>0</v>
      </c>
      <c r="F3456" s="105">
        <v>0</v>
      </c>
    </row>
    <row r="3457" spans="1:6" x14ac:dyDescent="0.25">
      <c r="A3457" s="105">
        <f t="shared" si="53"/>
        <v>8400287</v>
      </c>
      <c r="B3457" s="105" t="s">
        <v>5679</v>
      </c>
      <c r="C3457" s="105" t="s">
        <v>5680</v>
      </c>
      <c r="D3457" s="105">
        <v>0</v>
      </c>
      <c r="E3457" s="105">
        <v>0</v>
      </c>
      <c r="F3457" s="105">
        <v>0</v>
      </c>
    </row>
    <row r="3458" spans="1:6" x14ac:dyDescent="0.25">
      <c r="A3458" s="105">
        <f t="shared" si="53"/>
        <v>8400292</v>
      </c>
      <c r="B3458" s="105" t="s">
        <v>5681</v>
      </c>
      <c r="C3458" s="105" t="s">
        <v>5682</v>
      </c>
      <c r="D3458" s="105">
        <v>943.4</v>
      </c>
      <c r="E3458" s="105">
        <v>566.04</v>
      </c>
      <c r="F3458" s="105">
        <v>7</v>
      </c>
    </row>
    <row r="3459" spans="1:6" x14ac:dyDescent="0.25">
      <c r="A3459" s="105">
        <f t="shared" ref="A3459:A3522" si="54">IF(B3459&lt;&gt;"",IFERROR(B3459*1,""),"")</f>
        <v>8400300</v>
      </c>
      <c r="B3459" s="105" t="s">
        <v>5683</v>
      </c>
      <c r="C3459" s="105" t="s">
        <v>5684</v>
      </c>
      <c r="D3459" s="105">
        <v>943.4</v>
      </c>
      <c r="E3459" s="105">
        <v>566.04</v>
      </c>
      <c r="F3459" s="105">
        <v>0</v>
      </c>
    </row>
    <row r="3460" spans="1:6" x14ac:dyDescent="0.25">
      <c r="A3460" s="105" t="str">
        <f t="shared" si="54"/>
        <v/>
      </c>
      <c r="B3460" s="105" t="s">
        <v>5685</v>
      </c>
      <c r="C3460" s="105" t="s">
        <v>8</v>
      </c>
      <c r="D3460" s="105">
        <v>0</v>
      </c>
      <c r="E3460" s="105">
        <v>0</v>
      </c>
      <c r="F3460" s="105">
        <v>0</v>
      </c>
    </row>
    <row r="3461" spans="1:6" x14ac:dyDescent="0.25">
      <c r="A3461" s="105">
        <f t="shared" si="54"/>
        <v>8400309</v>
      </c>
      <c r="B3461" s="105" t="s">
        <v>5686</v>
      </c>
      <c r="C3461" s="105" t="s">
        <v>5687</v>
      </c>
      <c r="D3461" s="105">
        <v>0</v>
      </c>
      <c r="E3461" s="105">
        <v>0</v>
      </c>
      <c r="F3461" s="105">
        <v>0</v>
      </c>
    </row>
    <row r="3462" spans="1:6" x14ac:dyDescent="0.25">
      <c r="A3462" s="105">
        <f t="shared" si="54"/>
        <v>8400311</v>
      </c>
      <c r="B3462" s="105" t="s">
        <v>5688</v>
      </c>
      <c r="C3462" s="105" t="s">
        <v>5689</v>
      </c>
      <c r="D3462" s="105">
        <v>943.4</v>
      </c>
      <c r="E3462" s="105">
        <v>566.04</v>
      </c>
      <c r="F3462" s="105">
        <v>0</v>
      </c>
    </row>
    <row r="3463" spans="1:6" x14ac:dyDescent="0.25">
      <c r="A3463" s="105" t="str">
        <f t="shared" si="54"/>
        <v/>
      </c>
      <c r="B3463" s="105" t="s">
        <v>5690</v>
      </c>
      <c r="C3463" s="105" t="s">
        <v>8</v>
      </c>
      <c r="D3463" s="105">
        <v>0</v>
      </c>
      <c r="E3463" s="105">
        <v>0</v>
      </c>
      <c r="F3463" s="105">
        <v>0</v>
      </c>
    </row>
    <row r="3464" spans="1:6" x14ac:dyDescent="0.25">
      <c r="A3464" s="105">
        <f t="shared" si="54"/>
        <v>8400312</v>
      </c>
      <c r="B3464" s="105" t="s">
        <v>5691</v>
      </c>
      <c r="C3464" s="105" t="s">
        <v>5692</v>
      </c>
      <c r="D3464" s="105">
        <v>0</v>
      </c>
      <c r="E3464" s="105">
        <v>0</v>
      </c>
      <c r="F3464" s="105">
        <v>0</v>
      </c>
    </row>
    <row r="3465" spans="1:6" x14ac:dyDescent="0.25">
      <c r="A3465" s="105" t="str">
        <f t="shared" si="54"/>
        <v/>
      </c>
      <c r="B3465" s="105" t="s">
        <v>5693</v>
      </c>
      <c r="C3465" s="105" t="s">
        <v>8</v>
      </c>
      <c r="D3465" s="105">
        <v>0</v>
      </c>
      <c r="E3465" s="105">
        <v>0</v>
      </c>
      <c r="F3465" s="105">
        <v>0</v>
      </c>
    </row>
    <row r="3466" spans="1:6" x14ac:dyDescent="0.25">
      <c r="A3466" s="105">
        <f t="shared" si="54"/>
        <v>8400323</v>
      </c>
      <c r="B3466" s="105" t="s">
        <v>5694</v>
      </c>
      <c r="C3466" s="105" t="s">
        <v>5695</v>
      </c>
      <c r="D3466" s="105">
        <v>943.4</v>
      </c>
      <c r="E3466" s="105">
        <v>566.04</v>
      </c>
      <c r="F3466" s="105">
        <v>0</v>
      </c>
    </row>
    <row r="3467" spans="1:6" x14ac:dyDescent="0.25">
      <c r="A3467" s="105" t="str">
        <f t="shared" si="54"/>
        <v/>
      </c>
      <c r="B3467" s="105" t="s">
        <v>5696</v>
      </c>
      <c r="C3467" s="105" t="s">
        <v>8</v>
      </c>
      <c r="D3467" s="105">
        <v>0</v>
      </c>
      <c r="E3467" s="105">
        <v>0</v>
      </c>
      <c r="F3467" s="105">
        <v>0</v>
      </c>
    </row>
    <row r="3468" spans="1:6" x14ac:dyDescent="0.25">
      <c r="A3468" s="105">
        <f t="shared" si="54"/>
        <v>8400330</v>
      </c>
      <c r="B3468" s="105" t="s">
        <v>5697</v>
      </c>
      <c r="C3468" s="105" t="s">
        <v>5698</v>
      </c>
      <c r="D3468" s="105">
        <v>943.4</v>
      </c>
      <c r="E3468" s="105">
        <v>566.04</v>
      </c>
      <c r="F3468" s="105">
        <v>0</v>
      </c>
    </row>
    <row r="3469" spans="1:6" x14ac:dyDescent="0.25">
      <c r="A3469" s="105">
        <f t="shared" si="54"/>
        <v>8400333</v>
      </c>
      <c r="B3469" s="105" t="s">
        <v>5699</v>
      </c>
      <c r="C3469" s="105" t="s">
        <v>5700</v>
      </c>
      <c r="D3469" s="105">
        <v>943.4</v>
      </c>
      <c r="E3469" s="105">
        <v>566.04</v>
      </c>
      <c r="F3469" s="105">
        <v>0</v>
      </c>
    </row>
    <row r="3470" spans="1:6" x14ac:dyDescent="0.25">
      <c r="A3470" s="105">
        <f t="shared" si="54"/>
        <v>8400356</v>
      </c>
      <c r="B3470" s="105" t="s">
        <v>5701</v>
      </c>
      <c r="C3470" s="105" t="s">
        <v>5702</v>
      </c>
      <c r="D3470" s="105">
        <v>943.4</v>
      </c>
      <c r="E3470" s="105">
        <v>566.04</v>
      </c>
      <c r="F3470" s="105">
        <v>60</v>
      </c>
    </row>
    <row r="3471" spans="1:6" x14ac:dyDescent="0.25">
      <c r="A3471" s="105">
        <f t="shared" si="54"/>
        <v>8400357</v>
      </c>
      <c r="B3471" s="105" t="s">
        <v>5703</v>
      </c>
      <c r="C3471" s="105" t="s">
        <v>5704</v>
      </c>
      <c r="D3471" s="105">
        <v>943.4</v>
      </c>
      <c r="E3471" s="105">
        <v>566.04</v>
      </c>
      <c r="F3471" s="105">
        <v>50</v>
      </c>
    </row>
    <row r="3472" spans="1:6" x14ac:dyDescent="0.25">
      <c r="A3472" s="105">
        <f t="shared" si="54"/>
        <v>8400360</v>
      </c>
      <c r="B3472" s="105" t="s">
        <v>5705</v>
      </c>
      <c r="C3472" s="105" t="s">
        <v>5706</v>
      </c>
      <c r="D3472" s="105">
        <v>943.4</v>
      </c>
      <c r="E3472" s="105">
        <v>566.04</v>
      </c>
      <c r="F3472" s="105">
        <v>0</v>
      </c>
    </row>
    <row r="3473" spans="1:6" x14ac:dyDescent="0.25">
      <c r="A3473" s="105">
        <f t="shared" si="54"/>
        <v>8400367</v>
      </c>
      <c r="B3473" s="105" t="s">
        <v>5707</v>
      </c>
      <c r="C3473" s="105" t="s">
        <v>5708</v>
      </c>
      <c r="D3473" s="105">
        <v>943.4</v>
      </c>
      <c r="E3473" s="105">
        <v>566.04</v>
      </c>
      <c r="F3473" s="105">
        <v>5</v>
      </c>
    </row>
    <row r="3474" spans="1:6" x14ac:dyDescent="0.25">
      <c r="A3474" s="105">
        <f t="shared" si="54"/>
        <v>8400368</v>
      </c>
      <c r="B3474" s="105" t="s">
        <v>5709</v>
      </c>
      <c r="C3474" s="105" t="s">
        <v>5710</v>
      </c>
      <c r="D3474" s="105">
        <v>943.4</v>
      </c>
      <c r="E3474" s="105">
        <v>566.04</v>
      </c>
      <c r="F3474" s="105">
        <v>0</v>
      </c>
    </row>
    <row r="3475" spans="1:6" x14ac:dyDescent="0.25">
      <c r="A3475" s="105" t="str">
        <f t="shared" si="54"/>
        <v/>
      </c>
      <c r="B3475" s="105" t="s">
        <v>5711</v>
      </c>
      <c r="C3475" s="105" t="s">
        <v>8</v>
      </c>
      <c r="D3475" s="105">
        <v>0</v>
      </c>
      <c r="E3475" s="105">
        <v>0</v>
      </c>
      <c r="F3475" s="105">
        <v>0</v>
      </c>
    </row>
    <row r="3476" spans="1:6" x14ac:dyDescent="0.25">
      <c r="A3476" s="105">
        <f t="shared" si="54"/>
        <v>8400369</v>
      </c>
      <c r="B3476" s="105" t="s">
        <v>5712</v>
      </c>
      <c r="C3476" s="105" t="s">
        <v>5713</v>
      </c>
      <c r="D3476" s="105">
        <v>0</v>
      </c>
      <c r="E3476" s="105">
        <v>0</v>
      </c>
      <c r="F3476" s="105">
        <v>0</v>
      </c>
    </row>
    <row r="3477" spans="1:6" x14ac:dyDescent="0.25">
      <c r="A3477" s="105">
        <f t="shared" si="54"/>
        <v>8400370</v>
      </c>
      <c r="B3477" s="105" t="s">
        <v>5714</v>
      </c>
      <c r="C3477" s="105" t="s">
        <v>5715</v>
      </c>
      <c r="D3477" s="105">
        <v>943.4</v>
      </c>
      <c r="E3477" s="105">
        <v>566.04</v>
      </c>
      <c r="F3477" s="105">
        <v>0</v>
      </c>
    </row>
    <row r="3478" spans="1:6" x14ac:dyDescent="0.25">
      <c r="A3478" s="105">
        <f t="shared" si="54"/>
        <v>8400390</v>
      </c>
      <c r="B3478" s="105" t="s">
        <v>5716</v>
      </c>
      <c r="C3478" s="105" t="s">
        <v>5717</v>
      </c>
      <c r="D3478" s="105">
        <v>943.4</v>
      </c>
      <c r="E3478" s="105">
        <v>566.04</v>
      </c>
      <c r="F3478" s="105">
        <v>8</v>
      </c>
    </row>
    <row r="3479" spans="1:6" x14ac:dyDescent="0.25">
      <c r="A3479" s="105">
        <f t="shared" si="54"/>
        <v>8400391</v>
      </c>
      <c r="B3479" s="105" t="s">
        <v>5718</v>
      </c>
      <c r="C3479" s="105" t="s">
        <v>5719</v>
      </c>
      <c r="D3479" s="105">
        <v>943.4</v>
      </c>
      <c r="E3479" s="105">
        <v>566.04</v>
      </c>
      <c r="F3479" s="105">
        <v>0</v>
      </c>
    </row>
    <row r="3480" spans="1:6" x14ac:dyDescent="0.25">
      <c r="A3480" s="105" t="str">
        <f t="shared" si="54"/>
        <v/>
      </c>
      <c r="B3480" s="105" t="s">
        <v>5720</v>
      </c>
      <c r="C3480" s="105" t="s">
        <v>8</v>
      </c>
      <c r="D3480" s="105">
        <v>0</v>
      </c>
      <c r="E3480" s="105">
        <v>0</v>
      </c>
      <c r="F3480" s="105">
        <v>0</v>
      </c>
    </row>
    <row r="3481" spans="1:6" x14ac:dyDescent="0.25">
      <c r="A3481" s="105">
        <f t="shared" si="54"/>
        <v>8400392</v>
      </c>
      <c r="B3481" s="105" t="s">
        <v>5721</v>
      </c>
      <c r="C3481" s="105" t="s">
        <v>5722</v>
      </c>
      <c r="D3481" s="105">
        <v>0</v>
      </c>
      <c r="E3481" s="105">
        <v>0</v>
      </c>
      <c r="F3481" s="105">
        <v>0</v>
      </c>
    </row>
    <row r="3482" spans="1:6" x14ac:dyDescent="0.25">
      <c r="A3482" s="105">
        <f t="shared" si="54"/>
        <v>8400393</v>
      </c>
      <c r="B3482" s="105" t="s">
        <v>5723</v>
      </c>
      <c r="C3482" s="105" t="s">
        <v>5724</v>
      </c>
      <c r="D3482" s="105">
        <v>943.4</v>
      </c>
      <c r="E3482" s="105">
        <v>566.04</v>
      </c>
      <c r="F3482" s="105">
        <v>0</v>
      </c>
    </row>
    <row r="3483" spans="1:6" x14ac:dyDescent="0.25">
      <c r="A3483" s="105" t="str">
        <f t="shared" si="54"/>
        <v/>
      </c>
      <c r="B3483" s="105" t="s">
        <v>5725</v>
      </c>
      <c r="C3483" s="105" t="s">
        <v>8</v>
      </c>
      <c r="D3483" s="105">
        <v>0</v>
      </c>
      <c r="E3483" s="105">
        <v>0</v>
      </c>
      <c r="F3483" s="105">
        <v>0</v>
      </c>
    </row>
    <row r="3484" spans="1:6" x14ac:dyDescent="0.25">
      <c r="A3484" s="105">
        <f t="shared" si="54"/>
        <v>8400452</v>
      </c>
      <c r="B3484" s="105" t="s">
        <v>5726</v>
      </c>
      <c r="C3484" s="105" t="s">
        <v>5727</v>
      </c>
      <c r="D3484" s="105">
        <v>0</v>
      </c>
      <c r="E3484" s="105">
        <v>0</v>
      </c>
      <c r="F3484" s="105">
        <v>0</v>
      </c>
    </row>
    <row r="3485" spans="1:6" x14ac:dyDescent="0.25">
      <c r="A3485" s="105" t="str">
        <f t="shared" si="54"/>
        <v/>
      </c>
      <c r="B3485" s="105" t="s">
        <v>5728</v>
      </c>
      <c r="C3485" s="105" t="s">
        <v>8</v>
      </c>
      <c r="D3485" s="105">
        <v>0</v>
      </c>
      <c r="E3485" s="105">
        <v>0</v>
      </c>
      <c r="F3485" s="105">
        <v>0</v>
      </c>
    </row>
    <row r="3486" spans="1:6" x14ac:dyDescent="0.25">
      <c r="A3486" s="105">
        <f t="shared" si="54"/>
        <v>8400456</v>
      </c>
      <c r="B3486" s="105" t="s">
        <v>5729</v>
      </c>
      <c r="C3486" s="105" t="s">
        <v>5730</v>
      </c>
      <c r="D3486" s="105">
        <v>0</v>
      </c>
      <c r="E3486" s="105">
        <v>0</v>
      </c>
      <c r="F3486" s="105">
        <v>0</v>
      </c>
    </row>
    <row r="3487" spans="1:6" x14ac:dyDescent="0.25">
      <c r="A3487" s="105" t="str">
        <f t="shared" si="54"/>
        <v/>
      </c>
      <c r="B3487" s="105" t="s">
        <v>5731</v>
      </c>
      <c r="C3487" s="105" t="s">
        <v>8</v>
      </c>
      <c r="D3487" s="105">
        <v>0</v>
      </c>
      <c r="E3487" s="105">
        <v>0</v>
      </c>
      <c r="F3487" s="105">
        <v>0</v>
      </c>
    </row>
    <row r="3488" spans="1:6" x14ac:dyDescent="0.25">
      <c r="A3488" s="105">
        <f t="shared" si="54"/>
        <v>8400564</v>
      </c>
      <c r="B3488" s="105" t="s">
        <v>5732</v>
      </c>
      <c r="C3488" s="105" t="s">
        <v>5733</v>
      </c>
      <c r="D3488" s="105">
        <v>0</v>
      </c>
      <c r="E3488" s="105">
        <v>0</v>
      </c>
      <c r="F3488" s="105">
        <v>0</v>
      </c>
    </row>
    <row r="3489" spans="1:6" x14ac:dyDescent="0.25">
      <c r="A3489" s="105">
        <f t="shared" si="54"/>
        <v>8400650</v>
      </c>
      <c r="B3489" s="105" t="s">
        <v>5734</v>
      </c>
      <c r="C3489" s="105" t="s">
        <v>5735</v>
      </c>
      <c r="D3489" s="105">
        <v>943.4</v>
      </c>
      <c r="E3489" s="105">
        <v>566.04</v>
      </c>
      <c r="F3489" s="105">
        <v>0</v>
      </c>
    </row>
    <row r="3490" spans="1:6" x14ac:dyDescent="0.25">
      <c r="A3490" s="105" t="str">
        <f t="shared" si="54"/>
        <v/>
      </c>
      <c r="B3490" s="105" t="s">
        <v>5736</v>
      </c>
      <c r="C3490" s="105" t="s">
        <v>8</v>
      </c>
      <c r="D3490" s="105">
        <v>0</v>
      </c>
      <c r="E3490" s="105">
        <v>0</v>
      </c>
      <c r="F3490" s="105">
        <v>0</v>
      </c>
    </row>
    <row r="3491" spans="1:6" x14ac:dyDescent="0.25">
      <c r="A3491" s="105">
        <f t="shared" si="54"/>
        <v>8400651</v>
      </c>
      <c r="B3491" s="105" t="s">
        <v>5737</v>
      </c>
      <c r="C3491" s="105" t="s">
        <v>5738</v>
      </c>
      <c r="D3491" s="105">
        <v>0</v>
      </c>
      <c r="E3491" s="105">
        <v>0</v>
      </c>
      <c r="F3491" s="105">
        <v>0</v>
      </c>
    </row>
    <row r="3492" spans="1:6" x14ac:dyDescent="0.25">
      <c r="A3492" s="105">
        <f t="shared" si="54"/>
        <v>8400654</v>
      </c>
      <c r="B3492" s="105" t="s">
        <v>5739</v>
      </c>
      <c r="C3492" s="105" t="s">
        <v>5740</v>
      </c>
      <c r="D3492" s="105">
        <v>943.4</v>
      </c>
      <c r="E3492" s="105">
        <v>566.04</v>
      </c>
      <c r="F3492" s="105">
        <v>0</v>
      </c>
    </row>
    <row r="3493" spans="1:6" x14ac:dyDescent="0.25">
      <c r="A3493" s="105">
        <f t="shared" si="54"/>
        <v>8400661</v>
      </c>
      <c r="B3493" s="105" t="s">
        <v>5741</v>
      </c>
      <c r="C3493" s="105" t="s">
        <v>5742</v>
      </c>
      <c r="D3493" s="105">
        <v>461.17</v>
      </c>
      <c r="E3493" s="105">
        <v>276.7</v>
      </c>
      <c r="F3493" s="105">
        <v>0</v>
      </c>
    </row>
    <row r="3494" spans="1:6" x14ac:dyDescent="0.25">
      <c r="A3494" s="105">
        <f t="shared" si="54"/>
        <v>8400662</v>
      </c>
      <c r="B3494" s="105" t="s">
        <v>5743</v>
      </c>
      <c r="C3494" s="105" t="s">
        <v>5744</v>
      </c>
      <c r="D3494" s="105">
        <v>0</v>
      </c>
      <c r="E3494" s="105">
        <v>0</v>
      </c>
      <c r="F3494" s="105">
        <v>0</v>
      </c>
    </row>
    <row r="3495" spans="1:6" x14ac:dyDescent="0.25">
      <c r="A3495" s="105" t="str">
        <f t="shared" si="54"/>
        <v/>
      </c>
      <c r="B3495" s="105" t="s">
        <v>5745</v>
      </c>
      <c r="C3495" s="105" t="s">
        <v>8</v>
      </c>
      <c r="D3495" s="105">
        <v>0</v>
      </c>
      <c r="E3495" s="105">
        <v>0</v>
      </c>
      <c r="F3495" s="105">
        <v>0</v>
      </c>
    </row>
    <row r="3496" spans="1:6" x14ac:dyDescent="0.25">
      <c r="A3496" s="105">
        <f t="shared" si="54"/>
        <v>8400663</v>
      </c>
      <c r="B3496" s="105" t="s">
        <v>5746</v>
      </c>
      <c r="C3496" s="105" t="s">
        <v>5747</v>
      </c>
      <c r="D3496" s="105">
        <v>0</v>
      </c>
      <c r="E3496" s="105">
        <v>0</v>
      </c>
      <c r="F3496" s="105">
        <v>0</v>
      </c>
    </row>
    <row r="3497" spans="1:6" x14ac:dyDescent="0.25">
      <c r="A3497" s="105">
        <f t="shared" si="54"/>
        <v>8400664</v>
      </c>
      <c r="B3497" s="105" t="s">
        <v>5748</v>
      </c>
      <c r="C3497" s="105" t="s">
        <v>5749</v>
      </c>
      <c r="D3497" s="105">
        <v>0</v>
      </c>
      <c r="E3497" s="105">
        <v>0</v>
      </c>
      <c r="F3497" s="105">
        <v>0</v>
      </c>
    </row>
    <row r="3498" spans="1:6" x14ac:dyDescent="0.25">
      <c r="A3498" s="105">
        <f t="shared" si="54"/>
        <v>8400689</v>
      </c>
      <c r="B3498" s="105" t="s">
        <v>5750</v>
      </c>
      <c r="C3498" s="105" t="s">
        <v>5751</v>
      </c>
      <c r="D3498" s="105">
        <v>636</v>
      </c>
      <c r="E3498" s="105">
        <v>381.6</v>
      </c>
      <c r="F3498" s="105">
        <v>87</v>
      </c>
    </row>
    <row r="3499" spans="1:6" x14ac:dyDescent="0.25">
      <c r="A3499" s="105">
        <f t="shared" si="54"/>
        <v>8400691</v>
      </c>
      <c r="B3499" s="105" t="s">
        <v>5752</v>
      </c>
      <c r="C3499" s="105" t="s">
        <v>5753</v>
      </c>
      <c r="D3499" s="105">
        <v>636</v>
      </c>
      <c r="E3499" s="105">
        <v>381.6</v>
      </c>
      <c r="F3499" s="105">
        <v>151</v>
      </c>
    </row>
    <row r="3500" spans="1:6" x14ac:dyDescent="0.25">
      <c r="A3500" s="105" t="str">
        <f t="shared" si="54"/>
        <v/>
      </c>
      <c r="B3500" s="105" t="s">
        <v>5754</v>
      </c>
      <c r="C3500" s="105" t="s">
        <v>8</v>
      </c>
      <c r="D3500" s="105">
        <v>0</v>
      </c>
      <c r="E3500" s="105">
        <v>0</v>
      </c>
      <c r="F3500" s="105">
        <v>0</v>
      </c>
    </row>
    <row r="3501" spans="1:6" x14ac:dyDescent="0.25">
      <c r="A3501" s="105">
        <f t="shared" si="54"/>
        <v>8400753</v>
      </c>
      <c r="B3501" s="105" t="s">
        <v>5755</v>
      </c>
      <c r="C3501" s="105" t="s">
        <v>5756</v>
      </c>
      <c r="D3501" s="105">
        <v>0</v>
      </c>
      <c r="E3501" s="105">
        <v>0</v>
      </c>
      <c r="F3501" s="105">
        <v>0</v>
      </c>
    </row>
    <row r="3502" spans="1:6" x14ac:dyDescent="0.25">
      <c r="A3502" s="105">
        <f t="shared" si="54"/>
        <v>8400852</v>
      </c>
      <c r="B3502" s="105" t="s">
        <v>5757</v>
      </c>
      <c r="C3502" s="105" t="s">
        <v>5758</v>
      </c>
      <c r="D3502" s="105">
        <v>943.4</v>
      </c>
      <c r="E3502" s="105">
        <v>566.04</v>
      </c>
      <c r="F3502" s="105">
        <v>0</v>
      </c>
    </row>
    <row r="3503" spans="1:6" x14ac:dyDescent="0.25">
      <c r="A3503" s="105">
        <f t="shared" si="54"/>
        <v>8400907</v>
      </c>
      <c r="B3503" s="105" t="s">
        <v>5759</v>
      </c>
      <c r="C3503" s="105" t="s">
        <v>5760</v>
      </c>
      <c r="D3503" s="105">
        <v>0</v>
      </c>
      <c r="E3503" s="105">
        <v>0</v>
      </c>
      <c r="F3503" s="105">
        <v>0</v>
      </c>
    </row>
    <row r="3504" spans="1:6" x14ac:dyDescent="0.25">
      <c r="A3504" s="105">
        <f t="shared" si="54"/>
        <v>8400908</v>
      </c>
      <c r="B3504" s="105" t="s">
        <v>5761</v>
      </c>
      <c r="C3504" s="105" t="s">
        <v>5762</v>
      </c>
      <c r="D3504" s="105">
        <v>943.4</v>
      </c>
      <c r="E3504" s="105">
        <v>566.04</v>
      </c>
      <c r="F3504" s="105">
        <v>0</v>
      </c>
    </row>
    <row r="3505" spans="1:6" x14ac:dyDescent="0.25">
      <c r="A3505" s="105" t="str">
        <f t="shared" si="54"/>
        <v/>
      </c>
      <c r="B3505" s="105" t="s">
        <v>5763</v>
      </c>
      <c r="C3505" s="105" t="s">
        <v>8</v>
      </c>
      <c r="D3505" s="105">
        <v>0</v>
      </c>
      <c r="E3505" s="105">
        <v>0</v>
      </c>
      <c r="F3505" s="105">
        <v>0</v>
      </c>
    </row>
    <row r="3506" spans="1:6" x14ac:dyDescent="0.25">
      <c r="A3506" s="105">
        <f t="shared" si="54"/>
        <v>8400951</v>
      </c>
      <c r="B3506" s="105" t="s">
        <v>5764</v>
      </c>
      <c r="C3506" s="105" t="s">
        <v>5765</v>
      </c>
      <c r="D3506" s="105">
        <v>0</v>
      </c>
      <c r="E3506" s="105">
        <v>0</v>
      </c>
      <c r="F3506" s="105">
        <v>0</v>
      </c>
    </row>
    <row r="3507" spans="1:6" x14ac:dyDescent="0.25">
      <c r="A3507" s="105">
        <f t="shared" si="54"/>
        <v>8401001</v>
      </c>
      <c r="B3507" s="105" t="s">
        <v>5766</v>
      </c>
      <c r="C3507" s="105" t="s">
        <v>5767</v>
      </c>
      <c r="D3507" s="105">
        <v>2094.56</v>
      </c>
      <c r="E3507" s="105">
        <v>1256.74</v>
      </c>
      <c r="F3507" s="105">
        <v>43</v>
      </c>
    </row>
    <row r="3508" spans="1:6" x14ac:dyDescent="0.25">
      <c r="A3508" s="105">
        <f t="shared" si="54"/>
        <v>8401002</v>
      </c>
      <c r="B3508" s="105" t="s">
        <v>5768</v>
      </c>
      <c r="C3508" s="105" t="s">
        <v>9416</v>
      </c>
      <c r="D3508" s="105">
        <v>1483.99</v>
      </c>
      <c r="E3508" s="105">
        <v>890.39</v>
      </c>
      <c r="F3508" s="105">
        <v>0</v>
      </c>
    </row>
    <row r="3509" spans="1:6" x14ac:dyDescent="0.25">
      <c r="A3509" s="105">
        <f t="shared" si="54"/>
        <v>8401003</v>
      </c>
      <c r="B3509" s="105" t="s">
        <v>5769</v>
      </c>
      <c r="C3509" s="105" t="s">
        <v>5770</v>
      </c>
      <c r="D3509" s="105">
        <v>1543.36</v>
      </c>
      <c r="E3509" s="105">
        <v>926.02</v>
      </c>
      <c r="F3509" s="105">
        <v>0</v>
      </c>
    </row>
    <row r="3510" spans="1:6" x14ac:dyDescent="0.25">
      <c r="A3510" s="105">
        <f t="shared" si="54"/>
        <v>8401004</v>
      </c>
      <c r="B3510" s="105" t="s">
        <v>5771</v>
      </c>
      <c r="C3510" s="105" t="s">
        <v>5772</v>
      </c>
      <c r="D3510" s="105">
        <v>1543.36</v>
      </c>
      <c r="E3510" s="105">
        <v>926.02</v>
      </c>
      <c r="F3510" s="105">
        <v>0</v>
      </c>
    </row>
    <row r="3511" spans="1:6" x14ac:dyDescent="0.25">
      <c r="A3511" s="105">
        <f t="shared" si="54"/>
        <v>8401005</v>
      </c>
      <c r="B3511" s="105" t="s">
        <v>5773</v>
      </c>
      <c r="C3511" s="105" t="s">
        <v>5774</v>
      </c>
      <c r="D3511" s="105">
        <v>1543.36</v>
      </c>
      <c r="E3511" s="105">
        <v>926.02</v>
      </c>
      <c r="F3511" s="105">
        <v>0</v>
      </c>
    </row>
    <row r="3512" spans="1:6" x14ac:dyDescent="0.25">
      <c r="A3512" s="105">
        <f t="shared" si="54"/>
        <v>8401006</v>
      </c>
      <c r="B3512" s="105" t="s">
        <v>5775</v>
      </c>
      <c r="C3512" s="105" t="s">
        <v>5776</v>
      </c>
      <c r="D3512" s="105">
        <v>0</v>
      </c>
      <c r="E3512" s="105">
        <v>0</v>
      </c>
      <c r="F3512" s="105">
        <v>0</v>
      </c>
    </row>
    <row r="3513" spans="1:6" x14ac:dyDescent="0.25">
      <c r="A3513" s="105">
        <f t="shared" si="54"/>
        <v>8401007</v>
      </c>
      <c r="B3513" s="105" t="s">
        <v>5777</v>
      </c>
      <c r="C3513" s="105" t="s">
        <v>5778</v>
      </c>
      <c r="D3513" s="105">
        <v>0</v>
      </c>
      <c r="E3513" s="105">
        <v>0</v>
      </c>
      <c r="F3513" s="105">
        <v>0</v>
      </c>
    </row>
    <row r="3514" spans="1:6" x14ac:dyDescent="0.25">
      <c r="A3514" s="105">
        <f t="shared" si="54"/>
        <v>8401008</v>
      </c>
      <c r="B3514" s="105" t="s">
        <v>5779</v>
      </c>
      <c r="C3514" s="105" t="s">
        <v>5780</v>
      </c>
      <c r="D3514" s="105">
        <v>0</v>
      </c>
      <c r="E3514" s="105">
        <v>0</v>
      </c>
      <c r="F3514" s="105">
        <v>0</v>
      </c>
    </row>
    <row r="3515" spans="1:6" x14ac:dyDescent="0.25">
      <c r="A3515" s="105">
        <f t="shared" si="54"/>
        <v>8401009</v>
      </c>
      <c r="B3515" s="105" t="s">
        <v>5781</v>
      </c>
      <c r="C3515" s="105" t="s">
        <v>5782</v>
      </c>
      <c r="D3515" s="105">
        <v>826.8</v>
      </c>
      <c r="E3515" s="105">
        <v>496.08</v>
      </c>
      <c r="F3515" s="105">
        <v>229</v>
      </c>
    </row>
    <row r="3516" spans="1:6" x14ac:dyDescent="0.25">
      <c r="A3516" s="105">
        <f t="shared" si="54"/>
        <v>8401010</v>
      </c>
      <c r="B3516" s="105" t="s">
        <v>5783</v>
      </c>
      <c r="C3516" s="105" t="s">
        <v>5784</v>
      </c>
      <c r="D3516" s="105">
        <v>826.8</v>
      </c>
      <c r="E3516" s="105">
        <v>496.08</v>
      </c>
      <c r="F3516" s="105">
        <v>6</v>
      </c>
    </row>
    <row r="3517" spans="1:6" x14ac:dyDescent="0.25">
      <c r="A3517" s="105">
        <f t="shared" si="54"/>
        <v>8401011</v>
      </c>
      <c r="B3517" s="105" t="s">
        <v>5785</v>
      </c>
      <c r="C3517" s="105" t="s">
        <v>5786</v>
      </c>
      <c r="D3517" s="105">
        <v>826.8</v>
      </c>
      <c r="E3517" s="105">
        <v>496.08</v>
      </c>
      <c r="F3517" s="105">
        <v>16</v>
      </c>
    </row>
    <row r="3518" spans="1:6" x14ac:dyDescent="0.25">
      <c r="A3518" s="105">
        <f t="shared" si="54"/>
        <v>8401012</v>
      </c>
      <c r="B3518" s="105" t="s">
        <v>5787</v>
      </c>
      <c r="C3518" s="105" t="s">
        <v>5788</v>
      </c>
      <c r="D3518" s="105">
        <v>826.8</v>
      </c>
      <c r="E3518" s="105">
        <v>496.08</v>
      </c>
      <c r="F3518" s="105">
        <v>0</v>
      </c>
    </row>
    <row r="3519" spans="1:6" x14ac:dyDescent="0.25">
      <c r="A3519" s="105">
        <f t="shared" si="54"/>
        <v>8401013</v>
      </c>
      <c r="B3519" s="105" t="s">
        <v>9417</v>
      </c>
      <c r="C3519" s="105" t="s">
        <v>9418</v>
      </c>
      <c r="D3519" s="105">
        <v>826.8</v>
      </c>
      <c r="E3519" s="105">
        <v>496.08</v>
      </c>
      <c r="F3519" s="105">
        <v>58</v>
      </c>
    </row>
    <row r="3520" spans="1:6" x14ac:dyDescent="0.25">
      <c r="A3520" s="105">
        <f t="shared" si="54"/>
        <v>8401232</v>
      </c>
      <c r="B3520" s="105" t="s">
        <v>5789</v>
      </c>
      <c r="C3520" s="105" t="s">
        <v>5790</v>
      </c>
      <c r="D3520" s="105">
        <v>463.04</v>
      </c>
      <c r="E3520" s="105">
        <v>277.82</v>
      </c>
      <c r="F3520" s="105">
        <v>0</v>
      </c>
    </row>
    <row r="3521" spans="1:6" x14ac:dyDescent="0.25">
      <c r="A3521" s="105">
        <f t="shared" si="54"/>
        <v>8500001</v>
      </c>
      <c r="B3521" s="105" t="s">
        <v>5791</v>
      </c>
      <c r="C3521" s="105" t="s">
        <v>5792</v>
      </c>
      <c r="D3521" s="105">
        <v>4125.3999999999996</v>
      </c>
      <c r="E3521" s="105">
        <v>2475.2399999999998</v>
      </c>
      <c r="F3521" s="105">
        <v>0</v>
      </c>
    </row>
    <row r="3522" spans="1:6" x14ac:dyDescent="0.25">
      <c r="A3522" s="105" t="str">
        <f t="shared" si="54"/>
        <v/>
      </c>
      <c r="B3522" s="105" t="s">
        <v>5793</v>
      </c>
      <c r="C3522" s="105" t="s">
        <v>8</v>
      </c>
      <c r="D3522" s="105">
        <v>0</v>
      </c>
      <c r="E3522" s="105">
        <v>0</v>
      </c>
      <c r="F3522" s="105">
        <v>0</v>
      </c>
    </row>
    <row r="3523" spans="1:6" x14ac:dyDescent="0.25">
      <c r="A3523" s="105">
        <f t="shared" ref="A3523:A3586" si="55">IF(B3523&lt;&gt;"",IFERROR(B3523*1,""),"")</f>
        <v>8500002</v>
      </c>
      <c r="B3523" s="105" t="s">
        <v>5794</v>
      </c>
      <c r="C3523" s="105" t="s">
        <v>5795</v>
      </c>
      <c r="D3523" s="105">
        <v>0</v>
      </c>
      <c r="E3523" s="105">
        <v>0</v>
      </c>
      <c r="F3523" s="105">
        <v>0</v>
      </c>
    </row>
    <row r="3524" spans="1:6" x14ac:dyDescent="0.25">
      <c r="A3524" s="105">
        <f t="shared" si="55"/>
        <v>8500003</v>
      </c>
      <c r="B3524" s="105" t="s">
        <v>5796</v>
      </c>
      <c r="C3524" s="105" t="s">
        <v>5797</v>
      </c>
      <c r="D3524" s="105">
        <v>10573.4</v>
      </c>
      <c r="E3524" s="105">
        <v>6344.04</v>
      </c>
      <c r="F3524" s="105">
        <v>0</v>
      </c>
    </row>
    <row r="3525" spans="1:6" x14ac:dyDescent="0.25">
      <c r="A3525" s="105" t="str">
        <f t="shared" si="55"/>
        <v/>
      </c>
      <c r="B3525" s="105" t="s">
        <v>5798</v>
      </c>
      <c r="C3525" s="105" t="s">
        <v>8</v>
      </c>
      <c r="D3525" s="105">
        <v>0</v>
      </c>
      <c r="E3525" s="105">
        <v>0</v>
      </c>
      <c r="F3525" s="105">
        <v>0</v>
      </c>
    </row>
    <row r="3526" spans="1:6" x14ac:dyDescent="0.25">
      <c r="A3526" s="105">
        <f t="shared" si="55"/>
        <v>8500300</v>
      </c>
      <c r="B3526" s="105" t="s">
        <v>5799</v>
      </c>
      <c r="C3526" s="105" t="s">
        <v>5800</v>
      </c>
      <c r="D3526" s="105">
        <v>0</v>
      </c>
      <c r="E3526" s="105">
        <v>0</v>
      </c>
      <c r="F3526" s="105">
        <v>0</v>
      </c>
    </row>
    <row r="3527" spans="1:6" x14ac:dyDescent="0.25">
      <c r="A3527" s="105">
        <f t="shared" si="55"/>
        <v>8500500</v>
      </c>
      <c r="B3527" s="105" t="s">
        <v>5801</v>
      </c>
      <c r="C3527" s="105" t="s">
        <v>5802</v>
      </c>
      <c r="D3527" s="105">
        <v>172.22</v>
      </c>
      <c r="E3527" s="105">
        <v>103.33</v>
      </c>
      <c r="F3527" s="105">
        <v>98</v>
      </c>
    </row>
    <row r="3528" spans="1:6" x14ac:dyDescent="0.25">
      <c r="A3528" s="105">
        <f t="shared" si="55"/>
        <v>8501001</v>
      </c>
      <c r="B3528" s="105" t="s">
        <v>5803</v>
      </c>
      <c r="C3528" s="105" t="s">
        <v>5804</v>
      </c>
      <c r="D3528" s="105">
        <v>1574.1</v>
      </c>
      <c r="E3528" s="105">
        <v>944.46</v>
      </c>
      <c r="F3528" s="105">
        <v>0</v>
      </c>
    </row>
    <row r="3529" spans="1:6" x14ac:dyDescent="0.25">
      <c r="A3529" s="105">
        <f t="shared" si="55"/>
        <v>8501015</v>
      </c>
      <c r="B3529" s="105" t="s">
        <v>5805</v>
      </c>
      <c r="C3529" s="105" t="s">
        <v>5806</v>
      </c>
      <c r="D3529" s="105">
        <v>1828.5</v>
      </c>
      <c r="E3529" s="105">
        <v>1097.0999999999999</v>
      </c>
      <c r="F3529" s="105">
        <v>0</v>
      </c>
    </row>
    <row r="3530" spans="1:6" x14ac:dyDescent="0.25">
      <c r="A3530" s="105">
        <f t="shared" si="55"/>
        <v>8501024</v>
      </c>
      <c r="B3530" s="105" t="s">
        <v>5807</v>
      </c>
      <c r="C3530" s="105" t="s">
        <v>9419</v>
      </c>
      <c r="D3530" s="105">
        <v>2448.6</v>
      </c>
      <c r="E3530" s="105">
        <v>1469.16</v>
      </c>
      <c r="F3530" s="105">
        <v>0</v>
      </c>
    </row>
    <row r="3531" spans="1:6" x14ac:dyDescent="0.25">
      <c r="A3531" s="105">
        <f t="shared" si="55"/>
        <v>8501025</v>
      </c>
      <c r="B3531" s="105" t="s">
        <v>5808</v>
      </c>
      <c r="C3531" s="105" t="s">
        <v>5809</v>
      </c>
      <c r="D3531" s="105">
        <v>2798.4</v>
      </c>
      <c r="E3531" s="105">
        <v>1679.04</v>
      </c>
      <c r="F3531" s="105">
        <v>5</v>
      </c>
    </row>
    <row r="3532" spans="1:6" x14ac:dyDescent="0.25">
      <c r="A3532" s="105">
        <f t="shared" si="55"/>
        <v>8501026</v>
      </c>
      <c r="B3532" s="105" t="s">
        <v>5810</v>
      </c>
      <c r="C3532" s="105" t="s">
        <v>5811</v>
      </c>
      <c r="D3532" s="105">
        <v>2448.6</v>
      </c>
      <c r="E3532" s="105">
        <v>1469.16</v>
      </c>
      <c r="F3532" s="105">
        <v>4</v>
      </c>
    </row>
    <row r="3533" spans="1:6" x14ac:dyDescent="0.25">
      <c r="A3533" s="105">
        <f t="shared" si="55"/>
        <v>8501027</v>
      </c>
      <c r="B3533" s="105" t="s">
        <v>5812</v>
      </c>
      <c r="C3533" s="105" t="s">
        <v>5813</v>
      </c>
      <c r="D3533" s="105">
        <v>1908</v>
      </c>
      <c r="E3533" s="105">
        <v>1144.8</v>
      </c>
      <c r="F3533" s="105">
        <v>34</v>
      </c>
    </row>
    <row r="3534" spans="1:6" x14ac:dyDescent="0.25">
      <c r="A3534" s="105" t="str">
        <f t="shared" si="55"/>
        <v/>
      </c>
      <c r="B3534" s="105" t="s">
        <v>5814</v>
      </c>
      <c r="C3534" s="105" t="s">
        <v>8</v>
      </c>
      <c r="D3534" s="105">
        <v>0</v>
      </c>
      <c r="E3534" s="105">
        <v>0</v>
      </c>
      <c r="F3534" s="105">
        <v>0</v>
      </c>
    </row>
    <row r="3535" spans="1:6" x14ac:dyDescent="0.25">
      <c r="A3535" s="105">
        <f t="shared" si="55"/>
        <v>8501034</v>
      </c>
      <c r="B3535" s="105" t="s">
        <v>5815</v>
      </c>
      <c r="C3535" s="105" t="s">
        <v>5816</v>
      </c>
      <c r="D3535" s="105">
        <v>4658.7</v>
      </c>
      <c r="E3535" s="105">
        <v>2795.22</v>
      </c>
      <c r="F3535" s="105">
        <v>0</v>
      </c>
    </row>
    <row r="3536" spans="1:6" x14ac:dyDescent="0.25">
      <c r="A3536" s="105" t="str">
        <f t="shared" si="55"/>
        <v/>
      </c>
      <c r="B3536" s="105" t="s">
        <v>5817</v>
      </c>
      <c r="C3536" s="105" t="s">
        <v>8</v>
      </c>
      <c r="D3536" s="105">
        <v>0</v>
      </c>
      <c r="E3536" s="105">
        <v>0</v>
      </c>
      <c r="F3536" s="105">
        <v>0</v>
      </c>
    </row>
    <row r="3537" spans="1:6" x14ac:dyDescent="0.25">
      <c r="A3537" s="105">
        <f t="shared" si="55"/>
        <v>8501228</v>
      </c>
      <c r="B3537" s="105" t="s">
        <v>5818</v>
      </c>
      <c r="C3537" s="105" t="s">
        <v>5819</v>
      </c>
      <c r="D3537" s="105">
        <v>0</v>
      </c>
      <c r="E3537" s="105">
        <v>0</v>
      </c>
      <c r="F3537" s="105">
        <v>0</v>
      </c>
    </row>
    <row r="3538" spans="1:6" x14ac:dyDescent="0.25">
      <c r="A3538" s="105">
        <f t="shared" si="55"/>
        <v>8501551</v>
      </c>
      <c r="B3538" s="105" t="s">
        <v>5820</v>
      </c>
      <c r="C3538" s="105" t="s">
        <v>5821</v>
      </c>
      <c r="D3538" s="105">
        <v>667.82</v>
      </c>
      <c r="E3538" s="105">
        <v>400.69</v>
      </c>
      <c r="F3538" s="105">
        <v>0</v>
      </c>
    </row>
    <row r="3539" spans="1:6" x14ac:dyDescent="0.25">
      <c r="A3539" s="105" t="str">
        <f t="shared" si="55"/>
        <v/>
      </c>
      <c r="B3539" s="105" t="s">
        <v>5822</v>
      </c>
      <c r="C3539" s="105" t="s">
        <v>8</v>
      </c>
      <c r="D3539" s="105">
        <v>0</v>
      </c>
      <c r="E3539" s="105">
        <v>0</v>
      </c>
      <c r="F3539" s="105">
        <v>0</v>
      </c>
    </row>
    <row r="3540" spans="1:6" x14ac:dyDescent="0.25">
      <c r="A3540" s="105">
        <f t="shared" si="55"/>
        <v>8501594</v>
      </c>
      <c r="B3540" s="105" t="s">
        <v>5823</v>
      </c>
      <c r="C3540" s="105" t="s">
        <v>5824</v>
      </c>
      <c r="D3540" s="105">
        <v>0</v>
      </c>
      <c r="E3540" s="105">
        <v>0</v>
      </c>
      <c r="F3540" s="105">
        <v>0</v>
      </c>
    </row>
    <row r="3541" spans="1:6" x14ac:dyDescent="0.25">
      <c r="A3541" s="105" t="str">
        <f t="shared" si="55"/>
        <v/>
      </c>
      <c r="B3541" s="105" t="s">
        <v>5825</v>
      </c>
      <c r="C3541" s="105" t="s">
        <v>8</v>
      </c>
      <c r="D3541" s="105">
        <v>0</v>
      </c>
      <c r="E3541" s="105">
        <v>0</v>
      </c>
      <c r="F3541" s="105">
        <v>0</v>
      </c>
    </row>
    <row r="3542" spans="1:6" x14ac:dyDescent="0.25">
      <c r="A3542" s="105">
        <f t="shared" si="55"/>
        <v>8501602</v>
      </c>
      <c r="B3542" s="105" t="s">
        <v>5826</v>
      </c>
      <c r="C3542" s="105" t="s">
        <v>5827</v>
      </c>
      <c r="D3542" s="105">
        <v>0</v>
      </c>
      <c r="E3542" s="105">
        <v>0</v>
      </c>
      <c r="F3542" s="105">
        <v>0</v>
      </c>
    </row>
    <row r="3543" spans="1:6" x14ac:dyDescent="0.25">
      <c r="A3543" s="105">
        <f t="shared" si="55"/>
        <v>8501621</v>
      </c>
      <c r="B3543" s="105" t="s">
        <v>5828</v>
      </c>
      <c r="C3543" s="105" t="s">
        <v>5829</v>
      </c>
      <c r="D3543" s="105">
        <v>750.07</v>
      </c>
      <c r="E3543" s="105">
        <v>450.04</v>
      </c>
      <c r="F3543" s="105">
        <v>-1</v>
      </c>
    </row>
    <row r="3544" spans="1:6" x14ac:dyDescent="0.25">
      <c r="A3544" s="105" t="str">
        <f t="shared" si="55"/>
        <v/>
      </c>
      <c r="B3544" s="105" t="s">
        <v>5830</v>
      </c>
      <c r="C3544" s="105" t="s">
        <v>8</v>
      </c>
      <c r="D3544" s="105">
        <v>0</v>
      </c>
      <c r="E3544" s="105">
        <v>0</v>
      </c>
      <c r="F3544" s="105">
        <v>0</v>
      </c>
    </row>
    <row r="3545" spans="1:6" x14ac:dyDescent="0.25">
      <c r="A3545" s="105">
        <f t="shared" si="55"/>
        <v>8501654</v>
      </c>
      <c r="B3545" s="105" t="s">
        <v>5831</v>
      </c>
      <c r="C3545" s="105" t="s">
        <v>5832</v>
      </c>
      <c r="D3545" s="105">
        <v>0</v>
      </c>
      <c r="E3545" s="105">
        <v>0</v>
      </c>
      <c r="F3545" s="105">
        <v>0</v>
      </c>
    </row>
    <row r="3546" spans="1:6" x14ac:dyDescent="0.25">
      <c r="A3546" s="105" t="str">
        <f t="shared" si="55"/>
        <v/>
      </c>
      <c r="B3546" s="105" t="s">
        <v>5833</v>
      </c>
      <c r="C3546" s="105" t="s">
        <v>8</v>
      </c>
      <c r="D3546" s="105">
        <v>0</v>
      </c>
      <c r="E3546" s="105">
        <v>0</v>
      </c>
      <c r="F3546" s="105">
        <v>0</v>
      </c>
    </row>
    <row r="3547" spans="1:6" x14ac:dyDescent="0.25">
      <c r="A3547" s="105">
        <f t="shared" si="55"/>
        <v>8501655</v>
      </c>
      <c r="B3547" s="105" t="s">
        <v>5834</v>
      </c>
      <c r="C3547" s="105" t="s">
        <v>5835</v>
      </c>
      <c r="D3547" s="105">
        <v>0</v>
      </c>
      <c r="E3547" s="105">
        <v>0</v>
      </c>
      <c r="F3547" s="105">
        <v>0</v>
      </c>
    </row>
    <row r="3548" spans="1:6" x14ac:dyDescent="0.25">
      <c r="A3548" s="105">
        <f t="shared" si="55"/>
        <v>8501662</v>
      </c>
      <c r="B3548" s="105" t="s">
        <v>5836</v>
      </c>
      <c r="C3548" s="105" t="s">
        <v>9420</v>
      </c>
      <c r="D3548" s="105">
        <v>1950</v>
      </c>
      <c r="E3548" s="105">
        <v>1170</v>
      </c>
      <c r="F3548" s="105">
        <v>186</v>
      </c>
    </row>
    <row r="3549" spans="1:6" x14ac:dyDescent="0.25">
      <c r="A3549" s="105">
        <f t="shared" si="55"/>
        <v>8501700</v>
      </c>
      <c r="B3549" s="105" t="s">
        <v>5837</v>
      </c>
      <c r="C3549" s="105" t="s">
        <v>5838</v>
      </c>
      <c r="D3549" s="105">
        <v>754.71</v>
      </c>
      <c r="E3549" s="105">
        <v>452.83</v>
      </c>
      <c r="F3549" s="105">
        <v>0</v>
      </c>
    </row>
    <row r="3550" spans="1:6" x14ac:dyDescent="0.25">
      <c r="A3550" s="105">
        <f t="shared" si="55"/>
        <v>8503000</v>
      </c>
      <c r="B3550" s="105" t="s">
        <v>5839</v>
      </c>
      <c r="C3550" s="105" t="s">
        <v>5840</v>
      </c>
      <c r="D3550" s="105">
        <v>3766.5</v>
      </c>
      <c r="E3550" s="105">
        <v>2259.9</v>
      </c>
      <c r="F3550" s="105">
        <v>0</v>
      </c>
    </row>
    <row r="3551" spans="1:6" x14ac:dyDescent="0.25">
      <c r="A3551" s="105">
        <f t="shared" si="55"/>
        <v>8503003</v>
      </c>
      <c r="B3551" s="105" t="s">
        <v>5841</v>
      </c>
      <c r="C3551" s="105" t="s">
        <v>5842</v>
      </c>
      <c r="D3551" s="105">
        <v>868.13</v>
      </c>
      <c r="E3551" s="105">
        <v>520.88</v>
      </c>
      <c r="F3551" s="105">
        <v>0</v>
      </c>
    </row>
    <row r="3552" spans="1:6" x14ac:dyDescent="0.25">
      <c r="A3552" s="105" t="str">
        <f t="shared" si="55"/>
        <v/>
      </c>
      <c r="B3552" s="105" t="s">
        <v>5843</v>
      </c>
      <c r="C3552" s="105" t="s">
        <v>8</v>
      </c>
      <c r="D3552" s="105">
        <v>0</v>
      </c>
      <c r="E3552" s="105">
        <v>0</v>
      </c>
      <c r="F3552" s="105">
        <v>0</v>
      </c>
    </row>
    <row r="3553" spans="1:6" x14ac:dyDescent="0.25">
      <c r="A3553" s="105">
        <f t="shared" si="55"/>
        <v>8503011</v>
      </c>
      <c r="B3553" s="105" t="s">
        <v>5844</v>
      </c>
      <c r="C3553" s="105" t="s">
        <v>5845</v>
      </c>
      <c r="D3553" s="105">
        <v>0</v>
      </c>
      <c r="E3553" s="105">
        <v>0</v>
      </c>
      <c r="F3553" s="105">
        <v>0</v>
      </c>
    </row>
    <row r="3554" spans="1:6" x14ac:dyDescent="0.25">
      <c r="A3554" s="105">
        <f t="shared" si="55"/>
        <v>8503012</v>
      </c>
      <c r="B3554" s="105" t="s">
        <v>5846</v>
      </c>
      <c r="C3554" s="105" t="s">
        <v>5847</v>
      </c>
      <c r="D3554" s="105">
        <v>5088</v>
      </c>
      <c r="E3554" s="105">
        <v>3052.8</v>
      </c>
      <c r="F3554" s="105">
        <v>317</v>
      </c>
    </row>
    <row r="3555" spans="1:6" x14ac:dyDescent="0.25">
      <c r="A3555" s="105" t="str">
        <f t="shared" si="55"/>
        <v/>
      </c>
      <c r="B3555" s="105" t="s">
        <v>5848</v>
      </c>
      <c r="C3555" s="105" t="s">
        <v>8</v>
      </c>
      <c r="D3555" s="105">
        <v>0</v>
      </c>
      <c r="E3555" s="105">
        <v>0</v>
      </c>
      <c r="F3555" s="105">
        <v>0</v>
      </c>
    </row>
    <row r="3556" spans="1:6" x14ac:dyDescent="0.25">
      <c r="A3556" s="105">
        <f t="shared" si="55"/>
        <v>8503020</v>
      </c>
      <c r="B3556" s="105" t="s">
        <v>5849</v>
      </c>
      <c r="C3556" s="105" t="s">
        <v>5850</v>
      </c>
      <c r="D3556" s="105">
        <v>0</v>
      </c>
      <c r="E3556" s="105">
        <v>0</v>
      </c>
      <c r="F3556" s="105">
        <v>0</v>
      </c>
    </row>
    <row r="3557" spans="1:6" x14ac:dyDescent="0.25">
      <c r="A3557" s="105">
        <f t="shared" si="55"/>
        <v>8503026</v>
      </c>
      <c r="B3557" s="105" t="s">
        <v>5851</v>
      </c>
      <c r="C3557" s="105" t="s">
        <v>5852</v>
      </c>
      <c r="D3557" s="105">
        <v>0</v>
      </c>
      <c r="E3557" s="105">
        <v>0</v>
      </c>
      <c r="F3557" s="105">
        <v>0</v>
      </c>
    </row>
    <row r="3558" spans="1:6" x14ac:dyDescent="0.25">
      <c r="A3558" s="105">
        <f t="shared" si="55"/>
        <v>8503045</v>
      </c>
      <c r="B3558" s="105" t="s">
        <v>5853</v>
      </c>
      <c r="C3558" s="105" t="s">
        <v>5854</v>
      </c>
      <c r="D3558" s="105">
        <v>6254</v>
      </c>
      <c r="E3558" s="105">
        <v>3752.4</v>
      </c>
      <c r="F3558" s="105">
        <v>901</v>
      </c>
    </row>
    <row r="3559" spans="1:6" x14ac:dyDescent="0.25">
      <c r="A3559" s="105" t="str">
        <f t="shared" si="55"/>
        <v/>
      </c>
      <c r="B3559" s="105" t="s">
        <v>5855</v>
      </c>
      <c r="C3559" s="105" t="s">
        <v>8</v>
      </c>
      <c r="D3559" s="105">
        <v>0</v>
      </c>
      <c r="E3559" s="105">
        <v>0</v>
      </c>
      <c r="F3559" s="105">
        <v>0</v>
      </c>
    </row>
    <row r="3560" spans="1:6" x14ac:dyDescent="0.25">
      <c r="A3560" s="105">
        <f t="shared" si="55"/>
        <v>8503046</v>
      </c>
      <c r="B3560" s="105" t="s">
        <v>5856</v>
      </c>
      <c r="C3560" s="105" t="s">
        <v>5857</v>
      </c>
      <c r="D3560" s="105">
        <v>0</v>
      </c>
      <c r="E3560" s="105">
        <v>0</v>
      </c>
      <c r="F3560" s="105">
        <v>0</v>
      </c>
    </row>
    <row r="3561" spans="1:6" x14ac:dyDescent="0.25">
      <c r="A3561" s="105" t="str">
        <f t="shared" si="55"/>
        <v/>
      </c>
      <c r="B3561" s="105" t="s">
        <v>5858</v>
      </c>
      <c r="C3561" s="105" t="s">
        <v>8</v>
      </c>
      <c r="D3561" s="105">
        <v>0</v>
      </c>
      <c r="E3561" s="105">
        <v>0</v>
      </c>
      <c r="F3561" s="105">
        <v>0</v>
      </c>
    </row>
    <row r="3562" spans="1:6" x14ac:dyDescent="0.25">
      <c r="A3562" s="105">
        <f t="shared" si="55"/>
        <v>8503060</v>
      </c>
      <c r="B3562" s="105" t="s">
        <v>5859</v>
      </c>
      <c r="C3562" s="105" t="s">
        <v>5860</v>
      </c>
      <c r="D3562" s="105">
        <v>0</v>
      </c>
      <c r="E3562" s="105">
        <v>0</v>
      </c>
      <c r="F3562" s="105">
        <v>0</v>
      </c>
    </row>
    <row r="3563" spans="1:6" x14ac:dyDescent="0.25">
      <c r="A3563" s="105">
        <f t="shared" si="55"/>
        <v>8503061</v>
      </c>
      <c r="B3563" s="105" t="s">
        <v>5861</v>
      </c>
      <c r="C3563" s="105" t="s">
        <v>5862</v>
      </c>
      <c r="D3563" s="105">
        <v>3710</v>
      </c>
      <c r="E3563" s="105">
        <v>2226</v>
      </c>
      <c r="F3563" s="105">
        <v>280</v>
      </c>
    </row>
    <row r="3564" spans="1:6" x14ac:dyDescent="0.25">
      <c r="A3564" s="105">
        <f t="shared" si="55"/>
        <v>850306101</v>
      </c>
      <c r="B3564" s="105" t="s">
        <v>5863</v>
      </c>
      <c r="C3564" s="105" t="s">
        <v>5864</v>
      </c>
      <c r="D3564" s="105">
        <v>0</v>
      </c>
      <c r="E3564" s="105">
        <v>0</v>
      </c>
      <c r="F3564" s="105">
        <v>0</v>
      </c>
    </row>
    <row r="3565" spans="1:6" x14ac:dyDescent="0.25">
      <c r="A3565" s="105">
        <f t="shared" si="55"/>
        <v>8503063</v>
      </c>
      <c r="B3565" s="105" t="s">
        <v>5865</v>
      </c>
      <c r="C3565" s="105" t="s">
        <v>5866</v>
      </c>
      <c r="D3565" s="105">
        <v>0</v>
      </c>
      <c r="E3565" s="105">
        <v>0</v>
      </c>
      <c r="F3565" s="105">
        <v>1</v>
      </c>
    </row>
    <row r="3566" spans="1:6" x14ac:dyDescent="0.25">
      <c r="A3566" s="105">
        <f t="shared" si="55"/>
        <v>8503090</v>
      </c>
      <c r="B3566" s="105" t="s">
        <v>5867</v>
      </c>
      <c r="C3566" s="105" t="s">
        <v>5868</v>
      </c>
      <c r="D3566" s="105">
        <v>0</v>
      </c>
      <c r="E3566" s="105">
        <v>0</v>
      </c>
      <c r="F3566" s="105">
        <v>0</v>
      </c>
    </row>
    <row r="3567" spans="1:6" x14ac:dyDescent="0.25">
      <c r="A3567" s="105" t="str">
        <f t="shared" si="55"/>
        <v/>
      </c>
      <c r="B3567" s="105" t="s">
        <v>5869</v>
      </c>
      <c r="C3567" s="105" t="s">
        <v>8</v>
      </c>
      <c r="D3567" s="105">
        <v>0</v>
      </c>
      <c r="E3567" s="105">
        <v>0</v>
      </c>
      <c r="F3567" s="105">
        <v>0</v>
      </c>
    </row>
    <row r="3568" spans="1:6" x14ac:dyDescent="0.25">
      <c r="A3568" s="105">
        <f t="shared" si="55"/>
        <v>8503091</v>
      </c>
      <c r="B3568" s="105" t="s">
        <v>5870</v>
      </c>
      <c r="C3568" s="105" t="s">
        <v>5871</v>
      </c>
      <c r="D3568" s="105">
        <v>0</v>
      </c>
      <c r="E3568" s="105">
        <v>0</v>
      </c>
      <c r="F3568" s="105">
        <v>0</v>
      </c>
    </row>
    <row r="3569" spans="1:6" x14ac:dyDescent="0.25">
      <c r="A3569" s="105">
        <f t="shared" si="55"/>
        <v>8503098</v>
      </c>
      <c r="B3569" s="105" t="s">
        <v>5872</v>
      </c>
      <c r="C3569" s="105" t="s">
        <v>5873</v>
      </c>
      <c r="D3569" s="105">
        <v>3086.72</v>
      </c>
      <c r="E3569" s="105">
        <v>1852.03</v>
      </c>
      <c r="F3569" s="105">
        <v>0</v>
      </c>
    </row>
    <row r="3570" spans="1:6" x14ac:dyDescent="0.25">
      <c r="A3570" s="105">
        <f t="shared" si="55"/>
        <v>8503100</v>
      </c>
      <c r="B3570" s="105" t="s">
        <v>5874</v>
      </c>
      <c r="C3570" s="105" t="s">
        <v>5875</v>
      </c>
      <c r="D3570" s="105">
        <v>1057.33</v>
      </c>
      <c r="E3570" s="105">
        <v>634.4</v>
      </c>
      <c r="F3570" s="105">
        <v>1</v>
      </c>
    </row>
    <row r="3571" spans="1:6" x14ac:dyDescent="0.25">
      <c r="A3571" s="105">
        <f t="shared" si="55"/>
        <v>8503111</v>
      </c>
      <c r="B3571" s="105" t="s">
        <v>5876</v>
      </c>
      <c r="C3571" s="105" t="s">
        <v>5877</v>
      </c>
      <c r="D3571" s="105">
        <v>0</v>
      </c>
      <c r="E3571" s="105">
        <v>0</v>
      </c>
      <c r="F3571" s="105">
        <v>0</v>
      </c>
    </row>
    <row r="3572" spans="1:6" x14ac:dyDescent="0.25">
      <c r="A3572" s="105">
        <f t="shared" si="55"/>
        <v>8503125</v>
      </c>
      <c r="B3572" s="105" t="s">
        <v>5878</v>
      </c>
      <c r="C3572" s="105" t="s">
        <v>5879</v>
      </c>
      <c r="D3572" s="105">
        <v>3074</v>
      </c>
      <c r="E3572" s="105">
        <v>1844.4</v>
      </c>
      <c r="F3572" s="105">
        <v>0</v>
      </c>
    </row>
    <row r="3573" spans="1:6" x14ac:dyDescent="0.25">
      <c r="A3573" s="105" t="str">
        <f t="shared" si="55"/>
        <v/>
      </c>
      <c r="B3573" s="105" t="s">
        <v>5880</v>
      </c>
      <c r="C3573" s="105" t="s">
        <v>8</v>
      </c>
      <c r="D3573" s="105">
        <v>0</v>
      </c>
      <c r="E3573" s="105">
        <v>0</v>
      </c>
      <c r="F3573" s="105">
        <v>0</v>
      </c>
    </row>
    <row r="3574" spans="1:6" x14ac:dyDescent="0.25">
      <c r="A3574" s="105">
        <f t="shared" si="55"/>
        <v>8503130</v>
      </c>
      <c r="B3574" s="105" t="s">
        <v>5881</v>
      </c>
      <c r="C3574" s="105" t="s">
        <v>5882</v>
      </c>
      <c r="D3574" s="105">
        <v>0</v>
      </c>
      <c r="E3574" s="105">
        <v>0</v>
      </c>
      <c r="F3574" s="105">
        <v>0</v>
      </c>
    </row>
    <row r="3575" spans="1:6" x14ac:dyDescent="0.25">
      <c r="A3575" s="105" t="str">
        <f t="shared" si="55"/>
        <v/>
      </c>
      <c r="B3575" s="105" t="s">
        <v>5883</v>
      </c>
      <c r="C3575" s="105" t="s">
        <v>8</v>
      </c>
      <c r="D3575" s="105">
        <v>0</v>
      </c>
      <c r="E3575" s="105">
        <v>0</v>
      </c>
      <c r="F3575" s="105">
        <v>0</v>
      </c>
    </row>
    <row r="3576" spans="1:6" x14ac:dyDescent="0.25">
      <c r="A3576" s="105">
        <f t="shared" si="55"/>
        <v>8503159</v>
      </c>
      <c r="B3576" s="105" t="s">
        <v>5884</v>
      </c>
      <c r="C3576" s="105" t="s">
        <v>5885</v>
      </c>
      <c r="D3576" s="105">
        <v>4189.12</v>
      </c>
      <c r="E3576" s="105">
        <v>2513.4699999999998</v>
      </c>
      <c r="F3576" s="105">
        <v>0</v>
      </c>
    </row>
    <row r="3577" spans="1:6" x14ac:dyDescent="0.25">
      <c r="A3577" s="105" t="str">
        <f t="shared" si="55"/>
        <v/>
      </c>
      <c r="B3577" s="105" t="s">
        <v>5886</v>
      </c>
      <c r="C3577" s="105" t="s">
        <v>8</v>
      </c>
      <c r="D3577" s="105">
        <v>0</v>
      </c>
      <c r="E3577" s="105">
        <v>0</v>
      </c>
      <c r="F3577" s="105">
        <v>0</v>
      </c>
    </row>
    <row r="3578" spans="1:6" x14ac:dyDescent="0.25">
      <c r="A3578" s="105">
        <f t="shared" si="55"/>
        <v>8503168</v>
      </c>
      <c r="B3578" s="105" t="s">
        <v>5887</v>
      </c>
      <c r="C3578" s="105" t="s">
        <v>9421</v>
      </c>
      <c r="D3578" s="105">
        <v>3527.68</v>
      </c>
      <c r="E3578" s="105">
        <v>2116.61</v>
      </c>
      <c r="F3578" s="105">
        <v>0</v>
      </c>
    </row>
    <row r="3579" spans="1:6" x14ac:dyDescent="0.25">
      <c r="A3579" s="105">
        <f t="shared" si="55"/>
        <v>8503201</v>
      </c>
      <c r="B3579" s="105" t="s">
        <v>5888</v>
      </c>
      <c r="C3579" s="105" t="s">
        <v>5889</v>
      </c>
      <c r="D3579" s="105">
        <v>3025.29</v>
      </c>
      <c r="E3579" s="105">
        <v>1815.17</v>
      </c>
      <c r="F3579" s="105">
        <v>0</v>
      </c>
    </row>
    <row r="3580" spans="1:6" x14ac:dyDescent="0.25">
      <c r="A3580" s="105">
        <f t="shared" si="55"/>
        <v>8503202</v>
      </c>
      <c r="B3580" s="105" t="s">
        <v>5890</v>
      </c>
      <c r="C3580" s="105" t="s">
        <v>5891</v>
      </c>
      <c r="D3580" s="105">
        <v>3086.72</v>
      </c>
      <c r="E3580" s="105">
        <v>1852.03</v>
      </c>
      <c r="F3580" s="105">
        <v>0</v>
      </c>
    </row>
    <row r="3581" spans="1:6" x14ac:dyDescent="0.25">
      <c r="A3581" s="105">
        <f t="shared" si="55"/>
        <v>8503209</v>
      </c>
      <c r="B3581" s="105" t="s">
        <v>5892</v>
      </c>
      <c r="C3581" s="105" t="s">
        <v>5893</v>
      </c>
      <c r="D3581" s="105">
        <v>3588.3</v>
      </c>
      <c r="E3581" s="105">
        <v>2152.98</v>
      </c>
      <c r="F3581" s="105">
        <v>2</v>
      </c>
    </row>
    <row r="3582" spans="1:6" x14ac:dyDescent="0.25">
      <c r="A3582" s="105">
        <f t="shared" si="55"/>
        <v>8503224</v>
      </c>
      <c r="B3582" s="105" t="s">
        <v>5894</v>
      </c>
      <c r="C3582" s="105" t="s">
        <v>9422</v>
      </c>
      <c r="D3582" s="105">
        <v>3604</v>
      </c>
      <c r="E3582" s="105">
        <v>2162.4</v>
      </c>
      <c r="F3582" s="105">
        <v>35</v>
      </c>
    </row>
    <row r="3583" spans="1:6" x14ac:dyDescent="0.25">
      <c r="A3583" s="105" t="str">
        <f t="shared" si="55"/>
        <v/>
      </c>
      <c r="B3583" s="105" t="s">
        <v>5895</v>
      </c>
      <c r="C3583" s="105" t="s">
        <v>8</v>
      </c>
      <c r="D3583" s="105">
        <v>0</v>
      </c>
      <c r="E3583" s="105">
        <v>0</v>
      </c>
      <c r="F3583" s="105">
        <v>0</v>
      </c>
    </row>
    <row r="3584" spans="1:6" x14ac:dyDescent="0.25">
      <c r="A3584" s="105">
        <f t="shared" si="55"/>
        <v>8503230</v>
      </c>
      <c r="B3584" s="105" t="s">
        <v>5896</v>
      </c>
      <c r="C3584" s="105" t="s">
        <v>5897</v>
      </c>
      <c r="D3584" s="105">
        <v>0</v>
      </c>
      <c r="E3584" s="105">
        <v>0</v>
      </c>
      <c r="F3584" s="105">
        <v>0</v>
      </c>
    </row>
    <row r="3585" spans="1:6" x14ac:dyDescent="0.25">
      <c r="A3585" s="105">
        <f t="shared" si="55"/>
        <v>8503234</v>
      </c>
      <c r="B3585" s="105" t="s">
        <v>5898</v>
      </c>
      <c r="C3585" s="105" t="s">
        <v>5899</v>
      </c>
      <c r="D3585" s="105">
        <v>3307.2</v>
      </c>
      <c r="E3585" s="105">
        <v>1984.32</v>
      </c>
      <c r="F3585" s="105">
        <v>8</v>
      </c>
    </row>
    <row r="3586" spans="1:6" x14ac:dyDescent="0.25">
      <c r="A3586" s="105">
        <f t="shared" si="55"/>
        <v>8503235</v>
      </c>
      <c r="B3586" s="105" t="s">
        <v>5900</v>
      </c>
      <c r="C3586" s="105" t="s">
        <v>5901</v>
      </c>
      <c r="D3586" s="105">
        <v>2976.48</v>
      </c>
      <c r="E3586" s="105">
        <v>1785.89</v>
      </c>
      <c r="F3586" s="105">
        <v>0</v>
      </c>
    </row>
    <row r="3587" spans="1:6" x14ac:dyDescent="0.25">
      <c r="A3587" s="105" t="str">
        <f t="shared" ref="A3587:A3650" si="56">IF(B3587&lt;&gt;"",IFERROR(B3587*1,""),"")</f>
        <v/>
      </c>
      <c r="B3587" s="105" t="s">
        <v>5902</v>
      </c>
      <c r="C3587" s="105" t="s">
        <v>8</v>
      </c>
      <c r="D3587" s="105">
        <v>0</v>
      </c>
      <c r="E3587" s="105">
        <v>0</v>
      </c>
      <c r="F3587" s="105">
        <v>0</v>
      </c>
    </row>
    <row r="3588" spans="1:6" x14ac:dyDescent="0.25">
      <c r="A3588" s="105">
        <f t="shared" si="56"/>
        <v>8503236</v>
      </c>
      <c r="B3588" s="105" t="s">
        <v>5903</v>
      </c>
      <c r="C3588" s="105" t="s">
        <v>5904</v>
      </c>
      <c r="D3588" s="105">
        <v>3196.96</v>
      </c>
      <c r="E3588" s="105">
        <v>1918.18</v>
      </c>
      <c r="F3588" s="105">
        <v>0</v>
      </c>
    </row>
    <row r="3589" spans="1:6" x14ac:dyDescent="0.25">
      <c r="A3589" s="105" t="str">
        <f t="shared" si="56"/>
        <v/>
      </c>
      <c r="B3589" s="105" t="s">
        <v>5905</v>
      </c>
      <c r="C3589" s="105" t="s">
        <v>8</v>
      </c>
      <c r="D3589" s="105">
        <v>0</v>
      </c>
      <c r="E3589" s="105">
        <v>0</v>
      </c>
      <c r="F3589" s="105">
        <v>0</v>
      </c>
    </row>
    <row r="3590" spans="1:6" x14ac:dyDescent="0.25">
      <c r="A3590" s="105">
        <f t="shared" si="56"/>
        <v>8503238</v>
      </c>
      <c r="B3590" s="105" t="s">
        <v>5906</v>
      </c>
      <c r="C3590" s="105" t="s">
        <v>5907</v>
      </c>
      <c r="D3590" s="105">
        <v>2976.48</v>
      </c>
      <c r="E3590" s="105">
        <v>1785.89</v>
      </c>
      <c r="F3590" s="105">
        <v>0</v>
      </c>
    </row>
    <row r="3591" spans="1:6" x14ac:dyDescent="0.25">
      <c r="A3591" s="105" t="str">
        <f t="shared" si="56"/>
        <v/>
      </c>
      <c r="B3591" s="105" t="s">
        <v>5908</v>
      </c>
      <c r="C3591" s="105" t="s">
        <v>8</v>
      </c>
      <c r="D3591" s="105">
        <v>0</v>
      </c>
      <c r="E3591" s="105">
        <v>0</v>
      </c>
      <c r="F3591" s="105">
        <v>0</v>
      </c>
    </row>
    <row r="3592" spans="1:6" x14ac:dyDescent="0.25">
      <c r="A3592" s="105">
        <f t="shared" si="56"/>
        <v>8503250</v>
      </c>
      <c r="B3592" s="105" t="s">
        <v>5909</v>
      </c>
      <c r="C3592" s="105" t="s">
        <v>5910</v>
      </c>
      <c r="D3592" s="105">
        <v>3086.72</v>
      </c>
      <c r="E3592" s="105">
        <v>1852.03</v>
      </c>
      <c r="F3592" s="105">
        <v>0</v>
      </c>
    </row>
    <row r="3593" spans="1:6" x14ac:dyDescent="0.25">
      <c r="A3593" s="105">
        <f t="shared" si="56"/>
        <v>8503258</v>
      </c>
      <c r="B3593" s="105" t="s">
        <v>5911</v>
      </c>
      <c r="C3593" s="105" t="s">
        <v>5912</v>
      </c>
      <c r="D3593" s="105">
        <v>43754.26</v>
      </c>
      <c r="E3593" s="105">
        <v>26252.560000000001</v>
      </c>
      <c r="F3593" s="105">
        <v>2</v>
      </c>
    </row>
    <row r="3594" spans="1:6" x14ac:dyDescent="0.25">
      <c r="A3594" s="105">
        <f t="shared" si="56"/>
        <v>8503302</v>
      </c>
      <c r="B3594" s="105" t="s">
        <v>5913</v>
      </c>
      <c r="C3594" s="105" t="s">
        <v>5914</v>
      </c>
      <c r="D3594" s="105">
        <v>4522.82</v>
      </c>
      <c r="E3594" s="105">
        <v>2713.69</v>
      </c>
      <c r="F3594" s="105">
        <v>0</v>
      </c>
    </row>
    <row r="3595" spans="1:6" x14ac:dyDescent="0.25">
      <c r="A3595" s="105">
        <f t="shared" si="56"/>
        <v>8503303</v>
      </c>
      <c r="B3595" s="105" t="s">
        <v>5915</v>
      </c>
      <c r="C3595" s="105" t="s">
        <v>5916</v>
      </c>
      <c r="D3595" s="105">
        <v>1272</v>
      </c>
      <c r="E3595" s="105">
        <v>763.2</v>
      </c>
      <c r="F3595" s="105">
        <v>0</v>
      </c>
    </row>
    <row r="3596" spans="1:6" x14ac:dyDescent="0.25">
      <c r="A3596" s="105">
        <f t="shared" si="56"/>
        <v>8503304</v>
      </c>
      <c r="B3596" s="105" t="s">
        <v>5917</v>
      </c>
      <c r="C3596" s="105" t="s">
        <v>5918</v>
      </c>
      <c r="D3596" s="105">
        <v>0</v>
      </c>
      <c r="E3596" s="105">
        <v>0</v>
      </c>
      <c r="F3596" s="105">
        <v>0</v>
      </c>
    </row>
    <row r="3597" spans="1:6" x14ac:dyDescent="0.25">
      <c r="A3597" s="105">
        <f t="shared" si="56"/>
        <v>8503305</v>
      </c>
      <c r="B3597" s="105" t="s">
        <v>5919</v>
      </c>
      <c r="C3597" s="105" t="s">
        <v>5920</v>
      </c>
      <c r="D3597" s="105">
        <v>848</v>
      </c>
      <c r="E3597" s="105">
        <v>508.8</v>
      </c>
      <c r="F3597" s="105">
        <v>28</v>
      </c>
    </row>
    <row r="3598" spans="1:6" x14ac:dyDescent="0.25">
      <c r="A3598" s="105">
        <f t="shared" si="56"/>
        <v>8503310</v>
      </c>
      <c r="B3598" s="105" t="s">
        <v>5921</v>
      </c>
      <c r="C3598" s="105" t="s">
        <v>5922</v>
      </c>
      <c r="D3598" s="105">
        <v>3750.36</v>
      </c>
      <c r="E3598" s="105">
        <v>2250.2199999999998</v>
      </c>
      <c r="F3598" s="105">
        <v>0</v>
      </c>
    </row>
    <row r="3599" spans="1:6" x14ac:dyDescent="0.25">
      <c r="A3599" s="105">
        <f t="shared" si="56"/>
        <v>8503320</v>
      </c>
      <c r="B3599" s="105" t="s">
        <v>5923</v>
      </c>
      <c r="C3599" s="105" t="s">
        <v>5924</v>
      </c>
      <c r="D3599" s="105">
        <v>0</v>
      </c>
      <c r="E3599" s="105">
        <v>0</v>
      </c>
      <c r="F3599" s="105">
        <v>0</v>
      </c>
    </row>
    <row r="3600" spans="1:6" x14ac:dyDescent="0.25">
      <c r="A3600" s="105" t="str">
        <f t="shared" si="56"/>
        <v/>
      </c>
      <c r="B3600" s="105" t="s">
        <v>5925</v>
      </c>
      <c r="C3600" s="105" t="s">
        <v>8</v>
      </c>
      <c r="D3600" s="105">
        <v>0</v>
      </c>
      <c r="E3600" s="105">
        <v>0</v>
      </c>
      <c r="F3600" s="105">
        <v>0</v>
      </c>
    </row>
    <row r="3601" spans="1:6" x14ac:dyDescent="0.25">
      <c r="A3601" s="105">
        <f t="shared" si="56"/>
        <v>8503401</v>
      </c>
      <c r="B3601" s="105" t="s">
        <v>5926</v>
      </c>
      <c r="C3601" s="105" t="s">
        <v>5927</v>
      </c>
      <c r="D3601" s="105">
        <v>0</v>
      </c>
      <c r="E3601" s="105">
        <v>0</v>
      </c>
      <c r="F3601" s="105">
        <v>0</v>
      </c>
    </row>
    <row r="3602" spans="1:6" x14ac:dyDescent="0.25">
      <c r="A3602" s="105">
        <f t="shared" si="56"/>
        <v>8503402</v>
      </c>
      <c r="B3602" s="105" t="s">
        <v>5928</v>
      </c>
      <c r="C3602" s="105" t="s">
        <v>5929</v>
      </c>
      <c r="D3602" s="105">
        <v>937.59</v>
      </c>
      <c r="E3602" s="105">
        <v>562.54999999999995</v>
      </c>
      <c r="F3602" s="105">
        <v>0</v>
      </c>
    </row>
    <row r="3603" spans="1:6" x14ac:dyDescent="0.25">
      <c r="A3603" s="105">
        <f t="shared" si="56"/>
        <v>8503424</v>
      </c>
      <c r="B3603" s="105" t="s">
        <v>5930</v>
      </c>
      <c r="C3603" s="105" t="s">
        <v>5931</v>
      </c>
      <c r="D3603" s="105">
        <v>1132.97</v>
      </c>
      <c r="E3603" s="105">
        <v>679.78</v>
      </c>
      <c r="F3603" s="105">
        <v>1</v>
      </c>
    </row>
    <row r="3604" spans="1:6" x14ac:dyDescent="0.25">
      <c r="A3604" s="105" t="str">
        <f t="shared" si="56"/>
        <v/>
      </c>
      <c r="B3604" s="105" t="s">
        <v>5932</v>
      </c>
      <c r="C3604" s="105" t="s">
        <v>8</v>
      </c>
      <c r="D3604" s="105">
        <v>0</v>
      </c>
      <c r="E3604" s="105">
        <v>0</v>
      </c>
      <c r="F3604" s="105">
        <v>0</v>
      </c>
    </row>
    <row r="3605" spans="1:6" x14ac:dyDescent="0.25">
      <c r="A3605" s="105">
        <f t="shared" si="56"/>
        <v>8503425</v>
      </c>
      <c r="B3605" s="105" t="s">
        <v>5933</v>
      </c>
      <c r="C3605" s="105" t="s">
        <v>5934</v>
      </c>
      <c r="D3605" s="105">
        <v>0</v>
      </c>
      <c r="E3605" s="105">
        <v>0</v>
      </c>
      <c r="F3605" s="105">
        <v>0</v>
      </c>
    </row>
    <row r="3606" spans="1:6" x14ac:dyDescent="0.25">
      <c r="A3606" s="105">
        <f t="shared" si="56"/>
        <v>8503426</v>
      </c>
      <c r="B3606" s="105" t="s">
        <v>5935</v>
      </c>
      <c r="C3606" s="105" t="s">
        <v>5936</v>
      </c>
      <c r="D3606" s="105">
        <v>1132.97</v>
      </c>
      <c r="E3606" s="105">
        <v>679.78</v>
      </c>
      <c r="F3606" s="105">
        <v>0</v>
      </c>
    </row>
    <row r="3607" spans="1:6" x14ac:dyDescent="0.25">
      <c r="A3607" s="105" t="str">
        <f t="shared" si="56"/>
        <v/>
      </c>
      <c r="B3607" s="105" t="s">
        <v>5937</v>
      </c>
      <c r="C3607" s="105" t="s">
        <v>8</v>
      </c>
      <c r="D3607" s="105">
        <v>0</v>
      </c>
      <c r="E3607" s="105">
        <v>0</v>
      </c>
      <c r="F3607" s="105">
        <v>0</v>
      </c>
    </row>
    <row r="3608" spans="1:6" x14ac:dyDescent="0.25">
      <c r="A3608" s="105">
        <f t="shared" si="56"/>
        <v>8503427</v>
      </c>
      <c r="B3608" s="105" t="s">
        <v>5938</v>
      </c>
      <c r="C3608" s="105" t="s">
        <v>5939</v>
      </c>
      <c r="D3608" s="105">
        <v>0</v>
      </c>
      <c r="E3608" s="105">
        <v>0</v>
      </c>
      <c r="F3608" s="105">
        <v>0</v>
      </c>
    </row>
    <row r="3609" spans="1:6" x14ac:dyDescent="0.25">
      <c r="A3609" s="105" t="str">
        <f t="shared" si="56"/>
        <v/>
      </c>
      <c r="B3609" s="105" t="s">
        <v>5940</v>
      </c>
      <c r="C3609" s="105" t="s">
        <v>8</v>
      </c>
      <c r="D3609" s="105">
        <v>0</v>
      </c>
      <c r="E3609" s="105">
        <v>0</v>
      </c>
      <c r="F3609" s="105">
        <v>0</v>
      </c>
    </row>
    <row r="3610" spans="1:6" x14ac:dyDescent="0.25">
      <c r="A3610" s="105">
        <f t="shared" si="56"/>
        <v>8503428</v>
      </c>
      <c r="B3610" s="105" t="s">
        <v>5941</v>
      </c>
      <c r="C3610" s="105" t="s">
        <v>9423</v>
      </c>
      <c r="D3610" s="105">
        <v>1590</v>
      </c>
      <c r="E3610" s="105">
        <v>954</v>
      </c>
      <c r="F3610" s="105">
        <v>0</v>
      </c>
    </row>
    <row r="3611" spans="1:6" x14ac:dyDescent="0.25">
      <c r="A3611" s="105">
        <f t="shared" si="56"/>
        <v>8503429</v>
      </c>
      <c r="B3611" s="105" t="s">
        <v>5942</v>
      </c>
      <c r="C3611" s="105" t="s">
        <v>5943</v>
      </c>
      <c r="D3611" s="105">
        <v>0</v>
      </c>
      <c r="E3611" s="105">
        <v>0</v>
      </c>
      <c r="F3611" s="105">
        <v>0</v>
      </c>
    </row>
    <row r="3612" spans="1:6" x14ac:dyDescent="0.25">
      <c r="A3612" s="105">
        <f t="shared" si="56"/>
        <v>8503450</v>
      </c>
      <c r="B3612" s="105" t="s">
        <v>5944</v>
      </c>
      <c r="C3612" s="105" t="s">
        <v>5945</v>
      </c>
      <c r="D3612" s="105">
        <v>0</v>
      </c>
      <c r="E3612" s="105">
        <v>0</v>
      </c>
      <c r="F3612" s="105">
        <v>0</v>
      </c>
    </row>
    <row r="3613" spans="1:6" x14ac:dyDescent="0.25">
      <c r="A3613" s="105">
        <f t="shared" si="56"/>
        <v>8503451</v>
      </c>
      <c r="B3613" s="105" t="s">
        <v>5946</v>
      </c>
      <c r="C3613" s="105" t="s">
        <v>5947</v>
      </c>
      <c r="D3613" s="105">
        <v>0</v>
      </c>
      <c r="E3613" s="105">
        <v>0</v>
      </c>
      <c r="F3613" s="105">
        <v>0</v>
      </c>
    </row>
    <row r="3614" spans="1:6" x14ac:dyDescent="0.25">
      <c r="A3614" s="105" t="str">
        <f t="shared" si="56"/>
        <v/>
      </c>
      <c r="B3614" s="105" t="s">
        <v>5948</v>
      </c>
      <c r="C3614" s="105" t="s">
        <v>8</v>
      </c>
      <c r="D3614" s="105">
        <v>0</v>
      </c>
      <c r="E3614" s="105">
        <v>0</v>
      </c>
      <c r="F3614" s="105">
        <v>0</v>
      </c>
    </row>
    <row r="3615" spans="1:6" x14ac:dyDescent="0.25">
      <c r="A3615" s="105">
        <f t="shared" si="56"/>
        <v>8503456</v>
      </c>
      <c r="B3615" s="105" t="s">
        <v>5949</v>
      </c>
      <c r="C3615" s="105" t="s">
        <v>5857</v>
      </c>
      <c r="D3615" s="105">
        <v>0</v>
      </c>
      <c r="E3615" s="105">
        <v>0</v>
      </c>
      <c r="F3615" s="105">
        <v>0</v>
      </c>
    </row>
    <row r="3616" spans="1:6" x14ac:dyDescent="0.25">
      <c r="A3616" s="105" t="str">
        <f t="shared" si="56"/>
        <v/>
      </c>
      <c r="B3616" s="105" t="s">
        <v>5950</v>
      </c>
      <c r="C3616" s="105" t="s">
        <v>8</v>
      </c>
      <c r="D3616" s="105">
        <v>0</v>
      </c>
      <c r="E3616" s="105">
        <v>0</v>
      </c>
      <c r="F3616" s="105">
        <v>0</v>
      </c>
    </row>
    <row r="3617" spans="1:6" x14ac:dyDescent="0.25">
      <c r="A3617" s="105">
        <f t="shared" si="56"/>
        <v>8503457</v>
      </c>
      <c r="B3617" s="105" t="s">
        <v>5951</v>
      </c>
      <c r="C3617" s="105" t="s">
        <v>5952</v>
      </c>
      <c r="D3617" s="105">
        <v>19562.080000000002</v>
      </c>
      <c r="E3617" s="105">
        <v>11737.25</v>
      </c>
      <c r="F3617" s="105">
        <v>1</v>
      </c>
    </row>
    <row r="3618" spans="1:6" x14ac:dyDescent="0.25">
      <c r="A3618" s="105" t="str">
        <f t="shared" si="56"/>
        <v/>
      </c>
      <c r="B3618" s="105" t="s">
        <v>5953</v>
      </c>
      <c r="C3618" s="105" t="s">
        <v>8</v>
      </c>
      <c r="D3618" s="105">
        <v>0</v>
      </c>
      <c r="E3618" s="105">
        <v>0</v>
      </c>
      <c r="F3618" s="105">
        <v>0</v>
      </c>
    </row>
    <row r="3619" spans="1:6" x14ac:dyDescent="0.25">
      <c r="A3619" s="105">
        <f t="shared" si="56"/>
        <v>8503458</v>
      </c>
      <c r="B3619" s="105" t="s">
        <v>5954</v>
      </c>
      <c r="C3619" s="105" t="s">
        <v>5955</v>
      </c>
      <c r="D3619" s="105">
        <v>0</v>
      </c>
      <c r="E3619" s="105">
        <v>0</v>
      </c>
      <c r="F3619" s="105">
        <v>0</v>
      </c>
    </row>
    <row r="3620" spans="1:6" x14ac:dyDescent="0.25">
      <c r="A3620" s="105">
        <f t="shared" si="56"/>
        <v>8503500</v>
      </c>
      <c r="B3620" s="105" t="s">
        <v>5956</v>
      </c>
      <c r="C3620" s="105" t="s">
        <v>5957</v>
      </c>
      <c r="D3620" s="105">
        <v>0</v>
      </c>
      <c r="E3620" s="105">
        <v>0</v>
      </c>
      <c r="F3620" s="105">
        <v>1</v>
      </c>
    </row>
    <row r="3621" spans="1:6" x14ac:dyDescent="0.25">
      <c r="A3621" s="105">
        <f t="shared" si="56"/>
        <v>8503505</v>
      </c>
      <c r="B3621" s="105" t="s">
        <v>5958</v>
      </c>
      <c r="C3621" s="105" t="s">
        <v>5959</v>
      </c>
      <c r="D3621" s="105">
        <v>301.01</v>
      </c>
      <c r="E3621" s="105">
        <v>180.61</v>
      </c>
      <c r="F3621" s="105">
        <v>2</v>
      </c>
    </row>
    <row r="3622" spans="1:6" x14ac:dyDescent="0.25">
      <c r="A3622" s="105">
        <f t="shared" si="56"/>
        <v>8503600</v>
      </c>
      <c r="B3622" s="105" t="s">
        <v>5960</v>
      </c>
      <c r="C3622" s="105" t="s">
        <v>5961</v>
      </c>
      <c r="D3622" s="105">
        <v>2332</v>
      </c>
      <c r="E3622" s="105">
        <v>1399.2</v>
      </c>
      <c r="F3622" s="105">
        <v>574</v>
      </c>
    </row>
    <row r="3623" spans="1:6" x14ac:dyDescent="0.25">
      <c r="A3623" s="105">
        <f t="shared" si="56"/>
        <v>8503638</v>
      </c>
      <c r="B3623" s="105" t="s">
        <v>5962</v>
      </c>
      <c r="C3623" s="105" t="s">
        <v>5963</v>
      </c>
      <c r="D3623" s="105">
        <v>3500.34</v>
      </c>
      <c r="E3623" s="105">
        <v>2100.1999999999998</v>
      </c>
      <c r="F3623" s="105">
        <v>0</v>
      </c>
    </row>
    <row r="3624" spans="1:6" x14ac:dyDescent="0.25">
      <c r="A3624" s="105">
        <f t="shared" si="56"/>
        <v>8503639</v>
      </c>
      <c r="B3624" s="105" t="s">
        <v>5964</v>
      </c>
      <c r="C3624" s="105" t="s">
        <v>5965</v>
      </c>
      <c r="D3624" s="105">
        <v>3500.34</v>
      </c>
      <c r="E3624" s="105">
        <v>2100.1999999999998</v>
      </c>
      <c r="F3624" s="105">
        <v>1</v>
      </c>
    </row>
    <row r="3625" spans="1:6" x14ac:dyDescent="0.25">
      <c r="A3625" s="105" t="str">
        <f t="shared" si="56"/>
        <v/>
      </c>
      <c r="B3625" s="105" t="s">
        <v>5966</v>
      </c>
      <c r="C3625" s="105" t="s">
        <v>8</v>
      </c>
      <c r="D3625" s="105">
        <v>0</v>
      </c>
      <c r="E3625" s="105">
        <v>0</v>
      </c>
      <c r="F3625" s="105">
        <v>0</v>
      </c>
    </row>
    <row r="3626" spans="1:6" x14ac:dyDescent="0.25">
      <c r="A3626" s="105">
        <f t="shared" si="56"/>
        <v>8503712</v>
      </c>
      <c r="B3626" s="105" t="s">
        <v>5967</v>
      </c>
      <c r="C3626" s="105" t="s">
        <v>5968</v>
      </c>
      <c r="D3626" s="105">
        <v>0</v>
      </c>
      <c r="E3626" s="105">
        <v>0</v>
      </c>
      <c r="F3626" s="105">
        <v>0</v>
      </c>
    </row>
    <row r="3627" spans="1:6" x14ac:dyDescent="0.25">
      <c r="A3627" s="105">
        <f t="shared" si="56"/>
        <v>8503716</v>
      </c>
      <c r="B3627" s="105" t="s">
        <v>5969</v>
      </c>
      <c r="C3627" s="105" t="s">
        <v>5970</v>
      </c>
      <c r="D3627" s="105">
        <v>1528.88</v>
      </c>
      <c r="E3627" s="105">
        <v>917.33</v>
      </c>
      <c r="F3627" s="105">
        <v>1</v>
      </c>
    </row>
    <row r="3628" spans="1:6" x14ac:dyDescent="0.25">
      <c r="A3628" s="105">
        <f t="shared" si="56"/>
        <v>8503750</v>
      </c>
      <c r="B3628" s="105" t="s">
        <v>5971</v>
      </c>
      <c r="C3628" s="105" t="s">
        <v>5972</v>
      </c>
      <c r="D3628" s="105">
        <v>2721.25</v>
      </c>
      <c r="E3628" s="105">
        <v>1632.75</v>
      </c>
      <c r="F3628" s="105">
        <v>8</v>
      </c>
    </row>
    <row r="3629" spans="1:6" x14ac:dyDescent="0.25">
      <c r="A3629" s="105">
        <f t="shared" si="56"/>
        <v>8503760</v>
      </c>
      <c r="B3629" s="105" t="s">
        <v>5973</v>
      </c>
      <c r="C3629" s="105" t="s">
        <v>5974</v>
      </c>
      <c r="D3629" s="105">
        <v>2721.25</v>
      </c>
      <c r="E3629" s="105">
        <v>1632.75</v>
      </c>
      <c r="F3629" s="105">
        <v>11</v>
      </c>
    </row>
    <row r="3630" spans="1:6" x14ac:dyDescent="0.25">
      <c r="A3630" s="105" t="str">
        <f t="shared" si="56"/>
        <v/>
      </c>
      <c r="B3630" s="105" t="s">
        <v>5975</v>
      </c>
      <c r="C3630" s="105" t="s">
        <v>8</v>
      </c>
      <c r="D3630" s="105">
        <v>0</v>
      </c>
      <c r="E3630" s="105">
        <v>0</v>
      </c>
      <c r="F3630" s="105">
        <v>0</v>
      </c>
    </row>
    <row r="3631" spans="1:6" x14ac:dyDescent="0.25">
      <c r="A3631" s="105">
        <f t="shared" si="56"/>
        <v>8503800</v>
      </c>
      <c r="B3631" s="105" t="s">
        <v>5976</v>
      </c>
      <c r="C3631" s="105" t="s">
        <v>5977</v>
      </c>
      <c r="D3631" s="105">
        <v>0</v>
      </c>
      <c r="E3631" s="105">
        <v>0</v>
      </c>
      <c r="F3631" s="105">
        <v>0</v>
      </c>
    </row>
    <row r="3632" spans="1:6" x14ac:dyDescent="0.25">
      <c r="A3632" s="105">
        <f t="shared" si="56"/>
        <v>8503801</v>
      </c>
      <c r="B3632" s="105" t="s">
        <v>5978</v>
      </c>
      <c r="C3632" s="105" t="s">
        <v>5979</v>
      </c>
      <c r="D3632" s="105">
        <v>1223.8800000000001</v>
      </c>
      <c r="E3632" s="105">
        <v>734.33</v>
      </c>
      <c r="F3632" s="105">
        <v>0</v>
      </c>
    </row>
    <row r="3633" spans="1:6" x14ac:dyDescent="0.25">
      <c r="A3633" s="105">
        <f t="shared" si="56"/>
        <v>8503802</v>
      </c>
      <c r="B3633" s="105" t="s">
        <v>5980</v>
      </c>
      <c r="C3633" s="105" t="s">
        <v>5981</v>
      </c>
      <c r="D3633" s="105">
        <v>0</v>
      </c>
      <c r="E3633" s="105">
        <v>0</v>
      </c>
      <c r="F3633" s="105">
        <v>0</v>
      </c>
    </row>
    <row r="3634" spans="1:6" x14ac:dyDescent="0.25">
      <c r="A3634" s="105">
        <f t="shared" si="56"/>
        <v>8503803</v>
      </c>
      <c r="B3634" s="105" t="s">
        <v>5982</v>
      </c>
      <c r="C3634" s="105" t="s">
        <v>5983</v>
      </c>
      <c r="D3634" s="105">
        <v>1677.66</v>
      </c>
      <c r="E3634" s="105">
        <v>1006.6</v>
      </c>
      <c r="F3634" s="105">
        <v>0</v>
      </c>
    </row>
    <row r="3635" spans="1:6" x14ac:dyDescent="0.25">
      <c r="A3635" s="105">
        <f t="shared" si="56"/>
        <v>8503804</v>
      </c>
      <c r="B3635" s="105" t="s">
        <v>5984</v>
      </c>
      <c r="C3635" s="105" t="s">
        <v>5985</v>
      </c>
      <c r="D3635" s="105">
        <v>0</v>
      </c>
      <c r="E3635" s="105">
        <v>0</v>
      </c>
      <c r="F3635" s="105">
        <v>0</v>
      </c>
    </row>
    <row r="3636" spans="1:6" x14ac:dyDescent="0.25">
      <c r="A3636" s="105" t="str">
        <f t="shared" si="56"/>
        <v/>
      </c>
      <c r="B3636" s="105" t="s">
        <v>5986</v>
      </c>
      <c r="C3636" s="105" t="s">
        <v>8</v>
      </c>
      <c r="D3636" s="105">
        <v>0</v>
      </c>
      <c r="E3636" s="105">
        <v>0</v>
      </c>
      <c r="F3636" s="105">
        <v>0</v>
      </c>
    </row>
    <row r="3637" spans="1:6" x14ac:dyDescent="0.25">
      <c r="A3637" s="105">
        <f t="shared" si="56"/>
        <v>8503808</v>
      </c>
      <c r="B3637" s="105" t="s">
        <v>5987</v>
      </c>
      <c r="C3637" s="105" t="s">
        <v>5988</v>
      </c>
      <c r="D3637" s="105">
        <v>0</v>
      </c>
      <c r="E3637" s="105">
        <v>0</v>
      </c>
      <c r="F3637" s="105">
        <v>0</v>
      </c>
    </row>
    <row r="3638" spans="1:6" x14ac:dyDescent="0.25">
      <c r="A3638" s="105">
        <f t="shared" si="56"/>
        <v>8503820</v>
      </c>
      <c r="B3638" s="105" t="s">
        <v>5989</v>
      </c>
      <c r="C3638" s="105" t="s">
        <v>5990</v>
      </c>
      <c r="D3638" s="105">
        <v>413.4</v>
      </c>
      <c r="E3638" s="105">
        <v>248.04</v>
      </c>
      <c r="F3638" s="105">
        <v>0</v>
      </c>
    </row>
    <row r="3639" spans="1:6" x14ac:dyDescent="0.25">
      <c r="A3639" s="105" t="str">
        <f t="shared" si="56"/>
        <v/>
      </c>
      <c r="B3639" s="105" t="s">
        <v>5991</v>
      </c>
      <c r="C3639" s="105" t="s">
        <v>8</v>
      </c>
      <c r="D3639" s="105">
        <v>0</v>
      </c>
      <c r="E3639" s="105">
        <v>0</v>
      </c>
      <c r="F3639" s="105">
        <v>0</v>
      </c>
    </row>
    <row r="3640" spans="1:6" x14ac:dyDescent="0.25">
      <c r="A3640" s="105">
        <f t="shared" si="56"/>
        <v>8503821</v>
      </c>
      <c r="B3640" s="105" t="s">
        <v>5992</v>
      </c>
      <c r="C3640" s="105" t="s">
        <v>5993</v>
      </c>
      <c r="D3640" s="105">
        <v>0</v>
      </c>
      <c r="E3640" s="105">
        <v>0</v>
      </c>
      <c r="F3640" s="105">
        <v>0</v>
      </c>
    </row>
    <row r="3641" spans="1:6" x14ac:dyDescent="0.25">
      <c r="A3641" s="105">
        <f t="shared" si="56"/>
        <v>8503822</v>
      </c>
      <c r="B3641" s="105" t="s">
        <v>5994</v>
      </c>
      <c r="C3641" s="105" t="s">
        <v>5995</v>
      </c>
      <c r="D3641" s="105">
        <v>3633.74</v>
      </c>
      <c r="E3641" s="105">
        <v>2180.2399999999998</v>
      </c>
      <c r="F3641" s="105">
        <v>0</v>
      </c>
    </row>
    <row r="3642" spans="1:6" x14ac:dyDescent="0.25">
      <c r="A3642" s="105">
        <f t="shared" si="56"/>
        <v>8503823</v>
      </c>
      <c r="B3642" s="105" t="s">
        <v>5996</v>
      </c>
      <c r="C3642" s="105" t="s">
        <v>5997</v>
      </c>
      <c r="D3642" s="105">
        <v>3633.74</v>
      </c>
      <c r="E3642" s="105">
        <v>2180.2399999999998</v>
      </c>
      <c r="F3642" s="105">
        <v>0</v>
      </c>
    </row>
    <row r="3643" spans="1:6" x14ac:dyDescent="0.25">
      <c r="A3643" s="105">
        <f t="shared" si="56"/>
        <v>8503824</v>
      </c>
      <c r="B3643" s="105" t="s">
        <v>5998</v>
      </c>
      <c r="C3643" s="105" t="s">
        <v>5999</v>
      </c>
      <c r="D3643" s="105">
        <v>3612.68</v>
      </c>
      <c r="E3643" s="105">
        <v>2167.61</v>
      </c>
      <c r="F3643" s="105">
        <v>0</v>
      </c>
    </row>
    <row r="3644" spans="1:6" x14ac:dyDescent="0.25">
      <c r="A3644" s="105" t="str">
        <f t="shared" si="56"/>
        <v/>
      </c>
      <c r="B3644" s="105" t="s">
        <v>6000</v>
      </c>
      <c r="C3644" s="105" t="s">
        <v>8</v>
      </c>
      <c r="D3644" s="105">
        <v>0</v>
      </c>
      <c r="E3644" s="105">
        <v>0</v>
      </c>
      <c r="F3644" s="105">
        <v>0</v>
      </c>
    </row>
    <row r="3645" spans="1:6" x14ac:dyDescent="0.25">
      <c r="A3645" s="105">
        <f t="shared" si="56"/>
        <v>8503825</v>
      </c>
      <c r="B3645" s="105" t="s">
        <v>6001</v>
      </c>
      <c r="C3645" s="105" t="s">
        <v>6002</v>
      </c>
      <c r="D3645" s="105">
        <v>0</v>
      </c>
      <c r="E3645" s="105">
        <v>0</v>
      </c>
      <c r="F3645" s="105">
        <v>0</v>
      </c>
    </row>
    <row r="3646" spans="1:6" x14ac:dyDescent="0.25">
      <c r="A3646" s="105" t="str">
        <f t="shared" si="56"/>
        <v/>
      </c>
      <c r="B3646" s="105" t="s">
        <v>6003</v>
      </c>
      <c r="C3646" s="105" t="s">
        <v>8</v>
      </c>
      <c r="D3646" s="105">
        <v>0</v>
      </c>
      <c r="E3646" s="105">
        <v>0</v>
      </c>
      <c r="F3646" s="105">
        <v>0</v>
      </c>
    </row>
    <row r="3647" spans="1:6" x14ac:dyDescent="0.25">
      <c r="A3647" s="105">
        <f t="shared" si="56"/>
        <v>8503826</v>
      </c>
      <c r="B3647" s="105" t="s">
        <v>6004</v>
      </c>
      <c r="C3647" s="105" t="s">
        <v>6005</v>
      </c>
      <c r="D3647" s="105">
        <v>0</v>
      </c>
      <c r="E3647" s="105">
        <v>0</v>
      </c>
      <c r="F3647" s="105">
        <v>0</v>
      </c>
    </row>
    <row r="3648" spans="1:6" x14ac:dyDescent="0.25">
      <c r="A3648" s="105" t="str">
        <f t="shared" si="56"/>
        <v/>
      </c>
      <c r="B3648" s="105" t="s">
        <v>6006</v>
      </c>
      <c r="C3648" s="105" t="s">
        <v>8</v>
      </c>
      <c r="D3648" s="105">
        <v>0</v>
      </c>
      <c r="E3648" s="105">
        <v>0</v>
      </c>
      <c r="F3648" s="105">
        <v>0</v>
      </c>
    </row>
    <row r="3649" spans="1:6" x14ac:dyDescent="0.25">
      <c r="A3649" s="105">
        <f t="shared" si="56"/>
        <v>8503827</v>
      </c>
      <c r="B3649" s="105" t="s">
        <v>6007</v>
      </c>
      <c r="C3649" s="105" t="s">
        <v>6008</v>
      </c>
      <c r="D3649" s="105">
        <v>0</v>
      </c>
      <c r="E3649" s="105">
        <v>0</v>
      </c>
      <c r="F3649" s="105">
        <v>0</v>
      </c>
    </row>
    <row r="3650" spans="1:6" x14ac:dyDescent="0.25">
      <c r="A3650" s="105" t="str">
        <f t="shared" si="56"/>
        <v/>
      </c>
      <c r="B3650" s="105" t="s">
        <v>6009</v>
      </c>
      <c r="C3650" s="105" t="s">
        <v>8</v>
      </c>
      <c r="D3650" s="105">
        <v>0</v>
      </c>
      <c r="E3650" s="105">
        <v>0</v>
      </c>
      <c r="F3650" s="105">
        <v>0</v>
      </c>
    </row>
    <row r="3651" spans="1:6" x14ac:dyDescent="0.25">
      <c r="A3651" s="105">
        <f t="shared" ref="A3651:A3714" si="57">IF(B3651&lt;&gt;"",IFERROR(B3651*1,""),"")</f>
        <v>8503828</v>
      </c>
      <c r="B3651" s="105" t="s">
        <v>6010</v>
      </c>
      <c r="C3651" s="105" t="s">
        <v>6011</v>
      </c>
      <c r="D3651" s="105">
        <v>0</v>
      </c>
      <c r="E3651" s="105">
        <v>0</v>
      </c>
      <c r="F3651" s="105">
        <v>0</v>
      </c>
    </row>
    <row r="3652" spans="1:6" x14ac:dyDescent="0.25">
      <c r="A3652" s="105" t="str">
        <f t="shared" si="57"/>
        <v/>
      </c>
      <c r="B3652" s="105" t="s">
        <v>6012</v>
      </c>
      <c r="C3652" s="105" t="s">
        <v>8</v>
      </c>
      <c r="D3652" s="105">
        <v>0</v>
      </c>
      <c r="E3652" s="105">
        <v>0</v>
      </c>
      <c r="F3652" s="105">
        <v>0</v>
      </c>
    </row>
    <row r="3653" spans="1:6" x14ac:dyDescent="0.25">
      <c r="A3653" s="105">
        <f t="shared" si="57"/>
        <v>8503829</v>
      </c>
      <c r="B3653" s="105" t="s">
        <v>6013</v>
      </c>
      <c r="C3653" s="105" t="s">
        <v>6014</v>
      </c>
      <c r="D3653" s="105">
        <v>0</v>
      </c>
      <c r="E3653" s="105">
        <v>0</v>
      </c>
      <c r="F3653" s="105">
        <v>0</v>
      </c>
    </row>
    <row r="3654" spans="1:6" x14ac:dyDescent="0.25">
      <c r="A3654" s="105" t="str">
        <f t="shared" si="57"/>
        <v/>
      </c>
      <c r="B3654" s="105" t="s">
        <v>6015</v>
      </c>
      <c r="C3654" s="105" t="s">
        <v>8</v>
      </c>
      <c r="D3654" s="105">
        <v>0</v>
      </c>
      <c r="E3654" s="105">
        <v>0</v>
      </c>
      <c r="F3654" s="105">
        <v>0</v>
      </c>
    </row>
    <row r="3655" spans="1:6" x14ac:dyDescent="0.25">
      <c r="A3655" s="105">
        <f t="shared" si="57"/>
        <v>8503830</v>
      </c>
      <c r="B3655" s="105" t="s">
        <v>6016</v>
      </c>
      <c r="C3655" s="105" t="s">
        <v>6017</v>
      </c>
      <c r="D3655" s="105">
        <v>0</v>
      </c>
      <c r="E3655" s="105">
        <v>0</v>
      </c>
      <c r="F3655" s="105">
        <v>0</v>
      </c>
    </row>
    <row r="3656" spans="1:6" x14ac:dyDescent="0.25">
      <c r="A3656" s="105" t="str">
        <f t="shared" si="57"/>
        <v/>
      </c>
      <c r="B3656" s="105" t="s">
        <v>6018</v>
      </c>
      <c r="C3656" s="105" t="s">
        <v>8</v>
      </c>
      <c r="D3656" s="105">
        <v>0</v>
      </c>
      <c r="E3656" s="105">
        <v>0</v>
      </c>
      <c r="F3656" s="105">
        <v>0</v>
      </c>
    </row>
    <row r="3657" spans="1:6" x14ac:dyDescent="0.25">
      <c r="A3657" s="105">
        <f t="shared" si="57"/>
        <v>8503831</v>
      </c>
      <c r="B3657" s="105" t="s">
        <v>6019</v>
      </c>
      <c r="C3657" s="105" t="s">
        <v>6020</v>
      </c>
      <c r="D3657" s="105">
        <v>0</v>
      </c>
      <c r="E3657" s="105">
        <v>0</v>
      </c>
      <c r="F3657" s="105">
        <v>0</v>
      </c>
    </row>
    <row r="3658" spans="1:6" x14ac:dyDescent="0.25">
      <c r="A3658" s="105">
        <f t="shared" si="57"/>
        <v>8503832</v>
      </c>
      <c r="B3658" s="105" t="s">
        <v>6021</v>
      </c>
      <c r="C3658" s="105" t="s">
        <v>6022</v>
      </c>
      <c r="D3658" s="105">
        <v>2485.65</v>
      </c>
      <c r="E3658" s="105">
        <v>1491.39</v>
      </c>
      <c r="F3658" s="105">
        <v>0</v>
      </c>
    </row>
    <row r="3659" spans="1:6" x14ac:dyDescent="0.25">
      <c r="A3659" s="105" t="str">
        <f t="shared" si="57"/>
        <v/>
      </c>
      <c r="B3659" s="105" t="s">
        <v>6023</v>
      </c>
      <c r="C3659" s="105" t="s">
        <v>8</v>
      </c>
      <c r="D3659" s="105">
        <v>0</v>
      </c>
      <c r="E3659" s="105">
        <v>0</v>
      </c>
      <c r="F3659" s="105">
        <v>0</v>
      </c>
    </row>
    <row r="3660" spans="1:6" x14ac:dyDescent="0.25">
      <c r="A3660" s="105">
        <f t="shared" si="57"/>
        <v>8503833</v>
      </c>
      <c r="B3660" s="105" t="s">
        <v>6024</v>
      </c>
      <c r="C3660" s="105" t="s">
        <v>6025</v>
      </c>
      <c r="D3660" s="105">
        <v>0</v>
      </c>
      <c r="E3660" s="105">
        <v>0</v>
      </c>
      <c r="F3660" s="105">
        <v>0</v>
      </c>
    </row>
    <row r="3661" spans="1:6" x14ac:dyDescent="0.25">
      <c r="A3661" s="105" t="str">
        <f t="shared" si="57"/>
        <v/>
      </c>
      <c r="B3661" s="105" t="s">
        <v>6026</v>
      </c>
      <c r="C3661" s="105" t="s">
        <v>8</v>
      </c>
      <c r="D3661" s="105">
        <v>0</v>
      </c>
      <c r="E3661" s="105">
        <v>0</v>
      </c>
      <c r="F3661" s="105">
        <v>0</v>
      </c>
    </row>
    <row r="3662" spans="1:6" x14ac:dyDescent="0.25">
      <c r="A3662" s="105">
        <f t="shared" si="57"/>
        <v>8503834</v>
      </c>
      <c r="B3662" s="105" t="s">
        <v>6027</v>
      </c>
      <c r="C3662" s="105" t="s">
        <v>6028</v>
      </c>
      <c r="D3662" s="105">
        <v>0</v>
      </c>
      <c r="E3662" s="105">
        <v>0</v>
      </c>
      <c r="F3662" s="105">
        <v>0</v>
      </c>
    </row>
    <row r="3663" spans="1:6" x14ac:dyDescent="0.25">
      <c r="A3663" s="105" t="str">
        <f t="shared" si="57"/>
        <v/>
      </c>
      <c r="B3663" s="105" t="s">
        <v>6029</v>
      </c>
      <c r="C3663" s="105" t="s">
        <v>8</v>
      </c>
      <c r="D3663" s="105">
        <v>0</v>
      </c>
      <c r="E3663" s="105">
        <v>0</v>
      </c>
      <c r="F3663" s="105">
        <v>0</v>
      </c>
    </row>
    <row r="3664" spans="1:6" x14ac:dyDescent="0.25">
      <c r="A3664" s="105">
        <f t="shared" si="57"/>
        <v>8503835</v>
      </c>
      <c r="B3664" s="105" t="s">
        <v>6030</v>
      </c>
      <c r="C3664" s="105" t="s">
        <v>6031</v>
      </c>
      <c r="D3664" s="105">
        <v>0</v>
      </c>
      <c r="E3664" s="105">
        <v>0</v>
      </c>
      <c r="F3664" s="105">
        <v>0</v>
      </c>
    </row>
    <row r="3665" spans="1:6" x14ac:dyDescent="0.25">
      <c r="A3665" s="105" t="str">
        <f t="shared" si="57"/>
        <v/>
      </c>
      <c r="B3665" s="105" t="s">
        <v>6032</v>
      </c>
      <c r="C3665" s="105" t="s">
        <v>8</v>
      </c>
      <c r="D3665" s="105">
        <v>0</v>
      </c>
      <c r="E3665" s="105">
        <v>0</v>
      </c>
      <c r="F3665" s="105">
        <v>0</v>
      </c>
    </row>
    <row r="3666" spans="1:6" x14ac:dyDescent="0.25">
      <c r="A3666" s="105">
        <f t="shared" si="57"/>
        <v>8503836</v>
      </c>
      <c r="B3666" s="105" t="s">
        <v>6033</v>
      </c>
      <c r="C3666" s="105" t="s">
        <v>6034</v>
      </c>
      <c r="D3666" s="105">
        <v>0</v>
      </c>
      <c r="E3666" s="105">
        <v>0</v>
      </c>
      <c r="F3666" s="105">
        <v>0</v>
      </c>
    </row>
    <row r="3667" spans="1:6" x14ac:dyDescent="0.25">
      <c r="A3667" s="105" t="str">
        <f t="shared" si="57"/>
        <v/>
      </c>
      <c r="B3667" s="105" t="s">
        <v>6035</v>
      </c>
      <c r="C3667" s="105" t="s">
        <v>8</v>
      </c>
      <c r="D3667" s="105">
        <v>0</v>
      </c>
      <c r="E3667" s="105">
        <v>0</v>
      </c>
      <c r="F3667" s="105">
        <v>0</v>
      </c>
    </row>
    <row r="3668" spans="1:6" x14ac:dyDescent="0.25">
      <c r="A3668" s="105">
        <f t="shared" si="57"/>
        <v>8503837</v>
      </c>
      <c r="B3668" s="105" t="s">
        <v>6036</v>
      </c>
      <c r="C3668" s="105" t="s">
        <v>6037</v>
      </c>
      <c r="D3668" s="105">
        <v>0</v>
      </c>
      <c r="E3668" s="105">
        <v>0</v>
      </c>
      <c r="F3668" s="105">
        <v>0</v>
      </c>
    </row>
    <row r="3669" spans="1:6" x14ac:dyDescent="0.25">
      <c r="A3669" s="105" t="str">
        <f t="shared" si="57"/>
        <v/>
      </c>
      <c r="B3669" s="105" t="s">
        <v>6038</v>
      </c>
      <c r="C3669" s="105" t="s">
        <v>8</v>
      </c>
      <c r="D3669" s="105">
        <v>0</v>
      </c>
      <c r="E3669" s="105">
        <v>0</v>
      </c>
      <c r="F3669" s="105">
        <v>0</v>
      </c>
    </row>
    <row r="3670" spans="1:6" x14ac:dyDescent="0.25">
      <c r="A3670" s="105">
        <f t="shared" si="57"/>
        <v>8503853</v>
      </c>
      <c r="B3670" s="105" t="s">
        <v>6039</v>
      </c>
      <c r="C3670" s="105" t="s">
        <v>6040</v>
      </c>
      <c r="D3670" s="105">
        <v>0</v>
      </c>
      <c r="E3670" s="105">
        <v>0</v>
      </c>
      <c r="F3670" s="105">
        <v>0</v>
      </c>
    </row>
    <row r="3671" spans="1:6" x14ac:dyDescent="0.25">
      <c r="A3671" s="105" t="str">
        <f t="shared" si="57"/>
        <v/>
      </c>
      <c r="B3671" s="105" t="s">
        <v>6041</v>
      </c>
      <c r="C3671" s="105" t="s">
        <v>8</v>
      </c>
      <c r="D3671" s="105">
        <v>0</v>
      </c>
      <c r="E3671" s="105">
        <v>0</v>
      </c>
      <c r="F3671" s="105">
        <v>0</v>
      </c>
    </row>
    <row r="3672" spans="1:6" x14ac:dyDescent="0.25">
      <c r="A3672" s="105">
        <f t="shared" si="57"/>
        <v>8503888</v>
      </c>
      <c r="B3672" s="105" t="s">
        <v>6042</v>
      </c>
      <c r="C3672" s="105" t="s">
        <v>6043</v>
      </c>
      <c r="D3672" s="105">
        <v>0</v>
      </c>
      <c r="E3672" s="105">
        <v>0</v>
      </c>
      <c r="F3672" s="105">
        <v>0</v>
      </c>
    </row>
    <row r="3673" spans="1:6" x14ac:dyDescent="0.25">
      <c r="A3673" s="105">
        <f t="shared" si="57"/>
        <v>8503901</v>
      </c>
      <c r="B3673" s="105" t="s">
        <v>6044</v>
      </c>
      <c r="C3673" s="105" t="s">
        <v>6045</v>
      </c>
      <c r="D3673" s="105">
        <v>3637.92</v>
      </c>
      <c r="E3673" s="105">
        <v>2182.75</v>
      </c>
      <c r="F3673" s="105">
        <v>0</v>
      </c>
    </row>
    <row r="3674" spans="1:6" x14ac:dyDescent="0.25">
      <c r="A3674" s="105">
        <f t="shared" si="57"/>
        <v>8503983</v>
      </c>
      <c r="B3674" s="105" t="s">
        <v>6046</v>
      </c>
      <c r="C3674" s="105" t="s">
        <v>6047</v>
      </c>
      <c r="D3674" s="105">
        <v>3196.96</v>
      </c>
      <c r="E3674" s="105">
        <v>1918.18</v>
      </c>
      <c r="F3674" s="105">
        <v>0</v>
      </c>
    </row>
    <row r="3675" spans="1:6" x14ac:dyDescent="0.25">
      <c r="A3675" s="105">
        <f t="shared" si="57"/>
        <v>8503984</v>
      </c>
      <c r="B3675" s="105" t="s">
        <v>6048</v>
      </c>
      <c r="C3675" s="105" t="s">
        <v>6049</v>
      </c>
      <c r="D3675" s="105">
        <v>3748.16</v>
      </c>
      <c r="E3675" s="105">
        <v>2248.9</v>
      </c>
      <c r="F3675" s="105">
        <v>0</v>
      </c>
    </row>
    <row r="3676" spans="1:6" x14ac:dyDescent="0.25">
      <c r="A3676" s="105" t="str">
        <f t="shared" si="57"/>
        <v/>
      </c>
      <c r="B3676" s="105" t="s">
        <v>6050</v>
      </c>
      <c r="C3676" s="105" t="s">
        <v>8</v>
      </c>
      <c r="D3676" s="105">
        <v>0</v>
      </c>
      <c r="E3676" s="105">
        <v>0</v>
      </c>
      <c r="F3676" s="105">
        <v>0</v>
      </c>
    </row>
    <row r="3677" spans="1:6" x14ac:dyDescent="0.25">
      <c r="A3677" s="105">
        <f t="shared" si="57"/>
        <v>8503999</v>
      </c>
      <c r="B3677" s="105" t="s">
        <v>6051</v>
      </c>
      <c r="C3677" s="105" t="s">
        <v>6052</v>
      </c>
      <c r="D3677" s="105">
        <v>0</v>
      </c>
      <c r="E3677" s="105">
        <v>0</v>
      </c>
      <c r="F3677" s="105">
        <v>0</v>
      </c>
    </row>
    <row r="3678" spans="1:6" x14ac:dyDescent="0.25">
      <c r="A3678" s="105" t="str">
        <f t="shared" si="57"/>
        <v/>
      </c>
      <c r="B3678" s="105" t="s">
        <v>6053</v>
      </c>
      <c r="C3678" s="105" t="s">
        <v>8</v>
      </c>
      <c r="D3678" s="105">
        <v>0</v>
      </c>
      <c r="E3678" s="105">
        <v>0</v>
      </c>
      <c r="F3678" s="105">
        <v>0</v>
      </c>
    </row>
    <row r="3679" spans="1:6" x14ac:dyDescent="0.25">
      <c r="A3679" s="105">
        <f t="shared" si="57"/>
        <v>8505000</v>
      </c>
      <c r="B3679" s="105" t="s">
        <v>6054</v>
      </c>
      <c r="C3679" s="105" t="s">
        <v>6055</v>
      </c>
      <c r="D3679" s="105">
        <v>0</v>
      </c>
      <c r="E3679" s="105">
        <v>0</v>
      </c>
      <c r="F3679" s="105">
        <v>0</v>
      </c>
    </row>
    <row r="3680" spans="1:6" x14ac:dyDescent="0.25">
      <c r="A3680" s="105">
        <f t="shared" si="57"/>
        <v>8505001</v>
      </c>
      <c r="B3680" s="105" t="s">
        <v>6056</v>
      </c>
      <c r="C3680" s="105" t="s">
        <v>6057</v>
      </c>
      <c r="D3680" s="105">
        <v>265</v>
      </c>
      <c r="E3680" s="105">
        <v>159</v>
      </c>
      <c r="F3680" s="105">
        <v>0</v>
      </c>
    </row>
    <row r="3681" spans="1:6" x14ac:dyDescent="0.25">
      <c r="A3681" s="105">
        <f t="shared" si="57"/>
        <v>8505002</v>
      </c>
      <c r="B3681" s="105" t="s">
        <v>6058</v>
      </c>
      <c r="C3681" s="105" t="s">
        <v>6059</v>
      </c>
      <c r="D3681" s="105">
        <v>265</v>
      </c>
      <c r="E3681" s="105">
        <v>159</v>
      </c>
      <c r="F3681" s="105">
        <v>0</v>
      </c>
    </row>
    <row r="3682" spans="1:6" x14ac:dyDescent="0.25">
      <c r="A3682" s="105">
        <f t="shared" si="57"/>
        <v>8505003</v>
      </c>
      <c r="B3682" s="105" t="s">
        <v>6060</v>
      </c>
      <c r="C3682" s="105" t="s">
        <v>6061</v>
      </c>
      <c r="D3682" s="105">
        <v>312.52999999999997</v>
      </c>
      <c r="E3682" s="105">
        <v>187.52</v>
      </c>
      <c r="F3682" s="105">
        <v>0</v>
      </c>
    </row>
    <row r="3683" spans="1:6" x14ac:dyDescent="0.25">
      <c r="A3683" s="105" t="str">
        <f t="shared" si="57"/>
        <v/>
      </c>
      <c r="B3683" s="105" t="s">
        <v>6062</v>
      </c>
      <c r="C3683" s="105" t="s">
        <v>8</v>
      </c>
      <c r="D3683" s="105">
        <v>0</v>
      </c>
      <c r="E3683" s="105">
        <v>0</v>
      </c>
      <c r="F3683" s="105">
        <v>0</v>
      </c>
    </row>
    <row r="3684" spans="1:6" x14ac:dyDescent="0.25">
      <c r="A3684" s="105">
        <f t="shared" si="57"/>
        <v>8505004</v>
      </c>
      <c r="B3684" s="105" t="s">
        <v>6063</v>
      </c>
      <c r="C3684" s="105" t="s">
        <v>6064</v>
      </c>
      <c r="D3684" s="105">
        <v>265</v>
      </c>
      <c r="E3684" s="105">
        <v>159</v>
      </c>
      <c r="F3684" s="105">
        <v>0</v>
      </c>
    </row>
    <row r="3685" spans="1:6" x14ac:dyDescent="0.25">
      <c r="A3685" s="105" t="str">
        <f t="shared" si="57"/>
        <v/>
      </c>
      <c r="B3685" s="105" t="s">
        <v>6065</v>
      </c>
      <c r="C3685" s="105" t="s">
        <v>8</v>
      </c>
      <c r="D3685" s="105">
        <v>0</v>
      </c>
      <c r="E3685" s="105">
        <v>0</v>
      </c>
      <c r="F3685" s="105">
        <v>0</v>
      </c>
    </row>
    <row r="3686" spans="1:6" x14ac:dyDescent="0.25">
      <c r="A3686" s="105">
        <f t="shared" si="57"/>
        <v>8505005</v>
      </c>
      <c r="B3686" s="105" t="s">
        <v>6066</v>
      </c>
      <c r="C3686" s="105" t="s">
        <v>6067</v>
      </c>
      <c r="D3686" s="105">
        <v>0</v>
      </c>
      <c r="E3686" s="105">
        <v>0</v>
      </c>
      <c r="F3686" s="105">
        <v>0</v>
      </c>
    </row>
    <row r="3687" spans="1:6" x14ac:dyDescent="0.25">
      <c r="A3687" s="105">
        <f t="shared" si="57"/>
        <v>8505006</v>
      </c>
      <c r="B3687" s="105" t="s">
        <v>6068</v>
      </c>
      <c r="C3687" s="105" t="s">
        <v>6069</v>
      </c>
      <c r="D3687" s="105">
        <v>265</v>
      </c>
      <c r="E3687" s="105">
        <v>159</v>
      </c>
      <c r="F3687" s="105">
        <v>0</v>
      </c>
    </row>
    <row r="3688" spans="1:6" x14ac:dyDescent="0.25">
      <c r="A3688" s="105" t="str">
        <f t="shared" si="57"/>
        <v/>
      </c>
      <c r="B3688" s="105" t="s">
        <v>6070</v>
      </c>
      <c r="C3688" s="105" t="s">
        <v>8</v>
      </c>
      <c r="D3688" s="105">
        <v>0</v>
      </c>
      <c r="E3688" s="105">
        <v>0</v>
      </c>
      <c r="F3688" s="105">
        <v>0</v>
      </c>
    </row>
    <row r="3689" spans="1:6" x14ac:dyDescent="0.25">
      <c r="A3689" s="105">
        <f t="shared" si="57"/>
        <v>8505007</v>
      </c>
      <c r="B3689" s="105" t="s">
        <v>6071</v>
      </c>
      <c r="C3689" s="105" t="s">
        <v>6072</v>
      </c>
      <c r="D3689" s="105">
        <v>265</v>
      </c>
      <c r="E3689" s="105">
        <v>159</v>
      </c>
      <c r="F3689" s="105">
        <v>0</v>
      </c>
    </row>
    <row r="3690" spans="1:6" x14ac:dyDescent="0.25">
      <c r="A3690" s="105" t="str">
        <f t="shared" si="57"/>
        <v/>
      </c>
      <c r="B3690" s="105" t="s">
        <v>6073</v>
      </c>
      <c r="C3690" s="105" t="s">
        <v>8</v>
      </c>
      <c r="D3690" s="105">
        <v>0</v>
      </c>
      <c r="E3690" s="105">
        <v>0</v>
      </c>
      <c r="F3690" s="105">
        <v>0</v>
      </c>
    </row>
    <row r="3691" spans="1:6" x14ac:dyDescent="0.25">
      <c r="A3691" s="105">
        <f t="shared" si="57"/>
        <v>8505008</v>
      </c>
      <c r="B3691" s="105" t="s">
        <v>6074</v>
      </c>
      <c r="C3691" s="105" t="s">
        <v>6075</v>
      </c>
      <c r="D3691" s="105">
        <v>265</v>
      </c>
      <c r="E3691" s="105">
        <v>159</v>
      </c>
      <c r="F3691" s="105">
        <v>0</v>
      </c>
    </row>
    <row r="3692" spans="1:6" x14ac:dyDescent="0.25">
      <c r="A3692" s="105" t="str">
        <f t="shared" si="57"/>
        <v/>
      </c>
      <c r="B3692" s="105" t="s">
        <v>6076</v>
      </c>
      <c r="C3692" s="105" t="s">
        <v>8</v>
      </c>
      <c r="D3692" s="105">
        <v>0</v>
      </c>
      <c r="E3692" s="105">
        <v>0</v>
      </c>
      <c r="F3692" s="105">
        <v>0</v>
      </c>
    </row>
    <row r="3693" spans="1:6" x14ac:dyDescent="0.25">
      <c r="A3693" s="105">
        <f t="shared" si="57"/>
        <v>8505009</v>
      </c>
      <c r="B3693" s="105" t="s">
        <v>6077</v>
      </c>
      <c r="C3693" s="105" t="s">
        <v>6078</v>
      </c>
      <c r="D3693" s="105">
        <v>0</v>
      </c>
      <c r="E3693" s="105">
        <v>0</v>
      </c>
      <c r="F3693" s="105">
        <v>0</v>
      </c>
    </row>
    <row r="3694" spans="1:6" x14ac:dyDescent="0.25">
      <c r="A3694" s="105" t="str">
        <f t="shared" si="57"/>
        <v/>
      </c>
      <c r="B3694" s="105" t="s">
        <v>6079</v>
      </c>
      <c r="C3694" s="105" t="s">
        <v>8</v>
      </c>
      <c r="D3694" s="105">
        <v>0</v>
      </c>
      <c r="E3694" s="105">
        <v>0</v>
      </c>
      <c r="F3694" s="105">
        <v>0</v>
      </c>
    </row>
    <row r="3695" spans="1:6" x14ac:dyDescent="0.25">
      <c r="A3695" s="105">
        <f t="shared" si="57"/>
        <v>8505010</v>
      </c>
      <c r="B3695" s="105" t="s">
        <v>6080</v>
      </c>
      <c r="C3695" s="105" t="s">
        <v>6081</v>
      </c>
      <c r="D3695" s="105">
        <v>0</v>
      </c>
      <c r="E3695" s="105">
        <v>0</v>
      </c>
      <c r="F3695" s="105">
        <v>0</v>
      </c>
    </row>
    <row r="3696" spans="1:6" x14ac:dyDescent="0.25">
      <c r="A3696" s="105" t="str">
        <f t="shared" si="57"/>
        <v/>
      </c>
      <c r="B3696" s="105" t="s">
        <v>6082</v>
      </c>
      <c r="C3696" s="105" t="s">
        <v>8</v>
      </c>
      <c r="D3696" s="105">
        <v>0</v>
      </c>
      <c r="E3696" s="105">
        <v>0</v>
      </c>
      <c r="F3696" s="105">
        <v>0</v>
      </c>
    </row>
    <row r="3697" spans="1:6" x14ac:dyDescent="0.25">
      <c r="A3697" s="105">
        <f t="shared" si="57"/>
        <v>8505011</v>
      </c>
      <c r="B3697" s="105" t="s">
        <v>6083</v>
      </c>
      <c r="C3697" s="105" t="s">
        <v>6084</v>
      </c>
      <c r="D3697" s="105">
        <v>0</v>
      </c>
      <c r="E3697" s="105">
        <v>0</v>
      </c>
      <c r="F3697" s="105">
        <v>0</v>
      </c>
    </row>
    <row r="3698" spans="1:6" x14ac:dyDescent="0.25">
      <c r="A3698" s="105">
        <f t="shared" si="57"/>
        <v>8505012</v>
      </c>
      <c r="B3698" s="105" t="s">
        <v>6085</v>
      </c>
      <c r="C3698" s="105" t="s">
        <v>6086</v>
      </c>
      <c r="D3698" s="105">
        <v>265</v>
      </c>
      <c r="E3698" s="105">
        <v>159</v>
      </c>
      <c r="F3698" s="105">
        <v>0</v>
      </c>
    </row>
    <row r="3699" spans="1:6" x14ac:dyDescent="0.25">
      <c r="A3699" s="105" t="str">
        <f t="shared" si="57"/>
        <v/>
      </c>
      <c r="B3699" s="105" t="s">
        <v>6087</v>
      </c>
      <c r="C3699" s="105" t="s">
        <v>8</v>
      </c>
      <c r="D3699" s="105">
        <v>0</v>
      </c>
      <c r="E3699" s="105">
        <v>0</v>
      </c>
      <c r="F3699" s="105">
        <v>0</v>
      </c>
    </row>
    <row r="3700" spans="1:6" x14ac:dyDescent="0.25">
      <c r="A3700" s="105">
        <f t="shared" si="57"/>
        <v>8505013</v>
      </c>
      <c r="B3700" s="105" t="s">
        <v>6088</v>
      </c>
      <c r="C3700" s="105" t="s">
        <v>6089</v>
      </c>
      <c r="D3700" s="105">
        <v>0</v>
      </c>
      <c r="E3700" s="105">
        <v>0</v>
      </c>
      <c r="F3700" s="105">
        <v>0</v>
      </c>
    </row>
    <row r="3701" spans="1:6" x14ac:dyDescent="0.25">
      <c r="A3701" s="105">
        <f t="shared" si="57"/>
        <v>8505014</v>
      </c>
      <c r="B3701" s="105" t="s">
        <v>6090</v>
      </c>
      <c r="C3701" s="105" t="s">
        <v>6091</v>
      </c>
      <c r="D3701" s="105">
        <v>265</v>
      </c>
      <c r="E3701" s="105">
        <v>159</v>
      </c>
      <c r="F3701" s="105">
        <v>131</v>
      </c>
    </row>
    <row r="3702" spans="1:6" x14ac:dyDescent="0.25">
      <c r="A3702" s="105">
        <f t="shared" si="57"/>
        <v>8505015</v>
      </c>
      <c r="B3702" s="105" t="s">
        <v>6092</v>
      </c>
      <c r="C3702" s="105" t="s">
        <v>6093</v>
      </c>
      <c r="D3702" s="105">
        <v>38.270000000000003</v>
      </c>
      <c r="E3702" s="105">
        <v>22.96</v>
      </c>
      <c r="F3702" s="105">
        <v>0</v>
      </c>
    </row>
    <row r="3703" spans="1:6" x14ac:dyDescent="0.25">
      <c r="A3703" s="105">
        <f t="shared" si="57"/>
        <v>8505016</v>
      </c>
      <c r="B3703" s="105" t="s">
        <v>6094</v>
      </c>
      <c r="C3703" s="105" t="s">
        <v>6095</v>
      </c>
      <c r="D3703" s="105">
        <v>250.02</v>
      </c>
      <c r="E3703" s="105">
        <v>150.01</v>
      </c>
      <c r="F3703" s="105">
        <v>28</v>
      </c>
    </row>
    <row r="3704" spans="1:6" x14ac:dyDescent="0.25">
      <c r="A3704" s="105">
        <f t="shared" si="57"/>
        <v>8505017</v>
      </c>
      <c r="B3704" s="105" t="s">
        <v>6096</v>
      </c>
      <c r="C3704" s="105" t="s">
        <v>6097</v>
      </c>
      <c r="D3704" s="105">
        <v>0</v>
      </c>
      <c r="E3704" s="105">
        <v>0</v>
      </c>
      <c r="F3704" s="105">
        <v>0</v>
      </c>
    </row>
    <row r="3705" spans="1:6" x14ac:dyDescent="0.25">
      <c r="A3705" s="105" t="str">
        <f t="shared" si="57"/>
        <v/>
      </c>
      <c r="B3705" s="105" t="s">
        <v>6098</v>
      </c>
      <c r="C3705" s="105" t="s">
        <v>8</v>
      </c>
      <c r="D3705" s="105">
        <v>0</v>
      </c>
      <c r="E3705" s="105">
        <v>0</v>
      </c>
      <c r="F3705" s="105">
        <v>0</v>
      </c>
    </row>
    <row r="3706" spans="1:6" x14ac:dyDescent="0.25">
      <c r="A3706" s="105">
        <f t="shared" si="57"/>
        <v>8505018</v>
      </c>
      <c r="B3706" s="105" t="s">
        <v>6099</v>
      </c>
      <c r="C3706" s="105" t="s">
        <v>6100</v>
      </c>
      <c r="D3706" s="105">
        <v>0</v>
      </c>
      <c r="E3706" s="105">
        <v>0</v>
      </c>
      <c r="F3706" s="105">
        <v>0</v>
      </c>
    </row>
    <row r="3707" spans="1:6" x14ac:dyDescent="0.25">
      <c r="A3707" s="105">
        <f t="shared" si="57"/>
        <v>8505019</v>
      </c>
      <c r="B3707" s="105" t="s">
        <v>6101</v>
      </c>
      <c r="C3707" s="105" t="s">
        <v>6102</v>
      </c>
      <c r="D3707" s="105">
        <v>38.270000000000003</v>
      </c>
      <c r="E3707" s="105">
        <v>22.96</v>
      </c>
      <c r="F3707" s="105">
        <v>0</v>
      </c>
    </row>
    <row r="3708" spans="1:6" x14ac:dyDescent="0.25">
      <c r="A3708" s="105" t="str">
        <f t="shared" si="57"/>
        <v/>
      </c>
      <c r="B3708" s="105" t="s">
        <v>6103</v>
      </c>
      <c r="C3708" s="105" t="s">
        <v>8</v>
      </c>
      <c r="D3708" s="105">
        <v>0</v>
      </c>
      <c r="E3708" s="105">
        <v>0</v>
      </c>
      <c r="F3708" s="105">
        <v>0</v>
      </c>
    </row>
    <row r="3709" spans="1:6" x14ac:dyDescent="0.25">
      <c r="A3709" s="105">
        <f t="shared" si="57"/>
        <v>8505020</v>
      </c>
      <c r="B3709" s="105" t="s">
        <v>6104</v>
      </c>
      <c r="C3709" s="105" t="s">
        <v>6105</v>
      </c>
      <c r="D3709" s="105">
        <v>0</v>
      </c>
      <c r="E3709" s="105">
        <v>0</v>
      </c>
      <c r="F3709" s="105">
        <v>0</v>
      </c>
    </row>
    <row r="3710" spans="1:6" x14ac:dyDescent="0.25">
      <c r="A3710" s="105">
        <f t="shared" si="57"/>
        <v>8505021</v>
      </c>
      <c r="B3710" s="105" t="s">
        <v>6106</v>
      </c>
      <c r="C3710" s="105" t="s">
        <v>6107</v>
      </c>
      <c r="D3710" s="105">
        <v>265</v>
      </c>
      <c r="E3710" s="105">
        <v>159</v>
      </c>
      <c r="F3710" s="105">
        <v>0</v>
      </c>
    </row>
    <row r="3711" spans="1:6" x14ac:dyDescent="0.25">
      <c r="A3711" s="105">
        <f t="shared" si="57"/>
        <v>8505022</v>
      </c>
      <c r="B3711" s="105" t="s">
        <v>6108</v>
      </c>
      <c r="C3711" s="105" t="s">
        <v>6109</v>
      </c>
      <c r="D3711" s="105">
        <v>265</v>
      </c>
      <c r="E3711" s="105">
        <v>159</v>
      </c>
      <c r="F3711" s="105">
        <v>68</v>
      </c>
    </row>
    <row r="3712" spans="1:6" x14ac:dyDescent="0.25">
      <c r="A3712" s="105">
        <f t="shared" si="57"/>
        <v>850502201</v>
      </c>
      <c r="B3712" s="105" t="s">
        <v>6110</v>
      </c>
      <c r="C3712" s="105" t="s">
        <v>6111</v>
      </c>
      <c r="D3712" s="105">
        <v>436.79</v>
      </c>
      <c r="E3712" s="105">
        <v>262.07</v>
      </c>
      <c r="F3712" s="105">
        <v>0</v>
      </c>
    </row>
    <row r="3713" spans="1:6" x14ac:dyDescent="0.25">
      <c r="A3713" s="105">
        <f t="shared" si="57"/>
        <v>8505023</v>
      </c>
      <c r="B3713" s="105" t="s">
        <v>6112</v>
      </c>
      <c r="C3713" s="105" t="s">
        <v>6113</v>
      </c>
      <c r="D3713" s="105">
        <v>265</v>
      </c>
      <c r="E3713" s="105">
        <v>159</v>
      </c>
      <c r="F3713" s="105">
        <v>27</v>
      </c>
    </row>
    <row r="3714" spans="1:6" x14ac:dyDescent="0.25">
      <c r="A3714" s="105">
        <f t="shared" si="57"/>
        <v>850502302</v>
      </c>
      <c r="B3714" s="105" t="s">
        <v>6114</v>
      </c>
      <c r="C3714" s="105" t="s">
        <v>6115</v>
      </c>
      <c r="D3714" s="105">
        <v>545.99</v>
      </c>
      <c r="E3714" s="105">
        <v>327.58999999999997</v>
      </c>
      <c r="F3714" s="105">
        <v>0</v>
      </c>
    </row>
    <row r="3715" spans="1:6" x14ac:dyDescent="0.25">
      <c r="A3715" s="105">
        <f t="shared" ref="A3715:A3778" si="58">IF(B3715&lt;&gt;"",IFERROR(B3715*1,""),"")</f>
        <v>8505024</v>
      </c>
      <c r="B3715" s="105" t="s">
        <v>6116</v>
      </c>
      <c r="C3715" s="105" t="s">
        <v>6117</v>
      </c>
      <c r="D3715" s="105">
        <v>265</v>
      </c>
      <c r="E3715" s="105">
        <v>159</v>
      </c>
      <c r="F3715" s="105">
        <v>63</v>
      </c>
    </row>
    <row r="3716" spans="1:6" x14ac:dyDescent="0.25">
      <c r="A3716" s="105">
        <f t="shared" si="58"/>
        <v>850502403</v>
      </c>
      <c r="B3716" s="105" t="s">
        <v>6118</v>
      </c>
      <c r="C3716" s="105" t="s">
        <v>6119</v>
      </c>
      <c r="D3716" s="105">
        <v>709.79</v>
      </c>
      <c r="E3716" s="105">
        <v>425.87</v>
      </c>
      <c r="F3716" s="105">
        <v>0</v>
      </c>
    </row>
    <row r="3717" spans="1:6" x14ac:dyDescent="0.25">
      <c r="A3717" s="105" t="str">
        <f t="shared" si="58"/>
        <v/>
      </c>
      <c r="B3717" s="105" t="s">
        <v>6120</v>
      </c>
      <c r="C3717" s="105" t="s">
        <v>8</v>
      </c>
      <c r="D3717" s="105">
        <v>0</v>
      </c>
      <c r="E3717" s="105">
        <v>0</v>
      </c>
      <c r="F3717" s="105">
        <v>0</v>
      </c>
    </row>
    <row r="3718" spans="1:6" x14ac:dyDescent="0.25">
      <c r="A3718" s="105">
        <f t="shared" si="58"/>
        <v>8505025</v>
      </c>
      <c r="B3718" s="105" t="s">
        <v>6121</v>
      </c>
      <c r="C3718" s="105" t="s">
        <v>6122</v>
      </c>
      <c r="D3718" s="105">
        <v>4299.3599999999997</v>
      </c>
      <c r="E3718" s="105">
        <v>2579.62</v>
      </c>
      <c r="F3718" s="105">
        <v>0</v>
      </c>
    </row>
    <row r="3719" spans="1:6" x14ac:dyDescent="0.25">
      <c r="A3719" s="105">
        <f t="shared" si="58"/>
        <v>8505026</v>
      </c>
      <c r="B3719" s="105" t="s">
        <v>6123</v>
      </c>
      <c r="C3719" s="105" t="s">
        <v>6124</v>
      </c>
      <c r="D3719" s="105">
        <v>265</v>
      </c>
      <c r="E3719" s="105">
        <v>159</v>
      </c>
      <c r="F3719" s="105">
        <v>0</v>
      </c>
    </row>
    <row r="3720" spans="1:6" x14ac:dyDescent="0.25">
      <c r="A3720" s="105" t="str">
        <f t="shared" si="58"/>
        <v/>
      </c>
      <c r="B3720" s="105" t="s">
        <v>6125</v>
      </c>
      <c r="C3720" s="105" t="s">
        <v>8</v>
      </c>
      <c r="D3720" s="105">
        <v>0</v>
      </c>
      <c r="E3720" s="105">
        <v>0</v>
      </c>
      <c r="F3720" s="105">
        <v>0</v>
      </c>
    </row>
    <row r="3721" spans="1:6" x14ac:dyDescent="0.25">
      <c r="A3721" s="105">
        <f t="shared" si="58"/>
        <v>8505027</v>
      </c>
      <c r="B3721" s="105" t="s">
        <v>6126</v>
      </c>
      <c r="C3721" s="105" t="s">
        <v>6127</v>
      </c>
      <c r="D3721" s="105">
        <v>0</v>
      </c>
      <c r="E3721" s="105">
        <v>0</v>
      </c>
      <c r="F3721" s="105">
        <v>0</v>
      </c>
    </row>
    <row r="3722" spans="1:6" x14ac:dyDescent="0.25">
      <c r="A3722" s="105">
        <f t="shared" si="58"/>
        <v>8505028</v>
      </c>
      <c r="B3722" s="105" t="s">
        <v>6128</v>
      </c>
      <c r="C3722" s="105" t="s">
        <v>6129</v>
      </c>
      <c r="D3722" s="105">
        <v>3748.16</v>
      </c>
      <c r="E3722" s="105">
        <v>2248.9</v>
      </c>
      <c r="F3722" s="105">
        <v>0</v>
      </c>
    </row>
    <row r="3723" spans="1:6" x14ac:dyDescent="0.25">
      <c r="A3723" s="105">
        <f t="shared" si="58"/>
        <v>8505029</v>
      </c>
      <c r="B3723" s="105" t="s">
        <v>6130</v>
      </c>
      <c r="C3723" s="105" t="s">
        <v>6131</v>
      </c>
      <c r="D3723" s="105">
        <v>3086.72</v>
      </c>
      <c r="E3723" s="105">
        <v>1852.03</v>
      </c>
      <c r="F3723" s="105">
        <v>0</v>
      </c>
    </row>
    <row r="3724" spans="1:6" x14ac:dyDescent="0.25">
      <c r="A3724" s="105">
        <f t="shared" si="58"/>
        <v>8505030</v>
      </c>
      <c r="B3724" s="105" t="s">
        <v>6132</v>
      </c>
      <c r="C3724" s="105" t="s">
        <v>6133</v>
      </c>
      <c r="D3724" s="105">
        <v>2535.52</v>
      </c>
      <c r="E3724" s="105">
        <v>1521.31</v>
      </c>
      <c r="F3724" s="105">
        <v>0</v>
      </c>
    </row>
    <row r="3725" spans="1:6" x14ac:dyDescent="0.25">
      <c r="A3725" s="105">
        <f t="shared" si="58"/>
        <v>8505031</v>
      </c>
      <c r="B3725" s="105" t="s">
        <v>6134</v>
      </c>
      <c r="C3725" s="105" t="s">
        <v>6135</v>
      </c>
      <c r="D3725" s="105">
        <v>265</v>
      </c>
      <c r="E3725" s="105">
        <v>159</v>
      </c>
      <c r="F3725" s="105">
        <v>23</v>
      </c>
    </row>
    <row r="3726" spans="1:6" x14ac:dyDescent="0.25">
      <c r="A3726" s="105">
        <f t="shared" si="58"/>
        <v>8505032</v>
      </c>
      <c r="B3726" s="105" t="s">
        <v>6136</v>
      </c>
      <c r="C3726" s="105" t="s">
        <v>6137</v>
      </c>
      <c r="D3726" s="105">
        <v>265</v>
      </c>
      <c r="E3726" s="105">
        <v>159</v>
      </c>
      <c r="F3726" s="105">
        <v>20</v>
      </c>
    </row>
    <row r="3727" spans="1:6" x14ac:dyDescent="0.25">
      <c r="A3727" s="105">
        <f t="shared" si="58"/>
        <v>8505033</v>
      </c>
      <c r="B3727" s="105" t="s">
        <v>6138</v>
      </c>
      <c r="C3727" s="105" t="s">
        <v>6139</v>
      </c>
      <c r="D3727" s="105">
        <v>265</v>
      </c>
      <c r="E3727" s="105">
        <v>159</v>
      </c>
      <c r="F3727" s="105">
        <v>0</v>
      </c>
    </row>
    <row r="3728" spans="1:6" x14ac:dyDescent="0.25">
      <c r="A3728" s="105">
        <f t="shared" si="58"/>
        <v>8505040</v>
      </c>
      <c r="B3728" s="105" t="s">
        <v>9424</v>
      </c>
      <c r="C3728" s="105" t="s">
        <v>9425</v>
      </c>
      <c r="D3728" s="105">
        <v>371</v>
      </c>
      <c r="E3728" s="105">
        <v>222.6</v>
      </c>
      <c r="F3728" s="105">
        <v>0</v>
      </c>
    </row>
    <row r="3729" spans="1:6" x14ac:dyDescent="0.25">
      <c r="A3729" s="105">
        <f t="shared" si="58"/>
        <v>8505041</v>
      </c>
      <c r="B3729" s="105" t="s">
        <v>9426</v>
      </c>
      <c r="C3729" s="105" t="s">
        <v>9427</v>
      </c>
      <c r="D3729" s="105">
        <v>424</v>
      </c>
      <c r="E3729" s="105">
        <v>254.4</v>
      </c>
      <c r="F3729" s="105">
        <v>0</v>
      </c>
    </row>
    <row r="3730" spans="1:6" x14ac:dyDescent="0.25">
      <c r="A3730" s="105">
        <f t="shared" si="58"/>
        <v>8505042</v>
      </c>
      <c r="B3730" s="105" t="s">
        <v>9428</v>
      </c>
      <c r="C3730" s="105" t="s">
        <v>9429</v>
      </c>
      <c r="D3730" s="105">
        <v>530</v>
      </c>
      <c r="E3730" s="105">
        <v>318</v>
      </c>
      <c r="F3730" s="105">
        <v>0</v>
      </c>
    </row>
    <row r="3731" spans="1:6" x14ac:dyDescent="0.25">
      <c r="A3731" s="105">
        <f t="shared" si="58"/>
        <v>8505043</v>
      </c>
      <c r="B3731" s="105" t="s">
        <v>9430</v>
      </c>
      <c r="C3731" s="105" t="s">
        <v>9431</v>
      </c>
      <c r="D3731" s="105">
        <v>371</v>
      </c>
      <c r="E3731" s="105">
        <v>222.6</v>
      </c>
      <c r="F3731" s="105">
        <v>0</v>
      </c>
    </row>
    <row r="3732" spans="1:6" x14ac:dyDescent="0.25">
      <c r="A3732" s="105">
        <f t="shared" si="58"/>
        <v>8505044</v>
      </c>
      <c r="B3732" s="105" t="s">
        <v>9432</v>
      </c>
      <c r="C3732" s="105" t="s">
        <v>9433</v>
      </c>
      <c r="D3732" s="105">
        <v>477</v>
      </c>
      <c r="E3732" s="105">
        <v>286.2</v>
      </c>
      <c r="F3732" s="105">
        <v>0</v>
      </c>
    </row>
    <row r="3733" spans="1:6" x14ac:dyDescent="0.25">
      <c r="A3733" s="105">
        <f t="shared" si="58"/>
        <v>8505045</v>
      </c>
      <c r="B3733" s="105" t="s">
        <v>9434</v>
      </c>
      <c r="C3733" s="105" t="s">
        <v>9435</v>
      </c>
      <c r="D3733" s="105">
        <v>636</v>
      </c>
      <c r="E3733" s="105">
        <v>381.6</v>
      </c>
      <c r="F3733" s="105">
        <v>0</v>
      </c>
    </row>
    <row r="3734" spans="1:6" x14ac:dyDescent="0.25">
      <c r="A3734" s="105">
        <f t="shared" si="58"/>
        <v>8505046</v>
      </c>
      <c r="B3734" s="105" t="s">
        <v>9436</v>
      </c>
      <c r="C3734" s="105" t="s">
        <v>9437</v>
      </c>
      <c r="D3734" s="105">
        <v>371</v>
      </c>
      <c r="E3734" s="105">
        <v>222.6</v>
      </c>
      <c r="F3734" s="105">
        <v>0</v>
      </c>
    </row>
    <row r="3735" spans="1:6" x14ac:dyDescent="0.25">
      <c r="A3735" s="105">
        <f t="shared" si="58"/>
        <v>8505047</v>
      </c>
      <c r="B3735" s="105" t="s">
        <v>9438</v>
      </c>
      <c r="C3735" s="105" t="s">
        <v>9439</v>
      </c>
      <c r="D3735" s="105">
        <v>477</v>
      </c>
      <c r="E3735" s="105">
        <v>286.2</v>
      </c>
      <c r="F3735" s="105">
        <v>0</v>
      </c>
    </row>
    <row r="3736" spans="1:6" x14ac:dyDescent="0.25">
      <c r="A3736" s="105">
        <f t="shared" si="58"/>
        <v>8505048</v>
      </c>
      <c r="B3736" s="105" t="s">
        <v>9440</v>
      </c>
      <c r="C3736" s="105" t="s">
        <v>9441</v>
      </c>
      <c r="D3736" s="105">
        <v>636</v>
      </c>
      <c r="E3736" s="105">
        <v>381.6</v>
      </c>
      <c r="F3736" s="105">
        <v>0</v>
      </c>
    </row>
    <row r="3737" spans="1:6" x14ac:dyDescent="0.25">
      <c r="A3737" s="105">
        <f t="shared" si="58"/>
        <v>8505063</v>
      </c>
      <c r="B3737" s="105" t="s">
        <v>6140</v>
      </c>
      <c r="C3737" s="105" t="s">
        <v>6141</v>
      </c>
      <c r="D3737" s="105">
        <v>265</v>
      </c>
      <c r="E3737" s="105">
        <v>159</v>
      </c>
      <c r="F3737" s="105">
        <v>0</v>
      </c>
    </row>
    <row r="3738" spans="1:6" x14ac:dyDescent="0.25">
      <c r="A3738" s="105">
        <f t="shared" si="58"/>
        <v>8505067</v>
      </c>
      <c r="B3738" s="105" t="s">
        <v>9442</v>
      </c>
      <c r="C3738" s="105" t="s">
        <v>9443</v>
      </c>
      <c r="D3738" s="105">
        <v>275.58999999999997</v>
      </c>
      <c r="E3738" s="105">
        <v>165.35</v>
      </c>
      <c r="F3738" s="105">
        <v>0</v>
      </c>
    </row>
    <row r="3739" spans="1:6" x14ac:dyDescent="0.25">
      <c r="A3739" s="105" t="str">
        <f t="shared" si="58"/>
        <v/>
      </c>
      <c r="B3739" s="105" t="s">
        <v>6142</v>
      </c>
      <c r="C3739" s="105" t="s">
        <v>8</v>
      </c>
      <c r="D3739" s="105">
        <v>0</v>
      </c>
      <c r="E3739" s="105">
        <v>0</v>
      </c>
      <c r="F3739" s="105">
        <v>0</v>
      </c>
    </row>
    <row r="3740" spans="1:6" x14ac:dyDescent="0.25">
      <c r="A3740" s="105">
        <f t="shared" si="58"/>
        <v>8505068</v>
      </c>
      <c r="B3740" s="105" t="s">
        <v>6143</v>
      </c>
      <c r="C3740" s="105" t="s">
        <v>6144</v>
      </c>
      <c r="D3740" s="105">
        <v>0</v>
      </c>
      <c r="E3740" s="105">
        <v>0</v>
      </c>
      <c r="F3740" s="105">
        <v>0</v>
      </c>
    </row>
    <row r="3741" spans="1:6" x14ac:dyDescent="0.25">
      <c r="A3741" s="105" t="str">
        <f t="shared" si="58"/>
        <v/>
      </c>
      <c r="B3741" s="105" t="s">
        <v>6145</v>
      </c>
      <c r="C3741" s="105" t="s">
        <v>8</v>
      </c>
      <c r="D3741" s="105">
        <v>0</v>
      </c>
      <c r="E3741" s="105">
        <v>0</v>
      </c>
      <c r="F3741" s="105">
        <v>0</v>
      </c>
    </row>
    <row r="3742" spans="1:6" x14ac:dyDescent="0.25">
      <c r="A3742" s="105">
        <f t="shared" si="58"/>
        <v>8505069</v>
      </c>
      <c r="B3742" s="105" t="s">
        <v>6146</v>
      </c>
      <c r="C3742" s="105" t="s">
        <v>6147</v>
      </c>
      <c r="D3742" s="105">
        <v>0</v>
      </c>
      <c r="E3742" s="105">
        <v>0</v>
      </c>
      <c r="F3742" s="105">
        <v>0</v>
      </c>
    </row>
    <row r="3743" spans="1:6" x14ac:dyDescent="0.25">
      <c r="A3743" s="105">
        <f t="shared" si="58"/>
        <v>8505070</v>
      </c>
      <c r="B3743" s="105" t="s">
        <v>6148</v>
      </c>
      <c r="C3743" s="105" t="s">
        <v>6149</v>
      </c>
      <c r="D3743" s="105">
        <v>318</v>
      </c>
      <c r="E3743" s="105">
        <v>190.8</v>
      </c>
      <c r="F3743" s="105">
        <v>21</v>
      </c>
    </row>
    <row r="3744" spans="1:6" x14ac:dyDescent="0.25">
      <c r="A3744" s="105" t="str">
        <f t="shared" si="58"/>
        <v/>
      </c>
      <c r="B3744" s="105" t="s">
        <v>6150</v>
      </c>
      <c r="C3744" s="105" t="s">
        <v>8</v>
      </c>
      <c r="D3744" s="105">
        <v>0</v>
      </c>
      <c r="E3744" s="105">
        <v>0</v>
      </c>
      <c r="F3744" s="105">
        <v>0</v>
      </c>
    </row>
    <row r="3745" spans="1:6" x14ac:dyDescent="0.25">
      <c r="A3745" s="105">
        <f t="shared" si="58"/>
        <v>8505071</v>
      </c>
      <c r="B3745" s="105" t="s">
        <v>6151</v>
      </c>
      <c r="C3745" s="105" t="s">
        <v>6152</v>
      </c>
      <c r="D3745" s="105">
        <v>0</v>
      </c>
      <c r="E3745" s="105">
        <v>0</v>
      </c>
      <c r="F3745" s="105">
        <v>0</v>
      </c>
    </row>
    <row r="3746" spans="1:6" x14ac:dyDescent="0.25">
      <c r="A3746" s="105" t="str">
        <f t="shared" si="58"/>
        <v/>
      </c>
      <c r="B3746" s="105" t="s">
        <v>6153</v>
      </c>
      <c r="C3746" s="105" t="s">
        <v>8</v>
      </c>
      <c r="D3746" s="105">
        <v>0</v>
      </c>
      <c r="E3746" s="105">
        <v>0</v>
      </c>
      <c r="F3746" s="105">
        <v>0</v>
      </c>
    </row>
    <row r="3747" spans="1:6" x14ac:dyDescent="0.25">
      <c r="A3747" s="105">
        <f t="shared" si="58"/>
        <v>8505072</v>
      </c>
      <c r="B3747" s="105" t="s">
        <v>6154</v>
      </c>
      <c r="C3747" s="105" t="s">
        <v>6155</v>
      </c>
      <c r="D3747" s="105">
        <v>0</v>
      </c>
      <c r="E3747" s="105">
        <v>0</v>
      </c>
      <c r="F3747" s="105">
        <v>0</v>
      </c>
    </row>
    <row r="3748" spans="1:6" x14ac:dyDescent="0.25">
      <c r="A3748" s="105" t="str">
        <f t="shared" si="58"/>
        <v/>
      </c>
      <c r="B3748" s="105" t="s">
        <v>6156</v>
      </c>
      <c r="C3748" s="105" t="s">
        <v>8</v>
      </c>
      <c r="D3748" s="105">
        <v>0</v>
      </c>
      <c r="E3748" s="105">
        <v>0</v>
      </c>
      <c r="F3748" s="105">
        <v>0</v>
      </c>
    </row>
    <row r="3749" spans="1:6" x14ac:dyDescent="0.25">
      <c r="A3749" s="105">
        <f t="shared" si="58"/>
        <v>8505073</v>
      </c>
      <c r="B3749" s="105" t="s">
        <v>6157</v>
      </c>
      <c r="C3749" s="105" t="s">
        <v>6158</v>
      </c>
      <c r="D3749" s="105">
        <v>0</v>
      </c>
      <c r="E3749" s="105">
        <v>0</v>
      </c>
      <c r="F3749" s="105">
        <v>0</v>
      </c>
    </row>
    <row r="3750" spans="1:6" x14ac:dyDescent="0.25">
      <c r="A3750" s="105">
        <f t="shared" si="58"/>
        <v>8505074</v>
      </c>
      <c r="B3750" s="105" t="s">
        <v>6159</v>
      </c>
      <c r="C3750" s="105" t="s">
        <v>6160</v>
      </c>
      <c r="D3750" s="105">
        <v>265</v>
      </c>
      <c r="E3750" s="105">
        <v>159</v>
      </c>
      <c r="F3750" s="105">
        <v>0</v>
      </c>
    </row>
    <row r="3751" spans="1:6" x14ac:dyDescent="0.25">
      <c r="A3751" s="105">
        <f t="shared" si="58"/>
        <v>8505075</v>
      </c>
      <c r="B3751" s="105" t="s">
        <v>6161</v>
      </c>
      <c r="C3751" s="105" t="s">
        <v>6162</v>
      </c>
      <c r="D3751" s="105">
        <v>265</v>
      </c>
      <c r="E3751" s="105">
        <v>159</v>
      </c>
      <c r="F3751" s="105">
        <v>3</v>
      </c>
    </row>
    <row r="3752" spans="1:6" x14ac:dyDescent="0.25">
      <c r="A3752" s="105" t="str">
        <f t="shared" si="58"/>
        <v/>
      </c>
      <c r="B3752" s="105" t="s">
        <v>6163</v>
      </c>
      <c r="C3752" s="105" t="s">
        <v>8</v>
      </c>
      <c r="D3752" s="105">
        <v>0</v>
      </c>
      <c r="E3752" s="105">
        <v>0</v>
      </c>
      <c r="F3752" s="105">
        <v>0</v>
      </c>
    </row>
    <row r="3753" spans="1:6" x14ac:dyDescent="0.25">
      <c r="A3753" s="105">
        <f t="shared" si="58"/>
        <v>8505076</v>
      </c>
      <c r="B3753" s="105" t="s">
        <v>6164</v>
      </c>
      <c r="C3753" s="105" t="s">
        <v>6165</v>
      </c>
      <c r="D3753" s="105">
        <v>0</v>
      </c>
      <c r="E3753" s="105">
        <v>0</v>
      </c>
      <c r="F3753" s="105">
        <v>0</v>
      </c>
    </row>
    <row r="3754" spans="1:6" x14ac:dyDescent="0.25">
      <c r="A3754" s="105">
        <f t="shared" si="58"/>
        <v>8505100</v>
      </c>
      <c r="B3754" s="105" t="s">
        <v>6166</v>
      </c>
      <c r="C3754" s="105" t="s">
        <v>6167</v>
      </c>
      <c r="D3754" s="105">
        <v>12.5</v>
      </c>
      <c r="E3754" s="105">
        <v>7.5</v>
      </c>
      <c r="F3754" s="105">
        <v>1060</v>
      </c>
    </row>
    <row r="3755" spans="1:6" x14ac:dyDescent="0.25">
      <c r="A3755" s="105">
        <f t="shared" si="58"/>
        <v>850510012</v>
      </c>
      <c r="B3755" s="105" t="s">
        <v>6168</v>
      </c>
      <c r="C3755" s="105" t="s">
        <v>6169</v>
      </c>
      <c r="D3755" s="105">
        <v>0</v>
      </c>
      <c r="E3755" s="105">
        <v>0</v>
      </c>
      <c r="F3755" s="105">
        <v>0</v>
      </c>
    </row>
    <row r="3756" spans="1:6" x14ac:dyDescent="0.25">
      <c r="A3756" s="105">
        <f t="shared" si="58"/>
        <v>8505101</v>
      </c>
      <c r="B3756" s="105" t="s">
        <v>6170</v>
      </c>
      <c r="C3756" s="105" t="s">
        <v>6171</v>
      </c>
      <c r="D3756" s="105">
        <v>265</v>
      </c>
      <c r="E3756" s="105">
        <v>159</v>
      </c>
      <c r="F3756" s="105">
        <v>98</v>
      </c>
    </row>
    <row r="3757" spans="1:6" x14ac:dyDescent="0.25">
      <c r="A3757" s="105">
        <f t="shared" si="58"/>
        <v>8505109</v>
      </c>
      <c r="B3757" s="105" t="s">
        <v>6172</v>
      </c>
      <c r="C3757" s="105" t="s">
        <v>6173</v>
      </c>
      <c r="D3757" s="105">
        <v>265</v>
      </c>
      <c r="E3757" s="105">
        <v>159</v>
      </c>
      <c r="F3757" s="105">
        <v>0</v>
      </c>
    </row>
    <row r="3758" spans="1:6" x14ac:dyDescent="0.25">
      <c r="A3758" s="105" t="str">
        <f t="shared" si="58"/>
        <v/>
      </c>
      <c r="B3758" s="105" t="s">
        <v>6174</v>
      </c>
      <c r="C3758" s="105" t="s">
        <v>8</v>
      </c>
      <c r="D3758" s="105">
        <v>0</v>
      </c>
      <c r="E3758" s="105">
        <v>0</v>
      </c>
      <c r="F3758" s="105">
        <v>0</v>
      </c>
    </row>
    <row r="3759" spans="1:6" x14ac:dyDescent="0.25">
      <c r="A3759" s="105">
        <f t="shared" si="58"/>
        <v>8505110</v>
      </c>
      <c r="B3759" s="105" t="s">
        <v>6175</v>
      </c>
      <c r="C3759" s="105" t="s">
        <v>6176</v>
      </c>
      <c r="D3759" s="105">
        <v>0</v>
      </c>
      <c r="E3759" s="105">
        <v>0</v>
      </c>
      <c r="F3759" s="105">
        <v>0</v>
      </c>
    </row>
    <row r="3760" spans="1:6" x14ac:dyDescent="0.25">
      <c r="A3760" s="105">
        <f t="shared" si="58"/>
        <v>8505111</v>
      </c>
      <c r="B3760" s="105" t="s">
        <v>6177</v>
      </c>
      <c r="C3760" s="105" t="s">
        <v>6178</v>
      </c>
      <c r="D3760" s="105">
        <v>0</v>
      </c>
      <c r="E3760" s="105">
        <v>0</v>
      </c>
      <c r="F3760" s="105">
        <v>0</v>
      </c>
    </row>
    <row r="3761" spans="1:6" x14ac:dyDescent="0.25">
      <c r="A3761" s="105" t="str">
        <f t="shared" si="58"/>
        <v/>
      </c>
      <c r="B3761" s="105" t="s">
        <v>6179</v>
      </c>
      <c r="C3761" s="105" t="s">
        <v>8</v>
      </c>
      <c r="D3761" s="105">
        <v>0</v>
      </c>
      <c r="E3761" s="105">
        <v>0</v>
      </c>
      <c r="F3761" s="105">
        <v>0</v>
      </c>
    </row>
    <row r="3762" spans="1:6" x14ac:dyDescent="0.25">
      <c r="A3762" s="105">
        <f t="shared" si="58"/>
        <v>8505118</v>
      </c>
      <c r="B3762" s="105" t="s">
        <v>6180</v>
      </c>
      <c r="C3762" s="105" t="s">
        <v>6181</v>
      </c>
      <c r="D3762" s="105">
        <v>265</v>
      </c>
      <c r="E3762" s="105">
        <v>159</v>
      </c>
      <c r="F3762" s="105">
        <v>0</v>
      </c>
    </row>
    <row r="3763" spans="1:6" x14ac:dyDescent="0.25">
      <c r="A3763" s="105">
        <f t="shared" si="58"/>
        <v>8505120</v>
      </c>
      <c r="B3763" s="105" t="s">
        <v>6182</v>
      </c>
      <c r="C3763" s="105" t="s">
        <v>6183</v>
      </c>
      <c r="D3763" s="105">
        <v>265</v>
      </c>
      <c r="E3763" s="105">
        <v>159</v>
      </c>
      <c r="F3763" s="105">
        <v>124</v>
      </c>
    </row>
    <row r="3764" spans="1:6" x14ac:dyDescent="0.25">
      <c r="A3764" s="105">
        <f t="shared" si="58"/>
        <v>8505121</v>
      </c>
      <c r="B3764" s="105" t="s">
        <v>6184</v>
      </c>
      <c r="C3764" s="105" t="s">
        <v>6185</v>
      </c>
      <c r="D3764" s="105">
        <v>424</v>
      </c>
      <c r="E3764" s="105">
        <v>254.4</v>
      </c>
      <c r="F3764" s="105">
        <v>248</v>
      </c>
    </row>
    <row r="3765" spans="1:6" x14ac:dyDescent="0.25">
      <c r="A3765" s="105">
        <f t="shared" si="58"/>
        <v>8505122</v>
      </c>
      <c r="B3765" s="105" t="s">
        <v>6186</v>
      </c>
      <c r="C3765" s="105" t="s">
        <v>6187</v>
      </c>
      <c r="D3765" s="105">
        <v>424</v>
      </c>
      <c r="E3765" s="105">
        <v>254.4</v>
      </c>
      <c r="F3765" s="105">
        <v>90</v>
      </c>
    </row>
    <row r="3766" spans="1:6" x14ac:dyDescent="0.25">
      <c r="A3766" s="105">
        <f t="shared" si="58"/>
        <v>8505123</v>
      </c>
      <c r="B3766" s="105" t="s">
        <v>6188</v>
      </c>
      <c r="C3766" s="105" t="s">
        <v>6189</v>
      </c>
      <c r="D3766" s="105">
        <v>424</v>
      </c>
      <c r="E3766" s="105">
        <v>254.4</v>
      </c>
      <c r="F3766" s="105">
        <v>51</v>
      </c>
    </row>
    <row r="3767" spans="1:6" x14ac:dyDescent="0.25">
      <c r="A3767" s="105">
        <f t="shared" si="58"/>
        <v>8505124</v>
      </c>
      <c r="B3767" s="105" t="s">
        <v>6190</v>
      </c>
      <c r="C3767" s="105" t="s">
        <v>6191</v>
      </c>
      <c r="D3767" s="105">
        <v>424</v>
      </c>
      <c r="E3767" s="105">
        <v>254.4</v>
      </c>
      <c r="F3767" s="105">
        <v>64</v>
      </c>
    </row>
    <row r="3768" spans="1:6" x14ac:dyDescent="0.25">
      <c r="A3768" s="105">
        <f t="shared" si="58"/>
        <v>8505125</v>
      </c>
      <c r="B3768" s="105" t="s">
        <v>6192</v>
      </c>
      <c r="C3768" s="105" t="s">
        <v>6193</v>
      </c>
      <c r="D3768" s="105">
        <v>424</v>
      </c>
      <c r="E3768" s="105">
        <v>254.4</v>
      </c>
      <c r="F3768" s="105">
        <v>40</v>
      </c>
    </row>
    <row r="3769" spans="1:6" x14ac:dyDescent="0.25">
      <c r="A3769" s="105">
        <f t="shared" si="58"/>
        <v>8505126</v>
      </c>
      <c r="B3769" s="105" t="s">
        <v>6194</v>
      </c>
      <c r="C3769" s="105" t="s">
        <v>6195</v>
      </c>
      <c r="D3769" s="105">
        <v>424</v>
      </c>
      <c r="E3769" s="105">
        <v>254.4</v>
      </c>
      <c r="F3769" s="105">
        <v>34</v>
      </c>
    </row>
    <row r="3770" spans="1:6" x14ac:dyDescent="0.25">
      <c r="A3770" s="105">
        <f t="shared" si="58"/>
        <v>8505127</v>
      </c>
      <c r="B3770" s="105" t="s">
        <v>6196</v>
      </c>
      <c r="C3770" s="105" t="s">
        <v>6197</v>
      </c>
      <c r="D3770" s="105">
        <v>265</v>
      </c>
      <c r="E3770" s="105">
        <v>159</v>
      </c>
      <c r="F3770" s="105">
        <v>0</v>
      </c>
    </row>
    <row r="3771" spans="1:6" x14ac:dyDescent="0.25">
      <c r="A3771" s="105">
        <f t="shared" si="58"/>
        <v>8505128</v>
      </c>
      <c r="B3771" s="105" t="s">
        <v>6198</v>
      </c>
      <c r="C3771" s="105" t="s">
        <v>6199</v>
      </c>
      <c r="D3771" s="105">
        <v>265</v>
      </c>
      <c r="E3771" s="105">
        <v>159</v>
      </c>
      <c r="F3771" s="105">
        <v>0</v>
      </c>
    </row>
    <row r="3772" spans="1:6" x14ac:dyDescent="0.25">
      <c r="A3772" s="105">
        <f t="shared" si="58"/>
        <v>8505129</v>
      </c>
      <c r="B3772" s="105" t="s">
        <v>6200</v>
      </c>
      <c r="C3772" s="105" t="s">
        <v>6201</v>
      </c>
      <c r="D3772" s="105">
        <v>265</v>
      </c>
      <c r="E3772" s="105">
        <v>159</v>
      </c>
      <c r="F3772" s="105">
        <v>4</v>
      </c>
    </row>
    <row r="3773" spans="1:6" x14ac:dyDescent="0.25">
      <c r="A3773" s="105">
        <f t="shared" si="58"/>
        <v>8505130</v>
      </c>
      <c r="B3773" s="105" t="s">
        <v>6202</v>
      </c>
      <c r="C3773" s="105" t="s">
        <v>6203</v>
      </c>
      <c r="D3773" s="105">
        <v>265</v>
      </c>
      <c r="E3773" s="105">
        <v>159</v>
      </c>
      <c r="F3773" s="105">
        <v>23</v>
      </c>
    </row>
    <row r="3774" spans="1:6" x14ac:dyDescent="0.25">
      <c r="A3774" s="105">
        <f t="shared" si="58"/>
        <v>8505131</v>
      </c>
      <c r="B3774" s="105" t="s">
        <v>6204</v>
      </c>
      <c r="C3774" s="105" t="s">
        <v>6205</v>
      </c>
      <c r="D3774" s="105">
        <v>265</v>
      </c>
      <c r="E3774" s="105">
        <v>159</v>
      </c>
      <c r="F3774" s="105">
        <v>20</v>
      </c>
    </row>
    <row r="3775" spans="1:6" x14ac:dyDescent="0.25">
      <c r="A3775" s="105">
        <f t="shared" si="58"/>
        <v>8505132</v>
      </c>
      <c r="B3775" s="105" t="s">
        <v>6206</v>
      </c>
      <c r="C3775" s="105" t="s">
        <v>6207</v>
      </c>
      <c r="D3775" s="105">
        <v>265</v>
      </c>
      <c r="E3775" s="105">
        <v>159</v>
      </c>
      <c r="F3775" s="105">
        <v>0</v>
      </c>
    </row>
    <row r="3776" spans="1:6" x14ac:dyDescent="0.25">
      <c r="A3776" s="105">
        <f t="shared" si="58"/>
        <v>8505133</v>
      </c>
      <c r="B3776" s="105" t="s">
        <v>6208</v>
      </c>
      <c r="C3776" s="105" t="s">
        <v>6209</v>
      </c>
      <c r="D3776" s="105">
        <v>424</v>
      </c>
      <c r="E3776" s="105">
        <v>254.4</v>
      </c>
      <c r="F3776" s="105">
        <v>40</v>
      </c>
    </row>
    <row r="3777" spans="1:6" x14ac:dyDescent="0.25">
      <c r="A3777" s="105">
        <f t="shared" si="58"/>
        <v>8505134</v>
      </c>
      <c r="B3777" s="105" t="s">
        <v>6210</v>
      </c>
      <c r="C3777" s="105" t="s">
        <v>6211</v>
      </c>
      <c r="D3777" s="105">
        <v>265</v>
      </c>
      <c r="E3777" s="105">
        <v>159</v>
      </c>
      <c r="F3777" s="105">
        <v>99</v>
      </c>
    </row>
    <row r="3778" spans="1:6" x14ac:dyDescent="0.25">
      <c r="A3778" s="105">
        <f t="shared" si="58"/>
        <v>8505135</v>
      </c>
      <c r="B3778" s="105" t="s">
        <v>6212</v>
      </c>
      <c r="C3778" s="105" t="s">
        <v>6213</v>
      </c>
      <c r="D3778" s="105">
        <v>265</v>
      </c>
      <c r="E3778" s="105">
        <v>159</v>
      </c>
      <c r="F3778" s="105">
        <v>50</v>
      </c>
    </row>
    <row r="3779" spans="1:6" x14ac:dyDescent="0.25">
      <c r="A3779" s="105">
        <f t="shared" ref="A3779:A3842" si="59">IF(B3779&lt;&gt;"",IFERROR(B3779*1,""),"")</f>
        <v>8505136</v>
      </c>
      <c r="B3779" s="105" t="s">
        <v>6214</v>
      </c>
      <c r="C3779" s="105" t="s">
        <v>6215</v>
      </c>
      <c r="D3779" s="105">
        <v>265</v>
      </c>
      <c r="E3779" s="105">
        <v>159</v>
      </c>
      <c r="F3779" s="105">
        <v>34</v>
      </c>
    </row>
    <row r="3780" spans="1:6" x14ac:dyDescent="0.25">
      <c r="A3780" s="105">
        <f t="shared" si="59"/>
        <v>8505137</v>
      </c>
      <c r="B3780" s="105" t="s">
        <v>6216</v>
      </c>
      <c r="C3780" s="105" t="s">
        <v>6217</v>
      </c>
      <c r="D3780" s="105">
        <v>265</v>
      </c>
      <c r="E3780" s="105">
        <v>159</v>
      </c>
      <c r="F3780" s="105">
        <v>55</v>
      </c>
    </row>
    <row r="3781" spans="1:6" x14ac:dyDescent="0.25">
      <c r="A3781" s="105">
        <f t="shared" si="59"/>
        <v>8505138</v>
      </c>
      <c r="B3781" s="105" t="s">
        <v>6218</v>
      </c>
      <c r="C3781" s="105" t="s">
        <v>6219</v>
      </c>
      <c r="D3781" s="105">
        <v>265</v>
      </c>
      <c r="E3781" s="105">
        <v>159</v>
      </c>
      <c r="F3781" s="105">
        <v>0</v>
      </c>
    </row>
    <row r="3782" spans="1:6" x14ac:dyDescent="0.25">
      <c r="A3782" s="105">
        <f t="shared" si="59"/>
        <v>8505139</v>
      </c>
      <c r="B3782" s="105" t="s">
        <v>6220</v>
      </c>
      <c r="C3782" s="105" t="s">
        <v>6221</v>
      </c>
      <c r="D3782" s="105">
        <v>265</v>
      </c>
      <c r="E3782" s="105">
        <v>159</v>
      </c>
      <c r="F3782" s="105">
        <v>2</v>
      </c>
    </row>
    <row r="3783" spans="1:6" x14ac:dyDescent="0.25">
      <c r="A3783" s="105">
        <f t="shared" si="59"/>
        <v>8505140</v>
      </c>
      <c r="B3783" s="105" t="s">
        <v>6222</v>
      </c>
      <c r="C3783" s="105" t="s">
        <v>6223</v>
      </c>
      <c r="D3783" s="105">
        <v>265</v>
      </c>
      <c r="E3783" s="105">
        <v>159</v>
      </c>
      <c r="F3783" s="105">
        <v>50</v>
      </c>
    </row>
    <row r="3784" spans="1:6" x14ac:dyDescent="0.25">
      <c r="A3784" s="105">
        <f t="shared" si="59"/>
        <v>8505141</v>
      </c>
      <c r="B3784" s="105" t="s">
        <v>6224</v>
      </c>
      <c r="C3784" s="105" t="s">
        <v>6225</v>
      </c>
      <c r="D3784" s="105">
        <v>265</v>
      </c>
      <c r="E3784" s="105">
        <v>159</v>
      </c>
      <c r="F3784" s="105">
        <v>33</v>
      </c>
    </row>
    <row r="3785" spans="1:6" x14ac:dyDescent="0.25">
      <c r="A3785" s="105">
        <f t="shared" si="59"/>
        <v>8505142</v>
      </c>
      <c r="B3785" s="105" t="s">
        <v>6226</v>
      </c>
      <c r="C3785" s="105" t="s">
        <v>6227</v>
      </c>
      <c r="D3785" s="105">
        <v>265</v>
      </c>
      <c r="E3785" s="105">
        <v>159</v>
      </c>
      <c r="F3785" s="105">
        <v>17</v>
      </c>
    </row>
    <row r="3786" spans="1:6" x14ac:dyDescent="0.25">
      <c r="A3786" s="105">
        <f t="shared" si="59"/>
        <v>8505149</v>
      </c>
      <c r="B3786" s="105" t="s">
        <v>6228</v>
      </c>
      <c r="C3786" s="105" t="s">
        <v>6229</v>
      </c>
      <c r="D3786" s="105">
        <v>424</v>
      </c>
      <c r="E3786" s="105">
        <v>254.4</v>
      </c>
      <c r="F3786" s="105">
        <v>32</v>
      </c>
    </row>
    <row r="3787" spans="1:6" x14ac:dyDescent="0.25">
      <c r="A3787" s="105">
        <f t="shared" si="59"/>
        <v>8505150</v>
      </c>
      <c r="B3787" s="105" t="s">
        <v>6230</v>
      </c>
      <c r="C3787" s="105" t="s">
        <v>9444</v>
      </c>
      <c r="D3787" s="105">
        <v>265</v>
      </c>
      <c r="E3787" s="105">
        <v>159</v>
      </c>
      <c r="F3787" s="105">
        <v>0</v>
      </c>
    </row>
    <row r="3788" spans="1:6" x14ac:dyDescent="0.25">
      <c r="A3788" s="105">
        <f t="shared" si="59"/>
        <v>8505151</v>
      </c>
      <c r="B3788" s="105" t="s">
        <v>6231</v>
      </c>
      <c r="C3788" s="105" t="s">
        <v>6232</v>
      </c>
      <c r="D3788" s="105">
        <v>424</v>
      </c>
      <c r="E3788" s="105">
        <v>254.4</v>
      </c>
      <c r="F3788" s="105">
        <v>14</v>
      </c>
    </row>
    <row r="3789" spans="1:6" x14ac:dyDescent="0.25">
      <c r="A3789" s="105">
        <f t="shared" si="59"/>
        <v>8505153</v>
      </c>
      <c r="B3789" s="105" t="s">
        <v>6233</v>
      </c>
      <c r="C3789" s="105" t="s">
        <v>6234</v>
      </c>
      <c r="D3789" s="105">
        <v>424</v>
      </c>
      <c r="E3789" s="105">
        <v>254.4</v>
      </c>
      <c r="F3789" s="105">
        <v>30</v>
      </c>
    </row>
    <row r="3790" spans="1:6" x14ac:dyDescent="0.25">
      <c r="A3790" s="105">
        <f t="shared" si="59"/>
        <v>8505154</v>
      </c>
      <c r="B3790" s="105" t="s">
        <v>6235</v>
      </c>
      <c r="C3790" s="105" t="s">
        <v>6236</v>
      </c>
      <c r="D3790" s="105">
        <v>424</v>
      </c>
      <c r="E3790" s="105">
        <v>254.4</v>
      </c>
      <c r="F3790" s="105">
        <v>53</v>
      </c>
    </row>
    <row r="3791" spans="1:6" x14ac:dyDescent="0.25">
      <c r="A3791" s="105">
        <f t="shared" si="59"/>
        <v>8505155</v>
      </c>
      <c r="B3791" s="105" t="s">
        <v>6237</v>
      </c>
      <c r="C3791" s="105" t="s">
        <v>6238</v>
      </c>
      <c r="D3791" s="105">
        <v>424</v>
      </c>
      <c r="E3791" s="105">
        <v>254.4</v>
      </c>
      <c r="F3791" s="105">
        <v>34</v>
      </c>
    </row>
    <row r="3792" spans="1:6" x14ac:dyDescent="0.25">
      <c r="A3792" s="105">
        <f t="shared" si="59"/>
        <v>8505156</v>
      </c>
      <c r="B3792" s="105" t="s">
        <v>6239</v>
      </c>
      <c r="C3792" s="105" t="s">
        <v>6240</v>
      </c>
      <c r="D3792" s="105">
        <v>265</v>
      </c>
      <c r="E3792" s="105">
        <v>159</v>
      </c>
      <c r="F3792" s="105">
        <v>25</v>
      </c>
    </row>
    <row r="3793" spans="1:6" x14ac:dyDescent="0.25">
      <c r="A3793" s="105">
        <f t="shared" si="59"/>
        <v>8505157</v>
      </c>
      <c r="B3793" s="105" t="s">
        <v>6241</v>
      </c>
      <c r="C3793" s="105" t="s">
        <v>6242</v>
      </c>
      <c r="D3793" s="105">
        <v>265</v>
      </c>
      <c r="E3793" s="105">
        <v>159</v>
      </c>
      <c r="F3793" s="105">
        <v>249</v>
      </c>
    </row>
    <row r="3794" spans="1:6" x14ac:dyDescent="0.25">
      <c r="A3794" s="105">
        <f t="shared" si="59"/>
        <v>8505158</v>
      </c>
      <c r="B3794" s="105" t="s">
        <v>6243</v>
      </c>
      <c r="C3794" s="105" t="s">
        <v>6244</v>
      </c>
      <c r="D3794" s="105">
        <v>265</v>
      </c>
      <c r="E3794" s="105">
        <v>159</v>
      </c>
      <c r="F3794" s="105">
        <v>103</v>
      </c>
    </row>
    <row r="3795" spans="1:6" x14ac:dyDescent="0.25">
      <c r="A3795" s="105">
        <f t="shared" si="59"/>
        <v>8505159</v>
      </c>
      <c r="B3795" s="105" t="s">
        <v>6245</v>
      </c>
      <c r="C3795" s="105" t="s">
        <v>6246</v>
      </c>
      <c r="D3795" s="105">
        <v>265</v>
      </c>
      <c r="E3795" s="105">
        <v>159</v>
      </c>
      <c r="F3795" s="105">
        <v>117</v>
      </c>
    </row>
    <row r="3796" spans="1:6" x14ac:dyDescent="0.25">
      <c r="A3796" s="105">
        <f t="shared" si="59"/>
        <v>8505160</v>
      </c>
      <c r="B3796" s="105" t="s">
        <v>6247</v>
      </c>
      <c r="C3796" s="105" t="s">
        <v>6248</v>
      </c>
      <c r="D3796" s="105">
        <v>265</v>
      </c>
      <c r="E3796" s="105">
        <v>159</v>
      </c>
      <c r="F3796" s="105">
        <v>162</v>
      </c>
    </row>
    <row r="3797" spans="1:6" x14ac:dyDescent="0.25">
      <c r="A3797" s="105">
        <f t="shared" si="59"/>
        <v>8505161</v>
      </c>
      <c r="B3797" s="105" t="s">
        <v>6249</v>
      </c>
      <c r="C3797" s="105" t="s">
        <v>6250</v>
      </c>
      <c r="D3797" s="105">
        <v>424</v>
      </c>
      <c r="E3797" s="105">
        <v>254.4</v>
      </c>
      <c r="F3797" s="105">
        <v>21</v>
      </c>
    </row>
    <row r="3798" spans="1:6" x14ac:dyDescent="0.25">
      <c r="A3798" s="105">
        <f t="shared" si="59"/>
        <v>8505162</v>
      </c>
      <c r="B3798" s="105" t="s">
        <v>6251</v>
      </c>
      <c r="C3798" s="105" t="s">
        <v>6252</v>
      </c>
      <c r="D3798" s="105">
        <v>424</v>
      </c>
      <c r="E3798" s="105">
        <v>254.4</v>
      </c>
      <c r="F3798" s="105">
        <v>18</v>
      </c>
    </row>
    <row r="3799" spans="1:6" x14ac:dyDescent="0.25">
      <c r="A3799" s="105">
        <f t="shared" si="59"/>
        <v>8505163</v>
      </c>
      <c r="B3799" s="105" t="s">
        <v>6253</v>
      </c>
      <c r="C3799" s="105" t="s">
        <v>6254</v>
      </c>
      <c r="D3799" s="105">
        <v>265</v>
      </c>
      <c r="E3799" s="105">
        <v>159</v>
      </c>
      <c r="F3799" s="105">
        <v>0</v>
      </c>
    </row>
    <row r="3800" spans="1:6" x14ac:dyDescent="0.25">
      <c r="A3800" s="105" t="str">
        <f t="shared" si="59"/>
        <v/>
      </c>
      <c r="B3800" s="105" t="s">
        <v>6255</v>
      </c>
      <c r="C3800" s="105" t="s">
        <v>8</v>
      </c>
      <c r="D3800" s="105">
        <v>0</v>
      </c>
      <c r="E3800" s="105">
        <v>0</v>
      </c>
      <c r="F3800" s="105">
        <v>0</v>
      </c>
    </row>
    <row r="3801" spans="1:6" x14ac:dyDescent="0.25">
      <c r="A3801" s="105">
        <f t="shared" si="59"/>
        <v>8505164</v>
      </c>
      <c r="B3801" s="105" t="s">
        <v>6256</v>
      </c>
      <c r="C3801" s="105" t="s">
        <v>6257</v>
      </c>
      <c r="D3801" s="105">
        <v>0</v>
      </c>
      <c r="E3801" s="105">
        <v>0</v>
      </c>
      <c r="F3801" s="105">
        <v>0</v>
      </c>
    </row>
    <row r="3802" spans="1:6" x14ac:dyDescent="0.25">
      <c r="A3802" s="105" t="str">
        <f t="shared" si="59"/>
        <v/>
      </c>
      <c r="B3802" s="105" t="s">
        <v>6258</v>
      </c>
      <c r="C3802" s="105" t="s">
        <v>8</v>
      </c>
      <c r="D3802" s="105">
        <v>0</v>
      </c>
      <c r="E3802" s="105">
        <v>0</v>
      </c>
      <c r="F3802" s="105">
        <v>0</v>
      </c>
    </row>
    <row r="3803" spans="1:6" x14ac:dyDescent="0.25">
      <c r="A3803" s="105">
        <f t="shared" si="59"/>
        <v>8505165</v>
      </c>
      <c r="B3803" s="105" t="s">
        <v>6259</v>
      </c>
      <c r="C3803" s="105" t="s">
        <v>6260</v>
      </c>
      <c r="D3803" s="105">
        <v>0</v>
      </c>
      <c r="E3803" s="105">
        <v>0</v>
      </c>
      <c r="F3803" s="105">
        <v>0</v>
      </c>
    </row>
    <row r="3804" spans="1:6" x14ac:dyDescent="0.25">
      <c r="A3804" s="105" t="str">
        <f t="shared" si="59"/>
        <v/>
      </c>
      <c r="B3804" s="105" t="s">
        <v>6261</v>
      </c>
      <c r="C3804" s="105" t="s">
        <v>8</v>
      </c>
      <c r="D3804" s="105">
        <v>0</v>
      </c>
      <c r="E3804" s="105">
        <v>0</v>
      </c>
      <c r="F3804" s="105">
        <v>0</v>
      </c>
    </row>
    <row r="3805" spans="1:6" x14ac:dyDescent="0.25">
      <c r="A3805" s="105">
        <f t="shared" si="59"/>
        <v>8505166</v>
      </c>
      <c r="B3805" s="105" t="s">
        <v>6262</v>
      </c>
      <c r="C3805" s="105" t="s">
        <v>6263</v>
      </c>
      <c r="D3805" s="105">
        <v>0</v>
      </c>
      <c r="E3805" s="105">
        <v>0</v>
      </c>
      <c r="F3805" s="105">
        <v>0</v>
      </c>
    </row>
    <row r="3806" spans="1:6" x14ac:dyDescent="0.25">
      <c r="A3806" s="105">
        <f t="shared" si="59"/>
        <v>8505167</v>
      </c>
      <c r="B3806" s="105" t="s">
        <v>6264</v>
      </c>
      <c r="C3806" s="105" t="s">
        <v>6265</v>
      </c>
      <c r="D3806" s="105">
        <v>265</v>
      </c>
      <c r="E3806" s="105">
        <v>159</v>
      </c>
      <c r="F3806" s="105">
        <v>8</v>
      </c>
    </row>
    <row r="3807" spans="1:6" x14ac:dyDescent="0.25">
      <c r="A3807" s="105">
        <f t="shared" si="59"/>
        <v>8505168</v>
      </c>
      <c r="B3807" s="105" t="s">
        <v>6266</v>
      </c>
      <c r="C3807" s="105" t="s">
        <v>6267</v>
      </c>
      <c r="D3807" s="105">
        <v>265</v>
      </c>
      <c r="E3807" s="105">
        <v>159</v>
      </c>
      <c r="F3807" s="105">
        <v>10</v>
      </c>
    </row>
    <row r="3808" spans="1:6" x14ac:dyDescent="0.25">
      <c r="A3808" s="105">
        <f t="shared" si="59"/>
        <v>8505169</v>
      </c>
      <c r="B3808" s="105" t="s">
        <v>6268</v>
      </c>
      <c r="C3808" s="105" t="s">
        <v>6269</v>
      </c>
      <c r="D3808" s="105">
        <v>265</v>
      </c>
      <c r="E3808" s="105">
        <v>159</v>
      </c>
      <c r="F3808" s="105">
        <v>7</v>
      </c>
    </row>
    <row r="3809" spans="1:6" x14ac:dyDescent="0.25">
      <c r="A3809" s="105">
        <f t="shared" si="59"/>
        <v>8505170</v>
      </c>
      <c r="B3809" s="105" t="s">
        <v>6270</v>
      </c>
      <c r="C3809" s="105" t="s">
        <v>6271</v>
      </c>
      <c r="D3809" s="105">
        <v>424</v>
      </c>
      <c r="E3809" s="105">
        <v>254.4</v>
      </c>
      <c r="F3809" s="105">
        <v>0</v>
      </c>
    </row>
    <row r="3810" spans="1:6" x14ac:dyDescent="0.25">
      <c r="A3810" s="105">
        <f t="shared" si="59"/>
        <v>8505171</v>
      </c>
      <c r="B3810" s="105" t="s">
        <v>6272</v>
      </c>
      <c r="C3810" s="105" t="s">
        <v>6273</v>
      </c>
      <c r="D3810" s="105">
        <v>424</v>
      </c>
      <c r="E3810" s="105">
        <v>254.4</v>
      </c>
      <c r="F3810" s="105">
        <v>101</v>
      </c>
    </row>
    <row r="3811" spans="1:6" x14ac:dyDescent="0.25">
      <c r="A3811" s="105">
        <f t="shared" si="59"/>
        <v>8505172</v>
      </c>
      <c r="B3811" s="105" t="s">
        <v>6274</v>
      </c>
      <c r="C3811" s="105" t="s">
        <v>6275</v>
      </c>
      <c r="D3811" s="105">
        <v>424</v>
      </c>
      <c r="E3811" s="105">
        <v>254.4</v>
      </c>
      <c r="F3811" s="105">
        <v>10</v>
      </c>
    </row>
    <row r="3812" spans="1:6" x14ac:dyDescent="0.25">
      <c r="A3812" s="105">
        <f t="shared" si="59"/>
        <v>8505173</v>
      </c>
      <c r="B3812" s="105" t="s">
        <v>6276</v>
      </c>
      <c r="C3812" s="105" t="s">
        <v>6277</v>
      </c>
      <c r="D3812" s="105">
        <v>424</v>
      </c>
      <c r="E3812" s="105">
        <v>254.4</v>
      </c>
      <c r="F3812" s="105">
        <v>14</v>
      </c>
    </row>
    <row r="3813" spans="1:6" x14ac:dyDescent="0.25">
      <c r="A3813" s="105">
        <f t="shared" si="59"/>
        <v>8505175</v>
      </c>
      <c r="B3813" s="105" t="s">
        <v>6278</v>
      </c>
      <c r="C3813" s="105" t="s">
        <v>6279</v>
      </c>
      <c r="D3813" s="105">
        <v>265</v>
      </c>
      <c r="E3813" s="105">
        <v>159</v>
      </c>
      <c r="F3813" s="105">
        <v>6</v>
      </c>
    </row>
    <row r="3814" spans="1:6" x14ac:dyDescent="0.25">
      <c r="A3814" s="105">
        <f t="shared" si="59"/>
        <v>8505176</v>
      </c>
      <c r="B3814" s="105" t="s">
        <v>6280</v>
      </c>
      <c r="C3814" s="105" t="s">
        <v>6281</v>
      </c>
      <c r="D3814" s="105">
        <v>265</v>
      </c>
      <c r="E3814" s="105">
        <v>159</v>
      </c>
      <c r="F3814" s="105">
        <v>8</v>
      </c>
    </row>
    <row r="3815" spans="1:6" x14ac:dyDescent="0.25">
      <c r="A3815" s="105">
        <f t="shared" si="59"/>
        <v>8505177</v>
      </c>
      <c r="B3815" s="105" t="s">
        <v>6282</v>
      </c>
      <c r="C3815" s="105" t="s">
        <v>6283</v>
      </c>
      <c r="D3815" s="105">
        <v>265</v>
      </c>
      <c r="E3815" s="105">
        <v>159</v>
      </c>
      <c r="F3815" s="105">
        <v>2</v>
      </c>
    </row>
    <row r="3816" spans="1:6" x14ac:dyDescent="0.25">
      <c r="A3816" s="105">
        <f t="shared" si="59"/>
        <v>8505178</v>
      </c>
      <c r="B3816" s="105" t="s">
        <v>6284</v>
      </c>
      <c r="C3816" s="105" t="s">
        <v>6285</v>
      </c>
      <c r="D3816" s="105">
        <v>0</v>
      </c>
      <c r="E3816" s="105">
        <v>0</v>
      </c>
      <c r="F3816" s="105">
        <v>4</v>
      </c>
    </row>
    <row r="3817" spans="1:6" x14ac:dyDescent="0.25">
      <c r="A3817" s="105">
        <f t="shared" si="59"/>
        <v>8505196</v>
      </c>
      <c r="B3817" s="105" t="s">
        <v>6286</v>
      </c>
      <c r="C3817" s="105" t="s">
        <v>6287</v>
      </c>
      <c r="D3817" s="105">
        <v>265</v>
      </c>
      <c r="E3817" s="105">
        <v>159</v>
      </c>
      <c r="F3817" s="105">
        <v>77</v>
      </c>
    </row>
    <row r="3818" spans="1:6" x14ac:dyDescent="0.25">
      <c r="A3818" s="105">
        <f t="shared" si="59"/>
        <v>850520</v>
      </c>
      <c r="B3818" s="105" t="s">
        <v>6288</v>
      </c>
      <c r="C3818" s="105" t="s">
        <v>8</v>
      </c>
      <c r="D3818" s="105">
        <v>0</v>
      </c>
      <c r="E3818" s="105">
        <v>0</v>
      </c>
      <c r="F3818" s="105">
        <v>0</v>
      </c>
    </row>
    <row r="3819" spans="1:6" x14ac:dyDescent="0.25">
      <c r="A3819" s="105" t="str">
        <f t="shared" si="59"/>
        <v/>
      </c>
      <c r="B3819" s="105" t="s">
        <v>6289</v>
      </c>
      <c r="C3819" s="105" t="s">
        <v>8</v>
      </c>
      <c r="D3819" s="105">
        <v>0</v>
      </c>
      <c r="E3819" s="105">
        <v>0</v>
      </c>
      <c r="F3819" s="105">
        <v>0</v>
      </c>
    </row>
    <row r="3820" spans="1:6" x14ac:dyDescent="0.25">
      <c r="A3820" s="105">
        <f t="shared" si="59"/>
        <v>8505200</v>
      </c>
      <c r="B3820" s="105" t="s">
        <v>6290</v>
      </c>
      <c r="C3820" s="105" t="s">
        <v>6291</v>
      </c>
      <c r="D3820" s="105">
        <v>0</v>
      </c>
      <c r="E3820" s="105">
        <v>0</v>
      </c>
      <c r="F3820" s="105">
        <v>0</v>
      </c>
    </row>
    <row r="3821" spans="1:6" x14ac:dyDescent="0.25">
      <c r="A3821" s="105">
        <f t="shared" si="59"/>
        <v>8505201</v>
      </c>
      <c r="B3821" s="105" t="s">
        <v>6292</v>
      </c>
      <c r="C3821" s="105" t="s">
        <v>6293</v>
      </c>
      <c r="D3821" s="105">
        <v>265</v>
      </c>
      <c r="E3821" s="105">
        <v>159</v>
      </c>
      <c r="F3821" s="105">
        <v>0</v>
      </c>
    </row>
    <row r="3822" spans="1:6" x14ac:dyDescent="0.25">
      <c r="A3822" s="105">
        <f t="shared" si="59"/>
        <v>8505202</v>
      </c>
      <c r="B3822" s="105" t="s">
        <v>6294</v>
      </c>
      <c r="C3822" s="105" t="s">
        <v>6295</v>
      </c>
      <c r="D3822" s="105">
        <v>265</v>
      </c>
      <c r="E3822" s="105">
        <v>159</v>
      </c>
      <c r="F3822" s="105">
        <v>0</v>
      </c>
    </row>
    <row r="3823" spans="1:6" x14ac:dyDescent="0.25">
      <c r="A3823" s="105" t="str">
        <f t="shared" si="59"/>
        <v/>
      </c>
      <c r="B3823" s="105" t="s">
        <v>6296</v>
      </c>
      <c r="C3823" s="105" t="s">
        <v>8</v>
      </c>
      <c r="D3823" s="105">
        <v>0</v>
      </c>
      <c r="E3823" s="105">
        <v>0</v>
      </c>
      <c r="F3823" s="105">
        <v>0</v>
      </c>
    </row>
    <row r="3824" spans="1:6" x14ac:dyDescent="0.25">
      <c r="A3824" s="105">
        <f t="shared" si="59"/>
        <v>8505203</v>
      </c>
      <c r="B3824" s="105" t="s">
        <v>6297</v>
      </c>
      <c r="C3824" s="105" t="s">
        <v>6298</v>
      </c>
      <c r="D3824" s="105">
        <v>0</v>
      </c>
      <c r="E3824" s="105">
        <v>0</v>
      </c>
      <c r="F3824" s="105">
        <v>0</v>
      </c>
    </row>
    <row r="3825" spans="1:6" x14ac:dyDescent="0.25">
      <c r="A3825" s="105" t="str">
        <f t="shared" si="59"/>
        <v/>
      </c>
      <c r="B3825" s="105" t="s">
        <v>6299</v>
      </c>
      <c r="C3825" s="105" t="s">
        <v>8</v>
      </c>
      <c r="D3825" s="105">
        <v>0</v>
      </c>
      <c r="E3825" s="105">
        <v>0</v>
      </c>
      <c r="F3825" s="105">
        <v>0</v>
      </c>
    </row>
    <row r="3826" spans="1:6" x14ac:dyDescent="0.25">
      <c r="A3826" s="105">
        <f t="shared" si="59"/>
        <v>8505204</v>
      </c>
      <c r="B3826" s="105" t="s">
        <v>6300</v>
      </c>
      <c r="C3826" s="105" t="s">
        <v>6301</v>
      </c>
      <c r="D3826" s="105">
        <v>0</v>
      </c>
      <c r="E3826" s="105">
        <v>0</v>
      </c>
      <c r="F3826" s="105">
        <v>0</v>
      </c>
    </row>
    <row r="3827" spans="1:6" x14ac:dyDescent="0.25">
      <c r="A3827" s="105">
        <f t="shared" si="59"/>
        <v>8505205</v>
      </c>
      <c r="B3827" s="105" t="s">
        <v>6302</v>
      </c>
      <c r="C3827" s="105" t="s">
        <v>6303</v>
      </c>
      <c r="D3827" s="105">
        <v>265</v>
      </c>
      <c r="E3827" s="105">
        <v>159</v>
      </c>
      <c r="F3827" s="105">
        <v>15</v>
      </c>
    </row>
    <row r="3828" spans="1:6" x14ac:dyDescent="0.25">
      <c r="A3828" s="105" t="str">
        <f t="shared" si="59"/>
        <v/>
      </c>
      <c r="B3828" s="105" t="s">
        <v>6304</v>
      </c>
      <c r="C3828" s="105" t="s">
        <v>8</v>
      </c>
      <c r="D3828" s="105">
        <v>0</v>
      </c>
      <c r="E3828" s="105">
        <v>0</v>
      </c>
      <c r="F3828" s="105">
        <v>0</v>
      </c>
    </row>
    <row r="3829" spans="1:6" x14ac:dyDescent="0.25">
      <c r="A3829" s="105">
        <f t="shared" si="59"/>
        <v>8505206</v>
      </c>
      <c r="B3829" s="105" t="s">
        <v>6305</v>
      </c>
      <c r="C3829" s="105" t="s">
        <v>6306</v>
      </c>
      <c r="D3829" s="105">
        <v>265</v>
      </c>
      <c r="E3829" s="105">
        <v>159</v>
      </c>
      <c r="F3829" s="105">
        <v>30</v>
      </c>
    </row>
    <row r="3830" spans="1:6" x14ac:dyDescent="0.25">
      <c r="A3830" s="105">
        <f t="shared" si="59"/>
        <v>8505207</v>
      </c>
      <c r="B3830" s="105" t="s">
        <v>6307</v>
      </c>
      <c r="C3830" s="105" t="s">
        <v>6308</v>
      </c>
      <c r="D3830" s="105">
        <v>265</v>
      </c>
      <c r="E3830" s="105">
        <v>159</v>
      </c>
      <c r="F3830" s="105">
        <v>30</v>
      </c>
    </row>
    <row r="3831" spans="1:6" x14ac:dyDescent="0.25">
      <c r="A3831" s="105" t="str">
        <f t="shared" si="59"/>
        <v/>
      </c>
      <c r="B3831" s="105" t="s">
        <v>6309</v>
      </c>
      <c r="C3831" s="105" t="s">
        <v>8</v>
      </c>
      <c r="D3831" s="105">
        <v>0</v>
      </c>
      <c r="E3831" s="105">
        <v>0</v>
      </c>
      <c r="F3831" s="105">
        <v>0</v>
      </c>
    </row>
    <row r="3832" spans="1:6" x14ac:dyDescent="0.25">
      <c r="A3832" s="105">
        <f t="shared" si="59"/>
        <v>8505208</v>
      </c>
      <c r="B3832" s="105" t="s">
        <v>6310</v>
      </c>
      <c r="C3832" s="105" t="s">
        <v>6311</v>
      </c>
      <c r="D3832" s="105">
        <v>0</v>
      </c>
      <c r="E3832" s="105">
        <v>0</v>
      </c>
      <c r="F3832" s="105">
        <v>0</v>
      </c>
    </row>
    <row r="3833" spans="1:6" x14ac:dyDescent="0.25">
      <c r="A3833" s="105">
        <f t="shared" si="59"/>
        <v>8505209</v>
      </c>
      <c r="B3833" s="105" t="s">
        <v>6312</v>
      </c>
      <c r="C3833" s="105" t="s">
        <v>6313</v>
      </c>
      <c r="D3833" s="105">
        <v>265</v>
      </c>
      <c r="E3833" s="105">
        <v>159</v>
      </c>
      <c r="F3833" s="105">
        <v>6</v>
      </c>
    </row>
    <row r="3834" spans="1:6" x14ac:dyDescent="0.25">
      <c r="A3834" s="105">
        <f t="shared" si="59"/>
        <v>8505210</v>
      </c>
      <c r="B3834" s="105" t="s">
        <v>6314</v>
      </c>
      <c r="C3834" s="105" t="s">
        <v>6315</v>
      </c>
      <c r="D3834" s="105">
        <v>265</v>
      </c>
      <c r="E3834" s="105">
        <v>159</v>
      </c>
      <c r="F3834" s="105">
        <v>0</v>
      </c>
    </row>
    <row r="3835" spans="1:6" x14ac:dyDescent="0.25">
      <c r="A3835" s="105" t="str">
        <f t="shared" si="59"/>
        <v/>
      </c>
      <c r="B3835" s="105" t="s">
        <v>6316</v>
      </c>
      <c r="C3835" s="105" t="s">
        <v>8</v>
      </c>
      <c r="D3835" s="105">
        <v>0</v>
      </c>
      <c r="E3835" s="105">
        <v>0</v>
      </c>
      <c r="F3835" s="105">
        <v>0</v>
      </c>
    </row>
    <row r="3836" spans="1:6" x14ac:dyDescent="0.25">
      <c r="A3836" s="105">
        <f t="shared" si="59"/>
        <v>8505211</v>
      </c>
      <c r="B3836" s="105" t="s">
        <v>6318</v>
      </c>
      <c r="C3836" s="105" t="s">
        <v>6319</v>
      </c>
      <c r="D3836" s="105">
        <v>0</v>
      </c>
      <c r="E3836" s="105">
        <v>0</v>
      </c>
      <c r="F3836" s="105">
        <v>0</v>
      </c>
    </row>
    <row r="3837" spans="1:6" x14ac:dyDescent="0.25">
      <c r="A3837" s="105">
        <f t="shared" si="59"/>
        <v>8505215</v>
      </c>
      <c r="B3837" s="105" t="s">
        <v>6320</v>
      </c>
      <c r="C3837" s="105" t="s">
        <v>6321</v>
      </c>
      <c r="D3837" s="105">
        <v>265</v>
      </c>
      <c r="E3837" s="105">
        <v>159</v>
      </c>
      <c r="F3837" s="105">
        <v>0</v>
      </c>
    </row>
    <row r="3838" spans="1:6" x14ac:dyDescent="0.25">
      <c r="A3838" s="105" t="str">
        <f t="shared" si="59"/>
        <v/>
      </c>
      <c r="B3838" s="105" t="s">
        <v>6322</v>
      </c>
      <c r="C3838" s="105" t="s">
        <v>8</v>
      </c>
      <c r="D3838" s="105">
        <v>0</v>
      </c>
      <c r="E3838" s="105">
        <v>0</v>
      </c>
      <c r="F3838" s="105">
        <v>0</v>
      </c>
    </row>
    <row r="3839" spans="1:6" x14ac:dyDescent="0.25">
      <c r="A3839" s="105">
        <f t="shared" si="59"/>
        <v>8505216</v>
      </c>
      <c r="B3839" s="105" t="s">
        <v>6323</v>
      </c>
      <c r="C3839" s="105" t="s">
        <v>6324</v>
      </c>
      <c r="D3839" s="105">
        <v>0</v>
      </c>
      <c r="E3839" s="105">
        <v>0</v>
      </c>
      <c r="F3839" s="105">
        <v>0</v>
      </c>
    </row>
    <row r="3840" spans="1:6" x14ac:dyDescent="0.25">
      <c r="A3840" s="105" t="str">
        <f t="shared" si="59"/>
        <v/>
      </c>
      <c r="B3840" s="105" t="s">
        <v>6325</v>
      </c>
      <c r="C3840" s="105" t="s">
        <v>8</v>
      </c>
      <c r="D3840" s="105">
        <v>0</v>
      </c>
      <c r="E3840" s="105">
        <v>0</v>
      </c>
      <c r="F3840" s="105">
        <v>0</v>
      </c>
    </row>
    <row r="3841" spans="1:6" x14ac:dyDescent="0.25">
      <c r="A3841" s="105">
        <f t="shared" si="59"/>
        <v>8505217</v>
      </c>
      <c r="B3841" s="105" t="s">
        <v>6326</v>
      </c>
      <c r="C3841" s="105" t="s">
        <v>6327</v>
      </c>
      <c r="D3841" s="105">
        <v>0</v>
      </c>
      <c r="E3841" s="105">
        <v>0</v>
      </c>
      <c r="F3841" s="105">
        <v>0</v>
      </c>
    </row>
    <row r="3842" spans="1:6" x14ac:dyDescent="0.25">
      <c r="A3842" s="105" t="str">
        <f t="shared" si="59"/>
        <v/>
      </c>
      <c r="B3842" s="105" t="s">
        <v>6328</v>
      </c>
      <c r="C3842" s="105" t="s">
        <v>8</v>
      </c>
      <c r="D3842" s="105">
        <v>0</v>
      </c>
      <c r="E3842" s="105">
        <v>0</v>
      </c>
      <c r="F3842" s="105">
        <v>0</v>
      </c>
    </row>
    <row r="3843" spans="1:6" x14ac:dyDescent="0.25">
      <c r="A3843" s="105">
        <f t="shared" ref="A3843:A3906" si="60">IF(B3843&lt;&gt;"",IFERROR(B3843*1,""),"")</f>
        <v>8505218</v>
      </c>
      <c r="B3843" s="105" t="s">
        <v>6329</v>
      </c>
      <c r="C3843" s="105" t="s">
        <v>6330</v>
      </c>
      <c r="D3843" s="105">
        <v>0</v>
      </c>
      <c r="E3843" s="105">
        <v>0</v>
      </c>
      <c r="F3843" s="105">
        <v>0</v>
      </c>
    </row>
    <row r="3844" spans="1:6" x14ac:dyDescent="0.25">
      <c r="A3844" s="105" t="str">
        <f t="shared" si="60"/>
        <v/>
      </c>
      <c r="B3844" s="105" t="s">
        <v>6331</v>
      </c>
      <c r="C3844" s="105" t="s">
        <v>8</v>
      </c>
      <c r="D3844" s="105">
        <v>0</v>
      </c>
      <c r="E3844" s="105">
        <v>0</v>
      </c>
      <c r="F3844" s="105">
        <v>0</v>
      </c>
    </row>
    <row r="3845" spans="1:6" x14ac:dyDescent="0.25">
      <c r="A3845" s="105">
        <f t="shared" si="60"/>
        <v>8505219</v>
      </c>
      <c r="B3845" s="105" t="s">
        <v>6332</v>
      </c>
      <c r="C3845" s="105" t="s">
        <v>6333</v>
      </c>
      <c r="D3845" s="105">
        <v>0</v>
      </c>
      <c r="E3845" s="105">
        <v>0</v>
      </c>
      <c r="F3845" s="105">
        <v>0</v>
      </c>
    </row>
    <row r="3846" spans="1:6" x14ac:dyDescent="0.25">
      <c r="A3846" s="105">
        <f t="shared" si="60"/>
        <v>8505220</v>
      </c>
      <c r="B3846" s="105" t="s">
        <v>6334</v>
      </c>
      <c r="C3846" s="105" t="s">
        <v>6335</v>
      </c>
      <c r="D3846" s="105">
        <v>265</v>
      </c>
      <c r="E3846" s="105">
        <v>159</v>
      </c>
      <c r="F3846" s="105">
        <v>231</v>
      </c>
    </row>
    <row r="3847" spans="1:6" x14ac:dyDescent="0.25">
      <c r="A3847" s="105">
        <f t="shared" si="60"/>
        <v>850522001</v>
      </c>
      <c r="B3847" s="105" t="s">
        <v>6336</v>
      </c>
      <c r="C3847" s="105" t="s">
        <v>6337</v>
      </c>
      <c r="D3847" s="105">
        <v>0</v>
      </c>
      <c r="E3847" s="105">
        <v>0</v>
      </c>
      <c r="F3847" s="105">
        <v>0</v>
      </c>
    </row>
    <row r="3848" spans="1:6" x14ac:dyDescent="0.25">
      <c r="A3848" s="105">
        <f t="shared" si="60"/>
        <v>850522002</v>
      </c>
      <c r="B3848" s="105" t="s">
        <v>6338</v>
      </c>
      <c r="C3848" s="105" t="s">
        <v>6339</v>
      </c>
      <c r="D3848" s="105">
        <v>0</v>
      </c>
      <c r="E3848" s="105">
        <v>0</v>
      </c>
      <c r="F3848" s="105">
        <v>0</v>
      </c>
    </row>
    <row r="3849" spans="1:6" x14ac:dyDescent="0.25">
      <c r="A3849" s="105">
        <f t="shared" si="60"/>
        <v>850522003</v>
      </c>
      <c r="B3849" s="105" t="s">
        <v>6340</v>
      </c>
      <c r="C3849" s="105" t="s">
        <v>6341</v>
      </c>
      <c r="D3849" s="105">
        <v>0</v>
      </c>
      <c r="E3849" s="105">
        <v>0</v>
      </c>
      <c r="F3849" s="105">
        <v>0</v>
      </c>
    </row>
    <row r="3850" spans="1:6" x14ac:dyDescent="0.25">
      <c r="A3850" s="105">
        <f t="shared" si="60"/>
        <v>850522004</v>
      </c>
      <c r="B3850" s="105" t="s">
        <v>6342</v>
      </c>
      <c r="C3850" s="105" t="s">
        <v>6343</v>
      </c>
      <c r="D3850" s="105">
        <v>0</v>
      </c>
      <c r="E3850" s="105">
        <v>0</v>
      </c>
      <c r="F3850" s="105">
        <v>0</v>
      </c>
    </row>
    <row r="3851" spans="1:6" x14ac:dyDescent="0.25">
      <c r="A3851" s="105">
        <f t="shared" si="60"/>
        <v>850522005</v>
      </c>
      <c r="B3851" s="105" t="s">
        <v>6344</v>
      </c>
      <c r="C3851" s="105" t="s">
        <v>6345</v>
      </c>
      <c r="D3851" s="105">
        <v>0</v>
      </c>
      <c r="E3851" s="105">
        <v>0</v>
      </c>
      <c r="F3851" s="105">
        <v>0</v>
      </c>
    </row>
    <row r="3852" spans="1:6" x14ac:dyDescent="0.25">
      <c r="A3852" s="105">
        <f t="shared" si="60"/>
        <v>850522006</v>
      </c>
      <c r="B3852" s="105" t="s">
        <v>6346</v>
      </c>
      <c r="C3852" s="105" t="s">
        <v>6347</v>
      </c>
      <c r="D3852" s="105">
        <v>0</v>
      </c>
      <c r="E3852" s="105">
        <v>0</v>
      </c>
      <c r="F3852" s="105">
        <v>0</v>
      </c>
    </row>
    <row r="3853" spans="1:6" x14ac:dyDescent="0.25">
      <c r="A3853" s="105">
        <f t="shared" si="60"/>
        <v>8505221</v>
      </c>
      <c r="B3853" s="105" t="s">
        <v>6348</v>
      </c>
      <c r="C3853" s="105" t="s">
        <v>6349</v>
      </c>
      <c r="D3853" s="105">
        <v>265</v>
      </c>
      <c r="E3853" s="105">
        <v>159</v>
      </c>
      <c r="F3853" s="105">
        <v>105</v>
      </c>
    </row>
    <row r="3854" spans="1:6" x14ac:dyDescent="0.25">
      <c r="A3854" s="105" t="str">
        <f t="shared" si="60"/>
        <v/>
      </c>
      <c r="B3854" s="105" t="s">
        <v>6350</v>
      </c>
      <c r="C3854" s="105" t="s">
        <v>8</v>
      </c>
      <c r="D3854" s="105">
        <v>0</v>
      </c>
      <c r="E3854" s="105">
        <v>0</v>
      </c>
      <c r="F3854" s="105">
        <v>0</v>
      </c>
    </row>
    <row r="3855" spans="1:6" x14ac:dyDescent="0.25">
      <c r="A3855" s="105">
        <f t="shared" si="60"/>
        <v>8505222</v>
      </c>
      <c r="B3855" s="105" t="s">
        <v>6351</v>
      </c>
      <c r="C3855" s="105" t="s">
        <v>6352</v>
      </c>
      <c r="D3855" s="105">
        <v>0</v>
      </c>
      <c r="E3855" s="105">
        <v>0</v>
      </c>
      <c r="F3855" s="105">
        <v>0</v>
      </c>
    </row>
    <row r="3856" spans="1:6" x14ac:dyDescent="0.25">
      <c r="A3856" s="105">
        <f t="shared" si="60"/>
        <v>8505223</v>
      </c>
      <c r="B3856" s="105" t="s">
        <v>6353</v>
      </c>
      <c r="C3856" s="105" t="s">
        <v>6354</v>
      </c>
      <c r="D3856" s="105">
        <v>265</v>
      </c>
      <c r="E3856" s="105">
        <v>159</v>
      </c>
      <c r="F3856" s="105">
        <v>70</v>
      </c>
    </row>
    <row r="3857" spans="1:6" x14ac:dyDescent="0.25">
      <c r="A3857" s="105">
        <f t="shared" si="60"/>
        <v>8505224</v>
      </c>
      <c r="B3857" s="105" t="s">
        <v>6355</v>
      </c>
      <c r="C3857" s="105" t="s">
        <v>6356</v>
      </c>
      <c r="D3857" s="105">
        <v>265</v>
      </c>
      <c r="E3857" s="105">
        <v>159</v>
      </c>
      <c r="F3857" s="105">
        <v>40</v>
      </c>
    </row>
    <row r="3858" spans="1:6" x14ac:dyDescent="0.25">
      <c r="A3858" s="105" t="str">
        <f t="shared" si="60"/>
        <v/>
      </c>
      <c r="B3858" s="105" t="s">
        <v>6357</v>
      </c>
      <c r="C3858" s="105" t="s">
        <v>8</v>
      </c>
      <c r="D3858" s="105">
        <v>0</v>
      </c>
      <c r="E3858" s="105">
        <v>0</v>
      </c>
      <c r="F3858" s="105">
        <v>0</v>
      </c>
    </row>
    <row r="3859" spans="1:6" x14ac:dyDescent="0.25">
      <c r="A3859" s="105">
        <f t="shared" si="60"/>
        <v>8505225</v>
      </c>
      <c r="B3859" s="105" t="s">
        <v>6358</v>
      </c>
      <c r="C3859" s="105" t="s">
        <v>6359</v>
      </c>
      <c r="D3859" s="105">
        <v>0</v>
      </c>
      <c r="E3859" s="105">
        <v>0</v>
      </c>
      <c r="F3859" s="105">
        <v>0</v>
      </c>
    </row>
    <row r="3860" spans="1:6" x14ac:dyDescent="0.25">
      <c r="A3860" s="105">
        <f t="shared" si="60"/>
        <v>8505233</v>
      </c>
      <c r="B3860" s="105" t="s">
        <v>6360</v>
      </c>
      <c r="C3860" s="105" t="s">
        <v>6361</v>
      </c>
      <c r="D3860" s="105">
        <v>265</v>
      </c>
      <c r="E3860" s="105">
        <v>159</v>
      </c>
      <c r="F3860" s="105">
        <v>11</v>
      </c>
    </row>
    <row r="3861" spans="1:6" x14ac:dyDescent="0.25">
      <c r="A3861" s="105">
        <f t="shared" si="60"/>
        <v>8505243</v>
      </c>
      <c r="B3861" s="105" t="s">
        <v>6362</v>
      </c>
      <c r="C3861" s="105" t="s">
        <v>6363</v>
      </c>
      <c r="D3861" s="105">
        <v>445.2</v>
      </c>
      <c r="E3861" s="105">
        <v>267.12</v>
      </c>
      <c r="F3861" s="105">
        <v>211</v>
      </c>
    </row>
    <row r="3862" spans="1:6" x14ac:dyDescent="0.25">
      <c r="A3862" s="105">
        <f t="shared" si="60"/>
        <v>8505250</v>
      </c>
      <c r="B3862" s="105" t="s">
        <v>6364</v>
      </c>
      <c r="C3862" s="105" t="s">
        <v>6365</v>
      </c>
      <c r="D3862" s="105">
        <v>265</v>
      </c>
      <c r="E3862" s="105">
        <v>159</v>
      </c>
      <c r="F3862" s="105">
        <v>0</v>
      </c>
    </row>
    <row r="3863" spans="1:6" x14ac:dyDescent="0.25">
      <c r="A3863" s="105">
        <f t="shared" si="60"/>
        <v>8505262</v>
      </c>
      <c r="B3863" s="105" t="s">
        <v>6366</v>
      </c>
      <c r="C3863" s="105" t="s">
        <v>6367</v>
      </c>
      <c r="D3863" s="105">
        <v>265</v>
      </c>
      <c r="E3863" s="105">
        <v>159</v>
      </c>
      <c r="F3863" s="105">
        <v>126</v>
      </c>
    </row>
    <row r="3864" spans="1:6" x14ac:dyDescent="0.25">
      <c r="A3864" s="105" t="str">
        <f t="shared" si="60"/>
        <v/>
      </c>
      <c r="B3864" s="105" t="s">
        <v>6368</v>
      </c>
      <c r="C3864" s="105" t="s">
        <v>8</v>
      </c>
      <c r="D3864" s="105">
        <v>0</v>
      </c>
      <c r="E3864" s="105">
        <v>0</v>
      </c>
      <c r="F3864" s="105">
        <v>0</v>
      </c>
    </row>
    <row r="3865" spans="1:6" x14ac:dyDescent="0.25">
      <c r="A3865" s="105">
        <f t="shared" si="60"/>
        <v>8505263</v>
      </c>
      <c r="B3865" s="105" t="s">
        <v>6369</v>
      </c>
      <c r="C3865" s="105" t="s">
        <v>6370</v>
      </c>
      <c r="D3865" s="105">
        <v>0</v>
      </c>
      <c r="E3865" s="105">
        <v>0</v>
      </c>
      <c r="F3865" s="105">
        <v>0</v>
      </c>
    </row>
    <row r="3866" spans="1:6" x14ac:dyDescent="0.25">
      <c r="A3866" s="105" t="str">
        <f t="shared" si="60"/>
        <v/>
      </c>
      <c r="B3866" s="105" t="s">
        <v>6371</v>
      </c>
      <c r="C3866" s="105" t="s">
        <v>8</v>
      </c>
      <c r="D3866" s="105">
        <v>0</v>
      </c>
      <c r="E3866" s="105">
        <v>0</v>
      </c>
      <c r="F3866" s="105">
        <v>0</v>
      </c>
    </row>
    <row r="3867" spans="1:6" x14ac:dyDescent="0.25">
      <c r="A3867" s="105">
        <f t="shared" si="60"/>
        <v>8505264</v>
      </c>
      <c r="B3867" s="105" t="s">
        <v>6372</v>
      </c>
      <c r="C3867" s="105" t="s">
        <v>6373</v>
      </c>
      <c r="D3867" s="105">
        <v>0</v>
      </c>
      <c r="E3867" s="105">
        <v>0</v>
      </c>
      <c r="F3867" s="105">
        <v>0</v>
      </c>
    </row>
    <row r="3868" spans="1:6" x14ac:dyDescent="0.25">
      <c r="A3868" s="105" t="str">
        <f t="shared" si="60"/>
        <v/>
      </c>
      <c r="B3868" s="105" t="s">
        <v>6374</v>
      </c>
      <c r="C3868" s="105" t="s">
        <v>8</v>
      </c>
      <c r="D3868" s="105">
        <v>0</v>
      </c>
      <c r="E3868" s="105">
        <v>0</v>
      </c>
      <c r="F3868" s="105">
        <v>0</v>
      </c>
    </row>
    <row r="3869" spans="1:6" x14ac:dyDescent="0.25">
      <c r="A3869" s="105">
        <f t="shared" si="60"/>
        <v>8505290</v>
      </c>
      <c r="B3869" s="105" t="s">
        <v>6375</v>
      </c>
      <c r="C3869" s="105" t="s">
        <v>6376</v>
      </c>
      <c r="D3869" s="105">
        <v>0</v>
      </c>
      <c r="E3869" s="105">
        <v>0</v>
      </c>
      <c r="F3869" s="105">
        <v>0</v>
      </c>
    </row>
    <row r="3870" spans="1:6" x14ac:dyDescent="0.25">
      <c r="A3870" s="105" t="str">
        <f t="shared" si="60"/>
        <v/>
      </c>
      <c r="B3870" s="105" t="s">
        <v>6377</v>
      </c>
      <c r="C3870" s="105" t="s">
        <v>8</v>
      </c>
      <c r="D3870" s="105">
        <v>0</v>
      </c>
      <c r="E3870" s="105">
        <v>0</v>
      </c>
      <c r="F3870" s="105">
        <v>0</v>
      </c>
    </row>
    <row r="3871" spans="1:6" x14ac:dyDescent="0.25">
      <c r="A3871" s="105">
        <f t="shared" si="60"/>
        <v>8505291</v>
      </c>
      <c r="B3871" s="105" t="s">
        <v>6378</v>
      </c>
      <c r="C3871" s="105" t="s">
        <v>6379</v>
      </c>
      <c r="D3871" s="105">
        <v>0</v>
      </c>
      <c r="E3871" s="105">
        <v>0</v>
      </c>
      <c r="F3871" s="105">
        <v>0</v>
      </c>
    </row>
    <row r="3872" spans="1:6" x14ac:dyDescent="0.25">
      <c r="A3872" s="105">
        <f t="shared" si="60"/>
        <v>8505320</v>
      </c>
      <c r="B3872" s="105" t="s">
        <v>6380</v>
      </c>
      <c r="C3872" s="105" t="s">
        <v>6381</v>
      </c>
      <c r="D3872" s="105">
        <v>265</v>
      </c>
      <c r="E3872" s="105">
        <v>159</v>
      </c>
      <c r="F3872" s="105">
        <v>0</v>
      </c>
    </row>
    <row r="3873" spans="1:6" x14ac:dyDescent="0.25">
      <c r="A3873" s="105" t="str">
        <f t="shared" si="60"/>
        <v/>
      </c>
      <c r="B3873" s="105" t="s">
        <v>6382</v>
      </c>
      <c r="C3873" s="105" t="s">
        <v>8</v>
      </c>
      <c r="D3873" s="105">
        <v>0</v>
      </c>
      <c r="E3873" s="105">
        <v>0</v>
      </c>
      <c r="F3873" s="105">
        <v>0</v>
      </c>
    </row>
    <row r="3874" spans="1:6" x14ac:dyDescent="0.25">
      <c r="A3874" s="105">
        <f t="shared" si="60"/>
        <v>8505322</v>
      </c>
      <c r="B3874" s="105" t="s">
        <v>6383</v>
      </c>
      <c r="C3874" s="105" t="s">
        <v>6384</v>
      </c>
      <c r="D3874" s="105">
        <v>0</v>
      </c>
      <c r="E3874" s="105">
        <v>0</v>
      </c>
      <c r="F3874" s="105">
        <v>0</v>
      </c>
    </row>
    <row r="3875" spans="1:6" x14ac:dyDescent="0.25">
      <c r="A3875" s="105">
        <f t="shared" si="60"/>
        <v>8505324</v>
      </c>
      <c r="B3875" s="105" t="s">
        <v>6385</v>
      </c>
      <c r="C3875" s="105" t="s">
        <v>6386</v>
      </c>
      <c r="D3875" s="105">
        <v>265</v>
      </c>
      <c r="E3875" s="105">
        <v>159</v>
      </c>
      <c r="F3875" s="105">
        <v>1</v>
      </c>
    </row>
    <row r="3876" spans="1:6" x14ac:dyDescent="0.25">
      <c r="A3876" s="105">
        <f t="shared" si="60"/>
        <v>8505329</v>
      </c>
      <c r="B3876" s="105" t="s">
        <v>6387</v>
      </c>
      <c r="C3876" s="105" t="s">
        <v>6388</v>
      </c>
      <c r="D3876" s="105">
        <v>265</v>
      </c>
      <c r="E3876" s="105">
        <v>159</v>
      </c>
      <c r="F3876" s="105">
        <v>148</v>
      </c>
    </row>
    <row r="3877" spans="1:6" x14ac:dyDescent="0.25">
      <c r="A3877" s="105">
        <f t="shared" si="60"/>
        <v>8505330</v>
      </c>
      <c r="B3877" s="105" t="s">
        <v>6389</v>
      </c>
      <c r="C3877" s="105" t="s">
        <v>6390</v>
      </c>
      <c r="D3877" s="105">
        <v>265</v>
      </c>
      <c r="E3877" s="105">
        <v>159</v>
      </c>
      <c r="F3877" s="105">
        <v>-6</v>
      </c>
    </row>
    <row r="3878" spans="1:6" x14ac:dyDescent="0.25">
      <c r="A3878" s="105">
        <f t="shared" si="60"/>
        <v>8505331</v>
      </c>
      <c r="B3878" s="105" t="s">
        <v>6391</v>
      </c>
      <c r="C3878" s="105" t="s">
        <v>6392</v>
      </c>
      <c r="D3878" s="105">
        <v>265</v>
      </c>
      <c r="E3878" s="105">
        <v>159</v>
      </c>
      <c r="F3878" s="105">
        <v>17</v>
      </c>
    </row>
    <row r="3879" spans="1:6" x14ac:dyDescent="0.25">
      <c r="A3879" s="105">
        <f t="shared" si="60"/>
        <v>8505367</v>
      </c>
      <c r="B3879" s="105" t="s">
        <v>6393</v>
      </c>
      <c r="C3879" s="105" t="s">
        <v>6394</v>
      </c>
      <c r="D3879" s="105">
        <v>477</v>
      </c>
      <c r="E3879" s="105">
        <v>286.2</v>
      </c>
      <c r="F3879" s="105">
        <v>1</v>
      </c>
    </row>
    <row r="3880" spans="1:6" x14ac:dyDescent="0.25">
      <c r="A3880" s="105" t="str">
        <f t="shared" si="60"/>
        <v/>
      </c>
      <c r="B3880" s="105" t="s">
        <v>6395</v>
      </c>
      <c r="C3880" s="105" t="s">
        <v>8</v>
      </c>
      <c r="D3880" s="105">
        <v>0</v>
      </c>
      <c r="E3880" s="105">
        <v>0</v>
      </c>
      <c r="F3880" s="105">
        <v>0</v>
      </c>
    </row>
    <row r="3881" spans="1:6" x14ac:dyDescent="0.25">
      <c r="A3881" s="105">
        <f t="shared" si="60"/>
        <v>8505600</v>
      </c>
      <c r="B3881" s="105" t="s">
        <v>6396</v>
      </c>
      <c r="C3881" s="105" t="s">
        <v>6397</v>
      </c>
      <c r="D3881" s="105">
        <v>265</v>
      </c>
      <c r="E3881" s="105">
        <v>159</v>
      </c>
      <c r="F3881" s="105">
        <v>0</v>
      </c>
    </row>
    <row r="3882" spans="1:6" x14ac:dyDescent="0.25">
      <c r="A3882" s="105">
        <f t="shared" si="60"/>
        <v>8505601</v>
      </c>
      <c r="B3882" s="105" t="s">
        <v>6398</v>
      </c>
      <c r="C3882" s="105" t="s">
        <v>6399</v>
      </c>
      <c r="D3882" s="105">
        <v>397.5</v>
      </c>
      <c r="E3882" s="105">
        <v>238.5</v>
      </c>
      <c r="F3882" s="105">
        <v>0</v>
      </c>
    </row>
    <row r="3883" spans="1:6" x14ac:dyDescent="0.25">
      <c r="A3883" s="105">
        <f t="shared" si="60"/>
        <v>8505602</v>
      </c>
      <c r="B3883" s="105" t="s">
        <v>6400</v>
      </c>
      <c r="C3883" s="105" t="s">
        <v>6401</v>
      </c>
      <c r="D3883" s="105">
        <v>265</v>
      </c>
      <c r="E3883" s="105">
        <v>159</v>
      </c>
      <c r="F3883" s="105">
        <v>12</v>
      </c>
    </row>
    <row r="3884" spans="1:6" x14ac:dyDescent="0.25">
      <c r="A3884" s="105" t="str">
        <f t="shared" si="60"/>
        <v/>
      </c>
      <c r="B3884" s="105" t="s">
        <v>6402</v>
      </c>
      <c r="C3884" s="105" t="s">
        <v>8</v>
      </c>
      <c r="D3884" s="105">
        <v>0</v>
      </c>
      <c r="E3884" s="105">
        <v>0</v>
      </c>
      <c r="F3884" s="105">
        <v>0</v>
      </c>
    </row>
    <row r="3885" spans="1:6" x14ac:dyDescent="0.25">
      <c r="A3885" s="105">
        <f t="shared" si="60"/>
        <v>8505603</v>
      </c>
      <c r="B3885" s="105" t="s">
        <v>6403</v>
      </c>
      <c r="C3885" s="105" t="s">
        <v>6404</v>
      </c>
      <c r="D3885" s="105">
        <v>265</v>
      </c>
      <c r="E3885" s="105">
        <v>159</v>
      </c>
      <c r="F3885" s="105">
        <v>36</v>
      </c>
    </row>
    <row r="3886" spans="1:6" x14ac:dyDescent="0.25">
      <c r="A3886" s="105" t="str">
        <f t="shared" si="60"/>
        <v/>
      </c>
      <c r="B3886" s="105" t="s">
        <v>6405</v>
      </c>
      <c r="C3886" s="105" t="s">
        <v>8</v>
      </c>
      <c r="D3886" s="105">
        <v>0</v>
      </c>
      <c r="E3886" s="105">
        <v>0</v>
      </c>
      <c r="F3886" s="105">
        <v>0</v>
      </c>
    </row>
    <row r="3887" spans="1:6" x14ac:dyDescent="0.25">
      <c r="A3887" s="105">
        <f t="shared" si="60"/>
        <v>8505604</v>
      </c>
      <c r="B3887" s="105" t="s">
        <v>6406</v>
      </c>
      <c r="C3887" s="105" t="s">
        <v>6407</v>
      </c>
      <c r="D3887" s="105">
        <v>265</v>
      </c>
      <c r="E3887" s="105">
        <v>159</v>
      </c>
      <c r="F3887" s="105">
        <v>30</v>
      </c>
    </row>
    <row r="3888" spans="1:6" x14ac:dyDescent="0.25">
      <c r="A3888" s="105">
        <f t="shared" si="60"/>
        <v>8505605</v>
      </c>
      <c r="B3888" s="105" t="s">
        <v>6408</v>
      </c>
      <c r="C3888" s="105" t="s">
        <v>6409</v>
      </c>
      <c r="D3888" s="105">
        <v>265</v>
      </c>
      <c r="E3888" s="105">
        <v>159</v>
      </c>
      <c r="F3888" s="105">
        <v>35</v>
      </c>
    </row>
    <row r="3889" spans="1:6" x14ac:dyDescent="0.25">
      <c r="A3889" s="105">
        <f t="shared" si="60"/>
        <v>8505606</v>
      </c>
      <c r="B3889" s="105" t="s">
        <v>6410</v>
      </c>
      <c r="C3889" s="105" t="s">
        <v>6411</v>
      </c>
      <c r="D3889" s="105">
        <v>265</v>
      </c>
      <c r="E3889" s="105">
        <v>159</v>
      </c>
      <c r="F3889" s="105">
        <v>17</v>
      </c>
    </row>
    <row r="3890" spans="1:6" x14ac:dyDescent="0.25">
      <c r="A3890" s="105" t="str">
        <f t="shared" si="60"/>
        <v/>
      </c>
      <c r="B3890" s="105" t="s">
        <v>6412</v>
      </c>
      <c r="C3890" s="105" t="s">
        <v>8</v>
      </c>
      <c r="D3890" s="105">
        <v>0</v>
      </c>
      <c r="E3890" s="105">
        <v>0</v>
      </c>
      <c r="F3890" s="105">
        <v>0</v>
      </c>
    </row>
    <row r="3891" spans="1:6" x14ac:dyDescent="0.25">
      <c r="A3891" s="105">
        <f t="shared" si="60"/>
        <v>8505607</v>
      </c>
      <c r="B3891" s="105" t="s">
        <v>6413</v>
      </c>
      <c r="C3891" s="105" t="s">
        <v>6414</v>
      </c>
      <c r="D3891" s="105">
        <v>0</v>
      </c>
      <c r="E3891" s="105">
        <v>0</v>
      </c>
      <c r="F3891" s="105">
        <v>0</v>
      </c>
    </row>
    <row r="3892" spans="1:6" x14ac:dyDescent="0.25">
      <c r="A3892" s="105">
        <f t="shared" si="60"/>
        <v>8505650</v>
      </c>
      <c r="B3892" s="105" t="s">
        <v>9445</v>
      </c>
      <c r="C3892" s="105" t="s">
        <v>9446</v>
      </c>
      <c r="D3892" s="105">
        <v>212</v>
      </c>
      <c r="E3892" s="105">
        <v>127.2</v>
      </c>
      <c r="F3892" s="105">
        <v>4</v>
      </c>
    </row>
    <row r="3893" spans="1:6" x14ac:dyDescent="0.25">
      <c r="A3893" s="105">
        <f t="shared" si="60"/>
        <v>8505688</v>
      </c>
      <c r="B3893" s="105" t="s">
        <v>6415</v>
      </c>
      <c r="C3893" s="105" t="s">
        <v>6416</v>
      </c>
      <c r="D3893" s="105">
        <v>5842.72</v>
      </c>
      <c r="E3893" s="105">
        <v>3505.63</v>
      </c>
      <c r="F3893" s="105">
        <v>0</v>
      </c>
    </row>
    <row r="3894" spans="1:6" x14ac:dyDescent="0.25">
      <c r="A3894" s="105">
        <f t="shared" si="60"/>
        <v>8505689</v>
      </c>
      <c r="B3894" s="105" t="s">
        <v>6417</v>
      </c>
      <c r="C3894" s="105" t="s">
        <v>6418</v>
      </c>
      <c r="D3894" s="105">
        <v>7738.85</v>
      </c>
      <c r="E3894" s="105">
        <v>4643.3100000000004</v>
      </c>
      <c r="F3894" s="105">
        <v>0</v>
      </c>
    </row>
    <row r="3895" spans="1:6" x14ac:dyDescent="0.25">
      <c r="A3895" s="105">
        <f t="shared" si="60"/>
        <v>8505690</v>
      </c>
      <c r="B3895" s="105" t="s">
        <v>6419</v>
      </c>
      <c r="C3895" s="105" t="s">
        <v>6420</v>
      </c>
      <c r="D3895" s="105">
        <v>9149.92</v>
      </c>
      <c r="E3895" s="105">
        <v>5489.95</v>
      </c>
      <c r="F3895" s="105">
        <v>0</v>
      </c>
    </row>
    <row r="3896" spans="1:6" x14ac:dyDescent="0.25">
      <c r="A3896" s="105">
        <f t="shared" si="60"/>
        <v>8505691</v>
      </c>
      <c r="B3896" s="105" t="s">
        <v>6421</v>
      </c>
      <c r="C3896" s="105" t="s">
        <v>6422</v>
      </c>
      <c r="D3896" s="105">
        <v>8543.6</v>
      </c>
      <c r="E3896" s="105">
        <v>5126.16</v>
      </c>
      <c r="F3896" s="105">
        <v>0</v>
      </c>
    </row>
    <row r="3897" spans="1:6" x14ac:dyDescent="0.25">
      <c r="A3897" s="105">
        <f t="shared" si="60"/>
        <v>8505692</v>
      </c>
      <c r="B3897" s="105" t="s">
        <v>6423</v>
      </c>
      <c r="C3897" s="105" t="s">
        <v>6424</v>
      </c>
      <c r="D3897" s="105">
        <v>0</v>
      </c>
      <c r="E3897" s="105">
        <v>0</v>
      </c>
      <c r="F3897" s="105">
        <v>3</v>
      </c>
    </row>
    <row r="3898" spans="1:6" x14ac:dyDescent="0.25">
      <c r="A3898" s="105" t="str">
        <f t="shared" si="60"/>
        <v/>
      </c>
      <c r="B3898" s="105" t="s">
        <v>6425</v>
      </c>
      <c r="C3898" s="105" t="s">
        <v>8</v>
      </c>
      <c r="D3898" s="105">
        <v>0</v>
      </c>
      <c r="E3898" s="105">
        <v>0</v>
      </c>
      <c r="F3898" s="105">
        <v>0</v>
      </c>
    </row>
    <row r="3899" spans="1:6" x14ac:dyDescent="0.25">
      <c r="A3899" s="105">
        <f t="shared" si="60"/>
        <v>8505693</v>
      </c>
      <c r="B3899" s="105" t="s">
        <v>6426</v>
      </c>
      <c r="C3899" s="105" t="s">
        <v>6427</v>
      </c>
      <c r="D3899" s="105">
        <v>4960.8</v>
      </c>
      <c r="E3899" s="105">
        <v>2976.48</v>
      </c>
      <c r="F3899" s="105">
        <v>0</v>
      </c>
    </row>
    <row r="3900" spans="1:6" x14ac:dyDescent="0.25">
      <c r="A3900" s="105">
        <f t="shared" si="60"/>
        <v>8505701</v>
      </c>
      <c r="B3900" s="105" t="s">
        <v>6428</v>
      </c>
      <c r="C3900" s="105" t="s">
        <v>6429</v>
      </c>
      <c r="D3900" s="105">
        <v>265</v>
      </c>
      <c r="E3900" s="105">
        <v>159</v>
      </c>
      <c r="F3900" s="105">
        <v>0</v>
      </c>
    </row>
    <row r="3901" spans="1:6" x14ac:dyDescent="0.25">
      <c r="A3901" s="105" t="str">
        <f t="shared" si="60"/>
        <v/>
      </c>
      <c r="B3901" s="105" t="s">
        <v>6430</v>
      </c>
      <c r="C3901" s="105" t="s">
        <v>8</v>
      </c>
      <c r="D3901" s="105">
        <v>0</v>
      </c>
      <c r="E3901" s="105">
        <v>0</v>
      </c>
      <c r="F3901" s="105">
        <v>0</v>
      </c>
    </row>
    <row r="3902" spans="1:6" x14ac:dyDescent="0.25">
      <c r="A3902" s="105">
        <f t="shared" si="60"/>
        <v>8505702</v>
      </c>
      <c r="B3902" s="105" t="s">
        <v>6431</v>
      </c>
      <c r="C3902" s="105" t="s">
        <v>6432</v>
      </c>
      <c r="D3902" s="105">
        <v>0</v>
      </c>
      <c r="E3902" s="105">
        <v>0</v>
      </c>
      <c r="F3902" s="105">
        <v>0</v>
      </c>
    </row>
    <row r="3903" spans="1:6" x14ac:dyDescent="0.25">
      <c r="A3903" s="105">
        <f t="shared" si="60"/>
        <v>8505703</v>
      </c>
      <c r="B3903" s="105" t="s">
        <v>6433</v>
      </c>
      <c r="C3903" s="105" t="s">
        <v>6434</v>
      </c>
      <c r="D3903" s="105">
        <v>265</v>
      </c>
      <c r="E3903" s="105">
        <v>159</v>
      </c>
      <c r="F3903" s="105">
        <v>0</v>
      </c>
    </row>
    <row r="3904" spans="1:6" x14ac:dyDescent="0.25">
      <c r="A3904" s="105">
        <f t="shared" si="60"/>
        <v>8505704</v>
      </c>
      <c r="B3904" s="105" t="s">
        <v>6435</v>
      </c>
      <c r="C3904" s="105" t="s">
        <v>6436</v>
      </c>
      <c r="D3904" s="105">
        <v>265</v>
      </c>
      <c r="E3904" s="105">
        <v>159</v>
      </c>
      <c r="F3904" s="105">
        <v>0</v>
      </c>
    </row>
    <row r="3905" spans="1:6" x14ac:dyDescent="0.25">
      <c r="A3905" s="105">
        <f t="shared" si="60"/>
        <v>8505705</v>
      </c>
      <c r="B3905" s="105" t="s">
        <v>6437</v>
      </c>
      <c r="C3905" s="105" t="s">
        <v>6438</v>
      </c>
      <c r="D3905" s="105">
        <v>265</v>
      </c>
      <c r="E3905" s="105">
        <v>159</v>
      </c>
      <c r="F3905" s="105">
        <v>0</v>
      </c>
    </row>
    <row r="3906" spans="1:6" x14ac:dyDescent="0.25">
      <c r="A3906" s="105">
        <f t="shared" si="60"/>
        <v>8505706</v>
      </c>
      <c r="B3906" s="105" t="s">
        <v>6439</v>
      </c>
      <c r="C3906" s="105" t="s">
        <v>6440</v>
      </c>
      <c r="D3906" s="105">
        <v>265</v>
      </c>
      <c r="E3906" s="105">
        <v>159</v>
      </c>
      <c r="F3906" s="105">
        <v>0</v>
      </c>
    </row>
    <row r="3907" spans="1:6" x14ac:dyDescent="0.25">
      <c r="A3907" s="105">
        <f t="shared" ref="A3907:A3970" si="61">IF(B3907&lt;&gt;"",IFERROR(B3907*1,""),"")</f>
        <v>8505707</v>
      </c>
      <c r="B3907" s="105" t="s">
        <v>6441</v>
      </c>
      <c r="C3907" s="105" t="s">
        <v>6442</v>
      </c>
      <c r="D3907" s="105">
        <v>265</v>
      </c>
      <c r="E3907" s="105">
        <v>159</v>
      </c>
      <c r="F3907" s="105">
        <v>0</v>
      </c>
    </row>
    <row r="3908" spans="1:6" x14ac:dyDescent="0.25">
      <c r="A3908" s="105">
        <f t="shared" si="61"/>
        <v>8505708</v>
      </c>
      <c r="B3908" s="105" t="s">
        <v>6443</v>
      </c>
      <c r="C3908" s="105" t="s">
        <v>6444</v>
      </c>
      <c r="D3908" s="105">
        <v>0</v>
      </c>
      <c r="E3908" s="105">
        <v>0</v>
      </c>
      <c r="F3908" s="105">
        <v>1</v>
      </c>
    </row>
    <row r="3909" spans="1:6" x14ac:dyDescent="0.25">
      <c r="A3909" s="105">
        <f t="shared" si="61"/>
        <v>8505709</v>
      </c>
      <c r="B3909" s="105" t="s">
        <v>6445</v>
      </c>
      <c r="C3909" s="105" t="s">
        <v>6446</v>
      </c>
      <c r="D3909" s="105">
        <v>0</v>
      </c>
      <c r="E3909" s="105">
        <v>0</v>
      </c>
      <c r="F3909" s="105">
        <v>0</v>
      </c>
    </row>
    <row r="3910" spans="1:6" x14ac:dyDescent="0.25">
      <c r="A3910" s="105" t="str">
        <f t="shared" si="61"/>
        <v/>
      </c>
      <c r="B3910" s="105" t="s">
        <v>6447</v>
      </c>
      <c r="C3910" s="105" t="s">
        <v>8</v>
      </c>
      <c r="D3910" s="105">
        <v>0</v>
      </c>
      <c r="E3910" s="105">
        <v>0</v>
      </c>
      <c r="F3910" s="105">
        <v>0</v>
      </c>
    </row>
    <row r="3911" spans="1:6" x14ac:dyDescent="0.25">
      <c r="A3911" s="105">
        <f t="shared" si="61"/>
        <v>8505710</v>
      </c>
      <c r="B3911" s="105" t="s">
        <v>6448</v>
      </c>
      <c r="C3911" s="105" t="s">
        <v>6449</v>
      </c>
      <c r="D3911" s="105">
        <v>0</v>
      </c>
      <c r="E3911" s="105">
        <v>0</v>
      </c>
      <c r="F3911" s="105">
        <v>0</v>
      </c>
    </row>
    <row r="3912" spans="1:6" x14ac:dyDescent="0.25">
      <c r="A3912" s="105" t="str">
        <f t="shared" si="61"/>
        <v/>
      </c>
      <c r="B3912" s="105" t="s">
        <v>6450</v>
      </c>
      <c r="C3912" s="105" t="s">
        <v>8</v>
      </c>
      <c r="D3912" s="105">
        <v>0</v>
      </c>
      <c r="E3912" s="105">
        <v>0</v>
      </c>
      <c r="F3912" s="105">
        <v>0</v>
      </c>
    </row>
    <row r="3913" spans="1:6" x14ac:dyDescent="0.25">
      <c r="A3913" s="105">
        <f t="shared" si="61"/>
        <v>8505711</v>
      </c>
      <c r="B3913" s="105" t="s">
        <v>6451</v>
      </c>
      <c r="C3913" s="105" t="s">
        <v>6452</v>
      </c>
      <c r="D3913" s="105">
        <v>0</v>
      </c>
      <c r="E3913" s="105">
        <v>0</v>
      </c>
      <c r="F3913" s="105">
        <v>0</v>
      </c>
    </row>
    <row r="3914" spans="1:6" x14ac:dyDescent="0.25">
      <c r="A3914" s="105">
        <f t="shared" si="61"/>
        <v>8505712</v>
      </c>
      <c r="B3914" s="105" t="s">
        <v>6453</v>
      </c>
      <c r="C3914" s="105" t="s">
        <v>6454</v>
      </c>
      <c r="D3914" s="105">
        <v>0</v>
      </c>
      <c r="E3914" s="105">
        <v>0</v>
      </c>
      <c r="F3914" s="105">
        <v>0</v>
      </c>
    </row>
    <row r="3915" spans="1:6" x14ac:dyDescent="0.25">
      <c r="A3915" s="105" t="str">
        <f t="shared" si="61"/>
        <v/>
      </c>
      <c r="B3915" s="105" t="s">
        <v>6455</v>
      </c>
      <c r="C3915" s="105" t="s">
        <v>8</v>
      </c>
      <c r="D3915" s="105">
        <v>0</v>
      </c>
      <c r="E3915" s="105">
        <v>0</v>
      </c>
      <c r="F3915" s="105">
        <v>0</v>
      </c>
    </row>
    <row r="3916" spans="1:6" x14ac:dyDescent="0.25">
      <c r="A3916" s="105">
        <f t="shared" si="61"/>
        <v>8505713</v>
      </c>
      <c r="B3916" s="105" t="s">
        <v>6456</v>
      </c>
      <c r="C3916" s="105" t="s">
        <v>6457</v>
      </c>
      <c r="D3916" s="105">
        <v>0</v>
      </c>
      <c r="E3916" s="105">
        <v>0</v>
      </c>
      <c r="F3916" s="105">
        <v>0</v>
      </c>
    </row>
    <row r="3917" spans="1:6" x14ac:dyDescent="0.25">
      <c r="A3917" s="105" t="str">
        <f t="shared" si="61"/>
        <v/>
      </c>
      <c r="B3917" s="105" t="s">
        <v>6458</v>
      </c>
      <c r="C3917" s="105" t="s">
        <v>8</v>
      </c>
      <c r="D3917" s="105">
        <v>0</v>
      </c>
      <c r="E3917" s="105">
        <v>0</v>
      </c>
      <c r="F3917" s="105">
        <v>0</v>
      </c>
    </row>
    <row r="3918" spans="1:6" x14ac:dyDescent="0.25">
      <c r="A3918" s="105">
        <f t="shared" si="61"/>
        <v>8505714</v>
      </c>
      <c r="B3918" s="105" t="s">
        <v>6459</v>
      </c>
      <c r="C3918" s="105" t="s">
        <v>6460</v>
      </c>
      <c r="D3918" s="105">
        <v>0</v>
      </c>
      <c r="E3918" s="105">
        <v>0</v>
      </c>
      <c r="F3918" s="105">
        <v>0</v>
      </c>
    </row>
    <row r="3919" spans="1:6" x14ac:dyDescent="0.25">
      <c r="A3919" s="105">
        <f t="shared" si="61"/>
        <v>8505715</v>
      </c>
      <c r="B3919" s="105" t="s">
        <v>9447</v>
      </c>
      <c r="C3919" s="105" t="s">
        <v>9448</v>
      </c>
      <c r="D3919" s="105">
        <v>254.4</v>
      </c>
      <c r="E3919" s="105">
        <v>152.63999999999999</v>
      </c>
      <c r="F3919" s="105">
        <v>0</v>
      </c>
    </row>
    <row r="3920" spans="1:6" x14ac:dyDescent="0.25">
      <c r="A3920" s="105">
        <f t="shared" si="61"/>
        <v>8505789</v>
      </c>
      <c r="B3920" s="105" t="s">
        <v>6461</v>
      </c>
      <c r="C3920" s="105" t="s">
        <v>6462</v>
      </c>
      <c r="D3920" s="105">
        <v>265</v>
      </c>
      <c r="E3920" s="105">
        <v>159</v>
      </c>
      <c r="F3920" s="105">
        <v>162</v>
      </c>
    </row>
    <row r="3921" spans="1:6" x14ac:dyDescent="0.25">
      <c r="A3921" s="105" t="str">
        <f t="shared" si="61"/>
        <v/>
      </c>
      <c r="B3921" s="105" t="s">
        <v>6463</v>
      </c>
      <c r="C3921" s="105" t="s">
        <v>8</v>
      </c>
      <c r="D3921" s="105">
        <v>0</v>
      </c>
      <c r="E3921" s="105">
        <v>0</v>
      </c>
      <c r="F3921" s="105">
        <v>0</v>
      </c>
    </row>
    <row r="3922" spans="1:6" x14ac:dyDescent="0.25">
      <c r="A3922" s="105">
        <f t="shared" si="61"/>
        <v>8505809</v>
      </c>
      <c r="B3922" s="105" t="s">
        <v>6464</v>
      </c>
      <c r="C3922" s="105" t="s">
        <v>6465</v>
      </c>
      <c r="D3922" s="105">
        <v>0</v>
      </c>
      <c r="E3922" s="105">
        <v>0</v>
      </c>
      <c r="F3922" s="105">
        <v>0</v>
      </c>
    </row>
    <row r="3923" spans="1:6" x14ac:dyDescent="0.25">
      <c r="A3923" s="105" t="str">
        <f t="shared" si="61"/>
        <v/>
      </c>
      <c r="B3923" s="105" t="s">
        <v>6466</v>
      </c>
      <c r="C3923" s="105" t="s">
        <v>8</v>
      </c>
      <c r="D3923" s="105">
        <v>0</v>
      </c>
      <c r="E3923" s="105">
        <v>0</v>
      </c>
      <c r="F3923" s="105">
        <v>0</v>
      </c>
    </row>
    <row r="3924" spans="1:6" x14ac:dyDescent="0.25">
      <c r="A3924" s="105">
        <f t="shared" si="61"/>
        <v>8505810</v>
      </c>
      <c r="B3924" s="105" t="s">
        <v>6467</v>
      </c>
      <c r="C3924" s="105" t="s">
        <v>6468</v>
      </c>
      <c r="D3924" s="105">
        <v>0</v>
      </c>
      <c r="E3924" s="105">
        <v>0</v>
      </c>
      <c r="F3924" s="105">
        <v>0</v>
      </c>
    </row>
    <row r="3925" spans="1:6" x14ac:dyDescent="0.25">
      <c r="A3925" s="105">
        <f t="shared" si="61"/>
        <v>8505820</v>
      </c>
      <c r="B3925" s="105" t="s">
        <v>6469</v>
      </c>
      <c r="C3925" s="105" t="s">
        <v>6470</v>
      </c>
      <c r="D3925" s="105">
        <v>1145.94</v>
      </c>
      <c r="E3925" s="105">
        <v>687.56</v>
      </c>
      <c r="F3925" s="105">
        <v>7</v>
      </c>
    </row>
    <row r="3926" spans="1:6" x14ac:dyDescent="0.25">
      <c r="A3926" s="105">
        <f t="shared" si="61"/>
        <v>8505821</v>
      </c>
      <c r="B3926" s="105" t="s">
        <v>6471</v>
      </c>
      <c r="C3926" s="105" t="s">
        <v>6472</v>
      </c>
      <c r="D3926" s="105">
        <v>625.04999999999995</v>
      </c>
      <c r="E3926" s="105">
        <v>375.03</v>
      </c>
      <c r="F3926" s="105">
        <v>0</v>
      </c>
    </row>
    <row r="3927" spans="1:6" x14ac:dyDescent="0.25">
      <c r="A3927" s="105">
        <f t="shared" si="61"/>
        <v>8505822</v>
      </c>
      <c r="B3927" s="105" t="s">
        <v>6473</v>
      </c>
      <c r="C3927" s="105" t="s">
        <v>6474</v>
      </c>
      <c r="D3927" s="105">
        <v>750.08</v>
      </c>
      <c r="E3927" s="105">
        <v>450.05</v>
      </c>
      <c r="F3927" s="105">
        <v>0</v>
      </c>
    </row>
    <row r="3928" spans="1:6" x14ac:dyDescent="0.25">
      <c r="A3928" s="105">
        <f t="shared" si="61"/>
        <v>8505823</v>
      </c>
      <c r="B3928" s="105" t="s">
        <v>6475</v>
      </c>
      <c r="C3928" s="105" t="s">
        <v>6476</v>
      </c>
      <c r="D3928" s="105">
        <v>1300</v>
      </c>
      <c r="E3928" s="105">
        <v>780</v>
      </c>
      <c r="F3928" s="105">
        <v>23</v>
      </c>
    </row>
    <row r="3929" spans="1:6" x14ac:dyDescent="0.25">
      <c r="A3929" s="105">
        <f t="shared" si="61"/>
        <v>8505824</v>
      </c>
      <c r="B3929" s="105" t="s">
        <v>6477</v>
      </c>
      <c r="C3929" s="105" t="s">
        <v>6478</v>
      </c>
      <c r="D3929" s="105">
        <v>1145.94</v>
      </c>
      <c r="E3929" s="105">
        <v>687.56</v>
      </c>
      <c r="F3929" s="105">
        <v>5</v>
      </c>
    </row>
    <row r="3930" spans="1:6" x14ac:dyDescent="0.25">
      <c r="A3930" s="105">
        <f t="shared" si="61"/>
        <v>8505825</v>
      </c>
      <c r="B3930" s="105" t="s">
        <v>6479</v>
      </c>
      <c r="C3930" s="105" t="s">
        <v>6480</v>
      </c>
      <c r="D3930" s="105">
        <v>116.89</v>
      </c>
      <c r="E3930" s="105">
        <v>70.13</v>
      </c>
      <c r="F3930" s="105">
        <v>375</v>
      </c>
    </row>
    <row r="3931" spans="1:6" x14ac:dyDescent="0.25">
      <c r="A3931" s="105">
        <f t="shared" si="61"/>
        <v>8505826</v>
      </c>
      <c r="B3931" s="105" t="s">
        <v>6481</v>
      </c>
      <c r="C3931" s="105" t="s">
        <v>6482</v>
      </c>
      <c r="D3931" s="105">
        <v>130.63</v>
      </c>
      <c r="E3931" s="105">
        <v>78.38</v>
      </c>
      <c r="F3931" s="105">
        <v>2</v>
      </c>
    </row>
    <row r="3932" spans="1:6" x14ac:dyDescent="0.25">
      <c r="A3932" s="105">
        <f t="shared" si="61"/>
        <v>8505827</v>
      </c>
      <c r="B3932" s="105" t="s">
        <v>6483</v>
      </c>
      <c r="C3932" s="105" t="s">
        <v>6484</v>
      </c>
      <c r="D3932" s="105">
        <v>116.89</v>
      </c>
      <c r="E3932" s="105">
        <v>70.13</v>
      </c>
      <c r="F3932" s="105">
        <v>232</v>
      </c>
    </row>
    <row r="3933" spans="1:6" x14ac:dyDescent="0.25">
      <c r="A3933" s="105" t="str">
        <f t="shared" si="61"/>
        <v/>
      </c>
      <c r="B3933" s="105" t="s">
        <v>6485</v>
      </c>
      <c r="C3933" s="105" t="s">
        <v>8</v>
      </c>
      <c r="D3933" s="105">
        <v>0</v>
      </c>
      <c r="E3933" s="105">
        <v>0</v>
      </c>
      <c r="F3933" s="105">
        <v>0</v>
      </c>
    </row>
    <row r="3934" spans="1:6" x14ac:dyDescent="0.25">
      <c r="A3934" s="105">
        <f t="shared" si="61"/>
        <v>8505838</v>
      </c>
      <c r="B3934" s="105" t="s">
        <v>6486</v>
      </c>
      <c r="C3934" s="105" t="s">
        <v>6487</v>
      </c>
      <c r="D3934" s="105">
        <v>0</v>
      </c>
      <c r="E3934" s="105">
        <v>0</v>
      </c>
      <c r="F3934" s="105">
        <v>0</v>
      </c>
    </row>
    <row r="3935" spans="1:6" x14ac:dyDescent="0.25">
      <c r="A3935" s="105">
        <f t="shared" si="61"/>
        <v>8507002</v>
      </c>
      <c r="B3935" s="105" t="s">
        <v>6488</v>
      </c>
      <c r="C3935" s="105" t="s">
        <v>6489</v>
      </c>
      <c r="D3935" s="105">
        <v>5700</v>
      </c>
      <c r="E3935" s="105">
        <v>3420</v>
      </c>
      <c r="F3935" s="105">
        <v>11</v>
      </c>
    </row>
    <row r="3936" spans="1:6" x14ac:dyDescent="0.25">
      <c r="A3936" s="105" t="str">
        <f t="shared" si="61"/>
        <v/>
      </c>
      <c r="B3936" s="105" t="s">
        <v>6490</v>
      </c>
      <c r="C3936" s="105" t="s">
        <v>8</v>
      </c>
      <c r="D3936" s="105">
        <v>0</v>
      </c>
      <c r="E3936" s="105">
        <v>0</v>
      </c>
      <c r="F3936" s="105">
        <v>0</v>
      </c>
    </row>
    <row r="3937" spans="1:6" x14ac:dyDescent="0.25">
      <c r="A3937" s="105">
        <f t="shared" si="61"/>
        <v>8508065</v>
      </c>
      <c r="B3937" s="105" t="s">
        <v>6491</v>
      </c>
      <c r="C3937" s="105" t="s">
        <v>6492</v>
      </c>
      <c r="D3937" s="105">
        <v>0</v>
      </c>
      <c r="E3937" s="105">
        <v>0</v>
      </c>
      <c r="F3937" s="105">
        <v>0</v>
      </c>
    </row>
    <row r="3938" spans="1:6" x14ac:dyDescent="0.25">
      <c r="A3938" s="105" t="str">
        <f t="shared" si="61"/>
        <v/>
      </c>
      <c r="B3938" s="105" t="s">
        <v>6493</v>
      </c>
      <c r="C3938" s="105" t="s">
        <v>8</v>
      </c>
      <c r="D3938" s="105">
        <v>0</v>
      </c>
      <c r="E3938" s="105">
        <v>0</v>
      </c>
      <c r="F3938" s="105">
        <v>0</v>
      </c>
    </row>
    <row r="3939" spans="1:6" x14ac:dyDescent="0.25">
      <c r="A3939" s="105">
        <f t="shared" si="61"/>
        <v>8508121</v>
      </c>
      <c r="B3939" s="105" t="s">
        <v>6494</v>
      </c>
      <c r="C3939" s="105" t="s">
        <v>6495</v>
      </c>
      <c r="D3939" s="105">
        <v>0</v>
      </c>
      <c r="E3939" s="105">
        <v>0</v>
      </c>
      <c r="F3939" s="105">
        <v>0</v>
      </c>
    </row>
    <row r="3940" spans="1:6" x14ac:dyDescent="0.25">
      <c r="A3940" s="105">
        <f t="shared" si="61"/>
        <v>850812160</v>
      </c>
      <c r="B3940" s="105" t="s">
        <v>6496</v>
      </c>
      <c r="C3940" s="105" t="s">
        <v>6495</v>
      </c>
      <c r="D3940" s="105">
        <v>0</v>
      </c>
      <c r="E3940" s="105">
        <v>0</v>
      </c>
      <c r="F3940" s="105">
        <v>0</v>
      </c>
    </row>
    <row r="3941" spans="1:6" x14ac:dyDescent="0.25">
      <c r="A3941" s="105">
        <f t="shared" si="61"/>
        <v>8508132</v>
      </c>
      <c r="B3941" s="105" t="s">
        <v>6497</v>
      </c>
      <c r="C3941" s="105" t="s">
        <v>6498</v>
      </c>
      <c r="D3941" s="105">
        <v>418.86</v>
      </c>
      <c r="E3941" s="105">
        <v>251.32</v>
      </c>
      <c r="F3941" s="105">
        <v>0</v>
      </c>
    </row>
    <row r="3942" spans="1:6" x14ac:dyDescent="0.25">
      <c r="A3942" s="105">
        <f t="shared" si="61"/>
        <v>850813260</v>
      </c>
      <c r="B3942" s="105" t="s">
        <v>6499</v>
      </c>
      <c r="C3942" s="105" t="s">
        <v>6500</v>
      </c>
      <c r="D3942" s="105">
        <v>0</v>
      </c>
      <c r="E3942" s="105">
        <v>0</v>
      </c>
      <c r="F3942" s="105">
        <v>0</v>
      </c>
    </row>
    <row r="3943" spans="1:6" x14ac:dyDescent="0.25">
      <c r="A3943" s="105">
        <f t="shared" si="61"/>
        <v>850814110</v>
      </c>
      <c r="B3943" s="105" t="s">
        <v>6501</v>
      </c>
      <c r="C3943" s="105" t="s">
        <v>6502</v>
      </c>
      <c r="D3943" s="105">
        <v>0</v>
      </c>
      <c r="E3943" s="105">
        <v>0</v>
      </c>
      <c r="F3943" s="105">
        <v>0</v>
      </c>
    </row>
    <row r="3944" spans="1:6" x14ac:dyDescent="0.25">
      <c r="A3944" s="105">
        <f t="shared" si="61"/>
        <v>850822000</v>
      </c>
      <c r="B3944" s="105" t="s">
        <v>6503</v>
      </c>
      <c r="C3944" s="105" t="s">
        <v>6504</v>
      </c>
      <c r="D3944" s="105">
        <v>0</v>
      </c>
      <c r="E3944" s="105">
        <v>0</v>
      </c>
      <c r="F3944" s="105">
        <v>0</v>
      </c>
    </row>
    <row r="3945" spans="1:6" x14ac:dyDescent="0.25">
      <c r="A3945" s="105">
        <f t="shared" si="61"/>
        <v>8508507</v>
      </c>
      <c r="B3945" s="105" t="s">
        <v>6505</v>
      </c>
      <c r="C3945" s="105" t="s">
        <v>6506</v>
      </c>
      <c r="D3945" s="105">
        <v>420.95</v>
      </c>
      <c r="E3945" s="105">
        <v>252.57</v>
      </c>
      <c r="F3945" s="105">
        <v>0</v>
      </c>
    </row>
    <row r="3946" spans="1:6" x14ac:dyDescent="0.25">
      <c r="A3946" s="105">
        <f t="shared" si="61"/>
        <v>850850712</v>
      </c>
      <c r="B3946" s="105" t="s">
        <v>6507</v>
      </c>
      <c r="C3946" s="105" t="s">
        <v>6508</v>
      </c>
      <c r="D3946" s="105">
        <v>582.12</v>
      </c>
      <c r="E3946" s="105">
        <v>349.27</v>
      </c>
      <c r="F3946" s="105">
        <v>0</v>
      </c>
    </row>
    <row r="3947" spans="1:6" x14ac:dyDescent="0.25">
      <c r="A3947" s="105">
        <f t="shared" si="61"/>
        <v>8509729</v>
      </c>
      <c r="B3947" s="105" t="s">
        <v>6509</v>
      </c>
      <c r="C3947" s="105" t="s">
        <v>6510</v>
      </c>
      <c r="D3947" s="105">
        <v>2268.96</v>
      </c>
      <c r="E3947" s="105">
        <v>1361.38</v>
      </c>
      <c r="F3947" s="105">
        <v>24</v>
      </c>
    </row>
    <row r="3948" spans="1:6" x14ac:dyDescent="0.25">
      <c r="A3948" s="105">
        <f t="shared" si="61"/>
        <v>8511115</v>
      </c>
      <c r="B3948" s="105" t="s">
        <v>6511</v>
      </c>
      <c r="C3948" s="105" t="s">
        <v>6512</v>
      </c>
      <c r="D3948" s="105">
        <v>625.4</v>
      </c>
      <c r="E3948" s="105">
        <v>375.24</v>
      </c>
      <c r="F3948" s="105">
        <v>2</v>
      </c>
    </row>
    <row r="3949" spans="1:6" x14ac:dyDescent="0.25">
      <c r="A3949" s="105">
        <f t="shared" si="61"/>
        <v>8511421</v>
      </c>
      <c r="B3949" s="105" t="s">
        <v>6513</v>
      </c>
      <c r="C3949" s="105" t="s">
        <v>6514</v>
      </c>
      <c r="D3949" s="105">
        <v>1908</v>
      </c>
      <c r="E3949" s="105">
        <v>1144.8</v>
      </c>
      <c r="F3949" s="105">
        <v>3</v>
      </c>
    </row>
    <row r="3950" spans="1:6" x14ac:dyDescent="0.25">
      <c r="A3950" s="105">
        <f t="shared" si="61"/>
        <v>8511446</v>
      </c>
      <c r="B3950" s="105" t="s">
        <v>6515</v>
      </c>
      <c r="C3950" s="105" t="s">
        <v>6516</v>
      </c>
      <c r="D3950" s="105">
        <v>0</v>
      </c>
      <c r="E3950" s="105">
        <v>0</v>
      </c>
      <c r="F3950" s="105">
        <v>0</v>
      </c>
    </row>
    <row r="3951" spans="1:6" x14ac:dyDescent="0.25">
      <c r="A3951" s="105">
        <f t="shared" si="61"/>
        <v>8511522</v>
      </c>
      <c r="B3951" s="105" t="s">
        <v>6517</v>
      </c>
      <c r="C3951" s="105" t="s">
        <v>6518</v>
      </c>
      <c r="D3951" s="105">
        <v>859.16</v>
      </c>
      <c r="E3951" s="105">
        <v>515.5</v>
      </c>
      <c r="F3951" s="105">
        <v>1</v>
      </c>
    </row>
    <row r="3952" spans="1:6" x14ac:dyDescent="0.25">
      <c r="A3952" s="105">
        <f t="shared" si="61"/>
        <v>8511744</v>
      </c>
      <c r="B3952" s="105" t="s">
        <v>6519</v>
      </c>
      <c r="C3952" s="105" t="s">
        <v>6520</v>
      </c>
      <c r="D3952" s="105">
        <v>859.16</v>
      </c>
      <c r="E3952" s="105">
        <v>515.5</v>
      </c>
      <c r="F3952" s="105">
        <v>2</v>
      </c>
    </row>
    <row r="3953" spans="1:6" x14ac:dyDescent="0.25">
      <c r="A3953" s="105">
        <f t="shared" si="61"/>
        <v>8513001</v>
      </c>
      <c r="B3953" s="105" t="s">
        <v>6521</v>
      </c>
      <c r="C3953" s="105" t="s">
        <v>6522</v>
      </c>
      <c r="D3953" s="105">
        <v>0</v>
      </c>
      <c r="E3953" s="105">
        <v>0</v>
      </c>
      <c r="F3953" s="105">
        <v>0</v>
      </c>
    </row>
    <row r="3954" spans="1:6" x14ac:dyDescent="0.25">
      <c r="A3954" s="105">
        <f t="shared" si="61"/>
        <v>8513012</v>
      </c>
      <c r="B3954" s="105" t="s">
        <v>6523</v>
      </c>
      <c r="C3954" s="105" t="s">
        <v>6524</v>
      </c>
      <c r="D3954" s="105">
        <v>1817.83</v>
      </c>
      <c r="E3954" s="105">
        <v>1090.7</v>
      </c>
      <c r="F3954" s="105">
        <v>2</v>
      </c>
    </row>
    <row r="3955" spans="1:6" x14ac:dyDescent="0.25">
      <c r="A3955" s="105">
        <f t="shared" si="61"/>
        <v>8513160</v>
      </c>
      <c r="B3955" s="105" t="s">
        <v>6525</v>
      </c>
      <c r="C3955" s="105" t="s">
        <v>6526</v>
      </c>
      <c r="D3955" s="105">
        <v>3155.17</v>
      </c>
      <c r="E3955" s="105">
        <v>1893.1</v>
      </c>
      <c r="F3955" s="105">
        <v>0</v>
      </c>
    </row>
    <row r="3956" spans="1:6" x14ac:dyDescent="0.25">
      <c r="A3956" s="105">
        <f t="shared" si="61"/>
        <v>8513173</v>
      </c>
      <c r="B3956" s="105" t="s">
        <v>6527</v>
      </c>
      <c r="C3956" s="105" t="s">
        <v>6528</v>
      </c>
      <c r="D3956" s="105">
        <v>3023.78</v>
      </c>
      <c r="E3956" s="105">
        <v>1814.27</v>
      </c>
      <c r="F3956" s="105">
        <v>0</v>
      </c>
    </row>
    <row r="3957" spans="1:6" x14ac:dyDescent="0.25">
      <c r="A3957" s="105">
        <f t="shared" si="61"/>
        <v>8513174</v>
      </c>
      <c r="B3957" s="105" t="s">
        <v>6529</v>
      </c>
      <c r="C3957" s="105" t="s">
        <v>6530</v>
      </c>
      <c r="D3957" s="105">
        <v>3023.78</v>
      </c>
      <c r="E3957" s="105">
        <v>1814.27</v>
      </c>
      <c r="F3957" s="105">
        <v>165</v>
      </c>
    </row>
    <row r="3958" spans="1:6" x14ac:dyDescent="0.25">
      <c r="A3958" s="105">
        <f t="shared" si="61"/>
        <v>8513175</v>
      </c>
      <c r="B3958" s="105" t="s">
        <v>6531</v>
      </c>
      <c r="C3958" s="105" t="s">
        <v>6532</v>
      </c>
      <c r="D3958" s="105">
        <v>881.92</v>
      </c>
      <c r="E3958" s="105">
        <v>529.15</v>
      </c>
      <c r="F3958" s="105">
        <v>3</v>
      </c>
    </row>
    <row r="3959" spans="1:6" x14ac:dyDescent="0.25">
      <c r="A3959" s="105" t="str">
        <f t="shared" si="61"/>
        <v/>
      </c>
      <c r="B3959" s="105" t="s">
        <v>6533</v>
      </c>
      <c r="C3959" s="105" t="s">
        <v>8</v>
      </c>
      <c r="D3959" s="105">
        <v>0</v>
      </c>
      <c r="E3959" s="105">
        <v>0</v>
      </c>
      <c r="F3959" s="105">
        <v>0</v>
      </c>
    </row>
    <row r="3960" spans="1:6" x14ac:dyDescent="0.25">
      <c r="A3960" s="105">
        <f t="shared" si="61"/>
        <v>8513224</v>
      </c>
      <c r="B3960" s="105" t="s">
        <v>6534</v>
      </c>
      <c r="C3960" s="105" t="s">
        <v>6535</v>
      </c>
      <c r="D3960" s="105">
        <v>0</v>
      </c>
      <c r="E3960" s="105">
        <v>0</v>
      </c>
      <c r="F3960" s="105">
        <v>0</v>
      </c>
    </row>
    <row r="3961" spans="1:6" x14ac:dyDescent="0.25">
      <c r="A3961" s="105" t="str">
        <f t="shared" si="61"/>
        <v/>
      </c>
      <c r="B3961" s="105" t="s">
        <v>6536</v>
      </c>
      <c r="C3961" s="105" t="s">
        <v>8</v>
      </c>
      <c r="D3961" s="105">
        <v>0</v>
      </c>
      <c r="E3961" s="105">
        <v>0</v>
      </c>
      <c r="F3961" s="105">
        <v>0</v>
      </c>
    </row>
    <row r="3962" spans="1:6" x14ac:dyDescent="0.25">
      <c r="A3962" s="105">
        <f t="shared" si="61"/>
        <v>8513243</v>
      </c>
      <c r="B3962" s="105" t="s">
        <v>6537</v>
      </c>
      <c r="C3962" s="105" t="s">
        <v>6538</v>
      </c>
      <c r="D3962" s="105">
        <v>0</v>
      </c>
      <c r="E3962" s="105">
        <v>0</v>
      </c>
      <c r="F3962" s="105">
        <v>0</v>
      </c>
    </row>
    <row r="3963" spans="1:6" x14ac:dyDescent="0.25">
      <c r="A3963" s="105">
        <f t="shared" si="61"/>
        <v>8513244</v>
      </c>
      <c r="B3963" s="105" t="s">
        <v>6539</v>
      </c>
      <c r="C3963" s="105" t="s">
        <v>6540</v>
      </c>
      <c r="D3963" s="105">
        <v>1817.83</v>
      </c>
      <c r="E3963" s="105">
        <v>1090.7</v>
      </c>
      <c r="F3963" s="105">
        <v>6</v>
      </c>
    </row>
    <row r="3964" spans="1:6" x14ac:dyDescent="0.25">
      <c r="A3964" s="105" t="str">
        <f t="shared" si="61"/>
        <v/>
      </c>
      <c r="B3964" s="105" t="s">
        <v>6541</v>
      </c>
      <c r="C3964" s="105" t="s">
        <v>8</v>
      </c>
      <c r="D3964" s="105">
        <v>0</v>
      </c>
      <c r="E3964" s="105">
        <v>0</v>
      </c>
      <c r="F3964" s="105">
        <v>0</v>
      </c>
    </row>
    <row r="3965" spans="1:6" x14ac:dyDescent="0.25">
      <c r="A3965" s="105">
        <f t="shared" si="61"/>
        <v>8513245</v>
      </c>
      <c r="B3965" s="105" t="s">
        <v>6542</v>
      </c>
      <c r="C3965" s="105" t="s">
        <v>6543</v>
      </c>
      <c r="D3965" s="105">
        <v>0</v>
      </c>
      <c r="E3965" s="105">
        <v>0</v>
      </c>
      <c r="F3965" s="105">
        <v>0</v>
      </c>
    </row>
    <row r="3966" spans="1:6" x14ac:dyDescent="0.25">
      <c r="A3966" s="105">
        <f t="shared" si="61"/>
        <v>8513303</v>
      </c>
      <c r="B3966" s="105" t="s">
        <v>6544</v>
      </c>
      <c r="C3966" s="105" t="s">
        <v>6545</v>
      </c>
      <c r="D3966" s="105">
        <v>220.48</v>
      </c>
      <c r="E3966" s="105">
        <v>132.29</v>
      </c>
      <c r="F3966" s="105">
        <v>2</v>
      </c>
    </row>
    <row r="3967" spans="1:6" x14ac:dyDescent="0.25">
      <c r="A3967" s="105">
        <f t="shared" si="61"/>
        <v>8513405</v>
      </c>
      <c r="B3967" s="105" t="s">
        <v>6546</v>
      </c>
      <c r="C3967" s="105" t="s">
        <v>6547</v>
      </c>
      <c r="D3967" s="105">
        <v>922.54</v>
      </c>
      <c r="E3967" s="105">
        <v>553.52</v>
      </c>
      <c r="F3967" s="105">
        <v>0</v>
      </c>
    </row>
    <row r="3968" spans="1:6" x14ac:dyDescent="0.25">
      <c r="A3968" s="105">
        <f t="shared" si="61"/>
        <v>8515001</v>
      </c>
      <c r="B3968" s="105" t="s">
        <v>6548</v>
      </c>
      <c r="C3968" s="105" t="s">
        <v>6549</v>
      </c>
      <c r="D3968" s="105">
        <v>0</v>
      </c>
      <c r="E3968" s="105">
        <v>0</v>
      </c>
      <c r="F3968" s="105">
        <v>0</v>
      </c>
    </row>
    <row r="3969" spans="1:6" x14ac:dyDescent="0.25">
      <c r="A3969" s="105" t="str">
        <f t="shared" si="61"/>
        <v/>
      </c>
      <c r="B3969" s="105" t="s">
        <v>6550</v>
      </c>
      <c r="C3969" s="105" t="s">
        <v>8</v>
      </c>
      <c r="D3969" s="105">
        <v>0</v>
      </c>
      <c r="E3969" s="105">
        <v>0</v>
      </c>
      <c r="F3969" s="105">
        <v>0</v>
      </c>
    </row>
    <row r="3970" spans="1:6" x14ac:dyDescent="0.25">
      <c r="A3970" s="105">
        <f t="shared" si="61"/>
        <v>8515004</v>
      </c>
      <c r="B3970" s="105" t="s">
        <v>6551</v>
      </c>
      <c r="C3970" s="105" t="s">
        <v>6552</v>
      </c>
      <c r="D3970" s="105">
        <v>0</v>
      </c>
      <c r="E3970" s="105">
        <v>0</v>
      </c>
      <c r="F3970" s="105">
        <v>0</v>
      </c>
    </row>
    <row r="3971" spans="1:6" x14ac:dyDescent="0.25">
      <c r="A3971" s="105">
        <f t="shared" ref="A3971:A4034" si="62">IF(B3971&lt;&gt;"",IFERROR(B3971*1,""),"")</f>
        <v>8515180</v>
      </c>
      <c r="B3971" s="105" t="s">
        <v>6553</v>
      </c>
      <c r="C3971" s="105" t="s">
        <v>6554</v>
      </c>
      <c r="D3971" s="105">
        <v>559.04</v>
      </c>
      <c r="E3971" s="105">
        <v>335.42</v>
      </c>
      <c r="F3971" s="105">
        <v>0</v>
      </c>
    </row>
    <row r="3972" spans="1:6" x14ac:dyDescent="0.25">
      <c r="A3972" s="105">
        <f t="shared" si="62"/>
        <v>8515181</v>
      </c>
      <c r="B3972" s="105" t="s">
        <v>6555</v>
      </c>
      <c r="C3972" s="105" t="s">
        <v>6556</v>
      </c>
      <c r="D3972" s="105">
        <v>629.38</v>
      </c>
      <c r="E3972" s="105">
        <v>377.63</v>
      </c>
      <c r="F3972" s="105">
        <v>0</v>
      </c>
    </row>
    <row r="3973" spans="1:6" x14ac:dyDescent="0.25">
      <c r="A3973" s="105">
        <f t="shared" si="62"/>
        <v>8515746</v>
      </c>
      <c r="B3973" s="105" t="s">
        <v>6557</v>
      </c>
      <c r="C3973" s="105" t="s">
        <v>6558</v>
      </c>
      <c r="D3973" s="105">
        <v>1325</v>
      </c>
      <c r="E3973" s="105">
        <v>795</v>
      </c>
      <c r="F3973" s="105">
        <v>249</v>
      </c>
    </row>
    <row r="3974" spans="1:6" x14ac:dyDescent="0.25">
      <c r="A3974" s="105">
        <f t="shared" si="62"/>
        <v>8515747</v>
      </c>
      <c r="B3974" s="105" t="s">
        <v>6559</v>
      </c>
      <c r="C3974" s="105" t="s">
        <v>6560</v>
      </c>
      <c r="D3974" s="105">
        <v>1325</v>
      </c>
      <c r="E3974" s="105">
        <v>795</v>
      </c>
      <c r="F3974" s="105">
        <v>0</v>
      </c>
    </row>
    <row r="3975" spans="1:6" x14ac:dyDescent="0.25">
      <c r="A3975" s="105">
        <f t="shared" si="62"/>
        <v>8515748</v>
      </c>
      <c r="B3975" s="105" t="s">
        <v>6561</v>
      </c>
      <c r="C3975" s="105" t="s">
        <v>6562</v>
      </c>
      <c r="D3975" s="105">
        <v>1325</v>
      </c>
      <c r="E3975" s="105">
        <v>795</v>
      </c>
      <c r="F3975" s="105">
        <v>323</v>
      </c>
    </row>
    <row r="3976" spans="1:6" x14ac:dyDescent="0.25">
      <c r="A3976" s="105" t="str">
        <f t="shared" si="62"/>
        <v/>
      </c>
      <c r="B3976" s="105" t="s">
        <v>6563</v>
      </c>
      <c r="C3976" s="105" t="s">
        <v>8</v>
      </c>
      <c r="D3976" s="105">
        <v>0</v>
      </c>
      <c r="E3976" s="105">
        <v>0</v>
      </c>
      <c r="F3976" s="105">
        <v>0</v>
      </c>
    </row>
    <row r="3977" spans="1:6" x14ac:dyDescent="0.25">
      <c r="A3977" s="105">
        <f t="shared" si="62"/>
        <v>8515749</v>
      </c>
      <c r="B3977" s="105" t="s">
        <v>6564</v>
      </c>
      <c r="C3977" s="105" t="s">
        <v>6565</v>
      </c>
      <c r="D3977" s="105">
        <v>0</v>
      </c>
      <c r="E3977" s="105">
        <v>0</v>
      </c>
      <c r="F3977" s="105">
        <v>0</v>
      </c>
    </row>
    <row r="3978" spans="1:6" x14ac:dyDescent="0.25">
      <c r="A3978" s="105">
        <f t="shared" si="62"/>
        <v>8515760</v>
      </c>
      <c r="B3978" s="105" t="s">
        <v>6566</v>
      </c>
      <c r="C3978" s="105" t="s">
        <v>6567</v>
      </c>
      <c r="D3978" s="105">
        <v>1590</v>
      </c>
      <c r="E3978" s="105">
        <v>954</v>
      </c>
      <c r="F3978" s="105">
        <v>30</v>
      </c>
    </row>
    <row r="3979" spans="1:6" x14ac:dyDescent="0.25">
      <c r="A3979" s="105">
        <f t="shared" si="62"/>
        <v>8516000</v>
      </c>
      <c r="B3979" s="105" t="s">
        <v>6568</v>
      </c>
      <c r="C3979" s="105" t="s">
        <v>6569</v>
      </c>
      <c r="D3979" s="105">
        <v>500.04</v>
      </c>
      <c r="E3979" s="105">
        <v>300.02</v>
      </c>
      <c r="F3979" s="105">
        <v>0</v>
      </c>
    </row>
    <row r="3980" spans="1:6" x14ac:dyDescent="0.25">
      <c r="A3980" s="105">
        <f t="shared" si="62"/>
        <v>8517000</v>
      </c>
      <c r="B3980" s="105" t="s">
        <v>6570</v>
      </c>
      <c r="C3980" s="105" t="s">
        <v>6571</v>
      </c>
      <c r="D3980" s="105">
        <v>1763.84</v>
      </c>
      <c r="E3980" s="105">
        <v>1058.3</v>
      </c>
      <c r="F3980" s="105">
        <v>26</v>
      </c>
    </row>
    <row r="3981" spans="1:6" x14ac:dyDescent="0.25">
      <c r="A3981" s="105">
        <f t="shared" si="62"/>
        <v>851700007</v>
      </c>
      <c r="B3981" s="105" t="s">
        <v>6572</v>
      </c>
      <c r="C3981" s="105" t="s">
        <v>6573</v>
      </c>
      <c r="D3981" s="105">
        <v>0</v>
      </c>
      <c r="E3981" s="105">
        <v>0</v>
      </c>
      <c r="F3981" s="105">
        <v>1</v>
      </c>
    </row>
    <row r="3982" spans="1:6" x14ac:dyDescent="0.25">
      <c r="A3982" s="105">
        <f t="shared" si="62"/>
        <v>851700008</v>
      </c>
      <c r="B3982" s="105" t="s">
        <v>6574</v>
      </c>
      <c r="C3982" s="105" t="s">
        <v>6575</v>
      </c>
      <c r="D3982" s="105">
        <v>0</v>
      </c>
      <c r="E3982" s="105">
        <v>0</v>
      </c>
      <c r="F3982" s="105">
        <v>0</v>
      </c>
    </row>
    <row r="3983" spans="1:6" x14ac:dyDescent="0.25">
      <c r="A3983" s="105">
        <f t="shared" si="62"/>
        <v>851700009</v>
      </c>
      <c r="B3983" s="105" t="s">
        <v>6576</v>
      </c>
      <c r="C3983" s="105" t="s">
        <v>6577</v>
      </c>
      <c r="D3983" s="105">
        <v>0</v>
      </c>
      <c r="E3983" s="105">
        <v>0</v>
      </c>
      <c r="F3983" s="105">
        <v>2</v>
      </c>
    </row>
    <row r="3984" spans="1:6" x14ac:dyDescent="0.25">
      <c r="A3984" s="105">
        <f t="shared" si="62"/>
        <v>851700010</v>
      </c>
      <c r="B3984" s="105" t="s">
        <v>6578</v>
      </c>
      <c r="C3984" s="105" t="s">
        <v>6579</v>
      </c>
      <c r="D3984" s="105">
        <v>0</v>
      </c>
      <c r="E3984" s="105">
        <v>0</v>
      </c>
      <c r="F3984" s="105">
        <v>2</v>
      </c>
    </row>
    <row r="3985" spans="1:6" x14ac:dyDescent="0.25">
      <c r="A3985" s="105">
        <f t="shared" si="62"/>
        <v>851700011</v>
      </c>
      <c r="B3985" s="105" t="s">
        <v>6580</v>
      </c>
      <c r="C3985" s="105" t="s">
        <v>6581</v>
      </c>
      <c r="D3985" s="105">
        <v>0</v>
      </c>
      <c r="E3985" s="105">
        <v>0</v>
      </c>
      <c r="F3985" s="105">
        <v>4</v>
      </c>
    </row>
    <row r="3986" spans="1:6" x14ac:dyDescent="0.25">
      <c r="A3986" s="105">
        <f t="shared" si="62"/>
        <v>851700012</v>
      </c>
      <c r="B3986" s="105" t="s">
        <v>6582</v>
      </c>
      <c r="C3986" s="105" t="s">
        <v>6583</v>
      </c>
      <c r="D3986" s="105">
        <v>0</v>
      </c>
      <c r="E3986" s="105">
        <v>0</v>
      </c>
      <c r="F3986" s="105">
        <v>2</v>
      </c>
    </row>
    <row r="3987" spans="1:6" x14ac:dyDescent="0.25">
      <c r="A3987" s="105">
        <f t="shared" si="62"/>
        <v>851700013</v>
      </c>
      <c r="B3987" s="105" t="s">
        <v>6584</v>
      </c>
      <c r="C3987" s="105" t="s">
        <v>6585</v>
      </c>
      <c r="D3987" s="105">
        <v>0</v>
      </c>
      <c r="E3987" s="105">
        <v>0</v>
      </c>
      <c r="F3987" s="105">
        <v>0</v>
      </c>
    </row>
    <row r="3988" spans="1:6" x14ac:dyDescent="0.25">
      <c r="A3988" s="105" t="str">
        <f t="shared" si="62"/>
        <v/>
      </c>
      <c r="B3988" s="105" t="s">
        <v>6586</v>
      </c>
      <c r="C3988" s="105" t="s">
        <v>8</v>
      </c>
      <c r="D3988" s="105">
        <v>0</v>
      </c>
      <c r="E3988" s="105">
        <v>0</v>
      </c>
      <c r="F3988" s="105">
        <v>0</v>
      </c>
    </row>
    <row r="3989" spans="1:6" x14ac:dyDescent="0.25">
      <c r="A3989" s="105">
        <f t="shared" si="62"/>
        <v>8517001</v>
      </c>
      <c r="B3989" s="105" t="s">
        <v>6587</v>
      </c>
      <c r="C3989" s="105" t="s">
        <v>6588</v>
      </c>
      <c r="D3989" s="105">
        <v>0</v>
      </c>
      <c r="E3989" s="105">
        <v>0</v>
      </c>
      <c r="F3989" s="105">
        <v>0</v>
      </c>
    </row>
    <row r="3990" spans="1:6" x14ac:dyDescent="0.25">
      <c r="A3990" s="105">
        <f t="shared" si="62"/>
        <v>8517004</v>
      </c>
      <c r="B3990" s="105" t="s">
        <v>6590</v>
      </c>
      <c r="C3990" s="105" t="s">
        <v>6591</v>
      </c>
      <c r="D3990" s="105">
        <v>11126.08</v>
      </c>
      <c r="E3990" s="105">
        <v>6675.65</v>
      </c>
      <c r="F3990" s="105">
        <v>0</v>
      </c>
    </row>
    <row r="3991" spans="1:6" x14ac:dyDescent="0.25">
      <c r="A3991" s="105" t="str">
        <f t="shared" si="62"/>
        <v/>
      </c>
      <c r="B3991" s="105" t="s">
        <v>6592</v>
      </c>
      <c r="C3991" s="105" t="s">
        <v>8</v>
      </c>
      <c r="D3991" s="105">
        <v>0</v>
      </c>
      <c r="E3991" s="105">
        <v>0</v>
      </c>
      <c r="F3991" s="105">
        <v>0</v>
      </c>
    </row>
    <row r="3992" spans="1:6" x14ac:dyDescent="0.25">
      <c r="A3992" s="105">
        <f t="shared" si="62"/>
        <v>8517035</v>
      </c>
      <c r="B3992" s="105" t="s">
        <v>6593</v>
      </c>
      <c r="C3992" s="105" t="s">
        <v>6594</v>
      </c>
      <c r="D3992" s="105">
        <v>0</v>
      </c>
      <c r="E3992" s="105">
        <v>0</v>
      </c>
      <c r="F3992" s="105">
        <v>0</v>
      </c>
    </row>
    <row r="3993" spans="1:6" x14ac:dyDescent="0.25">
      <c r="A3993" s="105">
        <f t="shared" si="62"/>
        <v>8517050</v>
      </c>
      <c r="B3993" s="105" t="s">
        <v>6595</v>
      </c>
      <c r="C3993" s="105" t="s">
        <v>6596</v>
      </c>
      <c r="D3993" s="105">
        <v>245.95</v>
      </c>
      <c r="E3993" s="105">
        <v>147.57</v>
      </c>
      <c r="F3993" s="105">
        <v>0</v>
      </c>
    </row>
    <row r="3994" spans="1:6" x14ac:dyDescent="0.25">
      <c r="A3994" s="105">
        <f t="shared" si="62"/>
        <v>8517051</v>
      </c>
      <c r="B3994" s="105" t="s">
        <v>6597</v>
      </c>
      <c r="C3994" s="105" t="s">
        <v>6598</v>
      </c>
      <c r="D3994" s="105">
        <v>105.23</v>
      </c>
      <c r="E3994" s="105">
        <v>63.14</v>
      </c>
      <c r="F3994" s="105">
        <v>5</v>
      </c>
    </row>
    <row r="3995" spans="1:6" x14ac:dyDescent="0.25">
      <c r="A3995" s="105">
        <f t="shared" si="62"/>
        <v>8517103</v>
      </c>
      <c r="B3995" s="105" t="s">
        <v>6599</v>
      </c>
      <c r="C3995" s="105" t="s">
        <v>6600</v>
      </c>
      <c r="D3995" s="105">
        <v>3375.33</v>
      </c>
      <c r="E3995" s="105">
        <v>2025.2</v>
      </c>
      <c r="F3995" s="105">
        <v>1</v>
      </c>
    </row>
    <row r="3996" spans="1:6" x14ac:dyDescent="0.25">
      <c r="A3996" s="105">
        <f t="shared" si="62"/>
        <v>851710307</v>
      </c>
      <c r="B3996" s="105" t="s">
        <v>6601</v>
      </c>
      <c r="C3996" s="105" t="s">
        <v>6602</v>
      </c>
      <c r="D3996" s="105">
        <v>0</v>
      </c>
      <c r="E3996" s="105">
        <v>0</v>
      </c>
      <c r="F3996" s="105">
        <v>0</v>
      </c>
    </row>
    <row r="3997" spans="1:6" x14ac:dyDescent="0.25">
      <c r="A3997" s="105">
        <f t="shared" si="62"/>
        <v>851710308</v>
      </c>
      <c r="B3997" s="105" t="s">
        <v>6603</v>
      </c>
      <c r="C3997" s="105" t="s">
        <v>6604</v>
      </c>
      <c r="D3997" s="105">
        <v>0</v>
      </c>
      <c r="E3997" s="105">
        <v>0</v>
      </c>
      <c r="F3997" s="105">
        <v>0</v>
      </c>
    </row>
    <row r="3998" spans="1:6" x14ac:dyDescent="0.25">
      <c r="A3998" s="105">
        <f t="shared" si="62"/>
        <v>851710309</v>
      </c>
      <c r="B3998" s="105" t="s">
        <v>6605</v>
      </c>
      <c r="C3998" s="105" t="s">
        <v>6606</v>
      </c>
      <c r="D3998" s="105">
        <v>0</v>
      </c>
      <c r="E3998" s="105">
        <v>0</v>
      </c>
      <c r="F3998" s="105">
        <v>0</v>
      </c>
    </row>
    <row r="3999" spans="1:6" x14ac:dyDescent="0.25">
      <c r="A3999" s="105">
        <f t="shared" si="62"/>
        <v>851710310</v>
      </c>
      <c r="B3999" s="105" t="s">
        <v>6607</v>
      </c>
      <c r="C3999" s="105" t="s">
        <v>6608</v>
      </c>
      <c r="D3999" s="105">
        <v>0</v>
      </c>
      <c r="E3999" s="105">
        <v>0</v>
      </c>
      <c r="F3999" s="105">
        <v>0</v>
      </c>
    </row>
    <row r="4000" spans="1:6" x14ac:dyDescent="0.25">
      <c r="A4000" s="105">
        <f t="shared" si="62"/>
        <v>851710375</v>
      </c>
      <c r="B4000" s="105" t="s">
        <v>6609</v>
      </c>
      <c r="C4000" s="105" t="s">
        <v>6610</v>
      </c>
      <c r="D4000" s="105">
        <v>0</v>
      </c>
      <c r="E4000" s="105">
        <v>0</v>
      </c>
      <c r="F4000" s="105">
        <v>0</v>
      </c>
    </row>
    <row r="4001" spans="1:6" x14ac:dyDescent="0.25">
      <c r="A4001" s="105">
        <f t="shared" si="62"/>
        <v>851710385</v>
      </c>
      <c r="B4001" s="105" t="s">
        <v>6611</v>
      </c>
      <c r="C4001" s="105" t="s">
        <v>6612</v>
      </c>
      <c r="D4001" s="105">
        <v>0</v>
      </c>
      <c r="E4001" s="105">
        <v>0</v>
      </c>
      <c r="F4001" s="105">
        <v>0</v>
      </c>
    </row>
    <row r="4002" spans="1:6" x14ac:dyDescent="0.25">
      <c r="A4002" s="105">
        <f t="shared" si="62"/>
        <v>851710395</v>
      </c>
      <c r="B4002" s="105" t="s">
        <v>6613</v>
      </c>
      <c r="C4002" s="105" t="s">
        <v>6614</v>
      </c>
      <c r="D4002" s="105">
        <v>0</v>
      </c>
      <c r="E4002" s="105">
        <v>0</v>
      </c>
      <c r="F4002" s="105">
        <v>0</v>
      </c>
    </row>
    <row r="4003" spans="1:6" x14ac:dyDescent="0.25">
      <c r="A4003" s="105" t="str">
        <f t="shared" si="62"/>
        <v/>
      </c>
      <c r="B4003" s="105" t="s">
        <v>6615</v>
      </c>
      <c r="C4003" s="105" t="s">
        <v>8</v>
      </c>
      <c r="D4003" s="105">
        <v>0</v>
      </c>
      <c r="E4003" s="105">
        <v>0</v>
      </c>
      <c r="F4003" s="105">
        <v>0</v>
      </c>
    </row>
    <row r="4004" spans="1:6" x14ac:dyDescent="0.25">
      <c r="A4004" s="105">
        <f t="shared" si="62"/>
        <v>8517104</v>
      </c>
      <c r="B4004" s="105" t="s">
        <v>6616</v>
      </c>
      <c r="C4004" s="105" t="s">
        <v>6617</v>
      </c>
      <c r="D4004" s="105">
        <v>0</v>
      </c>
      <c r="E4004" s="105">
        <v>0</v>
      </c>
      <c r="F4004" s="105">
        <v>0</v>
      </c>
    </row>
    <row r="4005" spans="1:6" x14ac:dyDescent="0.25">
      <c r="A4005" s="105">
        <f t="shared" si="62"/>
        <v>8517110</v>
      </c>
      <c r="B4005" s="105" t="s">
        <v>6618</v>
      </c>
      <c r="C4005" s="105" t="s">
        <v>6619</v>
      </c>
      <c r="D4005" s="105">
        <v>237.81</v>
      </c>
      <c r="E4005" s="105">
        <v>142.69</v>
      </c>
      <c r="F4005" s="105">
        <v>0</v>
      </c>
    </row>
    <row r="4006" spans="1:6" x14ac:dyDescent="0.25">
      <c r="A4006" s="105">
        <f t="shared" si="62"/>
        <v>8517235</v>
      </c>
      <c r="B4006" s="105" t="s">
        <v>6620</v>
      </c>
      <c r="C4006" s="105" t="s">
        <v>6621</v>
      </c>
      <c r="D4006" s="105">
        <v>992.15</v>
      </c>
      <c r="E4006" s="105">
        <v>595.29</v>
      </c>
      <c r="F4006" s="105">
        <v>0</v>
      </c>
    </row>
    <row r="4007" spans="1:6" x14ac:dyDescent="0.25">
      <c r="A4007" s="105">
        <f t="shared" si="62"/>
        <v>8517300</v>
      </c>
      <c r="B4007" s="105" t="s">
        <v>6622</v>
      </c>
      <c r="C4007" s="105" t="s">
        <v>6623</v>
      </c>
      <c r="D4007" s="105">
        <v>118.91</v>
      </c>
      <c r="E4007" s="105">
        <v>71.349999999999994</v>
      </c>
      <c r="F4007" s="105">
        <v>1</v>
      </c>
    </row>
    <row r="4008" spans="1:6" x14ac:dyDescent="0.25">
      <c r="A4008" s="105">
        <f t="shared" si="62"/>
        <v>8517408</v>
      </c>
      <c r="B4008" s="105" t="s">
        <v>6624</v>
      </c>
      <c r="C4008" s="105" t="s">
        <v>6625</v>
      </c>
      <c r="D4008" s="105">
        <v>466.17</v>
      </c>
      <c r="E4008" s="105">
        <v>279.7</v>
      </c>
      <c r="F4008" s="105">
        <v>1</v>
      </c>
    </row>
    <row r="4009" spans="1:6" x14ac:dyDescent="0.25">
      <c r="A4009" s="105" t="str">
        <f t="shared" si="62"/>
        <v/>
      </c>
      <c r="B4009" s="105" t="s">
        <v>6626</v>
      </c>
      <c r="C4009" s="105" t="s">
        <v>8</v>
      </c>
      <c r="D4009" s="105">
        <v>0</v>
      </c>
      <c r="E4009" s="105">
        <v>0</v>
      </c>
      <c r="F4009" s="105">
        <v>0</v>
      </c>
    </row>
    <row r="4010" spans="1:6" x14ac:dyDescent="0.25">
      <c r="A4010" s="105">
        <f t="shared" si="62"/>
        <v>8517900</v>
      </c>
      <c r="B4010" s="105" t="s">
        <v>6627</v>
      </c>
      <c r="C4010" s="105" t="s">
        <v>9449</v>
      </c>
      <c r="D4010" s="105">
        <v>10494</v>
      </c>
      <c r="E4010" s="105">
        <v>6296.4</v>
      </c>
      <c r="F4010" s="105">
        <v>55</v>
      </c>
    </row>
    <row r="4011" spans="1:6" x14ac:dyDescent="0.25">
      <c r="A4011" s="105">
        <f t="shared" si="62"/>
        <v>8517901</v>
      </c>
      <c r="B4011" s="105" t="s">
        <v>6628</v>
      </c>
      <c r="C4011" s="105" t="s">
        <v>9450</v>
      </c>
      <c r="D4011" s="105">
        <v>10494</v>
      </c>
      <c r="E4011" s="105">
        <v>6296.4</v>
      </c>
      <c r="F4011" s="105">
        <v>9</v>
      </c>
    </row>
    <row r="4012" spans="1:6" x14ac:dyDescent="0.25">
      <c r="A4012" s="105" t="str">
        <f t="shared" si="62"/>
        <v/>
      </c>
      <c r="B4012" s="105" t="s">
        <v>6629</v>
      </c>
      <c r="C4012" s="105" t="s">
        <v>8</v>
      </c>
      <c r="D4012" s="105">
        <v>0</v>
      </c>
      <c r="E4012" s="105">
        <v>0</v>
      </c>
      <c r="F4012" s="105">
        <v>0</v>
      </c>
    </row>
    <row r="4013" spans="1:6" x14ac:dyDescent="0.25">
      <c r="A4013" s="105">
        <f t="shared" si="62"/>
        <v>8517902</v>
      </c>
      <c r="B4013" s="105" t="s">
        <v>6630</v>
      </c>
      <c r="C4013" s="105" t="s">
        <v>9451</v>
      </c>
      <c r="D4013" s="105">
        <v>10494</v>
      </c>
      <c r="E4013" s="105">
        <v>6296.4</v>
      </c>
      <c r="F4013" s="105">
        <v>6</v>
      </c>
    </row>
    <row r="4014" spans="1:6" x14ac:dyDescent="0.25">
      <c r="A4014" s="105" t="str">
        <f t="shared" si="62"/>
        <v/>
      </c>
      <c r="B4014" s="105" t="s">
        <v>6631</v>
      </c>
      <c r="C4014" s="105" t="s">
        <v>8</v>
      </c>
      <c r="D4014" s="105">
        <v>0</v>
      </c>
      <c r="E4014" s="105">
        <v>0</v>
      </c>
      <c r="F4014" s="105">
        <v>0</v>
      </c>
    </row>
    <row r="4015" spans="1:6" x14ac:dyDescent="0.25">
      <c r="A4015" s="105">
        <f t="shared" si="62"/>
        <v>8517903</v>
      </c>
      <c r="B4015" s="105" t="s">
        <v>6632</v>
      </c>
      <c r="C4015" s="105" t="s">
        <v>6633</v>
      </c>
      <c r="D4015" s="105">
        <v>0</v>
      </c>
      <c r="E4015" s="105">
        <v>0</v>
      </c>
      <c r="F4015" s="105">
        <v>0</v>
      </c>
    </row>
    <row r="4016" spans="1:6" x14ac:dyDescent="0.25">
      <c r="A4016" s="105" t="str">
        <f t="shared" si="62"/>
        <v/>
      </c>
      <c r="B4016" s="105" t="s">
        <v>6634</v>
      </c>
      <c r="C4016" s="105" t="s">
        <v>8</v>
      </c>
      <c r="D4016" s="105">
        <v>0</v>
      </c>
      <c r="E4016" s="105">
        <v>0</v>
      </c>
      <c r="F4016" s="105">
        <v>0</v>
      </c>
    </row>
    <row r="4017" spans="1:6" x14ac:dyDescent="0.25">
      <c r="A4017" s="105">
        <f t="shared" si="62"/>
        <v>8517904</v>
      </c>
      <c r="B4017" s="105" t="s">
        <v>6635</v>
      </c>
      <c r="C4017" s="105" t="s">
        <v>9452</v>
      </c>
      <c r="D4017" s="105">
        <v>7950</v>
      </c>
      <c r="E4017" s="105">
        <v>4770</v>
      </c>
      <c r="F4017" s="105">
        <v>8</v>
      </c>
    </row>
    <row r="4018" spans="1:6" x14ac:dyDescent="0.25">
      <c r="A4018" s="105" t="str">
        <f t="shared" si="62"/>
        <v/>
      </c>
      <c r="B4018" s="105" t="s">
        <v>6636</v>
      </c>
      <c r="C4018" s="105" t="s">
        <v>8</v>
      </c>
      <c r="D4018" s="105">
        <v>0</v>
      </c>
      <c r="E4018" s="105">
        <v>0</v>
      </c>
      <c r="F4018" s="105">
        <v>0</v>
      </c>
    </row>
    <row r="4019" spans="1:6" x14ac:dyDescent="0.25">
      <c r="A4019" s="105">
        <f t="shared" si="62"/>
        <v>8517905</v>
      </c>
      <c r="B4019" s="105" t="s">
        <v>6637</v>
      </c>
      <c r="C4019" s="105" t="s">
        <v>9453</v>
      </c>
      <c r="D4019" s="105">
        <v>7950</v>
      </c>
      <c r="E4019" s="105">
        <v>4770</v>
      </c>
      <c r="F4019" s="105">
        <v>11</v>
      </c>
    </row>
    <row r="4020" spans="1:6" x14ac:dyDescent="0.25">
      <c r="A4020" s="105">
        <f t="shared" si="62"/>
        <v>8517906</v>
      </c>
      <c r="B4020" s="105" t="s">
        <v>9454</v>
      </c>
      <c r="C4020" s="105" t="s">
        <v>9455</v>
      </c>
      <c r="D4020" s="105">
        <v>7950</v>
      </c>
      <c r="E4020" s="105">
        <v>4770</v>
      </c>
      <c r="F4020" s="105">
        <v>5</v>
      </c>
    </row>
    <row r="4021" spans="1:6" x14ac:dyDescent="0.25">
      <c r="A4021" s="105" t="str">
        <f t="shared" si="62"/>
        <v/>
      </c>
      <c r="B4021" s="105" t="s">
        <v>6638</v>
      </c>
      <c r="C4021" s="105" t="s">
        <v>8</v>
      </c>
      <c r="D4021" s="105">
        <v>0</v>
      </c>
      <c r="E4021" s="105">
        <v>0</v>
      </c>
      <c r="F4021" s="105">
        <v>0</v>
      </c>
    </row>
    <row r="4022" spans="1:6" x14ac:dyDescent="0.25">
      <c r="A4022" s="105">
        <f t="shared" si="62"/>
        <v>8517907</v>
      </c>
      <c r="B4022" s="105" t="s">
        <v>6639</v>
      </c>
      <c r="C4022" s="105" t="s">
        <v>6640</v>
      </c>
      <c r="D4022" s="105">
        <v>0</v>
      </c>
      <c r="E4022" s="105">
        <v>0</v>
      </c>
      <c r="F4022" s="105">
        <v>0</v>
      </c>
    </row>
    <row r="4023" spans="1:6" x14ac:dyDescent="0.25">
      <c r="A4023" s="105" t="str">
        <f t="shared" si="62"/>
        <v/>
      </c>
      <c r="B4023" s="105" t="s">
        <v>6641</v>
      </c>
      <c r="C4023" s="105" t="s">
        <v>8</v>
      </c>
      <c r="D4023" s="105">
        <v>0</v>
      </c>
      <c r="E4023" s="105">
        <v>0</v>
      </c>
      <c r="F4023" s="105">
        <v>0</v>
      </c>
    </row>
    <row r="4024" spans="1:6" x14ac:dyDescent="0.25">
      <c r="A4024" s="105">
        <f t="shared" si="62"/>
        <v>8518000</v>
      </c>
      <c r="B4024" s="105" t="s">
        <v>6642</v>
      </c>
      <c r="C4024" s="105" t="s">
        <v>6643</v>
      </c>
      <c r="D4024" s="105">
        <v>0</v>
      </c>
      <c r="E4024" s="105">
        <v>0</v>
      </c>
      <c r="F4024" s="105">
        <v>0</v>
      </c>
    </row>
    <row r="4025" spans="1:6" x14ac:dyDescent="0.25">
      <c r="A4025" s="105">
        <f t="shared" si="62"/>
        <v>8518011</v>
      </c>
      <c r="B4025" s="105" t="s">
        <v>6644</v>
      </c>
      <c r="C4025" s="105" t="s">
        <v>6645</v>
      </c>
      <c r="D4025" s="105">
        <v>1047.28</v>
      </c>
      <c r="E4025" s="105">
        <v>628.37</v>
      </c>
      <c r="F4025" s="105">
        <v>364</v>
      </c>
    </row>
    <row r="4026" spans="1:6" x14ac:dyDescent="0.25">
      <c r="A4026" s="105" t="str">
        <f t="shared" si="62"/>
        <v/>
      </c>
      <c r="B4026" s="105" t="s">
        <v>6646</v>
      </c>
      <c r="C4026" s="105" t="s">
        <v>8</v>
      </c>
      <c r="D4026" s="105">
        <v>0</v>
      </c>
      <c r="E4026" s="105">
        <v>0</v>
      </c>
      <c r="F4026" s="105">
        <v>0</v>
      </c>
    </row>
    <row r="4027" spans="1:6" x14ac:dyDescent="0.25">
      <c r="A4027" s="105">
        <f t="shared" si="62"/>
        <v>8518012</v>
      </c>
      <c r="B4027" s="105" t="s">
        <v>6647</v>
      </c>
      <c r="C4027" s="105" t="s">
        <v>6648</v>
      </c>
      <c r="D4027" s="105">
        <v>0</v>
      </c>
      <c r="E4027" s="105">
        <v>0</v>
      </c>
      <c r="F4027" s="105">
        <v>0</v>
      </c>
    </row>
    <row r="4028" spans="1:6" x14ac:dyDescent="0.25">
      <c r="A4028" s="105">
        <f t="shared" si="62"/>
        <v>8518013</v>
      </c>
      <c r="B4028" s="105" t="s">
        <v>6649</v>
      </c>
      <c r="C4028" s="105" t="s">
        <v>6650</v>
      </c>
      <c r="D4028" s="105">
        <v>906.08</v>
      </c>
      <c r="E4028" s="105">
        <v>543.65</v>
      </c>
      <c r="F4028" s="105">
        <v>0</v>
      </c>
    </row>
    <row r="4029" spans="1:6" x14ac:dyDescent="0.25">
      <c r="A4029" s="105">
        <f t="shared" si="62"/>
        <v>8518014</v>
      </c>
      <c r="B4029" s="105" t="s">
        <v>6651</v>
      </c>
      <c r="C4029" s="105" t="s">
        <v>6652</v>
      </c>
      <c r="D4029" s="105">
        <v>1060</v>
      </c>
      <c r="E4029" s="105">
        <v>636</v>
      </c>
      <c r="F4029" s="105">
        <v>82</v>
      </c>
    </row>
    <row r="4030" spans="1:6" x14ac:dyDescent="0.25">
      <c r="A4030" s="105" t="str">
        <f t="shared" si="62"/>
        <v/>
      </c>
      <c r="B4030" s="105" t="s">
        <v>6653</v>
      </c>
      <c r="C4030" s="105" t="s">
        <v>8</v>
      </c>
      <c r="D4030" s="105">
        <v>0</v>
      </c>
      <c r="E4030" s="105">
        <v>0</v>
      </c>
      <c r="F4030" s="105">
        <v>0</v>
      </c>
    </row>
    <row r="4031" spans="1:6" x14ac:dyDescent="0.25">
      <c r="A4031" s="105">
        <f t="shared" si="62"/>
        <v>8518015</v>
      </c>
      <c r="B4031" s="105" t="s">
        <v>6654</v>
      </c>
      <c r="C4031" s="105" t="s">
        <v>6655</v>
      </c>
      <c r="D4031" s="105">
        <v>0</v>
      </c>
      <c r="E4031" s="105">
        <v>0</v>
      </c>
      <c r="F4031" s="105">
        <v>0</v>
      </c>
    </row>
    <row r="4032" spans="1:6" x14ac:dyDescent="0.25">
      <c r="A4032" s="105" t="str">
        <f t="shared" si="62"/>
        <v/>
      </c>
      <c r="B4032" s="105" t="s">
        <v>6656</v>
      </c>
      <c r="C4032" s="105" t="s">
        <v>8</v>
      </c>
      <c r="D4032" s="105">
        <v>0</v>
      </c>
      <c r="E4032" s="105">
        <v>0</v>
      </c>
      <c r="F4032" s="105">
        <v>0</v>
      </c>
    </row>
    <row r="4033" spans="1:6" x14ac:dyDescent="0.25">
      <c r="A4033" s="105">
        <f t="shared" si="62"/>
        <v>8518016</v>
      </c>
      <c r="B4033" s="105" t="s">
        <v>6657</v>
      </c>
      <c r="C4033" s="105" t="s">
        <v>6658</v>
      </c>
      <c r="D4033" s="105">
        <v>0</v>
      </c>
      <c r="E4033" s="105">
        <v>0</v>
      </c>
      <c r="F4033" s="105">
        <v>0</v>
      </c>
    </row>
    <row r="4034" spans="1:6" x14ac:dyDescent="0.25">
      <c r="A4034" s="105">
        <f t="shared" si="62"/>
        <v>8518017</v>
      </c>
      <c r="B4034" s="105" t="s">
        <v>6659</v>
      </c>
      <c r="C4034" s="105" t="s">
        <v>6660</v>
      </c>
      <c r="D4034" s="105">
        <v>0</v>
      </c>
      <c r="E4034" s="105">
        <v>0</v>
      </c>
      <c r="F4034" s="105">
        <v>0</v>
      </c>
    </row>
    <row r="4035" spans="1:6" x14ac:dyDescent="0.25">
      <c r="A4035" s="105" t="str">
        <f t="shared" ref="A4035:A4098" si="63">IF(B4035&lt;&gt;"",IFERROR(B4035*1,""),"")</f>
        <v/>
      </c>
      <c r="B4035" s="105" t="s">
        <v>6661</v>
      </c>
      <c r="C4035" s="105" t="s">
        <v>8</v>
      </c>
      <c r="D4035" s="105">
        <v>0</v>
      </c>
      <c r="E4035" s="105">
        <v>0</v>
      </c>
      <c r="F4035" s="105">
        <v>0</v>
      </c>
    </row>
    <row r="4036" spans="1:6" x14ac:dyDescent="0.25">
      <c r="A4036" s="105">
        <f t="shared" si="63"/>
        <v>8518018</v>
      </c>
      <c r="B4036" s="105" t="s">
        <v>6662</v>
      </c>
      <c r="C4036" s="105" t="s">
        <v>6663</v>
      </c>
      <c r="D4036" s="105">
        <v>0</v>
      </c>
      <c r="E4036" s="105">
        <v>0</v>
      </c>
      <c r="F4036" s="105">
        <v>0</v>
      </c>
    </row>
    <row r="4037" spans="1:6" x14ac:dyDescent="0.25">
      <c r="A4037" s="105" t="str">
        <f t="shared" si="63"/>
        <v/>
      </c>
      <c r="B4037" s="105" t="s">
        <v>6664</v>
      </c>
      <c r="C4037" s="105" t="s">
        <v>8</v>
      </c>
      <c r="D4037" s="105">
        <v>0</v>
      </c>
      <c r="E4037" s="105">
        <v>0</v>
      </c>
      <c r="F4037" s="105">
        <v>0</v>
      </c>
    </row>
    <row r="4038" spans="1:6" x14ac:dyDescent="0.25">
      <c r="A4038" s="105">
        <f t="shared" si="63"/>
        <v>8518019</v>
      </c>
      <c r="B4038" s="105" t="s">
        <v>6665</v>
      </c>
      <c r="C4038" s="105" t="s">
        <v>6666</v>
      </c>
      <c r="D4038" s="105">
        <v>0</v>
      </c>
      <c r="E4038" s="105">
        <v>0</v>
      </c>
      <c r="F4038" s="105">
        <v>0</v>
      </c>
    </row>
    <row r="4039" spans="1:6" x14ac:dyDescent="0.25">
      <c r="A4039" s="105">
        <f t="shared" si="63"/>
        <v>8518159</v>
      </c>
      <c r="B4039" s="105" t="s">
        <v>6667</v>
      </c>
      <c r="C4039" s="105" t="s">
        <v>6668</v>
      </c>
      <c r="D4039" s="105">
        <v>756.32</v>
      </c>
      <c r="E4039" s="105">
        <v>453.79</v>
      </c>
      <c r="F4039" s="105">
        <v>3</v>
      </c>
    </row>
    <row r="4040" spans="1:6" x14ac:dyDescent="0.25">
      <c r="A4040" s="105">
        <f t="shared" si="63"/>
        <v>8518300</v>
      </c>
      <c r="B4040" s="105" t="s">
        <v>6669</v>
      </c>
      <c r="C4040" s="105" t="s">
        <v>6670</v>
      </c>
      <c r="D4040" s="105">
        <v>3780.1</v>
      </c>
      <c r="E4040" s="105">
        <v>2268.06</v>
      </c>
      <c r="F4040" s="105">
        <v>0</v>
      </c>
    </row>
    <row r="4041" spans="1:6" x14ac:dyDescent="0.25">
      <c r="A4041" s="105">
        <f t="shared" si="63"/>
        <v>8518753</v>
      </c>
      <c r="B4041" s="105" t="s">
        <v>6671</v>
      </c>
      <c r="C4041" s="105" t="s">
        <v>6672</v>
      </c>
      <c r="D4041" s="105">
        <v>4536.42</v>
      </c>
      <c r="E4041" s="105">
        <v>2721.85</v>
      </c>
      <c r="F4041" s="105">
        <v>0</v>
      </c>
    </row>
    <row r="4042" spans="1:6" x14ac:dyDescent="0.25">
      <c r="A4042" s="105">
        <f t="shared" si="63"/>
        <v>8518789</v>
      </c>
      <c r="B4042" s="105" t="s">
        <v>6673</v>
      </c>
      <c r="C4042" s="105" t="s">
        <v>6674</v>
      </c>
      <c r="D4042" s="105">
        <v>756.32</v>
      </c>
      <c r="E4042" s="105">
        <v>453.79</v>
      </c>
      <c r="F4042" s="105">
        <v>19</v>
      </c>
    </row>
    <row r="4043" spans="1:6" x14ac:dyDescent="0.25">
      <c r="A4043" s="105" t="str">
        <f t="shared" si="63"/>
        <v/>
      </c>
      <c r="B4043" s="105" t="s">
        <v>6675</v>
      </c>
      <c r="C4043" s="105" t="s">
        <v>8</v>
      </c>
      <c r="D4043" s="105">
        <v>0</v>
      </c>
      <c r="E4043" s="105">
        <v>0</v>
      </c>
      <c r="F4043" s="105">
        <v>0</v>
      </c>
    </row>
    <row r="4044" spans="1:6" x14ac:dyDescent="0.25">
      <c r="A4044" s="105">
        <f t="shared" si="63"/>
        <v>8519021</v>
      </c>
      <c r="B4044" s="105" t="s">
        <v>6676</v>
      </c>
      <c r="C4044" s="105" t="s">
        <v>6677</v>
      </c>
      <c r="D4044" s="105">
        <v>0</v>
      </c>
      <c r="E4044" s="105">
        <v>0</v>
      </c>
      <c r="F4044" s="105">
        <v>0</v>
      </c>
    </row>
    <row r="4045" spans="1:6" x14ac:dyDescent="0.25">
      <c r="A4045" s="105">
        <f t="shared" si="63"/>
        <v>8519022</v>
      </c>
      <c r="B4045" s="105" t="s">
        <v>6678</v>
      </c>
      <c r="C4045" s="105" t="s">
        <v>6679</v>
      </c>
      <c r="D4045" s="105">
        <v>1875.17</v>
      </c>
      <c r="E4045" s="105">
        <v>1125.0999999999999</v>
      </c>
      <c r="F4045" s="105">
        <v>0</v>
      </c>
    </row>
    <row r="4046" spans="1:6" x14ac:dyDescent="0.25">
      <c r="A4046" s="105" t="str">
        <f t="shared" si="63"/>
        <v/>
      </c>
      <c r="B4046" s="105" t="s">
        <v>6680</v>
      </c>
      <c r="C4046" s="105" t="s">
        <v>8</v>
      </c>
      <c r="D4046" s="105">
        <v>0</v>
      </c>
      <c r="E4046" s="105">
        <v>0</v>
      </c>
      <c r="F4046" s="105">
        <v>0</v>
      </c>
    </row>
    <row r="4047" spans="1:6" x14ac:dyDescent="0.25">
      <c r="A4047" s="105">
        <f t="shared" si="63"/>
        <v>8519040</v>
      </c>
      <c r="B4047" s="105" t="s">
        <v>6681</v>
      </c>
      <c r="C4047" s="105" t="s">
        <v>6682</v>
      </c>
      <c r="D4047" s="105">
        <v>0</v>
      </c>
      <c r="E4047" s="105">
        <v>0</v>
      </c>
      <c r="F4047" s="105">
        <v>0</v>
      </c>
    </row>
    <row r="4048" spans="1:6" x14ac:dyDescent="0.25">
      <c r="A4048" s="105">
        <f t="shared" si="63"/>
        <v>8519041</v>
      </c>
      <c r="B4048" s="105" t="s">
        <v>6683</v>
      </c>
      <c r="C4048" s="105" t="s">
        <v>6684</v>
      </c>
      <c r="D4048" s="105">
        <v>5300</v>
      </c>
      <c r="E4048" s="105">
        <v>3180</v>
      </c>
      <c r="F4048" s="105">
        <v>9</v>
      </c>
    </row>
    <row r="4049" spans="1:6" x14ac:dyDescent="0.25">
      <c r="A4049" s="105">
        <f t="shared" si="63"/>
        <v>8519042</v>
      </c>
      <c r="B4049" s="105" t="s">
        <v>6685</v>
      </c>
      <c r="C4049" s="105" t="s">
        <v>6686</v>
      </c>
      <c r="D4049" s="105">
        <v>3127</v>
      </c>
      <c r="E4049" s="105">
        <v>1876.2</v>
      </c>
      <c r="F4049" s="105">
        <v>3</v>
      </c>
    </row>
    <row r="4050" spans="1:6" x14ac:dyDescent="0.25">
      <c r="A4050" s="105" t="str">
        <f t="shared" si="63"/>
        <v/>
      </c>
      <c r="B4050" s="105" t="s">
        <v>6687</v>
      </c>
      <c r="C4050" s="105" t="s">
        <v>8</v>
      </c>
      <c r="D4050" s="105">
        <v>0</v>
      </c>
      <c r="E4050" s="105">
        <v>0</v>
      </c>
      <c r="F4050" s="105">
        <v>0</v>
      </c>
    </row>
    <row r="4051" spans="1:6" x14ac:dyDescent="0.25">
      <c r="A4051" s="105">
        <f t="shared" si="63"/>
        <v>8519043</v>
      </c>
      <c r="B4051" s="105" t="s">
        <v>6688</v>
      </c>
      <c r="C4051" s="105" t="s">
        <v>6689</v>
      </c>
      <c r="D4051" s="105">
        <v>0</v>
      </c>
      <c r="E4051" s="105">
        <v>0</v>
      </c>
      <c r="F4051" s="105">
        <v>0</v>
      </c>
    </row>
    <row r="4052" spans="1:6" x14ac:dyDescent="0.25">
      <c r="A4052" s="105">
        <f t="shared" si="63"/>
        <v>8519044</v>
      </c>
      <c r="B4052" s="105" t="s">
        <v>6690</v>
      </c>
      <c r="C4052" s="105" t="s">
        <v>6691</v>
      </c>
      <c r="D4052" s="105">
        <v>3286</v>
      </c>
      <c r="E4052" s="105">
        <v>1971.6</v>
      </c>
      <c r="F4052" s="105">
        <v>31</v>
      </c>
    </row>
    <row r="4053" spans="1:6" x14ac:dyDescent="0.25">
      <c r="A4053" s="105">
        <f t="shared" si="63"/>
        <v>8519060</v>
      </c>
      <c r="B4053" s="105" t="s">
        <v>6692</v>
      </c>
      <c r="C4053" s="105" t="s">
        <v>6693</v>
      </c>
      <c r="D4053" s="105">
        <v>3125.29</v>
      </c>
      <c r="E4053" s="105">
        <v>1875.17</v>
      </c>
      <c r="F4053" s="105">
        <v>0</v>
      </c>
    </row>
    <row r="4054" spans="1:6" x14ac:dyDescent="0.25">
      <c r="A4054" s="105">
        <f t="shared" si="63"/>
        <v>851949714</v>
      </c>
      <c r="B4054" s="105" t="s">
        <v>6694</v>
      </c>
      <c r="C4054" s="105" t="s">
        <v>6695</v>
      </c>
      <c r="D4054" s="105">
        <v>0</v>
      </c>
      <c r="E4054" s="105">
        <v>0</v>
      </c>
      <c r="F4054" s="105">
        <v>0</v>
      </c>
    </row>
    <row r="4055" spans="1:6" x14ac:dyDescent="0.25">
      <c r="A4055" s="105">
        <f t="shared" si="63"/>
        <v>851949822</v>
      </c>
      <c r="B4055" s="105" t="s">
        <v>6696</v>
      </c>
      <c r="C4055" s="105" t="s">
        <v>6697</v>
      </c>
      <c r="D4055" s="105">
        <v>0</v>
      </c>
      <c r="E4055" s="105">
        <v>0</v>
      </c>
      <c r="F4055" s="105">
        <v>0</v>
      </c>
    </row>
    <row r="4056" spans="1:6" x14ac:dyDescent="0.25">
      <c r="A4056" s="105">
        <f t="shared" si="63"/>
        <v>8519499</v>
      </c>
      <c r="B4056" s="105" t="s">
        <v>9456</v>
      </c>
      <c r="C4056" s="105" t="s">
        <v>6699</v>
      </c>
      <c r="D4056" s="105">
        <v>3950</v>
      </c>
      <c r="E4056" s="105">
        <v>2370</v>
      </c>
      <c r="F4056" s="105">
        <v>0</v>
      </c>
    </row>
    <row r="4057" spans="1:6" x14ac:dyDescent="0.25">
      <c r="A4057" s="105">
        <f t="shared" si="63"/>
        <v>851949960</v>
      </c>
      <c r="B4057" s="105" t="s">
        <v>6698</v>
      </c>
      <c r="C4057" s="105" t="s">
        <v>6699</v>
      </c>
      <c r="D4057" s="105">
        <v>676.29</v>
      </c>
      <c r="E4057" s="105">
        <v>405.77</v>
      </c>
      <c r="F4057" s="105">
        <v>0</v>
      </c>
    </row>
    <row r="4058" spans="1:6" x14ac:dyDescent="0.25">
      <c r="A4058" s="105">
        <f t="shared" si="63"/>
        <v>8519500</v>
      </c>
      <c r="B4058" s="105" t="s">
        <v>6700</v>
      </c>
      <c r="C4058" s="105" t="s">
        <v>6701</v>
      </c>
      <c r="D4058" s="105">
        <v>7526</v>
      </c>
      <c r="E4058" s="105">
        <v>4515.6000000000004</v>
      </c>
      <c r="F4058" s="105">
        <v>0</v>
      </c>
    </row>
    <row r="4059" spans="1:6" x14ac:dyDescent="0.25">
      <c r="A4059" s="105">
        <f t="shared" si="63"/>
        <v>851950099</v>
      </c>
      <c r="B4059" s="105" t="s">
        <v>6702</v>
      </c>
      <c r="C4059" s="105" t="s">
        <v>6703</v>
      </c>
      <c r="D4059" s="105">
        <v>0</v>
      </c>
      <c r="E4059" s="105">
        <v>0</v>
      </c>
      <c r="F4059" s="105">
        <v>0</v>
      </c>
    </row>
    <row r="4060" spans="1:6" x14ac:dyDescent="0.25">
      <c r="A4060" s="105" t="str">
        <f t="shared" si="63"/>
        <v/>
      </c>
      <c r="B4060" s="105" t="s">
        <v>6704</v>
      </c>
      <c r="C4060" s="105" t="s">
        <v>8</v>
      </c>
      <c r="D4060" s="105">
        <v>0</v>
      </c>
      <c r="E4060" s="105">
        <v>0</v>
      </c>
      <c r="F4060" s="105">
        <v>0</v>
      </c>
    </row>
    <row r="4061" spans="1:6" x14ac:dyDescent="0.25">
      <c r="A4061" s="105">
        <f t="shared" si="63"/>
        <v>8519502</v>
      </c>
      <c r="B4061" s="105" t="s">
        <v>6705</v>
      </c>
      <c r="C4061" s="105" t="s">
        <v>6706</v>
      </c>
      <c r="D4061" s="105">
        <v>3275.4</v>
      </c>
      <c r="E4061" s="105">
        <v>1965.24</v>
      </c>
      <c r="F4061" s="105">
        <v>0</v>
      </c>
    </row>
    <row r="4062" spans="1:6" x14ac:dyDescent="0.25">
      <c r="A4062" s="105" t="str">
        <f t="shared" si="63"/>
        <v/>
      </c>
      <c r="B4062" s="105" t="s">
        <v>6707</v>
      </c>
      <c r="C4062" s="105" t="s">
        <v>8</v>
      </c>
      <c r="D4062" s="105">
        <v>0</v>
      </c>
      <c r="E4062" s="105">
        <v>0</v>
      </c>
      <c r="F4062" s="105">
        <v>0</v>
      </c>
    </row>
    <row r="4063" spans="1:6" x14ac:dyDescent="0.25">
      <c r="A4063" s="105">
        <f t="shared" si="63"/>
        <v>8520000</v>
      </c>
      <c r="B4063" s="105" t="s">
        <v>6708</v>
      </c>
      <c r="C4063" s="105" t="s">
        <v>9457</v>
      </c>
      <c r="D4063" s="105">
        <v>2756</v>
      </c>
      <c r="E4063" s="105">
        <v>1653.6</v>
      </c>
      <c r="F4063" s="105">
        <v>239</v>
      </c>
    </row>
    <row r="4064" spans="1:6" x14ac:dyDescent="0.25">
      <c r="A4064" s="105" t="str">
        <f t="shared" si="63"/>
        <v/>
      </c>
      <c r="B4064" s="105" t="s">
        <v>6709</v>
      </c>
      <c r="C4064" s="105" t="s">
        <v>8</v>
      </c>
      <c r="D4064" s="105">
        <v>0</v>
      </c>
      <c r="E4064" s="105">
        <v>0</v>
      </c>
      <c r="F4064" s="105">
        <v>0</v>
      </c>
    </row>
    <row r="4065" spans="1:6" x14ac:dyDescent="0.25">
      <c r="A4065" s="105">
        <f t="shared" si="63"/>
        <v>8520001</v>
      </c>
      <c r="B4065" s="105" t="s">
        <v>6710</v>
      </c>
      <c r="C4065" s="105" t="s">
        <v>6711</v>
      </c>
      <c r="D4065" s="105">
        <v>0</v>
      </c>
      <c r="E4065" s="105">
        <v>0</v>
      </c>
      <c r="F4065" s="105">
        <v>0</v>
      </c>
    </row>
    <row r="4066" spans="1:6" x14ac:dyDescent="0.25">
      <c r="A4066" s="105">
        <f t="shared" si="63"/>
        <v>8520003</v>
      </c>
      <c r="B4066" s="105" t="s">
        <v>6712</v>
      </c>
      <c r="C4066" s="105" t="s">
        <v>6713</v>
      </c>
      <c r="D4066" s="105">
        <v>1908</v>
      </c>
      <c r="E4066" s="105">
        <v>1144.8</v>
      </c>
      <c r="F4066" s="105">
        <v>0</v>
      </c>
    </row>
    <row r="4067" spans="1:6" x14ac:dyDescent="0.25">
      <c r="A4067" s="105">
        <f t="shared" si="63"/>
        <v>85200038</v>
      </c>
      <c r="B4067" s="105" t="s">
        <v>6714</v>
      </c>
      <c r="C4067" s="105" t="s">
        <v>6715</v>
      </c>
      <c r="D4067" s="105">
        <v>0</v>
      </c>
      <c r="E4067" s="105">
        <v>0</v>
      </c>
      <c r="F4067" s="105">
        <v>0</v>
      </c>
    </row>
    <row r="4068" spans="1:6" x14ac:dyDescent="0.25">
      <c r="A4068" s="105">
        <f t="shared" si="63"/>
        <v>8520004</v>
      </c>
      <c r="B4068" s="105" t="s">
        <v>6716</v>
      </c>
      <c r="C4068" s="105" t="s">
        <v>6717</v>
      </c>
      <c r="D4068" s="105">
        <v>1378</v>
      </c>
      <c r="E4068" s="105">
        <v>826.8</v>
      </c>
      <c r="F4068" s="105">
        <v>80</v>
      </c>
    </row>
    <row r="4069" spans="1:6" x14ac:dyDescent="0.25">
      <c r="A4069" s="105">
        <f t="shared" si="63"/>
        <v>8520005</v>
      </c>
      <c r="B4069" s="105" t="s">
        <v>6718</v>
      </c>
      <c r="C4069" s="105" t="s">
        <v>6719</v>
      </c>
      <c r="D4069" s="105">
        <v>3498</v>
      </c>
      <c r="E4069" s="105">
        <v>2098.8000000000002</v>
      </c>
      <c r="F4069" s="105">
        <v>67</v>
      </c>
    </row>
    <row r="4070" spans="1:6" x14ac:dyDescent="0.25">
      <c r="A4070" s="105" t="str">
        <f t="shared" si="63"/>
        <v/>
      </c>
      <c r="B4070" s="105" t="s">
        <v>6720</v>
      </c>
      <c r="C4070" s="105" t="s">
        <v>8</v>
      </c>
      <c r="D4070" s="105">
        <v>0</v>
      </c>
      <c r="E4070" s="105">
        <v>0</v>
      </c>
      <c r="F4070" s="105">
        <v>0</v>
      </c>
    </row>
    <row r="4071" spans="1:6" x14ac:dyDescent="0.25">
      <c r="A4071" s="105">
        <f t="shared" si="63"/>
        <v>8520006</v>
      </c>
      <c r="B4071" s="105" t="s">
        <v>6721</v>
      </c>
      <c r="C4071" s="105" t="s">
        <v>6722</v>
      </c>
      <c r="D4071" s="105">
        <v>0</v>
      </c>
      <c r="E4071" s="105">
        <v>0</v>
      </c>
      <c r="F4071" s="105">
        <v>0</v>
      </c>
    </row>
    <row r="4072" spans="1:6" x14ac:dyDescent="0.25">
      <c r="A4072" s="105">
        <f t="shared" si="63"/>
        <v>8520007</v>
      </c>
      <c r="B4072" s="105" t="s">
        <v>6723</v>
      </c>
      <c r="C4072" s="105" t="s">
        <v>6724</v>
      </c>
      <c r="D4072" s="105">
        <v>1484</v>
      </c>
      <c r="E4072" s="105">
        <v>890.4</v>
      </c>
      <c r="F4072" s="105">
        <v>100</v>
      </c>
    </row>
    <row r="4073" spans="1:6" x14ac:dyDescent="0.25">
      <c r="A4073" s="105" t="str">
        <f t="shared" si="63"/>
        <v/>
      </c>
      <c r="B4073" s="105" t="s">
        <v>6725</v>
      </c>
      <c r="C4073" s="105" t="s">
        <v>8</v>
      </c>
      <c r="D4073" s="105">
        <v>0</v>
      </c>
      <c r="E4073" s="105">
        <v>0</v>
      </c>
      <c r="F4073" s="105">
        <v>0</v>
      </c>
    </row>
    <row r="4074" spans="1:6" x14ac:dyDescent="0.25">
      <c r="A4074" s="105">
        <f t="shared" si="63"/>
        <v>8520008</v>
      </c>
      <c r="B4074" s="105" t="s">
        <v>6726</v>
      </c>
      <c r="C4074" s="105" t="s">
        <v>6727</v>
      </c>
      <c r="D4074" s="105">
        <v>0</v>
      </c>
      <c r="E4074" s="105">
        <v>0</v>
      </c>
      <c r="F4074" s="105">
        <v>0</v>
      </c>
    </row>
    <row r="4075" spans="1:6" x14ac:dyDescent="0.25">
      <c r="A4075" s="105">
        <f t="shared" si="63"/>
        <v>8520009</v>
      </c>
      <c r="B4075" s="105" t="s">
        <v>6728</v>
      </c>
      <c r="C4075" s="105" t="s">
        <v>6729</v>
      </c>
      <c r="D4075" s="105">
        <v>1720.24</v>
      </c>
      <c r="E4075" s="105">
        <v>1032.1400000000001</v>
      </c>
      <c r="F4075" s="105">
        <v>0</v>
      </c>
    </row>
    <row r="4076" spans="1:6" x14ac:dyDescent="0.25">
      <c r="A4076" s="105">
        <f t="shared" si="63"/>
        <v>8520010</v>
      </c>
      <c r="B4076" s="105" t="s">
        <v>6730</v>
      </c>
      <c r="C4076" s="105" t="s">
        <v>6731</v>
      </c>
      <c r="D4076" s="105">
        <v>0</v>
      </c>
      <c r="E4076" s="105">
        <v>0</v>
      </c>
      <c r="F4076" s="105">
        <v>0</v>
      </c>
    </row>
    <row r="4077" spans="1:6" x14ac:dyDescent="0.25">
      <c r="A4077" s="105" t="str">
        <f t="shared" si="63"/>
        <v/>
      </c>
      <c r="B4077" s="105" t="s">
        <v>6732</v>
      </c>
      <c r="C4077" s="105" t="s">
        <v>8</v>
      </c>
      <c r="D4077" s="105">
        <v>0</v>
      </c>
      <c r="E4077" s="105">
        <v>0</v>
      </c>
      <c r="F4077" s="105">
        <v>0</v>
      </c>
    </row>
    <row r="4078" spans="1:6" x14ac:dyDescent="0.25">
      <c r="A4078" s="105">
        <f t="shared" si="63"/>
        <v>8520011</v>
      </c>
      <c r="B4078" s="105" t="s">
        <v>6733</v>
      </c>
      <c r="C4078" s="105" t="s">
        <v>6734</v>
      </c>
      <c r="D4078" s="105">
        <v>0</v>
      </c>
      <c r="E4078" s="105">
        <v>0</v>
      </c>
      <c r="F4078" s="105">
        <v>0</v>
      </c>
    </row>
    <row r="4079" spans="1:6" x14ac:dyDescent="0.25">
      <c r="A4079" s="105" t="str">
        <f t="shared" si="63"/>
        <v/>
      </c>
      <c r="B4079" s="105" t="s">
        <v>6735</v>
      </c>
      <c r="C4079" s="105" t="s">
        <v>8</v>
      </c>
      <c r="D4079" s="105">
        <v>0</v>
      </c>
      <c r="E4079" s="105">
        <v>0</v>
      </c>
      <c r="F4079" s="105">
        <v>0</v>
      </c>
    </row>
    <row r="4080" spans="1:6" x14ac:dyDescent="0.25">
      <c r="A4080" s="105">
        <f t="shared" si="63"/>
        <v>8520012</v>
      </c>
      <c r="B4080" s="105" t="s">
        <v>6736</v>
      </c>
      <c r="C4080" s="105" t="s">
        <v>6737</v>
      </c>
      <c r="D4080" s="105">
        <v>0</v>
      </c>
      <c r="E4080" s="105">
        <v>0</v>
      </c>
      <c r="F4080" s="105">
        <v>0</v>
      </c>
    </row>
    <row r="4081" spans="1:6" x14ac:dyDescent="0.25">
      <c r="A4081" s="105" t="str">
        <f t="shared" si="63"/>
        <v/>
      </c>
      <c r="B4081" s="105" t="s">
        <v>6738</v>
      </c>
      <c r="C4081" s="105" t="s">
        <v>8</v>
      </c>
      <c r="D4081" s="105">
        <v>0</v>
      </c>
      <c r="E4081" s="105">
        <v>0</v>
      </c>
      <c r="F4081" s="105">
        <v>0</v>
      </c>
    </row>
    <row r="4082" spans="1:6" x14ac:dyDescent="0.25">
      <c r="A4082" s="105">
        <f t="shared" si="63"/>
        <v>8520013</v>
      </c>
      <c r="B4082" s="105" t="s">
        <v>6739</v>
      </c>
      <c r="C4082" s="105" t="s">
        <v>6740</v>
      </c>
      <c r="D4082" s="105">
        <v>0</v>
      </c>
      <c r="E4082" s="105">
        <v>0</v>
      </c>
      <c r="F4082" s="105">
        <v>0</v>
      </c>
    </row>
    <row r="4083" spans="1:6" x14ac:dyDescent="0.25">
      <c r="A4083" s="105">
        <f t="shared" si="63"/>
        <v>8520014</v>
      </c>
      <c r="B4083" s="105" t="s">
        <v>6741</v>
      </c>
      <c r="C4083" s="105" t="s">
        <v>6742</v>
      </c>
      <c r="D4083" s="105">
        <v>848</v>
      </c>
      <c r="E4083" s="105">
        <v>508.8</v>
      </c>
      <c r="F4083" s="105">
        <v>13</v>
      </c>
    </row>
    <row r="4084" spans="1:6" x14ac:dyDescent="0.25">
      <c r="A4084" s="105" t="str">
        <f t="shared" si="63"/>
        <v/>
      </c>
      <c r="B4084" s="105" t="s">
        <v>6743</v>
      </c>
      <c r="C4084" s="105" t="s">
        <v>8</v>
      </c>
      <c r="D4084" s="105">
        <v>0</v>
      </c>
      <c r="E4084" s="105">
        <v>0</v>
      </c>
      <c r="F4084" s="105">
        <v>0</v>
      </c>
    </row>
    <row r="4085" spans="1:6" x14ac:dyDescent="0.25">
      <c r="A4085" s="105">
        <f t="shared" si="63"/>
        <v>8520015</v>
      </c>
      <c r="B4085" s="105" t="s">
        <v>6744</v>
      </c>
      <c r="C4085" s="105" t="s">
        <v>6745</v>
      </c>
      <c r="D4085" s="105">
        <v>0</v>
      </c>
      <c r="E4085" s="105">
        <v>0</v>
      </c>
      <c r="F4085" s="105">
        <v>0</v>
      </c>
    </row>
    <row r="4086" spans="1:6" x14ac:dyDescent="0.25">
      <c r="A4086" s="105">
        <f t="shared" si="63"/>
        <v>8520016</v>
      </c>
      <c r="B4086" s="105" t="s">
        <v>6746</v>
      </c>
      <c r="C4086" s="105" t="s">
        <v>6747</v>
      </c>
      <c r="D4086" s="105">
        <v>2226</v>
      </c>
      <c r="E4086" s="105">
        <v>1335.6</v>
      </c>
      <c r="F4086" s="105">
        <v>219</v>
      </c>
    </row>
    <row r="4087" spans="1:6" x14ac:dyDescent="0.25">
      <c r="A4087" s="105">
        <f t="shared" si="63"/>
        <v>8520017</v>
      </c>
      <c r="B4087" s="105" t="s">
        <v>6748</v>
      </c>
      <c r="C4087" s="105" t="s">
        <v>6749</v>
      </c>
      <c r="D4087" s="105">
        <v>6360</v>
      </c>
      <c r="E4087" s="105">
        <v>3816</v>
      </c>
      <c r="F4087" s="105">
        <v>1</v>
      </c>
    </row>
    <row r="4088" spans="1:6" x14ac:dyDescent="0.25">
      <c r="A4088" s="105">
        <f t="shared" si="63"/>
        <v>8520018</v>
      </c>
      <c r="B4088" s="105" t="s">
        <v>6750</v>
      </c>
      <c r="C4088" s="105" t="s">
        <v>6751</v>
      </c>
      <c r="D4088" s="105">
        <v>0</v>
      </c>
      <c r="E4088" s="105">
        <v>0</v>
      </c>
      <c r="F4088" s="105">
        <v>0</v>
      </c>
    </row>
    <row r="4089" spans="1:6" x14ac:dyDescent="0.25">
      <c r="A4089" s="105" t="str">
        <f t="shared" si="63"/>
        <v/>
      </c>
      <c r="B4089" s="105" t="s">
        <v>6752</v>
      </c>
      <c r="C4089" s="105" t="s">
        <v>8</v>
      </c>
      <c r="D4089" s="105">
        <v>0</v>
      </c>
      <c r="E4089" s="105">
        <v>0</v>
      </c>
      <c r="F4089" s="105">
        <v>0</v>
      </c>
    </row>
    <row r="4090" spans="1:6" x14ac:dyDescent="0.25">
      <c r="A4090" s="105">
        <f t="shared" si="63"/>
        <v>8520019</v>
      </c>
      <c r="B4090" s="105" t="s">
        <v>6753</v>
      </c>
      <c r="C4090" s="105" t="s">
        <v>6754</v>
      </c>
      <c r="D4090" s="105">
        <v>0</v>
      </c>
      <c r="E4090" s="105">
        <v>0</v>
      </c>
      <c r="F4090" s="105">
        <v>0</v>
      </c>
    </row>
    <row r="4091" spans="1:6" x14ac:dyDescent="0.25">
      <c r="A4091" s="105" t="str">
        <f t="shared" si="63"/>
        <v/>
      </c>
      <c r="B4091" s="105" t="s">
        <v>6755</v>
      </c>
      <c r="C4091" s="105" t="s">
        <v>8</v>
      </c>
      <c r="D4091" s="105">
        <v>0</v>
      </c>
      <c r="E4091" s="105">
        <v>0</v>
      </c>
      <c r="F4091" s="105">
        <v>0</v>
      </c>
    </row>
    <row r="4092" spans="1:6" x14ac:dyDescent="0.25">
      <c r="A4092" s="105">
        <f t="shared" si="63"/>
        <v>8520020</v>
      </c>
      <c r="B4092" s="105" t="s">
        <v>6756</v>
      </c>
      <c r="C4092" s="105" t="s">
        <v>6757</v>
      </c>
      <c r="D4092" s="105">
        <v>0</v>
      </c>
      <c r="E4092" s="105">
        <v>0</v>
      </c>
      <c r="F4092" s="105">
        <v>0</v>
      </c>
    </row>
    <row r="4093" spans="1:6" x14ac:dyDescent="0.25">
      <c r="A4093" s="105" t="str">
        <f t="shared" si="63"/>
        <v/>
      </c>
      <c r="B4093" s="105" t="s">
        <v>6758</v>
      </c>
      <c r="C4093" s="105" t="s">
        <v>8</v>
      </c>
      <c r="D4093" s="105">
        <v>0</v>
      </c>
      <c r="E4093" s="105">
        <v>0</v>
      </c>
      <c r="F4093" s="105">
        <v>0</v>
      </c>
    </row>
    <row r="4094" spans="1:6" x14ac:dyDescent="0.25">
      <c r="A4094" s="105">
        <f t="shared" si="63"/>
        <v>8520021</v>
      </c>
      <c r="B4094" s="105" t="s">
        <v>6759</v>
      </c>
      <c r="C4094" s="105" t="s">
        <v>6757</v>
      </c>
      <c r="D4094" s="105">
        <v>0</v>
      </c>
      <c r="E4094" s="105">
        <v>0</v>
      </c>
      <c r="F4094" s="105">
        <v>0</v>
      </c>
    </row>
    <row r="4095" spans="1:6" x14ac:dyDescent="0.25">
      <c r="A4095" s="105" t="str">
        <f t="shared" si="63"/>
        <v/>
      </c>
      <c r="B4095" s="105" t="s">
        <v>6760</v>
      </c>
      <c r="C4095" s="105" t="s">
        <v>8</v>
      </c>
      <c r="D4095" s="105">
        <v>0</v>
      </c>
      <c r="E4095" s="105">
        <v>0</v>
      </c>
      <c r="F4095" s="105">
        <v>0</v>
      </c>
    </row>
    <row r="4096" spans="1:6" x14ac:dyDescent="0.25">
      <c r="A4096" s="105">
        <f t="shared" si="63"/>
        <v>8520022</v>
      </c>
      <c r="B4096" s="105" t="s">
        <v>6761</v>
      </c>
      <c r="C4096" s="105" t="s">
        <v>6762</v>
      </c>
      <c r="D4096" s="105">
        <v>0</v>
      </c>
      <c r="E4096" s="105">
        <v>0</v>
      </c>
      <c r="F4096" s="105">
        <v>0</v>
      </c>
    </row>
    <row r="4097" spans="1:6" x14ac:dyDescent="0.25">
      <c r="A4097" s="105" t="str">
        <f t="shared" si="63"/>
        <v/>
      </c>
      <c r="B4097" s="105" t="s">
        <v>6763</v>
      </c>
      <c r="C4097" s="105" t="s">
        <v>8</v>
      </c>
      <c r="D4097" s="105">
        <v>0</v>
      </c>
      <c r="E4097" s="105">
        <v>0</v>
      </c>
      <c r="F4097" s="105">
        <v>0</v>
      </c>
    </row>
    <row r="4098" spans="1:6" x14ac:dyDescent="0.25">
      <c r="A4098" s="105">
        <f t="shared" si="63"/>
        <v>8520023</v>
      </c>
      <c r="B4098" s="105" t="s">
        <v>6764</v>
      </c>
      <c r="C4098" s="105" t="s">
        <v>6765</v>
      </c>
      <c r="D4098" s="105">
        <v>0</v>
      </c>
      <c r="E4098" s="105">
        <v>0</v>
      </c>
      <c r="F4098" s="105">
        <v>0</v>
      </c>
    </row>
    <row r="4099" spans="1:6" x14ac:dyDescent="0.25">
      <c r="A4099" s="105" t="str">
        <f t="shared" ref="A4099:A4162" si="64">IF(B4099&lt;&gt;"",IFERROR(B4099*1,""),"")</f>
        <v/>
      </c>
      <c r="B4099" s="105" t="s">
        <v>6766</v>
      </c>
      <c r="C4099" s="105" t="s">
        <v>8</v>
      </c>
      <c r="D4099" s="105">
        <v>0</v>
      </c>
      <c r="E4099" s="105">
        <v>0</v>
      </c>
      <c r="F4099" s="105">
        <v>0</v>
      </c>
    </row>
    <row r="4100" spans="1:6" x14ac:dyDescent="0.25">
      <c r="A4100" s="105">
        <f t="shared" si="64"/>
        <v>8520024</v>
      </c>
      <c r="B4100" s="105" t="s">
        <v>6767</v>
      </c>
      <c r="C4100" s="105" t="s">
        <v>6768</v>
      </c>
      <c r="D4100" s="105">
        <v>0</v>
      </c>
      <c r="E4100" s="105">
        <v>0</v>
      </c>
      <c r="F4100" s="105">
        <v>0</v>
      </c>
    </row>
    <row r="4101" spans="1:6" x14ac:dyDescent="0.25">
      <c r="A4101" s="105">
        <f t="shared" si="64"/>
        <v>8520025</v>
      </c>
      <c r="B4101" s="105" t="s">
        <v>6769</v>
      </c>
      <c r="C4101" s="105" t="s">
        <v>6770</v>
      </c>
      <c r="D4101" s="105">
        <v>954</v>
      </c>
      <c r="E4101" s="105">
        <v>572.4</v>
      </c>
      <c r="F4101" s="105">
        <v>338</v>
      </c>
    </row>
    <row r="4102" spans="1:6" x14ac:dyDescent="0.25">
      <c r="A4102" s="105">
        <f t="shared" si="64"/>
        <v>8520026</v>
      </c>
      <c r="B4102" s="105" t="s">
        <v>6771</v>
      </c>
      <c r="C4102" s="105" t="s">
        <v>6772</v>
      </c>
      <c r="D4102" s="105">
        <v>476.47</v>
      </c>
      <c r="E4102" s="105">
        <v>285.88</v>
      </c>
      <c r="F4102" s="105">
        <v>1</v>
      </c>
    </row>
    <row r="4103" spans="1:6" x14ac:dyDescent="0.25">
      <c r="A4103" s="105" t="str">
        <f t="shared" si="64"/>
        <v/>
      </c>
      <c r="B4103" s="105" t="s">
        <v>6773</v>
      </c>
      <c r="C4103" s="105" t="s">
        <v>8</v>
      </c>
      <c r="D4103" s="105">
        <v>0</v>
      </c>
      <c r="E4103" s="105">
        <v>0</v>
      </c>
      <c r="F4103" s="105">
        <v>0</v>
      </c>
    </row>
    <row r="4104" spans="1:6" x14ac:dyDescent="0.25">
      <c r="A4104" s="105">
        <f t="shared" si="64"/>
        <v>8520027</v>
      </c>
      <c r="B4104" s="105" t="s">
        <v>6774</v>
      </c>
      <c r="C4104" s="105" t="s">
        <v>6775</v>
      </c>
      <c r="D4104" s="105">
        <v>0</v>
      </c>
      <c r="E4104" s="105">
        <v>0</v>
      </c>
      <c r="F4104" s="105">
        <v>0</v>
      </c>
    </row>
    <row r="4105" spans="1:6" x14ac:dyDescent="0.25">
      <c r="A4105" s="105" t="str">
        <f t="shared" si="64"/>
        <v/>
      </c>
      <c r="B4105" s="105" t="s">
        <v>6776</v>
      </c>
      <c r="C4105" s="105" t="s">
        <v>8</v>
      </c>
      <c r="D4105" s="105">
        <v>0</v>
      </c>
      <c r="E4105" s="105">
        <v>0</v>
      </c>
      <c r="F4105" s="105">
        <v>0</v>
      </c>
    </row>
    <row r="4106" spans="1:6" x14ac:dyDescent="0.25">
      <c r="A4106" s="105">
        <f t="shared" si="64"/>
        <v>8520028</v>
      </c>
      <c r="B4106" s="105" t="s">
        <v>6777</v>
      </c>
      <c r="C4106" s="105" t="s">
        <v>6778</v>
      </c>
      <c r="D4106" s="105">
        <v>0</v>
      </c>
      <c r="E4106" s="105">
        <v>0</v>
      </c>
      <c r="F4106" s="105">
        <v>0</v>
      </c>
    </row>
    <row r="4107" spans="1:6" x14ac:dyDescent="0.25">
      <c r="A4107" s="105" t="str">
        <f t="shared" si="64"/>
        <v/>
      </c>
      <c r="B4107" s="105" t="s">
        <v>6779</v>
      </c>
      <c r="C4107" s="105" t="s">
        <v>8</v>
      </c>
      <c r="D4107" s="105">
        <v>0</v>
      </c>
      <c r="E4107" s="105">
        <v>0</v>
      </c>
      <c r="F4107" s="105">
        <v>0</v>
      </c>
    </row>
    <row r="4108" spans="1:6" x14ac:dyDescent="0.25">
      <c r="A4108" s="105">
        <f t="shared" si="64"/>
        <v>8520029</v>
      </c>
      <c r="B4108" s="105" t="s">
        <v>6780</v>
      </c>
      <c r="C4108" s="105" t="s">
        <v>6781</v>
      </c>
      <c r="D4108" s="105">
        <v>0</v>
      </c>
      <c r="E4108" s="105">
        <v>0</v>
      </c>
      <c r="F4108" s="105">
        <v>0</v>
      </c>
    </row>
    <row r="4109" spans="1:6" x14ac:dyDescent="0.25">
      <c r="A4109" s="105">
        <f t="shared" si="64"/>
        <v>8520030</v>
      </c>
      <c r="B4109" s="105" t="s">
        <v>6782</v>
      </c>
      <c r="C4109" s="105" t="s">
        <v>6783</v>
      </c>
      <c r="D4109" s="105">
        <v>981.71</v>
      </c>
      <c r="E4109" s="105">
        <v>589.03</v>
      </c>
      <c r="F4109" s="105">
        <v>0</v>
      </c>
    </row>
    <row r="4110" spans="1:6" x14ac:dyDescent="0.25">
      <c r="A4110" s="105" t="str">
        <f t="shared" si="64"/>
        <v/>
      </c>
      <c r="B4110" s="105" t="s">
        <v>6784</v>
      </c>
      <c r="C4110" s="105" t="s">
        <v>8</v>
      </c>
      <c r="D4110" s="105">
        <v>0</v>
      </c>
      <c r="E4110" s="105">
        <v>0</v>
      </c>
      <c r="F4110" s="105">
        <v>0</v>
      </c>
    </row>
    <row r="4111" spans="1:6" x14ac:dyDescent="0.25">
      <c r="A4111" s="105">
        <f t="shared" si="64"/>
        <v>8520031</v>
      </c>
      <c r="B4111" s="105" t="s">
        <v>6785</v>
      </c>
      <c r="C4111" s="105" t="s">
        <v>6786</v>
      </c>
      <c r="D4111" s="105">
        <v>0</v>
      </c>
      <c r="E4111" s="105">
        <v>0</v>
      </c>
      <c r="F4111" s="105">
        <v>0</v>
      </c>
    </row>
    <row r="4112" spans="1:6" x14ac:dyDescent="0.25">
      <c r="A4112" s="105" t="str">
        <f t="shared" si="64"/>
        <v/>
      </c>
      <c r="B4112" s="105" t="s">
        <v>6787</v>
      </c>
      <c r="C4112" s="105" t="s">
        <v>8</v>
      </c>
      <c r="D4112" s="105">
        <v>0</v>
      </c>
      <c r="E4112" s="105">
        <v>0</v>
      </c>
      <c r="F4112" s="105">
        <v>0</v>
      </c>
    </row>
    <row r="4113" spans="1:6" x14ac:dyDescent="0.25">
      <c r="A4113" s="105">
        <f t="shared" si="64"/>
        <v>8520032</v>
      </c>
      <c r="B4113" s="105" t="s">
        <v>6788</v>
      </c>
      <c r="C4113" s="105" t="s">
        <v>6789</v>
      </c>
      <c r="D4113" s="105">
        <v>0</v>
      </c>
      <c r="E4113" s="105">
        <v>0</v>
      </c>
      <c r="F4113" s="105">
        <v>0</v>
      </c>
    </row>
    <row r="4114" spans="1:6" x14ac:dyDescent="0.25">
      <c r="A4114" s="105" t="str">
        <f t="shared" si="64"/>
        <v/>
      </c>
      <c r="B4114" s="105" t="s">
        <v>6790</v>
      </c>
      <c r="C4114" s="105" t="s">
        <v>8</v>
      </c>
      <c r="D4114" s="105">
        <v>0</v>
      </c>
      <c r="E4114" s="105">
        <v>0</v>
      </c>
      <c r="F4114" s="105">
        <v>0</v>
      </c>
    </row>
    <row r="4115" spans="1:6" x14ac:dyDescent="0.25">
      <c r="A4115" s="105">
        <f t="shared" si="64"/>
        <v>8520033</v>
      </c>
      <c r="B4115" s="105" t="s">
        <v>6791</v>
      </c>
      <c r="C4115" s="105" t="s">
        <v>6792</v>
      </c>
      <c r="D4115" s="105">
        <v>0</v>
      </c>
      <c r="E4115" s="105">
        <v>0</v>
      </c>
      <c r="F4115" s="105">
        <v>0</v>
      </c>
    </row>
    <row r="4116" spans="1:6" x14ac:dyDescent="0.25">
      <c r="A4116" s="105" t="str">
        <f t="shared" si="64"/>
        <v/>
      </c>
      <c r="B4116" s="105" t="s">
        <v>6793</v>
      </c>
      <c r="C4116" s="105" t="s">
        <v>8</v>
      </c>
      <c r="D4116" s="105">
        <v>0</v>
      </c>
      <c r="E4116" s="105">
        <v>0</v>
      </c>
      <c r="F4116" s="105">
        <v>0</v>
      </c>
    </row>
    <row r="4117" spans="1:6" x14ac:dyDescent="0.25">
      <c r="A4117" s="105">
        <f t="shared" si="64"/>
        <v>8520034</v>
      </c>
      <c r="B4117" s="105" t="s">
        <v>6794</v>
      </c>
      <c r="C4117" s="105" t="s">
        <v>6795</v>
      </c>
      <c r="D4117" s="105">
        <v>0</v>
      </c>
      <c r="E4117" s="105">
        <v>0</v>
      </c>
      <c r="F4117" s="105">
        <v>0</v>
      </c>
    </row>
    <row r="4118" spans="1:6" x14ac:dyDescent="0.25">
      <c r="A4118" s="105" t="str">
        <f t="shared" si="64"/>
        <v/>
      </c>
      <c r="B4118" s="105" t="s">
        <v>6796</v>
      </c>
      <c r="C4118" s="105" t="s">
        <v>8</v>
      </c>
      <c r="D4118" s="105">
        <v>0</v>
      </c>
      <c r="E4118" s="105">
        <v>0</v>
      </c>
      <c r="F4118" s="105">
        <v>0</v>
      </c>
    </row>
    <row r="4119" spans="1:6" x14ac:dyDescent="0.25">
      <c r="A4119" s="105">
        <f t="shared" si="64"/>
        <v>8520035</v>
      </c>
      <c r="B4119" s="105" t="s">
        <v>6797</v>
      </c>
      <c r="C4119" s="105" t="s">
        <v>6798</v>
      </c>
      <c r="D4119" s="105">
        <v>0</v>
      </c>
      <c r="E4119" s="105">
        <v>0</v>
      </c>
      <c r="F4119" s="105">
        <v>0</v>
      </c>
    </row>
    <row r="4120" spans="1:6" x14ac:dyDescent="0.25">
      <c r="A4120" s="105" t="str">
        <f t="shared" si="64"/>
        <v/>
      </c>
      <c r="B4120" s="105" t="s">
        <v>6799</v>
      </c>
      <c r="C4120" s="105" t="s">
        <v>8</v>
      </c>
      <c r="D4120" s="105">
        <v>0</v>
      </c>
      <c r="E4120" s="105">
        <v>0</v>
      </c>
      <c r="F4120" s="105">
        <v>0</v>
      </c>
    </row>
    <row r="4121" spans="1:6" x14ac:dyDescent="0.25">
      <c r="A4121" s="105">
        <f t="shared" si="64"/>
        <v>8520036</v>
      </c>
      <c r="B4121" s="105" t="s">
        <v>6800</v>
      </c>
      <c r="C4121" s="105" t="s">
        <v>6801</v>
      </c>
      <c r="D4121" s="105">
        <v>0</v>
      </c>
      <c r="E4121" s="105">
        <v>0</v>
      </c>
      <c r="F4121" s="105">
        <v>0</v>
      </c>
    </row>
    <row r="4122" spans="1:6" x14ac:dyDescent="0.25">
      <c r="A4122" s="105" t="str">
        <f t="shared" si="64"/>
        <v/>
      </c>
      <c r="B4122" s="105" t="s">
        <v>6802</v>
      </c>
      <c r="C4122" s="105" t="s">
        <v>8</v>
      </c>
      <c r="D4122" s="105">
        <v>0</v>
      </c>
      <c r="E4122" s="105">
        <v>0</v>
      </c>
      <c r="F4122" s="105">
        <v>0</v>
      </c>
    </row>
    <row r="4123" spans="1:6" x14ac:dyDescent="0.25">
      <c r="A4123" s="105">
        <f t="shared" si="64"/>
        <v>8520037</v>
      </c>
      <c r="B4123" s="105" t="s">
        <v>6803</v>
      </c>
      <c r="C4123" s="105" t="s">
        <v>6804</v>
      </c>
      <c r="D4123" s="105">
        <v>0</v>
      </c>
      <c r="E4123" s="105">
        <v>0</v>
      </c>
      <c r="F4123" s="105">
        <v>0</v>
      </c>
    </row>
    <row r="4124" spans="1:6" x14ac:dyDescent="0.25">
      <c r="A4124" s="105">
        <f t="shared" si="64"/>
        <v>8520040</v>
      </c>
      <c r="B4124" s="105" t="s">
        <v>6805</v>
      </c>
      <c r="C4124" s="105" t="s">
        <v>6806</v>
      </c>
      <c r="D4124" s="105">
        <v>3442.39</v>
      </c>
      <c r="E4124" s="105">
        <v>2065.4299999999998</v>
      </c>
      <c r="F4124" s="105">
        <v>0</v>
      </c>
    </row>
    <row r="4125" spans="1:6" x14ac:dyDescent="0.25">
      <c r="A4125" s="105" t="str">
        <f t="shared" si="64"/>
        <v/>
      </c>
      <c r="B4125" s="105" t="s">
        <v>6807</v>
      </c>
      <c r="C4125" s="105" t="s">
        <v>8</v>
      </c>
      <c r="D4125" s="105">
        <v>0</v>
      </c>
      <c r="E4125" s="105">
        <v>0</v>
      </c>
      <c r="F4125" s="105">
        <v>0</v>
      </c>
    </row>
    <row r="4126" spans="1:6" x14ac:dyDescent="0.25">
      <c r="A4126" s="105">
        <f t="shared" si="64"/>
        <v>8520042</v>
      </c>
      <c r="B4126" s="105" t="s">
        <v>6808</v>
      </c>
      <c r="C4126" s="105" t="s">
        <v>6809</v>
      </c>
      <c r="D4126" s="105">
        <v>0</v>
      </c>
      <c r="E4126" s="105">
        <v>0</v>
      </c>
      <c r="F4126" s="105">
        <v>0</v>
      </c>
    </row>
    <row r="4127" spans="1:6" x14ac:dyDescent="0.25">
      <c r="A4127" s="105">
        <f t="shared" si="64"/>
        <v>8520045</v>
      </c>
      <c r="B4127" s="105" t="s">
        <v>6810</v>
      </c>
      <c r="C4127" s="105" t="s">
        <v>6811</v>
      </c>
      <c r="D4127" s="105">
        <v>1060</v>
      </c>
      <c r="E4127" s="105">
        <v>636</v>
      </c>
      <c r="F4127" s="105">
        <v>157</v>
      </c>
    </row>
    <row r="4128" spans="1:6" x14ac:dyDescent="0.25">
      <c r="A4128" s="105">
        <f t="shared" si="64"/>
        <v>8520050</v>
      </c>
      <c r="B4128" s="105" t="s">
        <v>6812</v>
      </c>
      <c r="C4128" s="105" t="s">
        <v>6813</v>
      </c>
      <c r="D4128" s="105">
        <v>1146.19</v>
      </c>
      <c r="E4128" s="105">
        <v>687.71</v>
      </c>
      <c r="F4128" s="105">
        <v>0</v>
      </c>
    </row>
    <row r="4129" spans="1:6" x14ac:dyDescent="0.25">
      <c r="A4129" s="105">
        <f t="shared" si="64"/>
        <v>8520051</v>
      </c>
      <c r="B4129" s="105" t="s">
        <v>6814</v>
      </c>
      <c r="C4129" s="105" t="s">
        <v>6815</v>
      </c>
      <c r="D4129" s="105">
        <v>1484</v>
      </c>
      <c r="E4129" s="105">
        <v>890.4</v>
      </c>
      <c r="F4129" s="105">
        <v>118</v>
      </c>
    </row>
    <row r="4130" spans="1:6" x14ac:dyDescent="0.25">
      <c r="A4130" s="105">
        <f t="shared" si="64"/>
        <v>8520052</v>
      </c>
      <c r="B4130" s="105" t="s">
        <v>6816</v>
      </c>
      <c r="C4130" s="105" t="s">
        <v>6817</v>
      </c>
      <c r="D4130" s="105">
        <v>1208.5999999999999</v>
      </c>
      <c r="E4130" s="105">
        <v>725.16</v>
      </c>
      <c r="F4130" s="105">
        <v>0</v>
      </c>
    </row>
    <row r="4131" spans="1:6" x14ac:dyDescent="0.25">
      <c r="A4131" s="105">
        <f t="shared" si="64"/>
        <v>8520059</v>
      </c>
      <c r="B4131" s="105" t="s">
        <v>6818</v>
      </c>
      <c r="C4131" s="105" t="s">
        <v>6819</v>
      </c>
      <c r="D4131" s="105">
        <v>981.71</v>
      </c>
      <c r="E4131" s="105">
        <v>589.03</v>
      </c>
      <c r="F4131" s="105">
        <v>0</v>
      </c>
    </row>
    <row r="4132" spans="1:6" x14ac:dyDescent="0.25">
      <c r="A4132" s="105">
        <f t="shared" si="64"/>
        <v>8520060</v>
      </c>
      <c r="B4132" s="105" t="s">
        <v>6820</v>
      </c>
      <c r="C4132" s="105" t="s">
        <v>6821</v>
      </c>
      <c r="D4132" s="105">
        <v>981.71</v>
      </c>
      <c r="E4132" s="105">
        <v>589.03</v>
      </c>
      <c r="F4132" s="105">
        <v>0</v>
      </c>
    </row>
    <row r="4133" spans="1:6" x14ac:dyDescent="0.25">
      <c r="A4133" s="105">
        <f t="shared" si="64"/>
        <v>8520064</v>
      </c>
      <c r="B4133" s="105" t="s">
        <v>6822</v>
      </c>
      <c r="C4133" s="105" t="s">
        <v>6823</v>
      </c>
      <c r="D4133" s="105">
        <v>1272</v>
      </c>
      <c r="E4133" s="105">
        <v>763.2</v>
      </c>
      <c r="F4133" s="105">
        <v>441</v>
      </c>
    </row>
    <row r="4134" spans="1:6" x14ac:dyDescent="0.25">
      <c r="A4134" s="105" t="str">
        <f t="shared" si="64"/>
        <v/>
      </c>
      <c r="B4134" s="105" t="s">
        <v>6824</v>
      </c>
      <c r="C4134" s="105" t="s">
        <v>8</v>
      </c>
      <c r="D4134" s="105">
        <v>0</v>
      </c>
      <c r="E4134" s="105">
        <v>0</v>
      </c>
      <c r="F4134" s="105">
        <v>0</v>
      </c>
    </row>
    <row r="4135" spans="1:6" x14ac:dyDescent="0.25">
      <c r="A4135" s="105">
        <f t="shared" si="64"/>
        <v>8520065</v>
      </c>
      <c r="B4135" s="105" t="s">
        <v>6825</v>
      </c>
      <c r="C4135" s="105" t="s">
        <v>6826</v>
      </c>
      <c r="D4135" s="105">
        <v>0</v>
      </c>
      <c r="E4135" s="105">
        <v>0</v>
      </c>
      <c r="F4135" s="105">
        <v>0</v>
      </c>
    </row>
    <row r="4136" spans="1:6" x14ac:dyDescent="0.25">
      <c r="A4136" s="105" t="str">
        <f t="shared" si="64"/>
        <v/>
      </c>
      <c r="B4136" s="105" t="s">
        <v>6827</v>
      </c>
      <c r="C4136" s="105" t="s">
        <v>8</v>
      </c>
      <c r="D4136" s="105">
        <v>0</v>
      </c>
      <c r="E4136" s="105">
        <v>0</v>
      </c>
      <c r="F4136" s="105">
        <v>0</v>
      </c>
    </row>
    <row r="4137" spans="1:6" x14ac:dyDescent="0.25">
      <c r="A4137" s="105">
        <f t="shared" si="64"/>
        <v>8520066</v>
      </c>
      <c r="B4137" s="105" t="s">
        <v>6828</v>
      </c>
      <c r="C4137" s="105" t="s">
        <v>6829</v>
      </c>
      <c r="D4137" s="105">
        <v>0</v>
      </c>
      <c r="E4137" s="105">
        <v>0</v>
      </c>
      <c r="F4137" s="105">
        <v>0</v>
      </c>
    </row>
    <row r="4138" spans="1:6" x14ac:dyDescent="0.25">
      <c r="A4138" s="105">
        <f t="shared" si="64"/>
        <v>8520067</v>
      </c>
      <c r="B4138" s="105" t="s">
        <v>6830</v>
      </c>
      <c r="C4138" s="105" t="s">
        <v>6831</v>
      </c>
      <c r="D4138" s="105">
        <v>1166</v>
      </c>
      <c r="E4138" s="105">
        <v>699.6</v>
      </c>
      <c r="F4138" s="105">
        <v>598</v>
      </c>
    </row>
    <row r="4139" spans="1:6" x14ac:dyDescent="0.25">
      <c r="A4139" s="105">
        <f t="shared" si="64"/>
        <v>8520068</v>
      </c>
      <c r="B4139" s="105" t="s">
        <v>6832</v>
      </c>
      <c r="C4139" s="105" t="s">
        <v>6833</v>
      </c>
      <c r="D4139" s="105">
        <v>756.32</v>
      </c>
      <c r="E4139" s="105">
        <v>453.79</v>
      </c>
      <c r="F4139" s="105">
        <v>0</v>
      </c>
    </row>
    <row r="4140" spans="1:6" x14ac:dyDescent="0.25">
      <c r="A4140" s="105" t="str">
        <f t="shared" si="64"/>
        <v/>
      </c>
      <c r="B4140" s="105" t="s">
        <v>6834</v>
      </c>
      <c r="C4140" s="105" t="s">
        <v>8</v>
      </c>
      <c r="D4140" s="105">
        <v>0</v>
      </c>
      <c r="E4140" s="105">
        <v>0</v>
      </c>
      <c r="F4140" s="105">
        <v>0</v>
      </c>
    </row>
    <row r="4141" spans="1:6" x14ac:dyDescent="0.25">
      <c r="A4141" s="105">
        <f t="shared" si="64"/>
        <v>8520070</v>
      </c>
      <c r="B4141" s="105" t="s">
        <v>6835</v>
      </c>
      <c r="C4141" s="105" t="s">
        <v>6836</v>
      </c>
      <c r="D4141" s="105">
        <v>0</v>
      </c>
      <c r="E4141" s="105">
        <v>0</v>
      </c>
      <c r="F4141" s="105">
        <v>0</v>
      </c>
    </row>
    <row r="4142" spans="1:6" x14ac:dyDescent="0.25">
      <c r="A4142" s="105">
        <f t="shared" si="64"/>
        <v>8520100</v>
      </c>
      <c r="B4142" s="105" t="s">
        <v>6837</v>
      </c>
      <c r="C4142" s="105" t="s">
        <v>6838</v>
      </c>
      <c r="D4142" s="105">
        <v>375.04</v>
      </c>
      <c r="E4142" s="105">
        <v>225.02</v>
      </c>
      <c r="F4142" s="105">
        <v>155</v>
      </c>
    </row>
    <row r="4143" spans="1:6" x14ac:dyDescent="0.25">
      <c r="A4143" s="105" t="str">
        <f t="shared" si="64"/>
        <v/>
      </c>
      <c r="B4143" s="105" t="s">
        <v>6839</v>
      </c>
      <c r="C4143" s="105" t="s">
        <v>8</v>
      </c>
      <c r="D4143" s="105">
        <v>0</v>
      </c>
      <c r="E4143" s="105">
        <v>0</v>
      </c>
      <c r="F4143" s="105">
        <v>0</v>
      </c>
    </row>
    <row r="4144" spans="1:6" x14ac:dyDescent="0.25">
      <c r="A4144" s="105">
        <f t="shared" si="64"/>
        <v>8520101</v>
      </c>
      <c r="B4144" s="105" t="s">
        <v>6840</v>
      </c>
      <c r="C4144" s="105" t="s">
        <v>6841</v>
      </c>
      <c r="D4144" s="105">
        <v>0</v>
      </c>
      <c r="E4144" s="105">
        <v>0</v>
      </c>
      <c r="F4144" s="105">
        <v>0</v>
      </c>
    </row>
    <row r="4145" spans="1:6" x14ac:dyDescent="0.25">
      <c r="A4145" s="105">
        <f t="shared" si="64"/>
        <v>8520102</v>
      </c>
      <c r="B4145" s="105" t="s">
        <v>6842</v>
      </c>
      <c r="C4145" s="105" t="s">
        <v>6843</v>
      </c>
      <c r="D4145" s="105">
        <v>1696</v>
      </c>
      <c r="E4145" s="105">
        <v>1017.6</v>
      </c>
      <c r="F4145" s="105">
        <v>0</v>
      </c>
    </row>
    <row r="4146" spans="1:6" x14ac:dyDescent="0.25">
      <c r="A4146" s="105" t="str">
        <f t="shared" si="64"/>
        <v/>
      </c>
      <c r="B4146" s="105" t="s">
        <v>6844</v>
      </c>
      <c r="C4146" s="105" t="s">
        <v>8</v>
      </c>
      <c r="D4146" s="105">
        <v>0</v>
      </c>
      <c r="E4146" s="105">
        <v>0</v>
      </c>
      <c r="F4146" s="105">
        <v>0</v>
      </c>
    </row>
    <row r="4147" spans="1:6" x14ac:dyDescent="0.25">
      <c r="A4147" s="105">
        <f t="shared" si="64"/>
        <v>8520103</v>
      </c>
      <c r="B4147" s="105" t="s">
        <v>6845</v>
      </c>
      <c r="C4147" s="105" t="s">
        <v>6846</v>
      </c>
      <c r="D4147" s="105">
        <v>0</v>
      </c>
      <c r="E4147" s="105">
        <v>0</v>
      </c>
      <c r="F4147" s="105">
        <v>0</v>
      </c>
    </row>
    <row r="4148" spans="1:6" x14ac:dyDescent="0.25">
      <c r="A4148" s="105">
        <f t="shared" si="64"/>
        <v>8520104</v>
      </c>
      <c r="B4148" s="105" t="s">
        <v>6847</v>
      </c>
      <c r="C4148" s="105" t="s">
        <v>6848</v>
      </c>
      <c r="D4148" s="105">
        <v>1096.1500000000001</v>
      </c>
      <c r="E4148" s="105">
        <v>657.69</v>
      </c>
      <c r="F4148" s="105">
        <v>0</v>
      </c>
    </row>
    <row r="4149" spans="1:6" x14ac:dyDescent="0.25">
      <c r="A4149" s="105" t="str">
        <f t="shared" si="64"/>
        <v/>
      </c>
      <c r="B4149" s="105" t="s">
        <v>6849</v>
      </c>
      <c r="C4149" s="105" t="s">
        <v>8</v>
      </c>
      <c r="D4149" s="105">
        <v>0</v>
      </c>
      <c r="E4149" s="105">
        <v>0</v>
      </c>
      <c r="F4149" s="105">
        <v>0</v>
      </c>
    </row>
    <row r="4150" spans="1:6" x14ac:dyDescent="0.25">
      <c r="A4150" s="105">
        <f t="shared" si="64"/>
        <v>8520105</v>
      </c>
      <c r="B4150" s="105" t="s">
        <v>6850</v>
      </c>
      <c r="C4150" s="105" t="s">
        <v>6851</v>
      </c>
      <c r="D4150" s="105">
        <v>0</v>
      </c>
      <c r="E4150" s="105">
        <v>0</v>
      </c>
      <c r="F4150" s="105">
        <v>0</v>
      </c>
    </row>
    <row r="4151" spans="1:6" x14ac:dyDescent="0.25">
      <c r="A4151" s="105" t="str">
        <f t="shared" si="64"/>
        <v/>
      </c>
      <c r="B4151" s="105" t="s">
        <v>6852</v>
      </c>
      <c r="C4151" s="105" t="s">
        <v>8</v>
      </c>
      <c r="D4151" s="105">
        <v>0</v>
      </c>
      <c r="E4151" s="105">
        <v>0</v>
      </c>
      <c r="F4151" s="105">
        <v>0</v>
      </c>
    </row>
    <row r="4152" spans="1:6" x14ac:dyDescent="0.25">
      <c r="A4152" s="105">
        <f t="shared" si="64"/>
        <v>8520106</v>
      </c>
      <c r="B4152" s="105" t="s">
        <v>6853</v>
      </c>
      <c r="C4152" s="105" t="s">
        <v>6854</v>
      </c>
      <c r="D4152" s="105">
        <v>0</v>
      </c>
      <c r="E4152" s="105">
        <v>0</v>
      </c>
      <c r="F4152" s="105">
        <v>0</v>
      </c>
    </row>
    <row r="4153" spans="1:6" x14ac:dyDescent="0.25">
      <c r="A4153" s="105">
        <f t="shared" si="64"/>
        <v>8520110</v>
      </c>
      <c r="B4153" s="105" t="s">
        <v>6855</v>
      </c>
      <c r="C4153" s="105" t="s">
        <v>6856</v>
      </c>
      <c r="D4153" s="105">
        <v>1696</v>
      </c>
      <c r="E4153" s="105">
        <v>1017.6</v>
      </c>
      <c r="F4153" s="105">
        <v>117</v>
      </c>
    </row>
    <row r="4154" spans="1:6" x14ac:dyDescent="0.25">
      <c r="A4154" s="105">
        <f t="shared" si="64"/>
        <v>85201100</v>
      </c>
      <c r="B4154" s="105" t="s">
        <v>6857</v>
      </c>
      <c r="C4154" s="105" t="s">
        <v>6858</v>
      </c>
      <c r="D4154" s="105">
        <v>0</v>
      </c>
      <c r="E4154" s="105">
        <v>0</v>
      </c>
      <c r="F4154" s="105">
        <v>0</v>
      </c>
    </row>
    <row r="4155" spans="1:6" x14ac:dyDescent="0.25">
      <c r="A4155" s="105">
        <f t="shared" si="64"/>
        <v>8520111</v>
      </c>
      <c r="B4155" s="105" t="s">
        <v>6859</v>
      </c>
      <c r="C4155" s="105" t="s">
        <v>6860</v>
      </c>
      <c r="D4155" s="105">
        <v>399.56</v>
      </c>
      <c r="E4155" s="105">
        <v>239.74</v>
      </c>
      <c r="F4155" s="105">
        <v>0</v>
      </c>
    </row>
    <row r="4156" spans="1:6" x14ac:dyDescent="0.25">
      <c r="A4156" s="105" t="str">
        <f t="shared" si="64"/>
        <v/>
      </c>
      <c r="B4156" s="105" t="s">
        <v>6861</v>
      </c>
      <c r="C4156" s="105" t="s">
        <v>8</v>
      </c>
      <c r="D4156" s="105">
        <v>0</v>
      </c>
      <c r="E4156" s="105">
        <v>0</v>
      </c>
      <c r="F4156" s="105">
        <v>0</v>
      </c>
    </row>
    <row r="4157" spans="1:6" x14ac:dyDescent="0.25">
      <c r="A4157" s="105">
        <f t="shared" si="64"/>
        <v>8520115</v>
      </c>
      <c r="B4157" s="105" t="s">
        <v>6862</v>
      </c>
      <c r="C4157" s="105" t="s">
        <v>6863</v>
      </c>
      <c r="D4157" s="105">
        <v>0</v>
      </c>
      <c r="E4157" s="105">
        <v>0</v>
      </c>
      <c r="F4157" s="105">
        <v>0</v>
      </c>
    </row>
    <row r="4158" spans="1:6" x14ac:dyDescent="0.25">
      <c r="A4158" s="105">
        <f t="shared" si="64"/>
        <v>8520116</v>
      </c>
      <c r="B4158" s="105" t="s">
        <v>6864</v>
      </c>
      <c r="C4158" s="105" t="s">
        <v>6865</v>
      </c>
      <c r="D4158" s="105">
        <v>572.14</v>
      </c>
      <c r="E4158" s="105">
        <v>343.28</v>
      </c>
      <c r="F4158" s="105">
        <v>0</v>
      </c>
    </row>
    <row r="4159" spans="1:6" x14ac:dyDescent="0.25">
      <c r="A4159" s="105">
        <f t="shared" si="64"/>
        <v>8520118</v>
      </c>
      <c r="B4159" s="105" t="s">
        <v>6867</v>
      </c>
      <c r="C4159" s="105" t="s">
        <v>6868</v>
      </c>
      <c r="D4159" s="105">
        <v>1537</v>
      </c>
      <c r="E4159" s="105">
        <v>922.2</v>
      </c>
      <c r="F4159" s="105">
        <v>218</v>
      </c>
    </row>
    <row r="4160" spans="1:6" x14ac:dyDescent="0.25">
      <c r="A4160" s="105" t="str">
        <f t="shared" si="64"/>
        <v/>
      </c>
      <c r="B4160" s="105" t="s">
        <v>6869</v>
      </c>
      <c r="C4160" s="105" t="s">
        <v>8</v>
      </c>
      <c r="D4160" s="105">
        <v>0</v>
      </c>
      <c r="E4160" s="105">
        <v>0</v>
      </c>
      <c r="F4160" s="105">
        <v>0</v>
      </c>
    </row>
    <row r="4161" spans="1:6" x14ac:dyDescent="0.25">
      <c r="A4161" s="105">
        <f t="shared" si="64"/>
        <v>8520119</v>
      </c>
      <c r="B4161" s="105" t="s">
        <v>6870</v>
      </c>
      <c r="C4161" s="105" t="s">
        <v>6871</v>
      </c>
      <c r="D4161" s="105">
        <v>0</v>
      </c>
      <c r="E4161" s="105">
        <v>0</v>
      </c>
      <c r="F4161" s="105">
        <v>0</v>
      </c>
    </row>
    <row r="4162" spans="1:6" x14ac:dyDescent="0.25">
      <c r="A4162" s="105">
        <f t="shared" si="64"/>
        <v>8520120</v>
      </c>
      <c r="B4162" s="105" t="s">
        <v>6872</v>
      </c>
      <c r="C4162" s="105" t="s">
        <v>6873</v>
      </c>
      <c r="D4162" s="105">
        <v>1528.88</v>
      </c>
      <c r="E4162" s="105">
        <v>917.33</v>
      </c>
      <c r="F4162" s="105">
        <v>0</v>
      </c>
    </row>
    <row r="4163" spans="1:6" x14ac:dyDescent="0.25">
      <c r="A4163" s="105">
        <f t="shared" ref="A4163:A4226" si="65">IF(B4163&lt;&gt;"",IFERROR(B4163*1,""),"")</f>
        <v>8520121</v>
      </c>
      <c r="B4163" s="105" t="s">
        <v>6874</v>
      </c>
      <c r="C4163" s="105" t="s">
        <v>6875</v>
      </c>
      <c r="D4163" s="105">
        <v>572.14</v>
      </c>
      <c r="E4163" s="105">
        <v>343.28</v>
      </c>
      <c r="F4163" s="105">
        <v>0</v>
      </c>
    </row>
    <row r="4164" spans="1:6" x14ac:dyDescent="0.25">
      <c r="A4164" s="105" t="str">
        <f t="shared" si="65"/>
        <v/>
      </c>
      <c r="B4164" s="105" t="s">
        <v>6876</v>
      </c>
      <c r="C4164" s="105" t="s">
        <v>8</v>
      </c>
      <c r="D4164" s="105">
        <v>0</v>
      </c>
      <c r="E4164" s="105">
        <v>0</v>
      </c>
      <c r="F4164" s="105">
        <v>0</v>
      </c>
    </row>
    <row r="4165" spans="1:6" x14ac:dyDescent="0.25">
      <c r="A4165" s="105">
        <f t="shared" si="65"/>
        <v>8520122</v>
      </c>
      <c r="B4165" s="105" t="s">
        <v>6877</v>
      </c>
      <c r="C4165" s="105" t="s">
        <v>6878</v>
      </c>
      <c r="D4165" s="105">
        <v>0</v>
      </c>
      <c r="E4165" s="105">
        <v>0</v>
      </c>
      <c r="F4165" s="105">
        <v>0</v>
      </c>
    </row>
    <row r="4166" spans="1:6" x14ac:dyDescent="0.25">
      <c r="A4166" s="105" t="str">
        <f t="shared" si="65"/>
        <v/>
      </c>
      <c r="B4166" s="105" t="s">
        <v>6879</v>
      </c>
      <c r="C4166" s="105" t="s">
        <v>8</v>
      </c>
      <c r="D4166" s="105">
        <v>0</v>
      </c>
      <c r="E4166" s="105">
        <v>0</v>
      </c>
      <c r="F4166" s="105">
        <v>0</v>
      </c>
    </row>
    <row r="4167" spans="1:6" x14ac:dyDescent="0.25">
      <c r="A4167" s="105">
        <f t="shared" si="65"/>
        <v>8520123</v>
      </c>
      <c r="B4167" s="105" t="s">
        <v>6880</v>
      </c>
      <c r="C4167" s="105" t="s">
        <v>6881</v>
      </c>
      <c r="D4167" s="105">
        <v>0</v>
      </c>
      <c r="E4167" s="105">
        <v>0</v>
      </c>
      <c r="F4167" s="105">
        <v>0</v>
      </c>
    </row>
    <row r="4168" spans="1:6" x14ac:dyDescent="0.25">
      <c r="A4168" s="105">
        <f t="shared" si="65"/>
        <v>8520124</v>
      </c>
      <c r="B4168" s="105" t="s">
        <v>6882</v>
      </c>
      <c r="C4168" s="105" t="s">
        <v>9458</v>
      </c>
      <c r="D4168" s="105">
        <v>954.85</v>
      </c>
      <c r="E4168" s="105">
        <v>572.91</v>
      </c>
      <c r="F4168" s="105">
        <v>1</v>
      </c>
    </row>
    <row r="4169" spans="1:6" x14ac:dyDescent="0.25">
      <c r="A4169" s="105">
        <f t="shared" si="65"/>
        <v>8520125</v>
      </c>
      <c r="B4169" s="105" t="s">
        <v>6883</v>
      </c>
      <c r="C4169" s="105" t="s">
        <v>6884</v>
      </c>
      <c r="D4169" s="105">
        <v>614.94000000000005</v>
      </c>
      <c r="E4169" s="105">
        <v>368.96</v>
      </c>
      <c r="F4169" s="105">
        <v>0</v>
      </c>
    </row>
    <row r="4170" spans="1:6" x14ac:dyDescent="0.25">
      <c r="A4170" s="105" t="str">
        <f t="shared" si="65"/>
        <v/>
      </c>
      <c r="B4170" s="105" t="s">
        <v>6885</v>
      </c>
      <c r="C4170" s="105" t="s">
        <v>8</v>
      </c>
      <c r="D4170" s="105">
        <v>0</v>
      </c>
      <c r="E4170" s="105">
        <v>0</v>
      </c>
      <c r="F4170" s="105">
        <v>0</v>
      </c>
    </row>
    <row r="4171" spans="1:6" x14ac:dyDescent="0.25">
      <c r="A4171" s="105">
        <f t="shared" si="65"/>
        <v>8520126</v>
      </c>
      <c r="B4171" s="105" t="s">
        <v>6886</v>
      </c>
      <c r="C4171" s="105" t="s">
        <v>6887</v>
      </c>
      <c r="D4171" s="105">
        <v>0</v>
      </c>
      <c r="E4171" s="105">
        <v>0</v>
      </c>
      <c r="F4171" s="105">
        <v>0</v>
      </c>
    </row>
    <row r="4172" spans="1:6" x14ac:dyDescent="0.25">
      <c r="A4172" s="105" t="str">
        <f t="shared" si="65"/>
        <v/>
      </c>
      <c r="B4172" s="105" t="s">
        <v>6888</v>
      </c>
      <c r="C4172" s="105" t="s">
        <v>8</v>
      </c>
      <c r="D4172" s="105">
        <v>0</v>
      </c>
      <c r="E4172" s="105">
        <v>0</v>
      </c>
      <c r="F4172" s="105">
        <v>0</v>
      </c>
    </row>
    <row r="4173" spans="1:6" x14ac:dyDescent="0.25">
      <c r="A4173" s="105">
        <f t="shared" si="65"/>
        <v>8520127</v>
      </c>
      <c r="B4173" s="105" t="s">
        <v>6889</v>
      </c>
      <c r="C4173" s="105" t="s">
        <v>6890</v>
      </c>
      <c r="D4173" s="105">
        <v>0</v>
      </c>
      <c r="E4173" s="105">
        <v>0</v>
      </c>
      <c r="F4173" s="105">
        <v>0</v>
      </c>
    </row>
    <row r="4174" spans="1:6" x14ac:dyDescent="0.25">
      <c r="A4174" s="105" t="str">
        <f t="shared" si="65"/>
        <v/>
      </c>
      <c r="B4174" s="105" t="s">
        <v>6891</v>
      </c>
      <c r="C4174" s="105" t="s">
        <v>8</v>
      </c>
      <c r="D4174" s="105">
        <v>0</v>
      </c>
      <c r="E4174" s="105">
        <v>0</v>
      </c>
      <c r="F4174" s="105">
        <v>0</v>
      </c>
    </row>
    <row r="4175" spans="1:6" x14ac:dyDescent="0.25">
      <c r="A4175" s="105">
        <f t="shared" si="65"/>
        <v>8520130</v>
      </c>
      <c r="B4175" s="105" t="s">
        <v>6892</v>
      </c>
      <c r="C4175" s="105" t="s">
        <v>6893</v>
      </c>
      <c r="D4175" s="105">
        <v>0</v>
      </c>
      <c r="E4175" s="105">
        <v>0</v>
      </c>
      <c r="F4175" s="105">
        <v>0</v>
      </c>
    </row>
    <row r="4176" spans="1:6" x14ac:dyDescent="0.25">
      <c r="A4176" s="105">
        <f t="shared" si="65"/>
        <v>8520141</v>
      </c>
      <c r="B4176" s="105" t="s">
        <v>6894</v>
      </c>
      <c r="C4176" s="105" t="s">
        <v>6895</v>
      </c>
      <c r="D4176" s="105">
        <v>572.14</v>
      </c>
      <c r="E4176" s="105">
        <v>343.28</v>
      </c>
      <c r="F4176" s="105">
        <v>27</v>
      </c>
    </row>
    <row r="4177" spans="1:6" x14ac:dyDescent="0.25">
      <c r="A4177" s="105" t="str">
        <f t="shared" si="65"/>
        <v/>
      </c>
      <c r="B4177" s="105" t="s">
        <v>6896</v>
      </c>
      <c r="C4177" s="105" t="s">
        <v>8</v>
      </c>
      <c r="D4177" s="105">
        <v>0</v>
      </c>
      <c r="E4177" s="105">
        <v>0</v>
      </c>
      <c r="F4177" s="105">
        <v>0</v>
      </c>
    </row>
    <row r="4178" spans="1:6" x14ac:dyDescent="0.25">
      <c r="A4178" s="105">
        <f t="shared" si="65"/>
        <v>8520142</v>
      </c>
      <c r="B4178" s="105" t="s">
        <v>6897</v>
      </c>
      <c r="C4178" s="105" t="s">
        <v>6898</v>
      </c>
      <c r="D4178" s="105">
        <v>0</v>
      </c>
      <c r="E4178" s="105">
        <v>0</v>
      </c>
      <c r="F4178" s="105">
        <v>0</v>
      </c>
    </row>
    <row r="4179" spans="1:6" x14ac:dyDescent="0.25">
      <c r="A4179" s="105" t="str">
        <f t="shared" si="65"/>
        <v/>
      </c>
      <c r="B4179" s="105" t="s">
        <v>6899</v>
      </c>
      <c r="C4179" s="105" t="s">
        <v>8</v>
      </c>
      <c r="D4179" s="105">
        <v>0</v>
      </c>
      <c r="E4179" s="105">
        <v>0</v>
      </c>
      <c r="F4179" s="105">
        <v>0</v>
      </c>
    </row>
    <row r="4180" spans="1:6" x14ac:dyDescent="0.25">
      <c r="A4180" s="105">
        <f t="shared" si="65"/>
        <v>8520143</v>
      </c>
      <c r="B4180" s="105" t="s">
        <v>6900</v>
      </c>
      <c r="C4180" s="105" t="s">
        <v>6901</v>
      </c>
      <c r="D4180" s="105">
        <v>0</v>
      </c>
      <c r="E4180" s="105">
        <v>0</v>
      </c>
      <c r="F4180" s="105">
        <v>0</v>
      </c>
    </row>
    <row r="4181" spans="1:6" x14ac:dyDescent="0.25">
      <c r="A4181" s="105" t="str">
        <f t="shared" si="65"/>
        <v/>
      </c>
      <c r="B4181" s="105" t="s">
        <v>6902</v>
      </c>
      <c r="C4181" s="105" t="s">
        <v>8</v>
      </c>
      <c r="D4181" s="105">
        <v>0</v>
      </c>
      <c r="E4181" s="105">
        <v>0</v>
      </c>
      <c r="F4181" s="105">
        <v>0</v>
      </c>
    </row>
    <row r="4182" spans="1:6" x14ac:dyDescent="0.25">
      <c r="A4182" s="105">
        <f t="shared" si="65"/>
        <v>8520144</v>
      </c>
      <c r="B4182" s="105" t="s">
        <v>6903</v>
      </c>
      <c r="C4182" s="105" t="s">
        <v>6904</v>
      </c>
      <c r="D4182" s="105">
        <v>0</v>
      </c>
      <c r="E4182" s="105">
        <v>0</v>
      </c>
      <c r="F4182" s="105">
        <v>0</v>
      </c>
    </row>
    <row r="4183" spans="1:6" x14ac:dyDescent="0.25">
      <c r="A4183" s="105" t="str">
        <f t="shared" si="65"/>
        <v/>
      </c>
      <c r="B4183" s="105" t="s">
        <v>6905</v>
      </c>
      <c r="C4183" s="105" t="s">
        <v>8</v>
      </c>
      <c r="D4183" s="105">
        <v>0</v>
      </c>
      <c r="E4183" s="105">
        <v>0</v>
      </c>
      <c r="F4183" s="105">
        <v>0</v>
      </c>
    </row>
    <row r="4184" spans="1:6" x14ac:dyDescent="0.25">
      <c r="A4184" s="105">
        <f t="shared" si="65"/>
        <v>8520155</v>
      </c>
      <c r="B4184" s="105" t="s">
        <v>6906</v>
      </c>
      <c r="C4184" s="105" t="s">
        <v>6907</v>
      </c>
      <c r="D4184" s="105">
        <v>0</v>
      </c>
      <c r="E4184" s="105">
        <v>0</v>
      </c>
      <c r="F4184" s="105">
        <v>0</v>
      </c>
    </row>
    <row r="4185" spans="1:6" x14ac:dyDescent="0.25">
      <c r="A4185" s="105">
        <f t="shared" si="65"/>
        <v>8520162</v>
      </c>
      <c r="B4185" s="105" t="s">
        <v>6908</v>
      </c>
      <c r="C4185" s="105" t="s">
        <v>6909</v>
      </c>
      <c r="D4185" s="105">
        <v>1696</v>
      </c>
      <c r="E4185" s="105">
        <v>1017.6</v>
      </c>
      <c r="F4185" s="105">
        <v>0</v>
      </c>
    </row>
    <row r="4186" spans="1:6" x14ac:dyDescent="0.25">
      <c r="A4186" s="105">
        <f t="shared" si="65"/>
        <v>8520165</v>
      </c>
      <c r="B4186" s="105" t="s">
        <v>6910</v>
      </c>
      <c r="C4186" s="105" t="s">
        <v>6911</v>
      </c>
      <c r="D4186" s="105">
        <v>1908</v>
      </c>
      <c r="E4186" s="105">
        <v>1144.8</v>
      </c>
      <c r="F4186" s="105">
        <v>0</v>
      </c>
    </row>
    <row r="4187" spans="1:6" x14ac:dyDescent="0.25">
      <c r="A4187" s="105">
        <f t="shared" si="65"/>
        <v>8520166</v>
      </c>
      <c r="B4187" s="105" t="s">
        <v>6912</v>
      </c>
      <c r="C4187" s="105" t="s">
        <v>6913</v>
      </c>
      <c r="D4187" s="105">
        <v>1750.17</v>
      </c>
      <c r="E4187" s="105">
        <v>1050.0999999999999</v>
      </c>
      <c r="F4187" s="105">
        <v>0</v>
      </c>
    </row>
    <row r="4188" spans="1:6" x14ac:dyDescent="0.25">
      <c r="A4188" s="105" t="str">
        <f t="shared" si="65"/>
        <v/>
      </c>
      <c r="B4188" s="105" t="s">
        <v>6914</v>
      </c>
      <c r="C4188" s="105" t="s">
        <v>8</v>
      </c>
      <c r="D4188" s="105">
        <v>0</v>
      </c>
      <c r="E4188" s="105">
        <v>0</v>
      </c>
      <c r="F4188" s="105">
        <v>0</v>
      </c>
    </row>
    <row r="4189" spans="1:6" x14ac:dyDescent="0.25">
      <c r="A4189" s="105">
        <f t="shared" si="65"/>
        <v>8520175</v>
      </c>
      <c r="B4189" s="105" t="s">
        <v>6915</v>
      </c>
      <c r="C4189" s="105" t="s">
        <v>6916</v>
      </c>
      <c r="D4189" s="105">
        <v>0</v>
      </c>
      <c r="E4189" s="105">
        <v>0</v>
      </c>
      <c r="F4189" s="105">
        <v>0</v>
      </c>
    </row>
    <row r="4190" spans="1:6" x14ac:dyDescent="0.25">
      <c r="A4190" s="105">
        <f t="shared" si="65"/>
        <v>8520190</v>
      </c>
      <c r="B4190" s="105" t="s">
        <v>6917</v>
      </c>
      <c r="C4190" s="105" t="s">
        <v>6918</v>
      </c>
      <c r="D4190" s="105">
        <v>2459.89</v>
      </c>
      <c r="E4190" s="105">
        <v>1475.93</v>
      </c>
      <c r="F4190" s="105">
        <v>0</v>
      </c>
    </row>
    <row r="4191" spans="1:6" x14ac:dyDescent="0.25">
      <c r="A4191" s="105">
        <f t="shared" si="65"/>
        <v>8520209</v>
      </c>
      <c r="B4191" s="105" t="s">
        <v>6919</v>
      </c>
      <c r="C4191" s="105" t="s">
        <v>6920</v>
      </c>
      <c r="D4191" s="105">
        <v>954</v>
      </c>
      <c r="E4191" s="105">
        <v>572.4</v>
      </c>
      <c r="F4191" s="105">
        <v>8</v>
      </c>
    </row>
    <row r="4192" spans="1:6" x14ac:dyDescent="0.25">
      <c r="A4192" s="105">
        <f t="shared" si="65"/>
        <v>8520220</v>
      </c>
      <c r="B4192" s="105" t="s">
        <v>6921</v>
      </c>
      <c r="C4192" s="105" t="s">
        <v>9459</v>
      </c>
      <c r="D4192" s="105">
        <v>1166</v>
      </c>
      <c r="E4192" s="105">
        <v>699.6</v>
      </c>
      <c r="F4192" s="105">
        <v>0</v>
      </c>
    </row>
    <row r="4193" spans="1:6" x14ac:dyDescent="0.25">
      <c r="A4193" s="105" t="str">
        <f t="shared" si="65"/>
        <v/>
      </c>
      <c r="B4193" s="105" t="s">
        <v>6922</v>
      </c>
      <c r="C4193" s="105" t="s">
        <v>8</v>
      </c>
      <c r="D4193" s="105">
        <v>0</v>
      </c>
      <c r="E4193" s="105">
        <v>0</v>
      </c>
      <c r="F4193" s="105">
        <v>0</v>
      </c>
    </row>
    <row r="4194" spans="1:6" x14ac:dyDescent="0.25">
      <c r="A4194" s="105">
        <f t="shared" si="65"/>
        <v>8520222</v>
      </c>
      <c r="B4194" s="105" t="s">
        <v>6923</v>
      </c>
      <c r="C4194" s="105" t="s">
        <v>6924</v>
      </c>
      <c r="D4194" s="105">
        <v>0</v>
      </c>
      <c r="E4194" s="105">
        <v>0</v>
      </c>
      <c r="F4194" s="105">
        <v>0</v>
      </c>
    </row>
    <row r="4195" spans="1:6" x14ac:dyDescent="0.25">
      <c r="A4195" s="105">
        <f t="shared" si="65"/>
        <v>8520230</v>
      </c>
      <c r="B4195" s="105" t="s">
        <v>6925</v>
      </c>
      <c r="C4195" s="105" t="s">
        <v>6926</v>
      </c>
      <c r="D4195" s="105">
        <v>1166</v>
      </c>
      <c r="E4195" s="105">
        <v>699.6</v>
      </c>
      <c r="F4195" s="105">
        <v>3</v>
      </c>
    </row>
    <row r="4196" spans="1:6" x14ac:dyDescent="0.25">
      <c r="A4196" s="105" t="str">
        <f t="shared" si="65"/>
        <v/>
      </c>
      <c r="B4196" s="105" t="s">
        <v>6927</v>
      </c>
      <c r="C4196" s="105" t="s">
        <v>8</v>
      </c>
      <c r="D4196" s="105">
        <v>0</v>
      </c>
      <c r="E4196" s="105">
        <v>0</v>
      </c>
      <c r="F4196" s="105">
        <v>0</v>
      </c>
    </row>
    <row r="4197" spans="1:6" x14ac:dyDescent="0.25">
      <c r="A4197" s="105">
        <f t="shared" si="65"/>
        <v>8520264</v>
      </c>
      <c r="B4197" s="105" t="s">
        <v>6928</v>
      </c>
      <c r="C4197" s="105" t="s">
        <v>6929</v>
      </c>
      <c r="D4197" s="105">
        <v>0</v>
      </c>
      <c r="E4197" s="105">
        <v>0</v>
      </c>
      <c r="F4197" s="105">
        <v>0</v>
      </c>
    </row>
    <row r="4198" spans="1:6" x14ac:dyDescent="0.25">
      <c r="A4198" s="105">
        <f t="shared" si="65"/>
        <v>8520265</v>
      </c>
      <c r="B4198" s="105" t="s">
        <v>6930</v>
      </c>
      <c r="C4198" s="105" t="s">
        <v>6931</v>
      </c>
      <c r="D4198" s="105">
        <v>477</v>
      </c>
      <c r="E4198" s="105">
        <v>286.2</v>
      </c>
      <c r="F4198" s="105">
        <v>16</v>
      </c>
    </row>
    <row r="4199" spans="1:6" x14ac:dyDescent="0.25">
      <c r="A4199" s="105" t="str">
        <f t="shared" si="65"/>
        <v/>
      </c>
      <c r="B4199" s="105" t="s">
        <v>6932</v>
      </c>
      <c r="C4199" s="105" t="s">
        <v>8</v>
      </c>
      <c r="D4199" s="105">
        <v>0</v>
      </c>
      <c r="E4199" s="105">
        <v>0</v>
      </c>
      <c r="F4199" s="105">
        <v>0</v>
      </c>
    </row>
    <row r="4200" spans="1:6" x14ac:dyDescent="0.25">
      <c r="A4200" s="105">
        <f t="shared" si="65"/>
        <v>8520271</v>
      </c>
      <c r="B4200" s="105" t="s">
        <v>6933</v>
      </c>
      <c r="C4200" s="105" t="s">
        <v>6934</v>
      </c>
      <c r="D4200" s="105">
        <v>0</v>
      </c>
      <c r="E4200" s="105">
        <v>0</v>
      </c>
      <c r="F4200" s="105">
        <v>0</v>
      </c>
    </row>
    <row r="4201" spans="1:6" x14ac:dyDescent="0.25">
      <c r="A4201" s="105" t="str">
        <f t="shared" si="65"/>
        <v/>
      </c>
      <c r="B4201" s="105" t="s">
        <v>6935</v>
      </c>
      <c r="C4201" s="105" t="s">
        <v>8</v>
      </c>
      <c r="D4201" s="105">
        <v>0</v>
      </c>
      <c r="E4201" s="105">
        <v>0</v>
      </c>
      <c r="F4201" s="105">
        <v>0</v>
      </c>
    </row>
    <row r="4202" spans="1:6" x14ac:dyDescent="0.25">
      <c r="A4202" s="105">
        <f t="shared" si="65"/>
        <v>8520282</v>
      </c>
      <c r="B4202" s="105" t="s">
        <v>6936</v>
      </c>
      <c r="C4202" s="105" t="s">
        <v>6937</v>
      </c>
      <c r="D4202" s="105">
        <v>0</v>
      </c>
      <c r="E4202" s="105">
        <v>0</v>
      </c>
      <c r="F4202" s="105">
        <v>0</v>
      </c>
    </row>
    <row r="4203" spans="1:6" x14ac:dyDescent="0.25">
      <c r="A4203" s="105">
        <f t="shared" si="65"/>
        <v>8520290</v>
      </c>
      <c r="B4203" s="105" t="s">
        <v>6938</v>
      </c>
      <c r="C4203" s="105" t="s">
        <v>6939</v>
      </c>
      <c r="D4203" s="105">
        <v>2459.89</v>
      </c>
      <c r="E4203" s="105">
        <v>1475.93</v>
      </c>
      <c r="F4203" s="105">
        <v>0</v>
      </c>
    </row>
    <row r="4204" spans="1:6" x14ac:dyDescent="0.25">
      <c r="A4204" s="105" t="str">
        <f t="shared" si="65"/>
        <v/>
      </c>
      <c r="B4204" s="105" t="s">
        <v>6940</v>
      </c>
      <c r="C4204" s="105" t="s">
        <v>8</v>
      </c>
      <c r="D4204" s="105">
        <v>0</v>
      </c>
      <c r="E4204" s="105">
        <v>0</v>
      </c>
      <c r="F4204" s="105">
        <v>0</v>
      </c>
    </row>
    <row r="4205" spans="1:6" x14ac:dyDescent="0.25">
      <c r="A4205" s="105">
        <f t="shared" si="65"/>
        <v>8520305</v>
      </c>
      <c r="B4205" s="105" t="s">
        <v>6941</v>
      </c>
      <c r="C4205" s="105" t="s">
        <v>6942</v>
      </c>
      <c r="D4205" s="105">
        <v>0</v>
      </c>
      <c r="E4205" s="105">
        <v>0</v>
      </c>
      <c r="F4205" s="105">
        <v>0</v>
      </c>
    </row>
    <row r="4206" spans="1:6" x14ac:dyDescent="0.25">
      <c r="A4206" s="105">
        <f t="shared" si="65"/>
        <v>8520306</v>
      </c>
      <c r="B4206" s="105" t="s">
        <v>6943</v>
      </c>
      <c r="C4206" s="105" t="s">
        <v>6944</v>
      </c>
      <c r="D4206" s="105">
        <v>189.43</v>
      </c>
      <c r="E4206" s="105">
        <v>113.66</v>
      </c>
      <c r="F4206" s="105">
        <v>0</v>
      </c>
    </row>
    <row r="4207" spans="1:6" x14ac:dyDescent="0.25">
      <c r="A4207" s="105">
        <f t="shared" si="65"/>
        <v>8520372</v>
      </c>
      <c r="B4207" s="105" t="s">
        <v>6945</v>
      </c>
      <c r="C4207" s="105" t="s">
        <v>6946</v>
      </c>
      <c r="D4207" s="105">
        <v>1506.68</v>
      </c>
      <c r="E4207" s="105">
        <v>904.01</v>
      </c>
      <c r="F4207" s="105">
        <v>0</v>
      </c>
    </row>
    <row r="4208" spans="1:6" x14ac:dyDescent="0.25">
      <c r="A4208" s="105">
        <f t="shared" si="65"/>
        <v>8520398</v>
      </c>
      <c r="B4208" s="105" t="s">
        <v>6947</v>
      </c>
      <c r="C4208" s="105" t="s">
        <v>6948</v>
      </c>
      <c r="D4208" s="105">
        <v>1892.27</v>
      </c>
      <c r="E4208" s="105">
        <v>1135.3599999999999</v>
      </c>
      <c r="F4208" s="105">
        <v>0</v>
      </c>
    </row>
    <row r="4209" spans="1:6" x14ac:dyDescent="0.25">
      <c r="A4209" s="105">
        <f t="shared" si="65"/>
        <v>8520407</v>
      </c>
      <c r="B4209" s="105" t="s">
        <v>6949</v>
      </c>
      <c r="C4209" s="105" t="s">
        <v>6950</v>
      </c>
      <c r="D4209" s="105">
        <v>768.68</v>
      </c>
      <c r="E4209" s="105">
        <v>461.21</v>
      </c>
      <c r="F4209" s="105">
        <v>0</v>
      </c>
    </row>
    <row r="4210" spans="1:6" x14ac:dyDescent="0.25">
      <c r="A4210" s="105" t="str">
        <f t="shared" si="65"/>
        <v/>
      </c>
      <c r="B4210" s="105" t="s">
        <v>6951</v>
      </c>
      <c r="C4210" s="105" t="s">
        <v>8</v>
      </c>
      <c r="D4210" s="105">
        <v>0</v>
      </c>
      <c r="E4210" s="105">
        <v>0</v>
      </c>
      <c r="F4210" s="105">
        <v>0</v>
      </c>
    </row>
    <row r="4211" spans="1:6" x14ac:dyDescent="0.25">
      <c r="A4211" s="105">
        <f t="shared" si="65"/>
        <v>8520419</v>
      </c>
      <c r="B4211" s="105" t="s">
        <v>6952</v>
      </c>
      <c r="C4211" s="105" t="s">
        <v>6953</v>
      </c>
      <c r="D4211" s="105">
        <v>0</v>
      </c>
      <c r="E4211" s="105">
        <v>0</v>
      </c>
      <c r="F4211" s="105">
        <v>0</v>
      </c>
    </row>
    <row r="4212" spans="1:6" x14ac:dyDescent="0.25">
      <c r="A4212" s="105" t="str">
        <f t="shared" si="65"/>
        <v/>
      </c>
      <c r="B4212" s="105" t="s">
        <v>6954</v>
      </c>
      <c r="C4212" s="105" t="s">
        <v>8</v>
      </c>
      <c r="D4212" s="105">
        <v>0</v>
      </c>
      <c r="E4212" s="105">
        <v>0</v>
      </c>
      <c r="F4212" s="105">
        <v>0</v>
      </c>
    </row>
    <row r="4213" spans="1:6" x14ac:dyDescent="0.25">
      <c r="A4213" s="105">
        <f t="shared" si="65"/>
        <v>8520458</v>
      </c>
      <c r="B4213" s="105" t="s">
        <v>6955</v>
      </c>
      <c r="C4213" s="105" t="s">
        <v>6956</v>
      </c>
      <c r="D4213" s="105">
        <v>0</v>
      </c>
      <c r="E4213" s="105">
        <v>0</v>
      </c>
      <c r="F4213" s="105">
        <v>0</v>
      </c>
    </row>
    <row r="4214" spans="1:6" x14ac:dyDescent="0.25">
      <c r="A4214" s="105">
        <f t="shared" si="65"/>
        <v>8520506</v>
      </c>
      <c r="B4214" s="105" t="s">
        <v>6957</v>
      </c>
      <c r="C4214" s="105" t="s">
        <v>6958</v>
      </c>
      <c r="D4214" s="105">
        <v>112.9</v>
      </c>
      <c r="E4214" s="105">
        <v>67.739999999999995</v>
      </c>
      <c r="F4214" s="105">
        <v>0</v>
      </c>
    </row>
    <row r="4215" spans="1:6" x14ac:dyDescent="0.25">
      <c r="A4215" s="105">
        <f t="shared" si="65"/>
        <v>8520507</v>
      </c>
      <c r="B4215" s="105" t="s">
        <v>6959</v>
      </c>
      <c r="C4215" s="105" t="s">
        <v>6960</v>
      </c>
      <c r="D4215" s="105">
        <v>112.9</v>
      </c>
      <c r="E4215" s="105">
        <v>67.739999999999995</v>
      </c>
      <c r="F4215" s="105">
        <v>0</v>
      </c>
    </row>
    <row r="4216" spans="1:6" x14ac:dyDescent="0.25">
      <c r="A4216" s="105" t="str">
        <f t="shared" si="65"/>
        <v/>
      </c>
      <c r="B4216" s="105" t="s">
        <v>6961</v>
      </c>
      <c r="C4216" s="105" t="s">
        <v>8</v>
      </c>
      <c r="D4216" s="105">
        <v>0</v>
      </c>
      <c r="E4216" s="105">
        <v>0</v>
      </c>
      <c r="F4216" s="105">
        <v>0</v>
      </c>
    </row>
    <row r="4217" spans="1:6" x14ac:dyDescent="0.25">
      <c r="A4217" s="105">
        <f t="shared" si="65"/>
        <v>8520508</v>
      </c>
      <c r="B4217" s="105" t="s">
        <v>6962</v>
      </c>
      <c r="C4217" s="105" t="s">
        <v>6963</v>
      </c>
      <c r="D4217" s="105">
        <v>0</v>
      </c>
      <c r="E4217" s="105">
        <v>0</v>
      </c>
      <c r="F4217" s="105">
        <v>0</v>
      </c>
    </row>
    <row r="4218" spans="1:6" x14ac:dyDescent="0.25">
      <c r="A4218" s="105" t="str">
        <f t="shared" si="65"/>
        <v/>
      </c>
      <c r="B4218" s="105" t="s">
        <v>6964</v>
      </c>
      <c r="C4218" s="105" t="s">
        <v>8</v>
      </c>
      <c r="D4218" s="105">
        <v>0</v>
      </c>
      <c r="E4218" s="105">
        <v>0</v>
      </c>
      <c r="F4218" s="105">
        <v>0</v>
      </c>
    </row>
    <row r="4219" spans="1:6" x14ac:dyDescent="0.25">
      <c r="A4219" s="105">
        <f t="shared" si="65"/>
        <v>8520509</v>
      </c>
      <c r="B4219" s="105" t="s">
        <v>6965</v>
      </c>
      <c r="C4219" s="105" t="s">
        <v>6966</v>
      </c>
      <c r="D4219" s="105">
        <v>0</v>
      </c>
      <c r="E4219" s="105">
        <v>0</v>
      </c>
      <c r="F4219" s="105">
        <v>0</v>
      </c>
    </row>
    <row r="4220" spans="1:6" x14ac:dyDescent="0.25">
      <c r="A4220" s="105" t="str">
        <f t="shared" si="65"/>
        <v/>
      </c>
      <c r="B4220" s="105" t="s">
        <v>6967</v>
      </c>
      <c r="C4220" s="105" t="s">
        <v>8</v>
      </c>
      <c r="D4220" s="105">
        <v>0</v>
      </c>
      <c r="E4220" s="105">
        <v>0</v>
      </c>
      <c r="F4220" s="105">
        <v>0</v>
      </c>
    </row>
    <row r="4221" spans="1:6" x14ac:dyDescent="0.25">
      <c r="A4221" s="105">
        <f t="shared" si="65"/>
        <v>8520510</v>
      </c>
      <c r="B4221" s="105" t="s">
        <v>6968</v>
      </c>
      <c r="C4221" s="105" t="s">
        <v>6969</v>
      </c>
      <c r="D4221" s="105">
        <v>0</v>
      </c>
      <c r="E4221" s="105">
        <v>0</v>
      </c>
      <c r="F4221" s="105">
        <v>0</v>
      </c>
    </row>
    <row r="4222" spans="1:6" x14ac:dyDescent="0.25">
      <c r="A4222" s="105" t="str">
        <f t="shared" si="65"/>
        <v/>
      </c>
      <c r="B4222" s="105" t="s">
        <v>6970</v>
      </c>
      <c r="C4222" s="105" t="s">
        <v>8</v>
      </c>
      <c r="D4222" s="105">
        <v>0</v>
      </c>
      <c r="E4222" s="105">
        <v>0</v>
      </c>
      <c r="F4222" s="105">
        <v>0</v>
      </c>
    </row>
    <row r="4223" spans="1:6" x14ac:dyDescent="0.25">
      <c r="A4223" s="105">
        <f t="shared" si="65"/>
        <v>8520511</v>
      </c>
      <c r="B4223" s="105" t="s">
        <v>6971</v>
      </c>
      <c r="C4223" s="105" t="s">
        <v>6972</v>
      </c>
      <c r="D4223" s="105">
        <v>0</v>
      </c>
      <c r="E4223" s="105">
        <v>0</v>
      </c>
      <c r="F4223" s="105">
        <v>0</v>
      </c>
    </row>
    <row r="4224" spans="1:6" x14ac:dyDescent="0.25">
      <c r="A4224" s="105" t="str">
        <f t="shared" si="65"/>
        <v/>
      </c>
      <c r="B4224" s="105" t="s">
        <v>6973</v>
      </c>
      <c r="C4224" s="105" t="s">
        <v>8</v>
      </c>
      <c r="D4224" s="105">
        <v>0</v>
      </c>
      <c r="E4224" s="105">
        <v>0</v>
      </c>
      <c r="F4224" s="105">
        <v>0</v>
      </c>
    </row>
    <row r="4225" spans="1:6" x14ac:dyDescent="0.25">
      <c r="A4225" s="105">
        <f t="shared" si="65"/>
        <v>8520512</v>
      </c>
      <c r="B4225" s="105" t="s">
        <v>6974</v>
      </c>
      <c r="C4225" s="105" t="s">
        <v>6975</v>
      </c>
      <c r="D4225" s="105">
        <v>0</v>
      </c>
      <c r="E4225" s="105">
        <v>0</v>
      </c>
      <c r="F4225" s="105">
        <v>0</v>
      </c>
    </row>
    <row r="4226" spans="1:6" x14ac:dyDescent="0.25">
      <c r="A4226" s="105">
        <f t="shared" si="65"/>
        <v>8520513</v>
      </c>
      <c r="B4226" s="105" t="s">
        <v>6976</v>
      </c>
      <c r="C4226" s="105" t="s">
        <v>6977</v>
      </c>
      <c r="D4226" s="105">
        <v>212</v>
      </c>
      <c r="E4226" s="105">
        <v>127.2</v>
      </c>
      <c r="F4226" s="105">
        <v>173</v>
      </c>
    </row>
    <row r="4227" spans="1:6" x14ac:dyDescent="0.25">
      <c r="A4227" s="105">
        <f t="shared" ref="A4227:A4290" si="66">IF(B4227&lt;&gt;"",IFERROR(B4227*1,""),"")</f>
        <v>8520517</v>
      </c>
      <c r="B4227" s="105" t="s">
        <v>6978</v>
      </c>
      <c r="C4227" s="105" t="s">
        <v>6979</v>
      </c>
      <c r="D4227" s="105">
        <v>831.96</v>
      </c>
      <c r="E4227" s="105">
        <v>499.18</v>
      </c>
      <c r="F4227" s="105">
        <v>0</v>
      </c>
    </row>
    <row r="4228" spans="1:6" x14ac:dyDescent="0.25">
      <c r="A4228" s="105">
        <f t="shared" si="66"/>
        <v>8520546</v>
      </c>
      <c r="B4228" s="105" t="s">
        <v>6980</v>
      </c>
      <c r="C4228" s="105" t="s">
        <v>6981</v>
      </c>
      <c r="D4228" s="105">
        <v>1528.88</v>
      </c>
      <c r="E4228" s="105">
        <v>917.33</v>
      </c>
      <c r="F4228" s="105">
        <v>0</v>
      </c>
    </row>
    <row r="4229" spans="1:6" x14ac:dyDescent="0.25">
      <c r="A4229" s="105" t="str">
        <f t="shared" si="66"/>
        <v/>
      </c>
      <c r="B4229" s="105" t="s">
        <v>6982</v>
      </c>
      <c r="C4229" s="105" t="s">
        <v>8</v>
      </c>
      <c r="D4229" s="105">
        <v>0</v>
      </c>
      <c r="E4229" s="105">
        <v>0</v>
      </c>
      <c r="F4229" s="105">
        <v>0</v>
      </c>
    </row>
    <row r="4230" spans="1:6" x14ac:dyDescent="0.25">
      <c r="A4230" s="105">
        <f t="shared" si="66"/>
        <v>8520556</v>
      </c>
      <c r="B4230" s="105" t="s">
        <v>6983</v>
      </c>
      <c r="C4230" s="105" t="s">
        <v>6984</v>
      </c>
      <c r="D4230" s="105">
        <v>0</v>
      </c>
      <c r="E4230" s="105">
        <v>0</v>
      </c>
      <c r="F4230" s="105">
        <v>0</v>
      </c>
    </row>
    <row r="4231" spans="1:6" x14ac:dyDescent="0.25">
      <c r="A4231" s="105">
        <f t="shared" si="66"/>
        <v>8520620</v>
      </c>
      <c r="B4231" s="105" t="s">
        <v>6985</v>
      </c>
      <c r="C4231" s="105" t="s">
        <v>6986</v>
      </c>
      <c r="D4231" s="105">
        <v>282.86</v>
      </c>
      <c r="E4231" s="105">
        <v>169.72</v>
      </c>
      <c r="F4231" s="105">
        <v>5</v>
      </c>
    </row>
    <row r="4232" spans="1:6" x14ac:dyDescent="0.25">
      <c r="A4232" s="105">
        <f t="shared" si="66"/>
        <v>8520623</v>
      </c>
      <c r="B4232" s="105" t="s">
        <v>6987</v>
      </c>
      <c r="C4232" s="105" t="s">
        <v>6988</v>
      </c>
      <c r="D4232" s="105">
        <v>50.51</v>
      </c>
      <c r="E4232" s="105">
        <v>30.31</v>
      </c>
      <c r="F4232" s="105">
        <v>0</v>
      </c>
    </row>
    <row r="4233" spans="1:6" x14ac:dyDescent="0.25">
      <c r="A4233" s="105">
        <f t="shared" si="66"/>
        <v>8520624</v>
      </c>
      <c r="B4233" s="105" t="s">
        <v>6989</v>
      </c>
      <c r="C4233" s="105" t="s">
        <v>6990</v>
      </c>
      <c r="D4233" s="105">
        <v>114.82</v>
      </c>
      <c r="E4233" s="105">
        <v>68.89</v>
      </c>
      <c r="F4233" s="105">
        <v>94</v>
      </c>
    </row>
    <row r="4234" spans="1:6" x14ac:dyDescent="0.25">
      <c r="A4234" s="105" t="str">
        <f t="shared" si="66"/>
        <v/>
      </c>
      <c r="B4234" s="105" t="s">
        <v>6991</v>
      </c>
      <c r="C4234" s="105" t="s">
        <v>8</v>
      </c>
      <c r="D4234" s="105">
        <v>0</v>
      </c>
      <c r="E4234" s="105">
        <v>0</v>
      </c>
      <c r="F4234" s="105">
        <v>0</v>
      </c>
    </row>
    <row r="4235" spans="1:6" x14ac:dyDescent="0.25">
      <c r="A4235" s="105">
        <f t="shared" si="66"/>
        <v>8520625</v>
      </c>
      <c r="B4235" s="105" t="s">
        <v>6992</v>
      </c>
      <c r="C4235" s="105" t="s">
        <v>6993</v>
      </c>
      <c r="D4235" s="105">
        <v>0</v>
      </c>
      <c r="E4235" s="105">
        <v>0</v>
      </c>
      <c r="F4235" s="105">
        <v>0</v>
      </c>
    </row>
    <row r="4236" spans="1:6" x14ac:dyDescent="0.25">
      <c r="A4236" s="105">
        <f t="shared" si="66"/>
        <v>8520626</v>
      </c>
      <c r="B4236" s="105" t="s">
        <v>6994</v>
      </c>
      <c r="C4236" s="105" t="s">
        <v>6995</v>
      </c>
      <c r="D4236" s="105">
        <v>1272</v>
      </c>
      <c r="E4236" s="105">
        <v>763.2</v>
      </c>
      <c r="F4236" s="105">
        <v>37</v>
      </c>
    </row>
    <row r="4237" spans="1:6" x14ac:dyDescent="0.25">
      <c r="A4237" s="105">
        <f t="shared" si="66"/>
        <v>8520629</v>
      </c>
      <c r="B4237" s="105" t="s">
        <v>6996</v>
      </c>
      <c r="C4237" s="105" t="s">
        <v>6997</v>
      </c>
      <c r="D4237" s="105">
        <v>440.96</v>
      </c>
      <c r="E4237" s="105">
        <v>264.58</v>
      </c>
      <c r="F4237" s="105">
        <v>475</v>
      </c>
    </row>
    <row r="4238" spans="1:6" x14ac:dyDescent="0.25">
      <c r="A4238" s="105">
        <f t="shared" si="66"/>
        <v>8520690</v>
      </c>
      <c r="B4238" s="105" t="s">
        <v>6998</v>
      </c>
      <c r="C4238" s="105" t="s">
        <v>6999</v>
      </c>
      <c r="D4238" s="105">
        <v>2569.98</v>
      </c>
      <c r="E4238" s="105">
        <v>1541.99</v>
      </c>
      <c r="F4238" s="105">
        <v>0</v>
      </c>
    </row>
    <row r="4239" spans="1:6" x14ac:dyDescent="0.25">
      <c r="A4239" s="105">
        <f t="shared" si="66"/>
        <v>8520691</v>
      </c>
      <c r="B4239" s="105" t="s">
        <v>7000</v>
      </c>
      <c r="C4239" s="105" t="s">
        <v>7001</v>
      </c>
      <c r="D4239" s="105">
        <v>2756</v>
      </c>
      <c r="E4239" s="105">
        <v>1653.6</v>
      </c>
      <c r="F4239" s="105">
        <v>16</v>
      </c>
    </row>
    <row r="4240" spans="1:6" x14ac:dyDescent="0.25">
      <c r="A4240" s="105">
        <f t="shared" si="66"/>
        <v>8520710</v>
      </c>
      <c r="B4240" s="105" t="s">
        <v>7002</v>
      </c>
      <c r="C4240" s="105" t="s">
        <v>7003</v>
      </c>
      <c r="D4240" s="105">
        <v>1537.4</v>
      </c>
      <c r="E4240" s="105">
        <v>922.44</v>
      </c>
      <c r="F4240" s="105">
        <v>0</v>
      </c>
    </row>
    <row r="4241" spans="1:6" x14ac:dyDescent="0.25">
      <c r="A4241" s="105">
        <f t="shared" si="66"/>
        <v>8520726</v>
      </c>
      <c r="B4241" s="105" t="s">
        <v>7004</v>
      </c>
      <c r="C4241" s="105" t="s">
        <v>7005</v>
      </c>
      <c r="D4241" s="105">
        <v>636</v>
      </c>
      <c r="E4241" s="105">
        <v>381.6</v>
      </c>
      <c r="F4241" s="105">
        <v>0</v>
      </c>
    </row>
    <row r="4242" spans="1:6" x14ac:dyDescent="0.25">
      <c r="A4242" s="105" t="str">
        <f t="shared" si="66"/>
        <v/>
      </c>
      <c r="B4242" s="105" t="s">
        <v>7006</v>
      </c>
      <c r="C4242" s="105" t="s">
        <v>8</v>
      </c>
      <c r="D4242" s="105">
        <v>0</v>
      </c>
      <c r="E4242" s="105">
        <v>0</v>
      </c>
      <c r="F4242" s="105">
        <v>0</v>
      </c>
    </row>
    <row r="4243" spans="1:6" x14ac:dyDescent="0.25">
      <c r="A4243" s="105">
        <f t="shared" si="66"/>
        <v>8520728</v>
      </c>
      <c r="B4243" s="105" t="s">
        <v>7007</v>
      </c>
      <c r="C4243" s="105" t="s">
        <v>7008</v>
      </c>
      <c r="D4243" s="105">
        <v>0</v>
      </c>
      <c r="E4243" s="105">
        <v>0</v>
      </c>
      <c r="F4243" s="105">
        <v>0</v>
      </c>
    </row>
    <row r="4244" spans="1:6" x14ac:dyDescent="0.25">
      <c r="A4244" s="105">
        <f t="shared" si="66"/>
        <v>8520729</v>
      </c>
      <c r="B4244" s="105" t="s">
        <v>7009</v>
      </c>
      <c r="C4244" s="105" t="s">
        <v>7010</v>
      </c>
      <c r="D4244" s="105">
        <v>2332</v>
      </c>
      <c r="E4244" s="105">
        <v>1399.2</v>
      </c>
      <c r="F4244" s="105">
        <v>61</v>
      </c>
    </row>
    <row r="4245" spans="1:6" x14ac:dyDescent="0.25">
      <c r="A4245" s="105">
        <f t="shared" si="66"/>
        <v>8520733</v>
      </c>
      <c r="B4245" s="105" t="s">
        <v>7011</v>
      </c>
      <c r="C4245" s="105" t="s">
        <v>7012</v>
      </c>
      <c r="D4245" s="105">
        <v>3392</v>
      </c>
      <c r="E4245" s="105">
        <v>2035.2</v>
      </c>
      <c r="F4245" s="105">
        <v>119</v>
      </c>
    </row>
    <row r="4246" spans="1:6" x14ac:dyDescent="0.25">
      <c r="A4246" s="105">
        <f t="shared" si="66"/>
        <v>8520738</v>
      </c>
      <c r="B4246" s="105" t="s">
        <v>7013</v>
      </c>
      <c r="C4246" s="105" t="s">
        <v>9460</v>
      </c>
      <c r="D4246" s="105">
        <v>1590</v>
      </c>
      <c r="E4246" s="105">
        <v>954</v>
      </c>
      <c r="F4246" s="105">
        <v>166</v>
      </c>
    </row>
    <row r="4247" spans="1:6" x14ac:dyDescent="0.25">
      <c r="A4247" s="105" t="str">
        <f t="shared" si="66"/>
        <v/>
      </c>
      <c r="B4247" s="105" t="s">
        <v>7014</v>
      </c>
      <c r="C4247" s="105" t="s">
        <v>8</v>
      </c>
      <c r="D4247" s="105">
        <v>0</v>
      </c>
      <c r="E4247" s="105">
        <v>0</v>
      </c>
      <c r="F4247" s="105">
        <v>0</v>
      </c>
    </row>
    <row r="4248" spans="1:6" x14ac:dyDescent="0.25">
      <c r="A4248" s="105">
        <f t="shared" si="66"/>
        <v>8520739</v>
      </c>
      <c r="B4248" s="105" t="s">
        <v>7015</v>
      </c>
      <c r="C4248" s="105" t="s">
        <v>7016</v>
      </c>
      <c r="D4248" s="105">
        <v>0</v>
      </c>
      <c r="E4248" s="105">
        <v>0</v>
      </c>
      <c r="F4248" s="105">
        <v>0</v>
      </c>
    </row>
    <row r="4249" spans="1:6" x14ac:dyDescent="0.25">
      <c r="A4249" s="105">
        <f t="shared" si="66"/>
        <v>8520745</v>
      </c>
      <c r="B4249" s="105" t="s">
        <v>7017</v>
      </c>
      <c r="C4249" s="105" t="s">
        <v>7018</v>
      </c>
      <c r="D4249" s="105">
        <v>1272</v>
      </c>
      <c r="E4249" s="105">
        <v>763.2</v>
      </c>
      <c r="F4249" s="105">
        <v>119</v>
      </c>
    </row>
    <row r="4250" spans="1:6" x14ac:dyDescent="0.25">
      <c r="A4250" s="105" t="str">
        <f t="shared" si="66"/>
        <v/>
      </c>
      <c r="B4250" s="105" t="s">
        <v>7019</v>
      </c>
      <c r="C4250" s="105" t="s">
        <v>8</v>
      </c>
      <c r="D4250" s="105">
        <v>0</v>
      </c>
      <c r="E4250" s="105">
        <v>0</v>
      </c>
      <c r="F4250" s="105">
        <v>0</v>
      </c>
    </row>
    <row r="4251" spans="1:6" x14ac:dyDescent="0.25">
      <c r="A4251" s="105">
        <f t="shared" si="66"/>
        <v>8520746</v>
      </c>
      <c r="B4251" s="105" t="s">
        <v>7020</v>
      </c>
      <c r="C4251" s="105" t="s">
        <v>7021</v>
      </c>
      <c r="D4251" s="105">
        <v>0</v>
      </c>
      <c r="E4251" s="105">
        <v>0</v>
      </c>
      <c r="F4251" s="105">
        <v>0</v>
      </c>
    </row>
    <row r="4252" spans="1:6" x14ac:dyDescent="0.25">
      <c r="A4252" s="105">
        <f t="shared" si="66"/>
        <v>8520750</v>
      </c>
      <c r="B4252" s="105" t="s">
        <v>7022</v>
      </c>
      <c r="C4252" s="105" t="s">
        <v>9461</v>
      </c>
      <c r="D4252" s="105">
        <v>1378</v>
      </c>
      <c r="E4252" s="105">
        <v>826.8</v>
      </c>
      <c r="F4252" s="105">
        <v>47</v>
      </c>
    </row>
    <row r="4253" spans="1:6" x14ac:dyDescent="0.25">
      <c r="A4253" s="105" t="str">
        <f t="shared" si="66"/>
        <v/>
      </c>
      <c r="B4253" s="105" t="s">
        <v>7023</v>
      </c>
      <c r="C4253" s="105" t="s">
        <v>8</v>
      </c>
      <c r="D4253" s="105">
        <v>0</v>
      </c>
      <c r="E4253" s="105">
        <v>0</v>
      </c>
      <c r="F4253" s="105">
        <v>0</v>
      </c>
    </row>
    <row r="4254" spans="1:6" x14ac:dyDescent="0.25">
      <c r="A4254" s="105">
        <f t="shared" si="66"/>
        <v>8520751</v>
      </c>
      <c r="B4254" s="105" t="s">
        <v>7024</v>
      </c>
      <c r="C4254" s="105" t="s">
        <v>7025</v>
      </c>
      <c r="D4254" s="105">
        <v>0</v>
      </c>
      <c r="E4254" s="105">
        <v>0</v>
      </c>
      <c r="F4254" s="105">
        <v>0</v>
      </c>
    </row>
    <row r="4255" spans="1:6" x14ac:dyDescent="0.25">
      <c r="A4255" s="105" t="str">
        <f t="shared" si="66"/>
        <v/>
      </c>
      <c r="B4255" s="105" t="s">
        <v>7026</v>
      </c>
      <c r="C4255" s="105" t="s">
        <v>8</v>
      </c>
      <c r="D4255" s="105">
        <v>0</v>
      </c>
      <c r="E4255" s="105">
        <v>0</v>
      </c>
      <c r="F4255" s="105">
        <v>0</v>
      </c>
    </row>
    <row r="4256" spans="1:6" x14ac:dyDescent="0.25">
      <c r="A4256" s="105">
        <f t="shared" si="66"/>
        <v>8520776</v>
      </c>
      <c r="B4256" s="105" t="s">
        <v>7027</v>
      </c>
      <c r="C4256" s="105" t="s">
        <v>6798</v>
      </c>
      <c r="D4256" s="105">
        <v>0</v>
      </c>
      <c r="E4256" s="105">
        <v>0</v>
      </c>
      <c r="F4256" s="105">
        <v>0</v>
      </c>
    </row>
    <row r="4257" spans="1:6" x14ac:dyDescent="0.25">
      <c r="A4257" s="105">
        <f t="shared" si="66"/>
        <v>8520779</v>
      </c>
      <c r="B4257" s="105" t="s">
        <v>7028</v>
      </c>
      <c r="C4257" s="105" t="s">
        <v>7029</v>
      </c>
      <c r="D4257" s="105">
        <v>0</v>
      </c>
      <c r="E4257" s="105">
        <v>0</v>
      </c>
      <c r="F4257" s="105">
        <v>0</v>
      </c>
    </row>
    <row r="4258" spans="1:6" x14ac:dyDescent="0.25">
      <c r="A4258" s="105">
        <f t="shared" si="66"/>
        <v>8520781</v>
      </c>
      <c r="B4258" s="105" t="s">
        <v>7030</v>
      </c>
      <c r="C4258" s="105" t="s">
        <v>7031</v>
      </c>
      <c r="D4258" s="105">
        <v>1813.66</v>
      </c>
      <c r="E4258" s="105">
        <v>1088.2</v>
      </c>
      <c r="F4258" s="105">
        <v>0</v>
      </c>
    </row>
    <row r="4259" spans="1:6" x14ac:dyDescent="0.25">
      <c r="A4259" s="105" t="str">
        <f t="shared" si="66"/>
        <v/>
      </c>
      <c r="B4259" s="105" t="s">
        <v>7032</v>
      </c>
      <c r="C4259" s="105" t="s">
        <v>8</v>
      </c>
      <c r="D4259" s="105">
        <v>0</v>
      </c>
      <c r="E4259" s="105">
        <v>0</v>
      </c>
      <c r="F4259" s="105">
        <v>0</v>
      </c>
    </row>
    <row r="4260" spans="1:6" x14ac:dyDescent="0.25">
      <c r="A4260" s="105">
        <f t="shared" si="66"/>
        <v>8520802</v>
      </c>
      <c r="B4260" s="105" t="s">
        <v>7033</v>
      </c>
      <c r="C4260" s="105" t="s">
        <v>7034</v>
      </c>
      <c r="D4260" s="105">
        <v>0</v>
      </c>
      <c r="E4260" s="105">
        <v>0</v>
      </c>
      <c r="F4260" s="105">
        <v>0</v>
      </c>
    </row>
    <row r="4261" spans="1:6" x14ac:dyDescent="0.25">
      <c r="A4261" s="105">
        <f t="shared" si="66"/>
        <v>8520804</v>
      </c>
      <c r="B4261" s="105" t="s">
        <v>7035</v>
      </c>
      <c r="C4261" s="105" t="s">
        <v>7036</v>
      </c>
      <c r="D4261" s="105">
        <v>1998.63</v>
      </c>
      <c r="E4261" s="105">
        <v>1199.18</v>
      </c>
      <c r="F4261" s="105">
        <v>0</v>
      </c>
    </row>
    <row r="4262" spans="1:6" x14ac:dyDescent="0.25">
      <c r="A4262" s="105">
        <f t="shared" si="66"/>
        <v>8520813</v>
      </c>
      <c r="B4262" s="105" t="s">
        <v>7037</v>
      </c>
      <c r="C4262" s="105" t="s">
        <v>7038</v>
      </c>
      <c r="D4262" s="105">
        <v>440.96</v>
      </c>
      <c r="E4262" s="105">
        <v>264.58</v>
      </c>
      <c r="F4262" s="105">
        <v>1</v>
      </c>
    </row>
    <row r="4263" spans="1:6" x14ac:dyDescent="0.25">
      <c r="A4263" s="105" t="str">
        <f t="shared" si="66"/>
        <v/>
      </c>
      <c r="B4263" s="105" t="s">
        <v>7039</v>
      </c>
      <c r="C4263" s="105" t="s">
        <v>8</v>
      </c>
      <c r="D4263" s="105">
        <v>0</v>
      </c>
      <c r="E4263" s="105">
        <v>0</v>
      </c>
      <c r="F4263" s="105">
        <v>0</v>
      </c>
    </row>
    <row r="4264" spans="1:6" x14ac:dyDescent="0.25">
      <c r="A4264" s="105">
        <f t="shared" si="66"/>
        <v>8520814</v>
      </c>
      <c r="B4264" s="105" t="s">
        <v>7040</v>
      </c>
      <c r="C4264" s="105" t="s">
        <v>7041</v>
      </c>
      <c r="D4264" s="105">
        <v>0</v>
      </c>
      <c r="E4264" s="105">
        <v>0</v>
      </c>
      <c r="F4264" s="105">
        <v>0</v>
      </c>
    </row>
    <row r="4265" spans="1:6" x14ac:dyDescent="0.25">
      <c r="A4265" s="105">
        <f t="shared" si="66"/>
        <v>8520817</v>
      </c>
      <c r="B4265" s="105" t="s">
        <v>7042</v>
      </c>
      <c r="C4265" s="105" t="s">
        <v>7043</v>
      </c>
      <c r="D4265" s="105">
        <v>1703.01</v>
      </c>
      <c r="E4265" s="105">
        <v>1021.81</v>
      </c>
      <c r="F4265" s="105">
        <v>0</v>
      </c>
    </row>
    <row r="4266" spans="1:6" x14ac:dyDescent="0.25">
      <c r="A4266" s="105" t="str">
        <f t="shared" si="66"/>
        <v/>
      </c>
      <c r="B4266" s="105" t="s">
        <v>7044</v>
      </c>
      <c r="C4266" s="105" t="s">
        <v>8</v>
      </c>
      <c r="D4266" s="105">
        <v>0</v>
      </c>
      <c r="E4266" s="105">
        <v>0</v>
      </c>
      <c r="F4266" s="105">
        <v>0</v>
      </c>
    </row>
    <row r="4267" spans="1:6" x14ac:dyDescent="0.25">
      <c r="A4267" s="105">
        <f t="shared" si="66"/>
        <v>8520821</v>
      </c>
      <c r="B4267" s="105" t="s">
        <v>7045</v>
      </c>
      <c r="C4267" s="105" t="s">
        <v>7046</v>
      </c>
      <c r="D4267" s="105">
        <v>0</v>
      </c>
      <c r="E4267" s="105">
        <v>0</v>
      </c>
      <c r="F4267" s="105">
        <v>0</v>
      </c>
    </row>
    <row r="4268" spans="1:6" x14ac:dyDescent="0.25">
      <c r="A4268" s="105">
        <f t="shared" si="66"/>
        <v>8520824</v>
      </c>
      <c r="B4268" s="105" t="s">
        <v>7047</v>
      </c>
      <c r="C4268" s="105" t="s">
        <v>7048</v>
      </c>
      <c r="D4268" s="105">
        <v>61.07</v>
      </c>
      <c r="E4268" s="105">
        <v>36.64</v>
      </c>
      <c r="F4268" s="105">
        <v>0</v>
      </c>
    </row>
    <row r="4269" spans="1:6" x14ac:dyDescent="0.25">
      <c r="A4269" s="105">
        <f t="shared" si="66"/>
        <v>8520866</v>
      </c>
      <c r="B4269" s="105" t="s">
        <v>7049</v>
      </c>
      <c r="C4269" s="105" t="s">
        <v>7050</v>
      </c>
      <c r="D4269" s="105">
        <v>831.96</v>
      </c>
      <c r="E4269" s="105">
        <v>499.18</v>
      </c>
      <c r="F4269" s="105">
        <v>0</v>
      </c>
    </row>
    <row r="4270" spans="1:6" x14ac:dyDescent="0.25">
      <c r="A4270" s="105">
        <f t="shared" si="66"/>
        <v>8520925</v>
      </c>
      <c r="B4270" s="105" t="s">
        <v>7051</v>
      </c>
      <c r="C4270" s="105" t="s">
        <v>7052</v>
      </c>
      <c r="D4270" s="105">
        <v>137.37</v>
      </c>
      <c r="E4270" s="105">
        <v>82.42</v>
      </c>
      <c r="F4270" s="105">
        <v>0</v>
      </c>
    </row>
    <row r="4271" spans="1:6" x14ac:dyDescent="0.25">
      <c r="A4271" s="105">
        <f t="shared" si="66"/>
        <v>8520932</v>
      </c>
      <c r="B4271" s="105" t="s">
        <v>7053</v>
      </c>
      <c r="C4271" s="105" t="s">
        <v>7054</v>
      </c>
      <c r="D4271" s="105">
        <v>1250.1199999999999</v>
      </c>
      <c r="E4271" s="105">
        <v>750.07</v>
      </c>
      <c r="F4271" s="105">
        <v>4</v>
      </c>
    </row>
    <row r="4272" spans="1:6" x14ac:dyDescent="0.25">
      <c r="A4272" s="105">
        <f t="shared" si="66"/>
        <v>8520936</v>
      </c>
      <c r="B4272" s="105" t="s">
        <v>7055</v>
      </c>
      <c r="C4272" s="105" t="s">
        <v>7056</v>
      </c>
      <c r="D4272" s="105">
        <v>1696</v>
      </c>
      <c r="E4272" s="105">
        <v>1017.6</v>
      </c>
      <c r="F4272" s="105">
        <v>102</v>
      </c>
    </row>
    <row r="4273" spans="1:6" x14ac:dyDescent="0.25">
      <c r="A4273" s="105">
        <f t="shared" si="66"/>
        <v>8520941</v>
      </c>
      <c r="B4273" s="105" t="s">
        <v>7057</v>
      </c>
      <c r="C4273" s="105" t="s">
        <v>7058</v>
      </c>
      <c r="D4273" s="105">
        <v>2332</v>
      </c>
      <c r="E4273" s="105">
        <v>1399.2</v>
      </c>
      <c r="F4273" s="105">
        <v>435</v>
      </c>
    </row>
    <row r="4274" spans="1:6" x14ac:dyDescent="0.25">
      <c r="A4274" s="105" t="str">
        <f t="shared" si="66"/>
        <v/>
      </c>
      <c r="B4274" s="105" t="s">
        <v>7059</v>
      </c>
      <c r="C4274" s="105" t="s">
        <v>8</v>
      </c>
      <c r="D4274" s="105">
        <v>0</v>
      </c>
      <c r="E4274" s="105">
        <v>0</v>
      </c>
      <c r="F4274" s="105">
        <v>0</v>
      </c>
    </row>
    <row r="4275" spans="1:6" x14ac:dyDescent="0.25">
      <c r="A4275" s="105">
        <f t="shared" si="66"/>
        <v>8520942</v>
      </c>
      <c r="B4275" s="105" t="s">
        <v>7060</v>
      </c>
      <c r="C4275" s="105" t="s">
        <v>7061</v>
      </c>
      <c r="D4275" s="105">
        <v>0</v>
      </c>
      <c r="E4275" s="105">
        <v>0</v>
      </c>
      <c r="F4275" s="105">
        <v>0</v>
      </c>
    </row>
    <row r="4276" spans="1:6" x14ac:dyDescent="0.25">
      <c r="A4276" s="105" t="str">
        <f t="shared" si="66"/>
        <v/>
      </c>
      <c r="B4276" s="105" t="s">
        <v>7062</v>
      </c>
      <c r="C4276" s="105" t="s">
        <v>8</v>
      </c>
      <c r="D4276" s="105">
        <v>0</v>
      </c>
      <c r="E4276" s="105">
        <v>0</v>
      </c>
      <c r="F4276" s="105">
        <v>0</v>
      </c>
    </row>
    <row r="4277" spans="1:6" x14ac:dyDescent="0.25">
      <c r="A4277" s="105">
        <f t="shared" si="66"/>
        <v>8520945</v>
      </c>
      <c r="B4277" s="105" t="s">
        <v>7063</v>
      </c>
      <c r="C4277" s="105" t="s">
        <v>7064</v>
      </c>
      <c r="D4277" s="105">
        <v>0</v>
      </c>
      <c r="E4277" s="105">
        <v>0</v>
      </c>
      <c r="F4277" s="105">
        <v>0</v>
      </c>
    </row>
    <row r="4278" spans="1:6" x14ac:dyDescent="0.25">
      <c r="A4278" s="105">
        <f t="shared" si="66"/>
        <v>8520946</v>
      </c>
      <c r="B4278" s="105" t="s">
        <v>7065</v>
      </c>
      <c r="C4278" s="105" t="s">
        <v>9462</v>
      </c>
      <c r="D4278" s="105">
        <v>2756</v>
      </c>
      <c r="E4278" s="105">
        <v>1653.6</v>
      </c>
      <c r="F4278" s="105">
        <v>0</v>
      </c>
    </row>
    <row r="4279" spans="1:6" x14ac:dyDescent="0.25">
      <c r="A4279" s="105">
        <f t="shared" si="66"/>
        <v>8520947</v>
      </c>
      <c r="B4279" s="105" t="s">
        <v>7066</v>
      </c>
      <c r="C4279" s="105" t="s">
        <v>7067</v>
      </c>
      <c r="D4279" s="105">
        <v>1208.5999999999999</v>
      </c>
      <c r="E4279" s="105">
        <v>725.16</v>
      </c>
      <c r="F4279" s="105">
        <v>3</v>
      </c>
    </row>
    <row r="4280" spans="1:6" x14ac:dyDescent="0.25">
      <c r="A4280" s="105">
        <f t="shared" si="66"/>
        <v>8520948</v>
      </c>
      <c r="B4280" s="105" t="s">
        <v>7068</v>
      </c>
      <c r="C4280" s="105" t="s">
        <v>7069</v>
      </c>
      <c r="D4280" s="105">
        <v>0</v>
      </c>
      <c r="E4280" s="105">
        <v>0</v>
      </c>
      <c r="F4280" s="105">
        <v>0</v>
      </c>
    </row>
    <row r="4281" spans="1:6" x14ac:dyDescent="0.25">
      <c r="A4281" s="105" t="str">
        <f t="shared" si="66"/>
        <v/>
      </c>
      <c r="B4281" s="105" t="s">
        <v>7070</v>
      </c>
      <c r="C4281" s="105" t="s">
        <v>8</v>
      </c>
      <c r="D4281" s="105">
        <v>0</v>
      </c>
      <c r="E4281" s="105">
        <v>0</v>
      </c>
      <c r="F4281" s="105">
        <v>0</v>
      </c>
    </row>
    <row r="4282" spans="1:6" x14ac:dyDescent="0.25">
      <c r="A4282" s="105">
        <f t="shared" si="66"/>
        <v>8520953</v>
      </c>
      <c r="B4282" s="105" t="s">
        <v>7071</v>
      </c>
      <c r="C4282" s="105" t="s">
        <v>7072</v>
      </c>
      <c r="D4282" s="105">
        <v>0</v>
      </c>
      <c r="E4282" s="105">
        <v>0</v>
      </c>
      <c r="F4282" s="105">
        <v>0</v>
      </c>
    </row>
    <row r="4283" spans="1:6" x14ac:dyDescent="0.25">
      <c r="A4283" s="105" t="str">
        <f t="shared" si="66"/>
        <v/>
      </c>
      <c r="B4283" s="105" t="s">
        <v>7073</v>
      </c>
      <c r="C4283" s="105" t="s">
        <v>8</v>
      </c>
      <c r="D4283" s="105">
        <v>0</v>
      </c>
      <c r="E4283" s="105">
        <v>0</v>
      </c>
      <c r="F4283" s="105">
        <v>0</v>
      </c>
    </row>
    <row r="4284" spans="1:6" x14ac:dyDescent="0.25">
      <c r="A4284" s="105">
        <f t="shared" si="66"/>
        <v>8520987</v>
      </c>
      <c r="B4284" s="105" t="s">
        <v>7074</v>
      </c>
      <c r="C4284" s="105" t="s">
        <v>8</v>
      </c>
      <c r="D4284" s="105">
        <v>0</v>
      </c>
      <c r="E4284" s="105">
        <v>0</v>
      </c>
      <c r="F4284" s="105">
        <v>0</v>
      </c>
    </row>
    <row r="4285" spans="1:6" x14ac:dyDescent="0.25">
      <c r="A4285" s="105" t="str">
        <f t="shared" si="66"/>
        <v/>
      </c>
      <c r="B4285" s="105" t="s">
        <v>7075</v>
      </c>
      <c r="C4285" s="105" t="s">
        <v>8</v>
      </c>
      <c r="D4285" s="105">
        <v>0</v>
      </c>
      <c r="E4285" s="105">
        <v>0</v>
      </c>
      <c r="F4285" s="105">
        <v>0</v>
      </c>
    </row>
    <row r="4286" spans="1:6" x14ac:dyDescent="0.25">
      <c r="A4286" s="105">
        <f t="shared" si="66"/>
        <v>8520994</v>
      </c>
      <c r="B4286" s="105" t="s">
        <v>7076</v>
      </c>
      <c r="C4286" s="105" t="s">
        <v>7077</v>
      </c>
      <c r="D4286" s="105">
        <v>0</v>
      </c>
      <c r="E4286" s="105">
        <v>0</v>
      </c>
      <c r="F4286" s="105">
        <v>0</v>
      </c>
    </row>
    <row r="4287" spans="1:6" x14ac:dyDescent="0.25">
      <c r="A4287" s="105">
        <f t="shared" si="66"/>
        <v>8520999</v>
      </c>
      <c r="B4287" s="105" t="s">
        <v>7078</v>
      </c>
      <c r="C4287" s="105" t="s">
        <v>7079</v>
      </c>
      <c r="D4287" s="105">
        <v>453.32</v>
      </c>
      <c r="E4287" s="105">
        <v>271.99</v>
      </c>
      <c r="F4287" s="105">
        <v>0</v>
      </c>
    </row>
    <row r="4288" spans="1:6" x14ac:dyDescent="0.25">
      <c r="A4288" s="105" t="str">
        <f t="shared" si="66"/>
        <v/>
      </c>
      <c r="B4288" s="105" t="s">
        <v>7080</v>
      </c>
      <c r="C4288" s="105" t="s">
        <v>8</v>
      </c>
      <c r="D4288" s="105">
        <v>0</v>
      </c>
      <c r="E4288" s="105">
        <v>0</v>
      </c>
      <c r="F4288" s="105">
        <v>0</v>
      </c>
    </row>
    <row r="4289" spans="1:6" x14ac:dyDescent="0.25">
      <c r="A4289" s="105">
        <f t="shared" si="66"/>
        <v>8521001</v>
      </c>
      <c r="B4289" s="105" t="s">
        <v>7081</v>
      </c>
      <c r="C4289" s="105" t="s">
        <v>7082</v>
      </c>
      <c r="D4289" s="105">
        <v>0</v>
      </c>
      <c r="E4289" s="105">
        <v>0</v>
      </c>
      <c r="F4289" s="105">
        <v>0</v>
      </c>
    </row>
    <row r="4290" spans="1:6" x14ac:dyDescent="0.25">
      <c r="A4290" s="105">
        <f t="shared" si="66"/>
        <v>8521002</v>
      </c>
      <c r="B4290" s="105" t="s">
        <v>7083</v>
      </c>
      <c r="C4290" s="105" t="s">
        <v>7084</v>
      </c>
      <c r="D4290" s="105">
        <v>922.43</v>
      </c>
      <c r="E4290" s="105">
        <v>553.46</v>
      </c>
      <c r="F4290" s="105">
        <v>0</v>
      </c>
    </row>
    <row r="4291" spans="1:6" x14ac:dyDescent="0.25">
      <c r="A4291" s="105">
        <f t="shared" ref="A4291:A4354" si="67">IF(B4291&lt;&gt;"",IFERROR(B4291*1,""),"")</f>
        <v>8521013</v>
      </c>
      <c r="B4291" s="105" t="s">
        <v>7085</v>
      </c>
      <c r="C4291" s="105" t="s">
        <v>7086</v>
      </c>
      <c r="D4291" s="105">
        <v>1229.93</v>
      </c>
      <c r="E4291" s="105">
        <v>737.96</v>
      </c>
      <c r="F4291" s="105">
        <v>0</v>
      </c>
    </row>
    <row r="4292" spans="1:6" x14ac:dyDescent="0.25">
      <c r="A4292" s="105">
        <f t="shared" si="67"/>
        <v>8521014</v>
      </c>
      <c r="B4292" s="105" t="s">
        <v>7087</v>
      </c>
      <c r="C4292" s="105" t="s">
        <v>7088</v>
      </c>
      <c r="D4292" s="105">
        <v>4452</v>
      </c>
      <c r="E4292" s="105">
        <v>2671.2</v>
      </c>
      <c r="F4292" s="105">
        <v>19</v>
      </c>
    </row>
    <row r="4293" spans="1:6" x14ac:dyDescent="0.25">
      <c r="A4293" s="105">
        <f t="shared" si="67"/>
        <v>8521015</v>
      </c>
      <c r="B4293" s="105" t="s">
        <v>7089</v>
      </c>
      <c r="C4293" s="105" t="s">
        <v>7090</v>
      </c>
      <c r="D4293" s="105">
        <v>978.35</v>
      </c>
      <c r="E4293" s="105">
        <v>587.01</v>
      </c>
      <c r="F4293" s="105">
        <v>0</v>
      </c>
    </row>
    <row r="4294" spans="1:6" x14ac:dyDescent="0.25">
      <c r="A4294" s="105" t="str">
        <f t="shared" si="67"/>
        <v/>
      </c>
      <c r="B4294" s="105" t="s">
        <v>7091</v>
      </c>
      <c r="C4294" s="105" t="s">
        <v>8</v>
      </c>
      <c r="D4294" s="105">
        <v>0</v>
      </c>
      <c r="E4294" s="105">
        <v>0</v>
      </c>
      <c r="F4294" s="105">
        <v>0</v>
      </c>
    </row>
    <row r="4295" spans="1:6" x14ac:dyDescent="0.25">
      <c r="A4295" s="105">
        <f t="shared" si="67"/>
        <v>8521021</v>
      </c>
      <c r="B4295" s="105" t="s">
        <v>7092</v>
      </c>
      <c r="C4295" s="105" t="s">
        <v>7093</v>
      </c>
      <c r="D4295" s="105">
        <v>0</v>
      </c>
      <c r="E4295" s="105">
        <v>0</v>
      </c>
      <c r="F4295" s="105">
        <v>0</v>
      </c>
    </row>
    <row r="4296" spans="1:6" x14ac:dyDescent="0.25">
      <c r="A4296" s="105" t="str">
        <f t="shared" si="67"/>
        <v/>
      </c>
      <c r="B4296" s="105" t="s">
        <v>7094</v>
      </c>
      <c r="C4296" s="105" t="s">
        <v>8</v>
      </c>
      <c r="D4296" s="105">
        <v>0</v>
      </c>
      <c r="E4296" s="105">
        <v>0</v>
      </c>
      <c r="F4296" s="105">
        <v>0</v>
      </c>
    </row>
    <row r="4297" spans="1:6" x14ac:dyDescent="0.25">
      <c r="A4297" s="105">
        <f t="shared" si="67"/>
        <v>8521024</v>
      </c>
      <c r="B4297" s="105" t="s">
        <v>7095</v>
      </c>
      <c r="C4297" s="105" t="s">
        <v>7096</v>
      </c>
      <c r="D4297" s="105">
        <v>0</v>
      </c>
      <c r="E4297" s="105">
        <v>0</v>
      </c>
      <c r="F4297" s="105">
        <v>0</v>
      </c>
    </row>
    <row r="4298" spans="1:6" x14ac:dyDescent="0.25">
      <c r="A4298" s="105" t="str">
        <f t="shared" si="67"/>
        <v/>
      </c>
      <c r="B4298" s="105" t="s">
        <v>7097</v>
      </c>
      <c r="C4298" s="105" t="s">
        <v>8</v>
      </c>
      <c r="D4298" s="105">
        <v>0</v>
      </c>
      <c r="E4298" s="105">
        <v>0</v>
      </c>
      <c r="F4298" s="105">
        <v>0</v>
      </c>
    </row>
    <row r="4299" spans="1:6" x14ac:dyDescent="0.25">
      <c r="A4299" s="105">
        <f t="shared" si="67"/>
        <v>8521029</v>
      </c>
      <c r="B4299" s="105" t="s">
        <v>7098</v>
      </c>
      <c r="C4299" s="105" t="s">
        <v>7099</v>
      </c>
      <c r="D4299" s="105">
        <v>0</v>
      </c>
      <c r="E4299" s="105">
        <v>0</v>
      </c>
      <c r="F4299" s="105">
        <v>0</v>
      </c>
    </row>
    <row r="4300" spans="1:6" x14ac:dyDescent="0.25">
      <c r="A4300" s="105" t="str">
        <f t="shared" si="67"/>
        <v/>
      </c>
      <c r="B4300" s="105" t="s">
        <v>7100</v>
      </c>
      <c r="C4300" s="105" t="s">
        <v>8</v>
      </c>
      <c r="D4300" s="105">
        <v>0</v>
      </c>
      <c r="E4300" s="105">
        <v>0</v>
      </c>
      <c r="F4300" s="105">
        <v>0</v>
      </c>
    </row>
    <row r="4301" spans="1:6" x14ac:dyDescent="0.25">
      <c r="A4301" s="105">
        <f t="shared" si="67"/>
        <v>8521030</v>
      </c>
      <c r="B4301" s="105" t="s">
        <v>7101</v>
      </c>
      <c r="C4301" s="105" t="s">
        <v>7102</v>
      </c>
      <c r="D4301" s="105">
        <v>0</v>
      </c>
      <c r="E4301" s="105">
        <v>0</v>
      </c>
      <c r="F4301" s="105">
        <v>0</v>
      </c>
    </row>
    <row r="4302" spans="1:6" x14ac:dyDescent="0.25">
      <c r="A4302" s="105" t="str">
        <f t="shared" si="67"/>
        <v/>
      </c>
      <c r="B4302" s="105" t="s">
        <v>7103</v>
      </c>
      <c r="C4302" s="105" t="s">
        <v>8</v>
      </c>
      <c r="D4302" s="105">
        <v>0</v>
      </c>
      <c r="E4302" s="105">
        <v>0</v>
      </c>
      <c r="F4302" s="105">
        <v>0</v>
      </c>
    </row>
    <row r="4303" spans="1:6" x14ac:dyDescent="0.25">
      <c r="A4303" s="105">
        <f t="shared" si="67"/>
        <v>8521031</v>
      </c>
      <c r="B4303" s="105" t="s">
        <v>7104</v>
      </c>
      <c r="C4303" s="105" t="s">
        <v>7105</v>
      </c>
      <c r="D4303" s="105">
        <v>0</v>
      </c>
      <c r="E4303" s="105">
        <v>0</v>
      </c>
      <c r="F4303" s="105">
        <v>0</v>
      </c>
    </row>
    <row r="4304" spans="1:6" x14ac:dyDescent="0.25">
      <c r="A4304" s="105" t="str">
        <f t="shared" si="67"/>
        <v/>
      </c>
      <c r="B4304" s="105" t="s">
        <v>7106</v>
      </c>
      <c r="C4304" s="105" t="s">
        <v>8</v>
      </c>
      <c r="D4304" s="105">
        <v>0</v>
      </c>
      <c r="E4304" s="105">
        <v>0</v>
      </c>
      <c r="F4304" s="105">
        <v>0</v>
      </c>
    </row>
    <row r="4305" spans="1:6" x14ac:dyDescent="0.25">
      <c r="A4305" s="105">
        <f t="shared" si="67"/>
        <v>8521032</v>
      </c>
      <c r="B4305" s="105" t="s">
        <v>7107</v>
      </c>
      <c r="C4305" s="105" t="s">
        <v>7108</v>
      </c>
      <c r="D4305" s="105">
        <v>0</v>
      </c>
      <c r="E4305" s="105">
        <v>0</v>
      </c>
      <c r="F4305" s="105">
        <v>0</v>
      </c>
    </row>
    <row r="4306" spans="1:6" x14ac:dyDescent="0.25">
      <c r="A4306" s="105" t="str">
        <f t="shared" si="67"/>
        <v/>
      </c>
      <c r="B4306" s="105" t="s">
        <v>7109</v>
      </c>
      <c r="C4306" s="105" t="s">
        <v>8</v>
      </c>
      <c r="D4306" s="105">
        <v>0</v>
      </c>
      <c r="E4306" s="105">
        <v>0</v>
      </c>
      <c r="F4306" s="105">
        <v>0</v>
      </c>
    </row>
    <row r="4307" spans="1:6" x14ac:dyDescent="0.25">
      <c r="A4307" s="105">
        <f t="shared" si="67"/>
        <v>8521033</v>
      </c>
      <c r="B4307" s="105" t="s">
        <v>7110</v>
      </c>
      <c r="C4307" s="105" t="s">
        <v>7111</v>
      </c>
      <c r="D4307" s="105">
        <v>0</v>
      </c>
      <c r="E4307" s="105">
        <v>0</v>
      </c>
      <c r="F4307" s="105">
        <v>0</v>
      </c>
    </row>
    <row r="4308" spans="1:6" x14ac:dyDescent="0.25">
      <c r="A4308" s="105">
        <f t="shared" si="67"/>
        <v>8521034</v>
      </c>
      <c r="B4308" s="105" t="s">
        <v>7112</v>
      </c>
      <c r="C4308" s="105" t="s">
        <v>7113</v>
      </c>
      <c r="D4308" s="105">
        <v>614.94000000000005</v>
      </c>
      <c r="E4308" s="105">
        <v>368.96</v>
      </c>
      <c r="F4308" s="105">
        <v>0</v>
      </c>
    </row>
    <row r="4309" spans="1:6" x14ac:dyDescent="0.25">
      <c r="A4309" s="105">
        <f t="shared" si="67"/>
        <v>8521036</v>
      </c>
      <c r="B4309" s="105" t="s">
        <v>7114</v>
      </c>
      <c r="C4309" s="105" t="s">
        <v>7115</v>
      </c>
      <c r="D4309" s="105">
        <v>1802</v>
      </c>
      <c r="E4309" s="105">
        <v>1081.2</v>
      </c>
      <c r="F4309" s="105">
        <v>4</v>
      </c>
    </row>
    <row r="4310" spans="1:6" x14ac:dyDescent="0.25">
      <c r="A4310" s="105" t="str">
        <f t="shared" si="67"/>
        <v/>
      </c>
      <c r="B4310" s="105" t="s">
        <v>7116</v>
      </c>
      <c r="C4310" s="105" t="s">
        <v>8</v>
      </c>
      <c r="D4310" s="105">
        <v>0</v>
      </c>
      <c r="E4310" s="105">
        <v>0</v>
      </c>
      <c r="F4310" s="105">
        <v>0</v>
      </c>
    </row>
    <row r="4311" spans="1:6" x14ac:dyDescent="0.25">
      <c r="A4311" s="105">
        <f t="shared" si="67"/>
        <v>8521040</v>
      </c>
      <c r="B4311" s="105" t="s">
        <v>7117</v>
      </c>
      <c r="C4311" s="105" t="s">
        <v>7118</v>
      </c>
      <c r="D4311" s="105">
        <v>0</v>
      </c>
      <c r="E4311" s="105">
        <v>0</v>
      </c>
      <c r="F4311" s="105">
        <v>0</v>
      </c>
    </row>
    <row r="4312" spans="1:6" x14ac:dyDescent="0.25">
      <c r="A4312" s="105" t="str">
        <f t="shared" si="67"/>
        <v/>
      </c>
      <c r="B4312" s="105" t="s">
        <v>7119</v>
      </c>
      <c r="C4312" s="105" t="s">
        <v>8</v>
      </c>
      <c r="D4312" s="105">
        <v>0</v>
      </c>
      <c r="E4312" s="105">
        <v>0</v>
      </c>
      <c r="F4312" s="105">
        <v>0</v>
      </c>
    </row>
    <row r="4313" spans="1:6" x14ac:dyDescent="0.25">
      <c r="A4313" s="105">
        <f t="shared" si="67"/>
        <v>8521042</v>
      </c>
      <c r="B4313" s="105" t="s">
        <v>7120</v>
      </c>
      <c r="C4313" s="105" t="s">
        <v>7121</v>
      </c>
      <c r="D4313" s="105">
        <v>0</v>
      </c>
      <c r="E4313" s="105">
        <v>0</v>
      </c>
      <c r="F4313" s="105">
        <v>0</v>
      </c>
    </row>
    <row r="4314" spans="1:6" x14ac:dyDescent="0.25">
      <c r="A4314" s="105" t="str">
        <f t="shared" si="67"/>
        <v/>
      </c>
      <c r="B4314" s="105" t="s">
        <v>7122</v>
      </c>
      <c r="C4314" s="105" t="s">
        <v>8</v>
      </c>
      <c r="D4314" s="105">
        <v>0</v>
      </c>
      <c r="E4314" s="105">
        <v>0</v>
      </c>
      <c r="F4314" s="105">
        <v>0</v>
      </c>
    </row>
    <row r="4315" spans="1:6" x14ac:dyDescent="0.25">
      <c r="A4315" s="105">
        <f t="shared" si="67"/>
        <v>8521043</v>
      </c>
      <c r="B4315" s="105" t="s">
        <v>7123</v>
      </c>
      <c r="C4315" s="105" t="s">
        <v>7124</v>
      </c>
      <c r="D4315" s="105">
        <v>0</v>
      </c>
      <c r="E4315" s="105">
        <v>0</v>
      </c>
      <c r="F4315" s="105">
        <v>0</v>
      </c>
    </row>
    <row r="4316" spans="1:6" x14ac:dyDescent="0.25">
      <c r="A4316" s="105" t="str">
        <f t="shared" si="67"/>
        <v/>
      </c>
      <c r="B4316" s="105" t="s">
        <v>7125</v>
      </c>
      <c r="C4316" s="105" t="s">
        <v>8</v>
      </c>
      <c r="D4316" s="105">
        <v>0</v>
      </c>
      <c r="E4316" s="105">
        <v>0</v>
      </c>
      <c r="F4316" s="105">
        <v>0</v>
      </c>
    </row>
    <row r="4317" spans="1:6" x14ac:dyDescent="0.25">
      <c r="A4317" s="105">
        <f t="shared" si="67"/>
        <v>8521045</v>
      </c>
      <c r="B4317" s="105" t="s">
        <v>7126</v>
      </c>
      <c r="C4317" s="105" t="s">
        <v>7127</v>
      </c>
      <c r="D4317" s="105">
        <v>0</v>
      </c>
      <c r="E4317" s="105">
        <v>0</v>
      </c>
      <c r="F4317" s="105">
        <v>0</v>
      </c>
    </row>
    <row r="4318" spans="1:6" x14ac:dyDescent="0.25">
      <c r="A4318" s="105" t="str">
        <f t="shared" si="67"/>
        <v/>
      </c>
      <c r="B4318" s="105" t="s">
        <v>7128</v>
      </c>
      <c r="C4318" s="105" t="s">
        <v>8</v>
      </c>
      <c r="D4318" s="105">
        <v>0</v>
      </c>
      <c r="E4318" s="105">
        <v>0</v>
      </c>
      <c r="F4318" s="105">
        <v>0</v>
      </c>
    </row>
    <row r="4319" spans="1:6" x14ac:dyDescent="0.25">
      <c r="A4319" s="105">
        <f t="shared" si="67"/>
        <v>8521046</v>
      </c>
      <c r="B4319" s="105" t="s">
        <v>7129</v>
      </c>
      <c r="C4319" s="105" t="s">
        <v>7130</v>
      </c>
      <c r="D4319" s="105">
        <v>0</v>
      </c>
      <c r="E4319" s="105">
        <v>0</v>
      </c>
      <c r="F4319" s="105">
        <v>0</v>
      </c>
    </row>
    <row r="4320" spans="1:6" x14ac:dyDescent="0.25">
      <c r="A4320" s="105">
        <f t="shared" si="67"/>
        <v>8521050</v>
      </c>
      <c r="B4320" s="105" t="s">
        <v>7131</v>
      </c>
      <c r="C4320" s="105" t="s">
        <v>7132</v>
      </c>
      <c r="D4320" s="105">
        <v>1229.93</v>
      </c>
      <c r="E4320" s="105">
        <v>737.96</v>
      </c>
      <c r="F4320" s="105">
        <v>0</v>
      </c>
    </row>
    <row r="4321" spans="1:6" x14ac:dyDescent="0.25">
      <c r="A4321" s="105">
        <f t="shared" si="67"/>
        <v>8521060</v>
      </c>
      <c r="B4321" s="105" t="s">
        <v>7133</v>
      </c>
      <c r="C4321" s="105" t="s">
        <v>7134</v>
      </c>
      <c r="D4321" s="105">
        <v>614.94000000000005</v>
      </c>
      <c r="E4321" s="105">
        <v>368.96</v>
      </c>
      <c r="F4321" s="105">
        <v>0</v>
      </c>
    </row>
    <row r="4322" spans="1:6" x14ac:dyDescent="0.25">
      <c r="A4322" s="105" t="str">
        <f t="shared" si="67"/>
        <v/>
      </c>
      <c r="B4322" s="105" t="s">
        <v>7135</v>
      </c>
      <c r="C4322" s="105" t="s">
        <v>8</v>
      </c>
      <c r="D4322" s="105">
        <v>0</v>
      </c>
      <c r="E4322" s="105">
        <v>0</v>
      </c>
      <c r="F4322" s="105">
        <v>0</v>
      </c>
    </row>
    <row r="4323" spans="1:6" x14ac:dyDescent="0.25">
      <c r="A4323" s="105">
        <f t="shared" si="67"/>
        <v>8521061</v>
      </c>
      <c r="B4323" s="105" t="s">
        <v>7136</v>
      </c>
      <c r="C4323" s="105" t="s">
        <v>7137</v>
      </c>
      <c r="D4323" s="105">
        <v>0</v>
      </c>
      <c r="E4323" s="105">
        <v>0</v>
      </c>
      <c r="F4323" s="105">
        <v>0</v>
      </c>
    </row>
    <row r="4324" spans="1:6" x14ac:dyDescent="0.25">
      <c r="A4324" s="105" t="str">
        <f t="shared" si="67"/>
        <v/>
      </c>
      <c r="B4324" s="105" t="s">
        <v>7138</v>
      </c>
      <c r="C4324" s="105" t="s">
        <v>8</v>
      </c>
      <c r="D4324" s="105">
        <v>0</v>
      </c>
      <c r="E4324" s="105">
        <v>0</v>
      </c>
      <c r="F4324" s="105">
        <v>0</v>
      </c>
    </row>
    <row r="4325" spans="1:6" x14ac:dyDescent="0.25">
      <c r="A4325" s="105">
        <f t="shared" si="67"/>
        <v>8521062</v>
      </c>
      <c r="B4325" s="105" t="s">
        <v>7139</v>
      </c>
      <c r="C4325" s="105" t="s">
        <v>7140</v>
      </c>
      <c r="D4325" s="105">
        <v>0</v>
      </c>
      <c r="E4325" s="105">
        <v>0</v>
      </c>
      <c r="F4325" s="105">
        <v>0</v>
      </c>
    </row>
    <row r="4326" spans="1:6" x14ac:dyDescent="0.25">
      <c r="A4326" s="105">
        <f t="shared" si="67"/>
        <v>8521063</v>
      </c>
      <c r="B4326" s="105" t="s">
        <v>7141</v>
      </c>
      <c r="C4326" s="105" t="s">
        <v>7142</v>
      </c>
      <c r="D4326" s="105">
        <v>1378</v>
      </c>
      <c r="E4326" s="105">
        <v>826.8</v>
      </c>
      <c r="F4326" s="105">
        <v>241</v>
      </c>
    </row>
    <row r="4327" spans="1:6" x14ac:dyDescent="0.25">
      <c r="A4327" s="105">
        <f t="shared" si="67"/>
        <v>8521064</v>
      </c>
      <c r="B4327" s="105" t="s">
        <v>7143</v>
      </c>
      <c r="C4327" s="105" t="s">
        <v>7144</v>
      </c>
      <c r="D4327" s="105">
        <v>461.18</v>
      </c>
      <c r="E4327" s="105">
        <v>276.70999999999998</v>
      </c>
      <c r="F4327" s="105">
        <v>0</v>
      </c>
    </row>
    <row r="4328" spans="1:6" x14ac:dyDescent="0.25">
      <c r="A4328" s="105">
        <f t="shared" si="67"/>
        <v>8521100</v>
      </c>
      <c r="B4328" s="105" t="s">
        <v>7145</v>
      </c>
      <c r="C4328" s="105" t="s">
        <v>7146</v>
      </c>
      <c r="D4328" s="105">
        <v>2332</v>
      </c>
      <c r="E4328" s="105">
        <v>1399.2</v>
      </c>
      <c r="F4328" s="105">
        <v>0</v>
      </c>
    </row>
    <row r="4329" spans="1:6" x14ac:dyDescent="0.25">
      <c r="A4329" s="105" t="str">
        <f t="shared" si="67"/>
        <v/>
      </c>
      <c r="B4329" s="105" t="s">
        <v>7147</v>
      </c>
      <c r="C4329" s="105" t="s">
        <v>8</v>
      </c>
      <c r="D4329" s="105">
        <v>0</v>
      </c>
      <c r="E4329" s="105">
        <v>0</v>
      </c>
      <c r="F4329" s="105">
        <v>0</v>
      </c>
    </row>
    <row r="4330" spans="1:6" x14ac:dyDescent="0.25">
      <c r="A4330" s="105">
        <f t="shared" si="67"/>
        <v>8521101</v>
      </c>
      <c r="B4330" s="105" t="s">
        <v>7148</v>
      </c>
      <c r="C4330" s="105" t="s">
        <v>7149</v>
      </c>
      <c r="D4330" s="105">
        <v>0</v>
      </c>
      <c r="E4330" s="105">
        <v>0</v>
      </c>
      <c r="F4330" s="105">
        <v>0</v>
      </c>
    </row>
    <row r="4331" spans="1:6" x14ac:dyDescent="0.25">
      <c r="A4331" s="105">
        <f t="shared" si="67"/>
        <v>8521102</v>
      </c>
      <c r="B4331" s="105" t="s">
        <v>7150</v>
      </c>
      <c r="C4331" s="105" t="s">
        <v>7151</v>
      </c>
      <c r="D4331" s="105">
        <v>1696</v>
      </c>
      <c r="E4331" s="105">
        <v>1017.6</v>
      </c>
      <c r="F4331" s="105">
        <v>359</v>
      </c>
    </row>
    <row r="4332" spans="1:6" x14ac:dyDescent="0.25">
      <c r="A4332" s="105">
        <f t="shared" si="67"/>
        <v>8521120</v>
      </c>
      <c r="B4332" s="105" t="s">
        <v>7152</v>
      </c>
      <c r="C4332" s="105" t="s">
        <v>7153</v>
      </c>
      <c r="D4332" s="105">
        <v>2152.39</v>
      </c>
      <c r="E4332" s="105">
        <v>1291.43</v>
      </c>
      <c r="F4332" s="105">
        <v>0</v>
      </c>
    </row>
    <row r="4333" spans="1:6" x14ac:dyDescent="0.25">
      <c r="A4333" s="105" t="str">
        <f t="shared" si="67"/>
        <v/>
      </c>
      <c r="B4333" s="105" t="s">
        <v>7154</v>
      </c>
      <c r="C4333" s="105" t="s">
        <v>8</v>
      </c>
      <c r="D4333" s="105">
        <v>0</v>
      </c>
      <c r="E4333" s="105">
        <v>0</v>
      </c>
      <c r="F4333" s="105">
        <v>0</v>
      </c>
    </row>
    <row r="4334" spans="1:6" x14ac:dyDescent="0.25">
      <c r="A4334" s="105">
        <f t="shared" si="67"/>
        <v>8521129</v>
      </c>
      <c r="B4334" s="105" t="s">
        <v>7155</v>
      </c>
      <c r="C4334" s="105" t="s">
        <v>7156</v>
      </c>
      <c r="D4334" s="105">
        <v>0</v>
      </c>
      <c r="E4334" s="105">
        <v>0</v>
      </c>
      <c r="F4334" s="105">
        <v>0</v>
      </c>
    </row>
    <row r="4335" spans="1:6" x14ac:dyDescent="0.25">
      <c r="A4335" s="105" t="str">
        <f t="shared" si="67"/>
        <v/>
      </c>
      <c r="B4335" s="105" t="s">
        <v>7157</v>
      </c>
      <c r="C4335" s="105" t="s">
        <v>8</v>
      </c>
      <c r="D4335" s="105">
        <v>0</v>
      </c>
      <c r="E4335" s="105">
        <v>0</v>
      </c>
      <c r="F4335" s="105">
        <v>0</v>
      </c>
    </row>
    <row r="4336" spans="1:6" x14ac:dyDescent="0.25">
      <c r="A4336" s="105">
        <f t="shared" si="67"/>
        <v>8521160</v>
      </c>
      <c r="B4336" s="105" t="s">
        <v>7158</v>
      </c>
      <c r="C4336" s="105" t="s">
        <v>7159</v>
      </c>
      <c r="D4336" s="105">
        <v>0</v>
      </c>
      <c r="E4336" s="105">
        <v>0</v>
      </c>
      <c r="F4336" s="105">
        <v>0</v>
      </c>
    </row>
    <row r="4337" spans="1:6" x14ac:dyDescent="0.25">
      <c r="A4337" s="105" t="str">
        <f t="shared" si="67"/>
        <v/>
      </c>
      <c r="B4337" s="105" t="s">
        <v>7160</v>
      </c>
      <c r="C4337" s="105" t="s">
        <v>8</v>
      </c>
      <c r="D4337" s="105">
        <v>0</v>
      </c>
      <c r="E4337" s="105">
        <v>0</v>
      </c>
      <c r="F4337" s="105">
        <v>0</v>
      </c>
    </row>
    <row r="4338" spans="1:6" x14ac:dyDescent="0.25">
      <c r="A4338" s="105">
        <f t="shared" si="67"/>
        <v>8521290</v>
      </c>
      <c r="B4338" s="105" t="s">
        <v>7161</v>
      </c>
      <c r="C4338" s="105" t="s">
        <v>7162</v>
      </c>
      <c r="D4338" s="105">
        <v>0</v>
      </c>
      <c r="E4338" s="105">
        <v>0</v>
      </c>
      <c r="F4338" s="105">
        <v>0</v>
      </c>
    </row>
    <row r="4339" spans="1:6" x14ac:dyDescent="0.25">
      <c r="A4339" s="105">
        <f t="shared" si="67"/>
        <v>8521300</v>
      </c>
      <c r="B4339" s="105" t="s">
        <v>7163</v>
      </c>
      <c r="C4339" s="105" t="s">
        <v>7164</v>
      </c>
      <c r="D4339" s="105">
        <v>461.17</v>
      </c>
      <c r="E4339" s="105">
        <v>276.7</v>
      </c>
      <c r="F4339" s="105">
        <v>0</v>
      </c>
    </row>
    <row r="4340" spans="1:6" x14ac:dyDescent="0.25">
      <c r="A4340" s="105">
        <f t="shared" si="67"/>
        <v>8521301</v>
      </c>
      <c r="B4340" s="105" t="s">
        <v>7165</v>
      </c>
      <c r="C4340" s="105" t="s">
        <v>7166</v>
      </c>
      <c r="D4340" s="105">
        <v>312.52999999999997</v>
      </c>
      <c r="E4340" s="105">
        <v>187.52</v>
      </c>
      <c r="F4340" s="105">
        <v>1</v>
      </c>
    </row>
    <row r="4341" spans="1:6" x14ac:dyDescent="0.25">
      <c r="A4341" s="105">
        <f t="shared" si="67"/>
        <v>8521302</v>
      </c>
      <c r="B4341" s="105" t="s">
        <v>7167</v>
      </c>
      <c r="C4341" s="105" t="s">
        <v>7168</v>
      </c>
      <c r="D4341" s="105">
        <v>1696</v>
      </c>
      <c r="E4341" s="105">
        <v>1017.6</v>
      </c>
      <c r="F4341" s="105">
        <v>27</v>
      </c>
    </row>
    <row r="4342" spans="1:6" x14ac:dyDescent="0.25">
      <c r="A4342" s="105">
        <f t="shared" si="67"/>
        <v>8521303</v>
      </c>
      <c r="B4342" s="105" t="s">
        <v>7169</v>
      </c>
      <c r="C4342" s="105" t="s">
        <v>9463</v>
      </c>
      <c r="D4342" s="105">
        <v>1125.1099999999999</v>
      </c>
      <c r="E4342" s="105">
        <v>675.07</v>
      </c>
      <c r="F4342" s="105">
        <v>0</v>
      </c>
    </row>
    <row r="4343" spans="1:6" x14ac:dyDescent="0.25">
      <c r="A4343" s="105">
        <f t="shared" si="67"/>
        <v>8521304</v>
      </c>
      <c r="B4343" s="105" t="s">
        <v>7170</v>
      </c>
      <c r="C4343" s="105" t="s">
        <v>7171</v>
      </c>
      <c r="D4343" s="105">
        <v>3074</v>
      </c>
      <c r="E4343" s="105">
        <v>1844.4</v>
      </c>
      <c r="F4343" s="105">
        <v>0</v>
      </c>
    </row>
    <row r="4344" spans="1:6" x14ac:dyDescent="0.25">
      <c r="A4344" s="105">
        <f t="shared" si="67"/>
        <v>8521305</v>
      </c>
      <c r="B4344" s="105" t="s">
        <v>7172</v>
      </c>
      <c r="C4344" s="105" t="s">
        <v>7173</v>
      </c>
      <c r="D4344" s="105">
        <v>742</v>
      </c>
      <c r="E4344" s="105">
        <v>445.2</v>
      </c>
      <c r="F4344" s="105">
        <v>6</v>
      </c>
    </row>
    <row r="4345" spans="1:6" x14ac:dyDescent="0.25">
      <c r="A4345" s="105">
        <f t="shared" si="67"/>
        <v>8521306</v>
      </c>
      <c r="B4345" s="105" t="s">
        <v>7174</v>
      </c>
      <c r="C4345" s="105" t="s">
        <v>7175</v>
      </c>
      <c r="D4345" s="105">
        <v>2650</v>
      </c>
      <c r="E4345" s="105">
        <v>1590</v>
      </c>
      <c r="F4345" s="105">
        <v>151</v>
      </c>
    </row>
    <row r="4346" spans="1:6" x14ac:dyDescent="0.25">
      <c r="A4346" s="105" t="str">
        <f t="shared" si="67"/>
        <v/>
      </c>
      <c r="B4346" s="105" t="s">
        <v>7176</v>
      </c>
      <c r="C4346" s="105" t="s">
        <v>8</v>
      </c>
      <c r="D4346" s="105">
        <v>0</v>
      </c>
      <c r="E4346" s="105">
        <v>0</v>
      </c>
      <c r="F4346" s="105">
        <v>0</v>
      </c>
    </row>
    <row r="4347" spans="1:6" x14ac:dyDescent="0.25">
      <c r="A4347" s="105">
        <f t="shared" si="67"/>
        <v>8521374</v>
      </c>
      <c r="B4347" s="105" t="s">
        <v>7177</v>
      </c>
      <c r="C4347" s="105" t="s">
        <v>7178</v>
      </c>
      <c r="D4347" s="105">
        <v>0</v>
      </c>
      <c r="E4347" s="105">
        <v>0</v>
      </c>
      <c r="F4347" s="105">
        <v>0</v>
      </c>
    </row>
    <row r="4348" spans="1:6" x14ac:dyDescent="0.25">
      <c r="A4348" s="105">
        <f t="shared" si="67"/>
        <v>8521443</v>
      </c>
      <c r="B4348" s="105" t="s">
        <v>7179</v>
      </c>
      <c r="C4348" s="105" t="s">
        <v>7180</v>
      </c>
      <c r="D4348" s="105">
        <v>2152.39</v>
      </c>
      <c r="E4348" s="105">
        <v>1291.43</v>
      </c>
      <c r="F4348" s="105">
        <v>0</v>
      </c>
    </row>
    <row r="4349" spans="1:6" x14ac:dyDescent="0.25">
      <c r="A4349" s="105">
        <f t="shared" si="67"/>
        <v>8521455</v>
      </c>
      <c r="B4349" s="105" t="s">
        <v>7181</v>
      </c>
      <c r="C4349" s="105" t="s">
        <v>7182</v>
      </c>
      <c r="D4349" s="105">
        <v>559.04</v>
      </c>
      <c r="E4349" s="105">
        <v>335.42</v>
      </c>
      <c r="F4349" s="105">
        <v>0</v>
      </c>
    </row>
    <row r="4350" spans="1:6" x14ac:dyDescent="0.25">
      <c r="A4350" s="105">
        <f t="shared" si="67"/>
        <v>8521458</v>
      </c>
      <c r="B4350" s="105" t="s">
        <v>7183</v>
      </c>
      <c r="C4350" s="105" t="s">
        <v>7184</v>
      </c>
      <c r="D4350" s="105">
        <v>546.72</v>
      </c>
      <c r="E4350" s="105">
        <v>328.03</v>
      </c>
      <c r="F4350" s="105">
        <v>0</v>
      </c>
    </row>
    <row r="4351" spans="1:6" x14ac:dyDescent="0.25">
      <c r="A4351" s="105" t="str">
        <f t="shared" si="67"/>
        <v/>
      </c>
      <c r="B4351" s="105" t="s">
        <v>7185</v>
      </c>
      <c r="C4351" s="105" t="s">
        <v>8</v>
      </c>
      <c r="D4351" s="105">
        <v>0</v>
      </c>
      <c r="E4351" s="105">
        <v>0</v>
      </c>
      <c r="F4351" s="105">
        <v>0</v>
      </c>
    </row>
    <row r="4352" spans="1:6" x14ac:dyDescent="0.25">
      <c r="A4352" s="105">
        <f t="shared" si="67"/>
        <v>8521467</v>
      </c>
      <c r="B4352" s="105" t="s">
        <v>7186</v>
      </c>
      <c r="C4352" s="105" t="s">
        <v>7187</v>
      </c>
      <c r="D4352" s="105">
        <v>0</v>
      </c>
      <c r="E4352" s="105">
        <v>0</v>
      </c>
      <c r="F4352" s="105">
        <v>0</v>
      </c>
    </row>
    <row r="4353" spans="1:6" x14ac:dyDescent="0.25">
      <c r="A4353" s="105">
        <f t="shared" si="67"/>
        <v>8521472</v>
      </c>
      <c r="B4353" s="105" t="s">
        <v>7188</v>
      </c>
      <c r="C4353" s="105" t="s">
        <v>7189</v>
      </c>
      <c r="D4353" s="105">
        <v>2459.89</v>
      </c>
      <c r="E4353" s="105">
        <v>1475.93</v>
      </c>
      <c r="F4353" s="105">
        <v>0</v>
      </c>
    </row>
    <row r="4354" spans="1:6" x14ac:dyDescent="0.25">
      <c r="A4354" s="105">
        <f t="shared" si="67"/>
        <v>8521498</v>
      </c>
      <c r="B4354" s="105" t="s">
        <v>7190</v>
      </c>
      <c r="C4354" s="105" t="s">
        <v>7191</v>
      </c>
      <c r="D4354" s="105">
        <v>461.18</v>
      </c>
      <c r="E4354" s="105">
        <v>276.70999999999998</v>
      </c>
      <c r="F4354" s="105">
        <v>0</v>
      </c>
    </row>
    <row r="4355" spans="1:6" x14ac:dyDescent="0.25">
      <c r="A4355" s="105" t="str">
        <f t="shared" ref="A4355:A4418" si="68">IF(B4355&lt;&gt;"",IFERROR(B4355*1,""),"")</f>
        <v/>
      </c>
      <c r="B4355" s="105" t="s">
        <v>7192</v>
      </c>
      <c r="C4355" s="105" t="s">
        <v>8</v>
      </c>
      <c r="D4355" s="105">
        <v>0</v>
      </c>
      <c r="E4355" s="105">
        <v>0</v>
      </c>
      <c r="F4355" s="105">
        <v>0</v>
      </c>
    </row>
    <row r="4356" spans="1:6" x14ac:dyDescent="0.25">
      <c r="A4356" s="105">
        <f t="shared" si="68"/>
        <v>8521499</v>
      </c>
      <c r="B4356" s="105" t="s">
        <v>7193</v>
      </c>
      <c r="C4356" s="105" t="s">
        <v>7194</v>
      </c>
      <c r="D4356" s="105">
        <v>0</v>
      </c>
      <c r="E4356" s="105">
        <v>0</v>
      </c>
      <c r="F4356" s="105">
        <v>0</v>
      </c>
    </row>
    <row r="4357" spans="1:6" x14ac:dyDescent="0.25">
      <c r="A4357" s="105">
        <f t="shared" si="68"/>
        <v>8521551</v>
      </c>
      <c r="B4357" s="105" t="s">
        <v>7195</v>
      </c>
      <c r="C4357" s="105" t="s">
        <v>7196</v>
      </c>
      <c r="D4357" s="105">
        <v>1844.91</v>
      </c>
      <c r="E4357" s="105">
        <v>1106.95</v>
      </c>
      <c r="F4357" s="105">
        <v>0</v>
      </c>
    </row>
    <row r="4358" spans="1:6" x14ac:dyDescent="0.25">
      <c r="A4358" s="105" t="str">
        <f t="shared" si="68"/>
        <v/>
      </c>
      <c r="B4358" s="105" t="s">
        <v>7197</v>
      </c>
      <c r="C4358" s="105" t="s">
        <v>8</v>
      </c>
      <c r="D4358" s="105">
        <v>0</v>
      </c>
      <c r="E4358" s="105">
        <v>0</v>
      </c>
      <c r="F4358" s="105">
        <v>0</v>
      </c>
    </row>
    <row r="4359" spans="1:6" x14ac:dyDescent="0.25">
      <c r="A4359" s="105">
        <f t="shared" si="68"/>
        <v>8521572</v>
      </c>
      <c r="B4359" s="105" t="s">
        <v>7198</v>
      </c>
      <c r="C4359" s="105" t="s">
        <v>7199</v>
      </c>
      <c r="D4359" s="105">
        <v>0</v>
      </c>
      <c r="E4359" s="105">
        <v>0</v>
      </c>
      <c r="F4359" s="105">
        <v>0</v>
      </c>
    </row>
    <row r="4360" spans="1:6" x14ac:dyDescent="0.25">
      <c r="A4360" s="105">
        <f t="shared" si="68"/>
        <v>8521580</v>
      </c>
      <c r="B4360" s="105" t="s">
        <v>7200</v>
      </c>
      <c r="C4360" s="105" t="s">
        <v>7201</v>
      </c>
      <c r="D4360" s="105">
        <v>1844.91</v>
      </c>
      <c r="E4360" s="105">
        <v>1106.95</v>
      </c>
      <c r="F4360" s="105">
        <v>0</v>
      </c>
    </row>
    <row r="4361" spans="1:6" x14ac:dyDescent="0.25">
      <c r="A4361" s="105" t="str">
        <f t="shared" si="68"/>
        <v/>
      </c>
      <c r="B4361" s="105" t="s">
        <v>7202</v>
      </c>
      <c r="C4361" s="105" t="s">
        <v>8</v>
      </c>
      <c r="D4361" s="105">
        <v>0</v>
      </c>
      <c r="E4361" s="105">
        <v>0</v>
      </c>
      <c r="F4361" s="105">
        <v>0</v>
      </c>
    </row>
    <row r="4362" spans="1:6" x14ac:dyDescent="0.25">
      <c r="A4362" s="105">
        <f t="shared" si="68"/>
        <v>8521593</v>
      </c>
      <c r="B4362" s="105" t="s">
        <v>7203</v>
      </c>
      <c r="C4362" s="105" t="s">
        <v>7204</v>
      </c>
      <c r="D4362" s="105">
        <v>0</v>
      </c>
      <c r="E4362" s="105">
        <v>0</v>
      </c>
      <c r="F4362" s="105">
        <v>0</v>
      </c>
    </row>
    <row r="4363" spans="1:6" x14ac:dyDescent="0.25">
      <c r="A4363" s="105">
        <f t="shared" si="68"/>
        <v>8521660</v>
      </c>
      <c r="B4363" s="105" t="s">
        <v>7205</v>
      </c>
      <c r="C4363" s="105" t="s">
        <v>7206</v>
      </c>
      <c r="D4363" s="105">
        <v>2152.39</v>
      </c>
      <c r="E4363" s="105">
        <v>1291.43</v>
      </c>
      <c r="F4363" s="105">
        <v>0</v>
      </c>
    </row>
    <row r="4364" spans="1:6" x14ac:dyDescent="0.25">
      <c r="A4364" s="105">
        <f t="shared" si="68"/>
        <v>8521674</v>
      </c>
      <c r="B4364" s="105" t="s">
        <v>7207</v>
      </c>
      <c r="C4364" s="105" t="s">
        <v>7208</v>
      </c>
      <c r="D4364" s="105">
        <v>2747.15</v>
      </c>
      <c r="E4364" s="105">
        <v>1648.29</v>
      </c>
      <c r="F4364" s="105">
        <v>0</v>
      </c>
    </row>
    <row r="4365" spans="1:6" x14ac:dyDescent="0.25">
      <c r="A4365" s="105" t="str">
        <f t="shared" si="68"/>
        <v/>
      </c>
      <c r="B4365" s="105" t="s">
        <v>7209</v>
      </c>
      <c r="C4365" s="105" t="s">
        <v>8</v>
      </c>
      <c r="D4365" s="105">
        <v>0</v>
      </c>
      <c r="E4365" s="105">
        <v>0</v>
      </c>
      <c r="F4365" s="105">
        <v>0</v>
      </c>
    </row>
    <row r="4366" spans="1:6" x14ac:dyDescent="0.25">
      <c r="A4366" s="105">
        <f t="shared" si="68"/>
        <v>8521903</v>
      </c>
      <c r="B4366" s="105" t="s">
        <v>7210</v>
      </c>
      <c r="C4366" s="105" t="s">
        <v>7211</v>
      </c>
      <c r="D4366" s="105">
        <v>0</v>
      </c>
      <c r="E4366" s="105">
        <v>0</v>
      </c>
      <c r="F4366" s="105">
        <v>0</v>
      </c>
    </row>
    <row r="4367" spans="1:6" x14ac:dyDescent="0.25">
      <c r="A4367" s="105" t="str">
        <f t="shared" si="68"/>
        <v/>
      </c>
      <c r="B4367" s="105" t="s">
        <v>7212</v>
      </c>
      <c r="C4367" s="105" t="s">
        <v>8</v>
      </c>
      <c r="D4367" s="105">
        <v>0</v>
      </c>
      <c r="E4367" s="105">
        <v>0</v>
      </c>
      <c r="F4367" s="105">
        <v>0</v>
      </c>
    </row>
    <row r="4368" spans="1:6" x14ac:dyDescent="0.25">
      <c r="A4368" s="105">
        <f t="shared" si="68"/>
        <v>8522001</v>
      </c>
      <c r="B4368" s="105" t="s">
        <v>7213</v>
      </c>
      <c r="C4368" s="105" t="s">
        <v>7214</v>
      </c>
      <c r="D4368" s="105">
        <v>0</v>
      </c>
      <c r="E4368" s="105">
        <v>0</v>
      </c>
      <c r="F4368" s="105">
        <v>0</v>
      </c>
    </row>
    <row r="4369" spans="1:6" x14ac:dyDescent="0.25">
      <c r="A4369" s="105">
        <f t="shared" si="68"/>
        <v>8522011</v>
      </c>
      <c r="B4369" s="105" t="s">
        <v>7215</v>
      </c>
      <c r="C4369" s="105" t="s">
        <v>7216</v>
      </c>
      <c r="D4369" s="105">
        <v>1150</v>
      </c>
      <c r="E4369" s="105">
        <v>690</v>
      </c>
      <c r="F4369" s="105">
        <v>0</v>
      </c>
    </row>
    <row r="4370" spans="1:6" x14ac:dyDescent="0.25">
      <c r="A4370" s="105">
        <f t="shared" si="68"/>
        <v>8522012</v>
      </c>
      <c r="B4370" s="105" t="s">
        <v>7217</v>
      </c>
      <c r="C4370" s="105" t="s">
        <v>7218</v>
      </c>
      <c r="D4370" s="105">
        <v>250.02</v>
      </c>
      <c r="E4370" s="105">
        <v>150.01</v>
      </c>
      <c r="F4370" s="105">
        <v>4</v>
      </c>
    </row>
    <row r="4371" spans="1:6" x14ac:dyDescent="0.25">
      <c r="A4371" s="105">
        <f t="shared" si="68"/>
        <v>8522030</v>
      </c>
      <c r="B4371" s="105" t="s">
        <v>7219</v>
      </c>
      <c r="C4371" s="105" t="s">
        <v>7220</v>
      </c>
      <c r="D4371" s="105">
        <v>1378</v>
      </c>
      <c r="E4371" s="105">
        <v>826.8</v>
      </c>
      <c r="F4371" s="105">
        <v>266</v>
      </c>
    </row>
    <row r="4372" spans="1:6" x14ac:dyDescent="0.25">
      <c r="A4372" s="105">
        <f t="shared" si="68"/>
        <v>8522101</v>
      </c>
      <c r="B4372" s="105" t="s">
        <v>7221</v>
      </c>
      <c r="C4372" s="105" t="s">
        <v>7222</v>
      </c>
      <c r="D4372" s="105">
        <v>5487</v>
      </c>
      <c r="E4372" s="105">
        <v>3292.2</v>
      </c>
      <c r="F4372" s="105">
        <v>0</v>
      </c>
    </row>
    <row r="4373" spans="1:6" x14ac:dyDescent="0.25">
      <c r="A4373" s="105">
        <f t="shared" si="68"/>
        <v>8522999</v>
      </c>
      <c r="B4373" s="105" t="s">
        <v>7223</v>
      </c>
      <c r="C4373" s="105" t="s">
        <v>7224</v>
      </c>
      <c r="D4373" s="105">
        <v>2862</v>
      </c>
      <c r="E4373" s="105">
        <v>1717.2</v>
      </c>
      <c r="F4373" s="105">
        <v>225</v>
      </c>
    </row>
    <row r="4374" spans="1:6" x14ac:dyDescent="0.25">
      <c r="A4374" s="105">
        <f t="shared" si="68"/>
        <v>8523071</v>
      </c>
      <c r="B4374" s="105" t="s">
        <v>7225</v>
      </c>
      <c r="C4374" s="105" t="s">
        <v>7226</v>
      </c>
      <c r="D4374" s="105">
        <v>2083.81</v>
      </c>
      <c r="E4374" s="105">
        <v>1250.29</v>
      </c>
      <c r="F4374" s="105">
        <v>0</v>
      </c>
    </row>
    <row r="4375" spans="1:6" x14ac:dyDescent="0.25">
      <c r="A4375" s="105" t="str">
        <f t="shared" si="68"/>
        <v/>
      </c>
      <c r="B4375" s="105" t="s">
        <v>7227</v>
      </c>
      <c r="C4375" s="105" t="s">
        <v>8</v>
      </c>
      <c r="D4375" s="105">
        <v>0</v>
      </c>
      <c r="E4375" s="105">
        <v>0</v>
      </c>
      <c r="F4375" s="105">
        <v>0</v>
      </c>
    </row>
    <row r="4376" spans="1:6" x14ac:dyDescent="0.25">
      <c r="A4376" s="105">
        <f t="shared" si="68"/>
        <v>8523072</v>
      </c>
      <c r="B4376" s="105" t="s">
        <v>7228</v>
      </c>
      <c r="C4376" s="105" t="s">
        <v>7229</v>
      </c>
      <c r="D4376" s="105">
        <v>0</v>
      </c>
      <c r="E4376" s="105">
        <v>0</v>
      </c>
      <c r="F4376" s="105">
        <v>0</v>
      </c>
    </row>
    <row r="4377" spans="1:6" x14ac:dyDescent="0.25">
      <c r="A4377" s="105" t="str">
        <f t="shared" si="68"/>
        <v/>
      </c>
      <c r="B4377" s="105" t="s">
        <v>7230</v>
      </c>
      <c r="C4377" s="105" t="s">
        <v>8</v>
      </c>
      <c r="D4377" s="105">
        <v>0</v>
      </c>
      <c r="E4377" s="105">
        <v>0</v>
      </c>
      <c r="F4377" s="105">
        <v>0</v>
      </c>
    </row>
    <row r="4378" spans="1:6" x14ac:dyDescent="0.25">
      <c r="A4378" s="105">
        <f t="shared" si="68"/>
        <v>8523073</v>
      </c>
      <c r="B4378" s="105" t="s">
        <v>7231</v>
      </c>
      <c r="C4378" s="105" t="s">
        <v>7232</v>
      </c>
      <c r="D4378" s="105">
        <v>0</v>
      </c>
      <c r="E4378" s="105">
        <v>0</v>
      </c>
      <c r="F4378" s="105">
        <v>0</v>
      </c>
    </row>
    <row r="4379" spans="1:6" x14ac:dyDescent="0.25">
      <c r="A4379" s="105">
        <f t="shared" si="68"/>
        <v>8525001</v>
      </c>
      <c r="B4379" s="105" t="s">
        <v>7233</v>
      </c>
      <c r="C4379" s="105" t="s">
        <v>7234</v>
      </c>
      <c r="D4379" s="105">
        <v>187.51</v>
      </c>
      <c r="E4379" s="105">
        <v>112.51</v>
      </c>
      <c r="F4379" s="105">
        <v>0</v>
      </c>
    </row>
    <row r="4380" spans="1:6" x14ac:dyDescent="0.25">
      <c r="A4380" s="105">
        <f t="shared" si="68"/>
        <v>8525576</v>
      </c>
      <c r="B4380" s="105" t="s">
        <v>7235</v>
      </c>
      <c r="C4380" s="105" t="s">
        <v>7236</v>
      </c>
      <c r="D4380" s="105">
        <v>180.2</v>
      </c>
      <c r="E4380" s="105">
        <v>108.12</v>
      </c>
      <c r="F4380" s="105">
        <v>0</v>
      </c>
    </row>
    <row r="4381" spans="1:6" x14ac:dyDescent="0.25">
      <c r="A4381" s="105">
        <f t="shared" si="68"/>
        <v>8525999</v>
      </c>
      <c r="B4381" s="105" t="s">
        <v>7237</v>
      </c>
      <c r="C4381" s="105" t="s">
        <v>7238</v>
      </c>
      <c r="D4381" s="105">
        <v>254.4</v>
      </c>
      <c r="E4381" s="105">
        <v>152.63999999999999</v>
      </c>
      <c r="F4381" s="105">
        <v>4</v>
      </c>
    </row>
    <row r="4382" spans="1:6" x14ac:dyDescent="0.25">
      <c r="A4382" s="105">
        <f t="shared" si="68"/>
        <v>8549042</v>
      </c>
      <c r="B4382" s="105" t="s">
        <v>7239</v>
      </c>
      <c r="C4382" s="105" t="s">
        <v>7240</v>
      </c>
      <c r="D4382" s="105">
        <v>2485.65</v>
      </c>
      <c r="E4382" s="105">
        <v>1491.39</v>
      </c>
      <c r="F4382" s="105">
        <v>0</v>
      </c>
    </row>
    <row r="4383" spans="1:6" x14ac:dyDescent="0.25">
      <c r="A4383" s="105" t="str">
        <f t="shared" si="68"/>
        <v/>
      </c>
      <c r="B4383" s="105" t="s">
        <v>7241</v>
      </c>
      <c r="C4383" s="105" t="s">
        <v>8</v>
      </c>
      <c r="D4383" s="105">
        <v>0</v>
      </c>
      <c r="E4383" s="105">
        <v>0</v>
      </c>
      <c r="F4383" s="105">
        <v>0</v>
      </c>
    </row>
    <row r="4384" spans="1:6" x14ac:dyDescent="0.25">
      <c r="A4384" s="105">
        <f t="shared" si="68"/>
        <v>8601008</v>
      </c>
      <c r="B4384" s="105" t="s">
        <v>7242</v>
      </c>
      <c r="C4384" s="105" t="s">
        <v>6866</v>
      </c>
      <c r="D4384" s="105">
        <v>0</v>
      </c>
      <c r="E4384" s="105">
        <v>0</v>
      </c>
      <c r="F4384" s="105">
        <v>0</v>
      </c>
    </row>
    <row r="4385" spans="1:6" x14ac:dyDescent="0.25">
      <c r="A4385" s="105">
        <f t="shared" si="68"/>
        <v>8612001</v>
      </c>
      <c r="B4385" s="105" t="s">
        <v>7243</v>
      </c>
      <c r="C4385" s="105" t="s">
        <v>7244</v>
      </c>
      <c r="D4385" s="105">
        <v>3251.04</v>
      </c>
      <c r="E4385" s="105">
        <v>1950.62</v>
      </c>
      <c r="F4385" s="105">
        <v>0</v>
      </c>
    </row>
    <row r="4386" spans="1:6" x14ac:dyDescent="0.25">
      <c r="A4386" s="105">
        <f t="shared" si="68"/>
        <v>8612002</v>
      </c>
      <c r="B4386" s="105" t="s">
        <v>7245</v>
      </c>
      <c r="C4386" s="105" t="s">
        <v>7246</v>
      </c>
      <c r="D4386" s="105">
        <v>10494</v>
      </c>
      <c r="E4386" s="105">
        <v>6296.4</v>
      </c>
      <c r="F4386" s="105">
        <v>0</v>
      </c>
    </row>
    <row r="4387" spans="1:6" x14ac:dyDescent="0.25">
      <c r="A4387" s="105">
        <f t="shared" si="68"/>
        <v>8612006</v>
      </c>
      <c r="B4387" s="105" t="s">
        <v>7247</v>
      </c>
      <c r="C4387" s="105" t="s">
        <v>7248</v>
      </c>
      <c r="D4387" s="105">
        <v>821.42</v>
      </c>
      <c r="E4387" s="105">
        <v>492.85</v>
      </c>
      <c r="F4387" s="105">
        <v>0</v>
      </c>
    </row>
    <row r="4388" spans="1:6" x14ac:dyDescent="0.25">
      <c r="A4388" s="105" t="str">
        <f t="shared" si="68"/>
        <v/>
      </c>
      <c r="B4388" s="105" t="s">
        <v>7249</v>
      </c>
      <c r="C4388" s="105" t="s">
        <v>8</v>
      </c>
      <c r="D4388" s="105">
        <v>0</v>
      </c>
      <c r="E4388" s="105">
        <v>0</v>
      </c>
      <c r="F4388" s="105">
        <v>0</v>
      </c>
    </row>
    <row r="4389" spans="1:6" x14ac:dyDescent="0.25">
      <c r="A4389" s="105">
        <f t="shared" si="68"/>
        <v>8612009</v>
      </c>
      <c r="B4389" s="105" t="s">
        <v>7250</v>
      </c>
      <c r="C4389" s="105" t="s">
        <v>6866</v>
      </c>
      <c r="D4389" s="105">
        <v>0</v>
      </c>
      <c r="E4389" s="105">
        <v>0</v>
      </c>
      <c r="F4389" s="105">
        <v>0</v>
      </c>
    </row>
    <row r="4390" spans="1:6" x14ac:dyDescent="0.25">
      <c r="A4390" s="105">
        <f t="shared" si="68"/>
        <v>8612051</v>
      </c>
      <c r="B4390" s="105" t="s">
        <v>7251</v>
      </c>
      <c r="C4390" s="105" t="s">
        <v>7252</v>
      </c>
      <c r="D4390" s="105">
        <v>12626.99</v>
      </c>
      <c r="E4390" s="105">
        <v>7576.19</v>
      </c>
      <c r="F4390" s="105">
        <v>0</v>
      </c>
    </row>
    <row r="4391" spans="1:6" x14ac:dyDescent="0.25">
      <c r="A4391" s="105">
        <f t="shared" si="68"/>
        <v>8612052</v>
      </c>
      <c r="B4391" s="105" t="s">
        <v>7253</v>
      </c>
      <c r="C4391" s="105" t="s">
        <v>7254</v>
      </c>
      <c r="D4391" s="105">
        <v>31800</v>
      </c>
      <c r="E4391" s="105">
        <v>19080</v>
      </c>
      <c r="F4391" s="105">
        <v>0</v>
      </c>
    </row>
    <row r="4392" spans="1:6" x14ac:dyDescent="0.25">
      <c r="A4392" s="105">
        <f t="shared" si="68"/>
        <v>8612053</v>
      </c>
      <c r="B4392" s="105" t="s">
        <v>7255</v>
      </c>
      <c r="C4392" s="105" t="s">
        <v>7256</v>
      </c>
      <c r="D4392" s="105">
        <v>13679.42</v>
      </c>
      <c r="E4392" s="105">
        <v>8207.65</v>
      </c>
      <c r="F4392" s="105">
        <v>0</v>
      </c>
    </row>
    <row r="4393" spans="1:6" x14ac:dyDescent="0.25">
      <c r="A4393" s="105">
        <f t="shared" si="68"/>
        <v>8612054</v>
      </c>
      <c r="B4393" s="105" t="s">
        <v>7257</v>
      </c>
      <c r="C4393" s="105" t="s">
        <v>7258</v>
      </c>
      <c r="D4393" s="105">
        <v>4207.6000000000004</v>
      </c>
      <c r="E4393" s="105">
        <v>2524.56</v>
      </c>
      <c r="F4393" s="105">
        <v>0</v>
      </c>
    </row>
    <row r="4394" spans="1:6" x14ac:dyDescent="0.25">
      <c r="A4394" s="105">
        <f t="shared" si="68"/>
        <v>8612055</v>
      </c>
      <c r="B4394" s="105" t="s">
        <v>7259</v>
      </c>
      <c r="C4394" s="105" t="s">
        <v>9464</v>
      </c>
      <c r="D4394" s="105">
        <v>9858</v>
      </c>
      <c r="E4394" s="105">
        <v>5914.8</v>
      </c>
      <c r="F4394" s="105">
        <v>3</v>
      </c>
    </row>
    <row r="4395" spans="1:6" x14ac:dyDescent="0.25">
      <c r="A4395" s="105" t="str">
        <f t="shared" si="68"/>
        <v/>
      </c>
      <c r="B4395" s="105" t="s">
        <v>7260</v>
      </c>
      <c r="C4395" s="105" t="s">
        <v>8</v>
      </c>
      <c r="D4395" s="105">
        <v>0</v>
      </c>
      <c r="E4395" s="105">
        <v>0</v>
      </c>
      <c r="F4395" s="105">
        <v>0</v>
      </c>
    </row>
    <row r="4396" spans="1:6" x14ac:dyDescent="0.25">
      <c r="A4396" s="105">
        <f t="shared" si="68"/>
        <v>8612056</v>
      </c>
      <c r="B4396" s="105" t="s">
        <v>7261</v>
      </c>
      <c r="C4396" s="105" t="s">
        <v>7262</v>
      </c>
      <c r="D4396" s="105">
        <v>0</v>
      </c>
      <c r="E4396" s="105">
        <v>0</v>
      </c>
      <c r="F4396" s="105">
        <v>0</v>
      </c>
    </row>
    <row r="4397" spans="1:6" x14ac:dyDescent="0.25">
      <c r="A4397" s="105" t="str">
        <f t="shared" si="68"/>
        <v/>
      </c>
      <c r="B4397" s="105" t="s">
        <v>7263</v>
      </c>
      <c r="C4397" s="105" t="s">
        <v>8</v>
      </c>
      <c r="D4397" s="105">
        <v>0</v>
      </c>
      <c r="E4397" s="105">
        <v>0</v>
      </c>
      <c r="F4397" s="105">
        <v>0</v>
      </c>
    </row>
    <row r="4398" spans="1:6" x14ac:dyDescent="0.25">
      <c r="A4398" s="105">
        <f t="shared" si="68"/>
        <v>8612057</v>
      </c>
      <c r="B4398" s="105" t="s">
        <v>7264</v>
      </c>
      <c r="C4398" s="105" t="s">
        <v>7265</v>
      </c>
      <c r="D4398" s="105">
        <v>0</v>
      </c>
      <c r="E4398" s="105">
        <v>0</v>
      </c>
      <c r="F4398" s="105">
        <v>0</v>
      </c>
    </row>
    <row r="4399" spans="1:6" x14ac:dyDescent="0.25">
      <c r="A4399" s="105" t="str">
        <f t="shared" si="68"/>
        <v/>
      </c>
      <c r="B4399" s="105" t="s">
        <v>7266</v>
      </c>
      <c r="C4399" s="105" t="s">
        <v>8</v>
      </c>
      <c r="D4399" s="105">
        <v>0</v>
      </c>
      <c r="E4399" s="105">
        <v>0</v>
      </c>
      <c r="F4399" s="105">
        <v>0</v>
      </c>
    </row>
    <row r="4400" spans="1:6" x14ac:dyDescent="0.25">
      <c r="A4400" s="105">
        <f t="shared" si="68"/>
        <v>8612058</v>
      </c>
      <c r="B4400" s="105" t="s">
        <v>7267</v>
      </c>
      <c r="C4400" s="105" t="s">
        <v>7268</v>
      </c>
      <c r="D4400" s="105">
        <v>0</v>
      </c>
      <c r="E4400" s="105">
        <v>0</v>
      </c>
      <c r="F4400" s="105">
        <v>0</v>
      </c>
    </row>
    <row r="4401" spans="1:6" x14ac:dyDescent="0.25">
      <c r="A4401" s="105" t="str">
        <f t="shared" si="68"/>
        <v/>
      </c>
      <c r="B4401" s="105" t="s">
        <v>7269</v>
      </c>
      <c r="C4401" s="105" t="s">
        <v>8</v>
      </c>
      <c r="D4401" s="105">
        <v>0</v>
      </c>
      <c r="E4401" s="105">
        <v>0</v>
      </c>
      <c r="F4401" s="105">
        <v>0</v>
      </c>
    </row>
    <row r="4402" spans="1:6" x14ac:dyDescent="0.25">
      <c r="A4402" s="105">
        <f t="shared" si="68"/>
        <v>8612059</v>
      </c>
      <c r="B4402" s="105" t="s">
        <v>7270</v>
      </c>
      <c r="C4402" s="105" t="s">
        <v>7271</v>
      </c>
      <c r="D4402" s="105">
        <v>0</v>
      </c>
      <c r="E4402" s="105">
        <v>0</v>
      </c>
      <c r="F4402" s="105">
        <v>0</v>
      </c>
    </row>
    <row r="4403" spans="1:6" x14ac:dyDescent="0.25">
      <c r="A4403" s="105">
        <f t="shared" si="68"/>
        <v>8612080</v>
      </c>
      <c r="B4403" s="105" t="s">
        <v>7272</v>
      </c>
      <c r="C4403" s="105" t="s">
        <v>7273</v>
      </c>
      <c r="D4403" s="105">
        <v>6360</v>
      </c>
      <c r="E4403" s="105">
        <v>3816</v>
      </c>
      <c r="F4403" s="105">
        <v>4</v>
      </c>
    </row>
    <row r="4404" spans="1:6" x14ac:dyDescent="0.25">
      <c r="A4404" s="105">
        <f t="shared" si="68"/>
        <v>8612093</v>
      </c>
      <c r="B4404" s="105" t="s">
        <v>7274</v>
      </c>
      <c r="C4404" s="105" t="s">
        <v>7275</v>
      </c>
      <c r="D4404" s="105">
        <v>9540</v>
      </c>
      <c r="E4404" s="105">
        <v>5724</v>
      </c>
      <c r="F4404" s="105">
        <v>5</v>
      </c>
    </row>
    <row r="4405" spans="1:6" x14ac:dyDescent="0.25">
      <c r="A4405" s="105">
        <f t="shared" si="68"/>
        <v>8612101</v>
      </c>
      <c r="B4405" s="105" t="s">
        <v>7276</v>
      </c>
      <c r="C4405" s="105" t="s">
        <v>7277</v>
      </c>
      <c r="D4405" s="105">
        <v>2609.77</v>
      </c>
      <c r="E4405" s="105">
        <v>1565.86</v>
      </c>
      <c r="F4405" s="105">
        <v>0</v>
      </c>
    </row>
    <row r="4406" spans="1:6" x14ac:dyDescent="0.25">
      <c r="A4406" s="105" t="str">
        <f t="shared" si="68"/>
        <v/>
      </c>
      <c r="B4406" s="105" t="s">
        <v>7278</v>
      </c>
      <c r="C4406" s="105" t="s">
        <v>8</v>
      </c>
      <c r="D4406" s="105">
        <v>0</v>
      </c>
      <c r="E4406" s="105">
        <v>0</v>
      </c>
      <c r="F4406" s="105">
        <v>0</v>
      </c>
    </row>
    <row r="4407" spans="1:6" x14ac:dyDescent="0.25">
      <c r="A4407" s="105">
        <f t="shared" si="68"/>
        <v>8612102</v>
      </c>
      <c r="B4407" s="105" t="s">
        <v>7279</v>
      </c>
      <c r="C4407" s="105" t="s">
        <v>7280</v>
      </c>
      <c r="D4407" s="105">
        <v>0</v>
      </c>
      <c r="E4407" s="105">
        <v>0</v>
      </c>
      <c r="F4407" s="105">
        <v>0</v>
      </c>
    </row>
    <row r="4408" spans="1:6" x14ac:dyDescent="0.25">
      <c r="A4408" s="105">
        <f t="shared" si="68"/>
        <v>8612112</v>
      </c>
      <c r="B4408" s="105" t="s">
        <v>9465</v>
      </c>
      <c r="C4408" s="105" t="s">
        <v>9466</v>
      </c>
      <c r="D4408" s="105">
        <v>4028</v>
      </c>
      <c r="E4408" s="105">
        <v>2416.8000000000002</v>
      </c>
      <c r="F4408" s="105">
        <v>2</v>
      </c>
    </row>
    <row r="4409" spans="1:6" x14ac:dyDescent="0.25">
      <c r="A4409" s="105">
        <f t="shared" si="68"/>
        <v>8612151</v>
      </c>
      <c r="B4409" s="105" t="s">
        <v>7281</v>
      </c>
      <c r="C4409" s="105" t="s">
        <v>7282</v>
      </c>
      <c r="D4409" s="105">
        <v>2197.6999999999998</v>
      </c>
      <c r="E4409" s="105">
        <v>1318.62</v>
      </c>
      <c r="F4409" s="105">
        <v>0</v>
      </c>
    </row>
    <row r="4410" spans="1:6" x14ac:dyDescent="0.25">
      <c r="A4410" s="105">
        <f t="shared" si="68"/>
        <v>8612200</v>
      </c>
      <c r="B4410" s="105" t="s">
        <v>7283</v>
      </c>
      <c r="C4410" s="105" t="s">
        <v>7284</v>
      </c>
      <c r="D4410" s="105">
        <v>6466</v>
      </c>
      <c r="E4410" s="105">
        <v>3879.6</v>
      </c>
      <c r="F4410" s="105">
        <v>1</v>
      </c>
    </row>
    <row r="4411" spans="1:6" x14ac:dyDescent="0.25">
      <c r="A4411" s="105">
        <f t="shared" si="68"/>
        <v>8612201</v>
      </c>
      <c r="B4411" s="105" t="s">
        <v>7285</v>
      </c>
      <c r="C4411" s="105" t="s">
        <v>7286</v>
      </c>
      <c r="D4411" s="105">
        <v>6312.44</v>
      </c>
      <c r="E4411" s="105">
        <v>3787.46</v>
      </c>
      <c r="F4411" s="105">
        <v>0</v>
      </c>
    </row>
    <row r="4412" spans="1:6" x14ac:dyDescent="0.25">
      <c r="A4412" s="105">
        <f t="shared" si="68"/>
        <v>8612203</v>
      </c>
      <c r="B4412" s="105" t="s">
        <v>9467</v>
      </c>
      <c r="C4412" s="105" t="s">
        <v>9468</v>
      </c>
      <c r="D4412" s="105">
        <v>6466</v>
      </c>
      <c r="E4412" s="105">
        <v>3879.6</v>
      </c>
      <c r="F4412" s="105">
        <v>1</v>
      </c>
    </row>
    <row r="4413" spans="1:6" x14ac:dyDescent="0.25">
      <c r="A4413" s="105">
        <f t="shared" si="68"/>
        <v>8612300</v>
      </c>
      <c r="B4413" s="105" t="s">
        <v>7287</v>
      </c>
      <c r="C4413" s="105" t="s">
        <v>7288</v>
      </c>
      <c r="D4413" s="105">
        <v>1875.18</v>
      </c>
      <c r="E4413" s="105">
        <v>1125.1099999999999</v>
      </c>
      <c r="F4413" s="105">
        <v>0</v>
      </c>
    </row>
    <row r="4414" spans="1:6" x14ac:dyDescent="0.25">
      <c r="A4414" s="105">
        <f t="shared" si="68"/>
        <v>8612416</v>
      </c>
      <c r="B4414" s="105" t="s">
        <v>7289</v>
      </c>
      <c r="C4414" s="105" t="s">
        <v>7290</v>
      </c>
      <c r="D4414" s="105">
        <v>670.87</v>
      </c>
      <c r="E4414" s="105">
        <v>402.52</v>
      </c>
      <c r="F4414" s="105">
        <v>0</v>
      </c>
    </row>
    <row r="4415" spans="1:6" x14ac:dyDescent="0.25">
      <c r="A4415" s="105">
        <f t="shared" si="68"/>
        <v>8612418</v>
      </c>
      <c r="B4415" s="105" t="s">
        <v>7291</v>
      </c>
      <c r="C4415" s="105" t="s">
        <v>7292</v>
      </c>
      <c r="D4415" s="105">
        <v>220.48</v>
      </c>
      <c r="E4415" s="105">
        <v>132.29</v>
      </c>
      <c r="F4415" s="105">
        <v>234</v>
      </c>
    </row>
    <row r="4416" spans="1:6" x14ac:dyDescent="0.25">
      <c r="A4416" s="105" t="str">
        <f t="shared" si="68"/>
        <v/>
      </c>
      <c r="B4416" s="105" t="s">
        <v>7293</v>
      </c>
      <c r="C4416" s="105" t="s">
        <v>8</v>
      </c>
      <c r="D4416" s="105">
        <v>0</v>
      </c>
      <c r="E4416" s="105">
        <v>0</v>
      </c>
      <c r="F4416" s="105">
        <v>0</v>
      </c>
    </row>
    <row r="4417" spans="1:6" x14ac:dyDescent="0.25">
      <c r="A4417" s="105">
        <f t="shared" si="68"/>
        <v>8612420</v>
      </c>
      <c r="B4417" s="105" t="s">
        <v>7294</v>
      </c>
      <c r="C4417" s="105" t="s">
        <v>7295</v>
      </c>
      <c r="D4417" s="105">
        <v>0</v>
      </c>
      <c r="E4417" s="105">
        <v>0</v>
      </c>
      <c r="F4417" s="105">
        <v>0</v>
      </c>
    </row>
    <row r="4418" spans="1:6" x14ac:dyDescent="0.25">
      <c r="A4418" s="105">
        <f t="shared" si="68"/>
        <v>8612462</v>
      </c>
      <c r="B4418" s="105" t="s">
        <v>7296</v>
      </c>
      <c r="C4418" s="105" t="s">
        <v>7297</v>
      </c>
      <c r="D4418" s="105">
        <v>6000.59</v>
      </c>
      <c r="E4418" s="105">
        <v>3600.35</v>
      </c>
      <c r="F4418" s="105">
        <v>0</v>
      </c>
    </row>
    <row r="4419" spans="1:6" x14ac:dyDescent="0.25">
      <c r="A4419" s="105">
        <f t="shared" ref="A4419:A4482" si="69">IF(B4419&lt;&gt;"",IFERROR(B4419*1,""),"")</f>
        <v>8612468</v>
      </c>
      <c r="B4419" s="105" t="s">
        <v>7298</v>
      </c>
      <c r="C4419" s="105" t="s">
        <v>7299</v>
      </c>
      <c r="D4419" s="105">
        <v>4375.43</v>
      </c>
      <c r="E4419" s="105">
        <v>2625.26</v>
      </c>
      <c r="F4419" s="105">
        <v>0</v>
      </c>
    </row>
    <row r="4420" spans="1:6" x14ac:dyDescent="0.25">
      <c r="A4420" s="105">
        <f t="shared" si="69"/>
        <v>8612500</v>
      </c>
      <c r="B4420" s="105" t="s">
        <v>7300</v>
      </c>
      <c r="C4420" s="105" t="s">
        <v>7301</v>
      </c>
      <c r="D4420" s="105">
        <v>756.32</v>
      </c>
      <c r="E4420" s="105">
        <v>453.79</v>
      </c>
      <c r="F4420" s="105">
        <v>0</v>
      </c>
    </row>
    <row r="4421" spans="1:6" x14ac:dyDescent="0.25">
      <c r="A4421" s="105">
        <f t="shared" si="69"/>
        <v>8612523</v>
      </c>
      <c r="B4421" s="105" t="s">
        <v>7302</v>
      </c>
      <c r="C4421" s="105" t="s">
        <v>7303</v>
      </c>
      <c r="D4421" s="105">
        <v>15794</v>
      </c>
      <c r="E4421" s="105">
        <v>9476.4</v>
      </c>
      <c r="F4421" s="105">
        <v>1</v>
      </c>
    </row>
    <row r="4422" spans="1:6" x14ac:dyDescent="0.25">
      <c r="A4422" s="105">
        <f t="shared" si="69"/>
        <v>8612600</v>
      </c>
      <c r="B4422" s="105" t="s">
        <v>7304</v>
      </c>
      <c r="C4422" s="105" t="s">
        <v>7305</v>
      </c>
      <c r="D4422" s="105">
        <v>21200</v>
      </c>
      <c r="E4422" s="105">
        <v>12720</v>
      </c>
      <c r="F4422" s="105">
        <v>0</v>
      </c>
    </row>
    <row r="4423" spans="1:6" x14ac:dyDescent="0.25">
      <c r="A4423" s="105">
        <f t="shared" si="69"/>
        <v>8612601</v>
      </c>
      <c r="B4423" s="105" t="s">
        <v>7306</v>
      </c>
      <c r="C4423" s="105" t="s">
        <v>7307</v>
      </c>
      <c r="D4423" s="105">
        <v>0</v>
      </c>
      <c r="E4423" s="105">
        <v>0</v>
      </c>
      <c r="F4423" s="105">
        <v>0</v>
      </c>
    </row>
    <row r="4424" spans="1:6" x14ac:dyDescent="0.25">
      <c r="A4424" s="105" t="str">
        <f t="shared" si="69"/>
        <v/>
      </c>
      <c r="B4424" s="105" t="s">
        <v>7308</v>
      </c>
      <c r="C4424" s="105" t="s">
        <v>8</v>
      </c>
      <c r="D4424" s="105">
        <v>0</v>
      </c>
      <c r="E4424" s="105">
        <v>0</v>
      </c>
      <c r="F4424" s="105">
        <v>0</v>
      </c>
    </row>
    <row r="4425" spans="1:6" x14ac:dyDescent="0.25">
      <c r="A4425" s="105">
        <f t="shared" si="69"/>
        <v>8612697</v>
      </c>
      <c r="B4425" s="105" t="s">
        <v>7309</v>
      </c>
      <c r="C4425" s="105" t="s">
        <v>7310</v>
      </c>
      <c r="D4425" s="105">
        <v>0</v>
      </c>
      <c r="E4425" s="105">
        <v>0</v>
      </c>
      <c r="F4425" s="105">
        <v>0</v>
      </c>
    </row>
    <row r="4426" spans="1:6" x14ac:dyDescent="0.25">
      <c r="A4426" s="105">
        <f t="shared" si="69"/>
        <v>8612793</v>
      </c>
      <c r="B4426" s="105" t="s">
        <v>7311</v>
      </c>
      <c r="C4426" s="105" t="s">
        <v>7312</v>
      </c>
      <c r="D4426" s="105">
        <v>4500.4399999999996</v>
      </c>
      <c r="E4426" s="105">
        <v>2700.26</v>
      </c>
      <c r="F4426" s="105">
        <v>0</v>
      </c>
    </row>
    <row r="4427" spans="1:6" x14ac:dyDescent="0.25">
      <c r="A4427" s="105">
        <f t="shared" si="69"/>
        <v>8612794</v>
      </c>
      <c r="B4427" s="105" t="s">
        <v>7313</v>
      </c>
      <c r="C4427" s="105" t="s">
        <v>7314</v>
      </c>
      <c r="D4427" s="105">
        <v>5375.53</v>
      </c>
      <c r="E4427" s="105">
        <v>3225.32</v>
      </c>
      <c r="F4427" s="105">
        <v>0</v>
      </c>
    </row>
    <row r="4428" spans="1:6" x14ac:dyDescent="0.25">
      <c r="A4428" s="105">
        <f t="shared" si="69"/>
        <v>8614014</v>
      </c>
      <c r="B4428" s="105" t="s">
        <v>7315</v>
      </c>
      <c r="C4428" s="105" t="s">
        <v>7316</v>
      </c>
      <c r="D4428" s="105">
        <v>1208.5999999999999</v>
      </c>
      <c r="E4428" s="105">
        <v>725.16</v>
      </c>
      <c r="F4428" s="105">
        <v>0</v>
      </c>
    </row>
    <row r="4429" spans="1:6" x14ac:dyDescent="0.25">
      <c r="A4429" s="105" t="str">
        <f t="shared" si="69"/>
        <v/>
      </c>
      <c r="B4429" s="105" t="s">
        <v>7317</v>
      </c>
      <c r="C4429" s="105" t="s">
        <v>8</v>
      </c>
      <c r="D4429" s="105">
        <v>0</v>
      </c>
      <c r="E4429" s="105">
        <v>0</v>
      </c>
      <c r="F4429" s="105">
        <v>0</v>
      </c>
    </row>
    <row r="4430" spans="1:6" x14ac:dyDescent="0.25">
      <c r="A4430" s="105">
        <f t="shared" si="69"/>
        <v>8614015</v>
      </c>
      <c r="B4430" s="105" t="s">
        <v>7318</v>
      </c>
      <c r="C4430" s="105" t="s">
        <v>7319</v>
      </c>
      <c r="D4430" s="105">
        <v>0</v>
      </c>
      <c r="E4430" s="105">
        <v>0</v>
      </c>
      <c r="F4430" s="105">
        <v>0</v>
      </c>
    </row>
    <row r="4431" spans="1:6" x14ac:dyDescent="0.25">
      <c r="A4431" s="105" t="str">
        <f t="shared" si="69"/>
        <v/>
      </c>
      <c r="B4431" s="105" t="s">
        <v>7320</v>
      </c>
      <c r="C4431" s="105" t="s">
        <v>8</v>
      </c>
      <c r="D4431" s="105">
        <v>0</v>
      </c>
      <c r="E4431" s="105">
        <v>0</v>
      </c>
      <c r="F4431" s="105">
        <v>0</v>
      </c>
    </row>
    <row r="4432" spans="1:6" x14ac:dyDescent="0.25">
      <c r="A4432" s="105">
        <f t="shared" si="69"/>
        <v>8660019</v>
      </c>
      <c r="B4432" s="105" t="s">
        <v>7321</v>
      </c>
      <c r="C4432" s="105" t="s">
        <v>7322</v>
      </c>
      <c r="D4432" s="105">
        <v>0</v>
      </c>
      <c r="E4432" s="105">
        <v>0</v>
      </c>
      <c r="F4432" s="105">
        <v>0</v>
      </c>
    </row>
    <row r="4433" spans="1:6" x14ac:dyDescent="0.25">
      <c r="A4433" s="105">
        <f t="shared" si="69"/>
        <v>8676004</v>
      </c>
      <c r="B4433" s="105" t="s">
        <v>7323</v>
      </c>
      <c r="C4433" s="105" t="s">
        <v>7324</v>
      </c>
      <c r="D4433" s="105">
        <v>1000.1</v>
      </c>
      <c r="E4433" s="105">
        <v>600.05999999999995</v>
      </c>
      <c r="F4433" s="105">
        <v>0</v>
      </c>
    </row>
    <row r="4434" spans="1:6" x14ac:dyDescent="0.25">
      <c r="A4434" s="105">
        <f t="shared" si="69"/>
        <v>8686003</v>
      </c>
      <c r="B4434" s="105" t="s">
        <v>7325</v>
      </c>
      <c r="C4434" s="105" t="s">
        <v>7326</v>
      </c>
      <c r="D4434" s="105">
        <v>1908</v>
      </c>
      <c r="E4434" s="105">
        <v>1144.8</v>
      </c>
      <c r="F4434" s="105">
        <v>0</v>
      </c>
    </row>
    <row r="4435" spans="1:6" x14ac:dyDescent="0.25">
      <c r="A4435" s="105" t="str">
        <f t="shared" si="69"/>
        <v/>
      </c>
      <c r="B4435" s="105" t="s">
        <v>7327</v>
      </c>
      <c r="C4435" s="105" t="s">
        <v>8</v>
      </c>
      <c r="D4435" s="105">
        <v>0</v>
      </c>
      <c r="E4435" s="105">
        <v>0</v>
      </c>
      <c r="F4435" s="105">
        <v>0</v>
      </c>
    </row>
    <row r="4436" spans="1:6" x14ac:dyDescent="0.25">
      <c r="A4436" s="105">
        <f t="shared" si="69"/>
        <v>8686004</v>
      </c>
      <c r="B4436" s="105" t="s">
        <v>7328</v>
      </c>
      <c r="C4436" s="105" t="s">
        <v>7329</v>
      </c>
      <c r="D4436" s="105">
        <v>0</v>
      </c>
      <c r="E4436" s="105">
        <v>0</v>
      </c>
      <c r="F4436" s="105">
        <v>0</v>
      </c>
    </row>
    <row r="4437" spans="1:6" x14ac:dyDescent="0.25">
      <c r="A4437" s="105">
        <f t="shared" si="69"/>
        <v>8686010</v>
      </c>
      <c r="B4437" s="105" t="s">
        <v>7330</v>
      </c>
      <c r="C4437" s="105" t="s">
        <v>7331</v>
      </c>
      <c r="D4437" s="105">
        <v>3766.5</v>
      </c>
      <c r="E4437" s="105">
        <v>2259.9</v>
      </c>
      <c r="F4437" s="105">
        <v>0</v>
      </c>
    </row>
    <row r="4438" spans="1:6" x14ac:dyDescent="0.25">
      <c r="A4438" s="105">
        <f t="shared" si="69"/>
        <v>8686070</v>
      </c>
      <c r="B4438" s="105" t="s">
        <v>7332</v>
      </c>
      <c r="C4438" s="105" t="s">
        <v>7333</v>
      </c>
      <c r="D4438" s="105">
        <v>2418.7199999999998</v>
      </c>
      <c r="E4438" s="105">
        <v>1451.23</v>
      </c>
      <c r="F4438" s="105">
        <v>0</v>
      </c>
    </row>
    <row r="4439" spans="1:6" x14ac:dyDescent="0.25">
      <c r="A4439" s="105">
        <f t="shared" si="69"/>
        <v>8687002</v>
      </c>
      <c r="B4439" s="105" t="s">
        <v>7334</v>
      </c>
      <c r="C4439" s="105" t="s">
        <v>7335</v>
      </c>
      <c r="D4439" s="105">
        <v>1964.93</v>
      </c>
      <c r="E4439" s="105">
        <v>1178.96</v>
      </c>
      <c r="F4439" s="105">
        <v>0</v>
      </c>
    </row>
    <row r="4440" spans="1:6" x14ac:dyDescent="0.25">
      <c r="A4440" s="105" t="str">
        <f t="shared" si="69"/>
        <v/>
      </c>
      <c r="B4440" s="105" t="s">
        <v>7336</v>
      </c>
      <c r="C4440" s="105" t="s">
        <v>8</v>
      </c>
      <c r="D4440" s="105">
        <v>0</v>
      </c>
      <c r="E4440" s="105">
        <v>0</v>
      </c>
      <c r="F4440" s="105">
        <v>0</v>
      </c>
    </row>
    <row r="4441" spans="1:6" x14ac:dyDescent="0.25">
      <c r="A4441" s="105">
        <f t="shared" si="69"/>
        <v>8691016</v>
      </c>
      <c r="B4441" s="105" t="s">
        <v>7337</v>
      </c>
      <c r="C4441" s="105" t="s">
        <v>7338</v>
      </c>
      <c r="D4441" s="105">
        <v>0</v>
      </c>
      <c r="E4441" s="105">
        <v>0</v>
      </c>
      <c r="F4441" s="105">
        <v>0</v>
      </c>
    </row>
    <row r="4442" spans="1:6" x14ac:dyDescent="0.25">
      <c r="A4442" s="105" t="str">
        <f t="shared" si="69"/>
        <v/>
      </c>
      <c r="B4442" s="105" t="s">
        <v>7339</v>
      </c>
      <c r="C4442" s="105" t="s">
        <v>8</v>
      </c>
      <c r="D4442" s="105">
        <v>0</v>
      </c>
      <c r="E4442" s="105">
        <v>0</v>
      </c>
      <c r="F4442" s="105">
        <v>0</v>
      </c>
    </row>
    <row r="4443" spans="1:6" x14ac:dyDescent="0.25">
      <c r="A4443" s="105">
        <f t="shared" si="69"/>
        <v>8691508</v>
      </c>
      <c r="B4443" s="105" t="s">
        <v>7340</v>
      </c>
      <c r="C4443" s="105" t="s">
        <v>7341</v>
      </c>
      <c r="D4443" s="105">
        <v>0</v>
      </c>
      <c r="E4443" s="105">
        <v>0</v>
      </c>
      <c r="F4443" s="105">
        <v>0</v>
      </c>
    </row>
    <row r="4444" spans="1:6" x14ac:dyDescent="0.25">
      <c r="A4444" s="105" t="str">
        <f t="shared" si="69"/>
        <v/>
      </c>
      <c r="B4444" s="105" t="s">
        <v>7342</v>
      </c>
      <c r="C4444" s="105" t="s">
        <v>8</v>
      </c>
      <c r="D4444" s="105">
        <v>0</v>
      </c>
      <c r="E4444" s="105">
        <v>0</v>
      </c>
      <c r="F4444" s="105">
        <v>0</v>
      </c>
    </row>
    <row r="4445" spans="1:6" x14ac:dyDescent="0.25">
      <c r="A4445" s="105">
        <f t="shared" si="69"/>
        <v>8692010</v>
      </c>
      <c r="B4445" s="105" t="s">
        <v>7343</v>
      </c>
      <c r="C4445" s="105" t="s">
        <v>7344</v>
      </c>
      <c r="D4445" s="105">
        <v>0</v>
      </c>
      <c r="E4445" s="105">
        <v>0</v>
      </c>
      <c r="F4445" s="105">
        <v>0</v>
      </c>
    </row>
    <row r="4446" spans="1:6" x14ac:dyDescent="0.25">
      <c r="A4446" s="105" t="str">
        <f t="shared" si="69"/>
        <v/>
      </c>
      <c r="B4446" s="105" t="s">
        <v>7345</v>
      </c>
      <c r="C4446" s="105" t="s">
        <v>8</v>
      </c>
      <c r="D4446" s="105">
        <v>0</v>
      </c>
      <c r="E4446" s="105">
        <v>0</v>
      </c>
      <c r="F4446" s="105">
        <v>0</v>
      </c>
    </row>
    <row r="4447" spans="1:6" x14ac:dyDescent="0.25">
      <c r="A4447" s="105">
        <f t="shared" si="69"/>
        <v>8692011</v>
      </c>
      <c r="B4447" s="105" t="s">
        <v>7346</v>
      </c>
      <c r="C4447" s="105" t="s">
        <v>7347</v>
      </c>
      <c r="D4447" s="105">
        <v>0</v>
      </c>
      <c r="E4447" s="105">
        <v>0</v>
      </c>
      <c r="F4447" s="105">
        <v>0</v>
      </c>
    </row>
    <row r="4448" spans="1:6" x14ac:dyDescent="0.25">
      <c r="A4448" s="105">
        <f t="shared" si="69"/>
        <v>8692150</v>
      </c>
      <c r="B4448" s="105" t="s">
        <v>7348</v>
      </c>
      <c r="C4448" s="105" t="s">
        <v>7349</v>
      </c>
      <c r="D4448" s="105">
        <v>7364.88</v>
      </c>
      <c r="E4448" s="105">
        <v>4418.93</v>
      </c>
      <c r="F4448" s="105">
        <v>0</v>
      </c>
    </row>
    <row r="4449" spans="1:6" x14ac:dyDescent="0.25">
      <c r="A4449" s="105">
        <f t="shared" si="69"/>
        <v>8692210</v>
      </c>
      <c r="B4449" s="105" t="s">
        <v>7350</v>
      </c>
      <c r="C4449" s="105" t="s">
        <v>7351</v>
      </c>
      <c r="D4449" s="105">
        <v>9048.75</v>
      </c>
      <c r="E4449" s="105">
        <v>5429.25</v>
      </c>
      <c r="F4449" s="105">
        <v>0</v>
      </c>
    </row>
    <row r="4450" spans="1:6" x14ac:dyDescent="0.25">
      <c r="A4450" s="105" t="str">
        <f t="shared" si="69"/>
        <v/>
      </c>
      <c r="B4450" s="105" t="s">
        <v>7352</v>
      </c>
      <c r="C4450" s="105" t="s">
        <v>8</v>
      </c>
      <c r="D4450" s="105">
        <v>0</v>
      </c>
      <c r="E4450" s="105">
        <v>0</v>
      </c>
      <c r="F4450" s="105">
        <v>0</v>
      </c>
    </row>
    <row r="4451" spans="1:6" x14ac:dyDescent="0.25">
      <c r="A4451" s="105">
        <f t="shared" si="69"/>
        <v>8692230</v>
      </c>
      <c r="B4451" s="105" t="s">
        <v>7353</v>
      </c>
      <c r="C4451" s="105" t="s">
        <v>7354</v>
      </c>
      <c r="D4451" s="105">
        <v>0</v>
      </c>
      <c r="E4451" s="105">
        <v>0</v>
      </c>
      <c r="F4451" s="105">
        <v>0</v>
      </c>
    </row>
    <row r="4452" spans="1:6" x14ac:dyDescent="0.25">
      <c r="A4452" s="105">
        <f t="shared" si="69"/>
        <v>8692240</v>
      </c>
      <c r="B4452" s="105" t="s">
        <v>7355</v>
      </c>
      <c r="C4452" s="105" t="s">
        <v>7356</v>
      </c>
      <c r="D4452" s="105">
        <v>9680.2000000000007</v>
      </c>
      <c r="E4452" s="105">
        <v>5808.12</v>
      </c>
      <c r="F4452" s="105">
        <v>0</v>
      </c>
    </row>
    <row r="4453" spans="1:6" x14ac:dyDescent="0.25">
      <c r="A4453" s="105" t="str">
        <f t="shared" si="69"/>
        <v/>
      </c>
      <c r="B4453" s="105" t="s">
        <v>7357</v>
      </c>
      <c r="C4453" s="105" t="s">
        <v>8</v>
      </c>
      <c r="D4453" s="105">
        <v>0</v>
      </c>
      <c r="E4453" s="105">
        <v>0</v>
      </c>
      <c r="F4453" s="105">
        <v>0</v>
      </c>
    </row>
    <row r="4454" spans="1:6" x14ac:dyDescent="0.25">
      <c r="A4454" s="105">
        <f t="shared" si="69"/>
        <v>8692501</v>
      </c>
      <c r="B4454" s="105" t="s">
        <v>7358</v>
      </c>
      <c r="C4454" s="105" t="s">
        <v>7359</v>
      </c>
      <c r="D4454" s="105">
        <v>0</v>
      </c>
      <c r="E4454" s="105">
        <v>0</v>
      </c>
      <c r="F4454" s="105">
        <v>0</v>
      </c>
    </row>
    <row r="4455" spans="1:6" x14ac:dyDescent="0.25">
      <c r="A4455" s="105" t="str">
        <f t="shared" si="69"/>
        <v/>
      </c>
      <c r="B4455" s="105" t="s">
        <v>7360</v>
      </c>
      <c r="C4455" s="105" t="s">
        <v>8</v>
      </c>
      <c r="D4455" s="105">
        <v>0</v>
      </c>
      <c r="E4455" s="105">
        <v>0</v>
      </c>
      <c r="F4455" s="105">
        <v>0</v>
      </c>
    </row>
    <row r="4456" spans="1:6" x14ac:dyDescent="0.25">
      <c r="A4456" s="105">
        <f t="shared" si="69"/>
        <v>8692502</v>
      </c>
      <c r="B4456" s="105" t="s">
        <v>7361</v>
      </c>
      <c r="C4456" s="105" t="s">
        <v>7362</v>
      </c>
      <c r="D4456" s="105">
        <v>0</v>
      </c>
      <c r="E4456" s="105">
        <v>0</v>
      </c>
      <c r="F4456" s="105">
        <v>0</v>
      </c>
    </row>
    <row r="4457" spans="1:6" x14ac:dyDescent="0.25">
      <c r="A4457" s="105" t="str">
        <f t="shared" si="69"/>
        <v/>
      </c>
      <c r="B4457" s="105" t="s">
        <v>7363</v>
      </c>
      <c r="C4457" s="105" t="s">
        <v>8</v>
      </c>
      <c r="D4457" s="105">
        <v>0</v>
      </c>
      <c r="E4457" s="105">
        <v>0</v>
      </c>
      <c r="F4457" s="105">
        <v>0</v>
      </c>
    </row>
    <row r="4458" spans="1:6" x14ac:dyDescent="0.25">
      <c r="A4458" s="105">
        <f t="shared" si="69"/>
        <v>8692503</v>
      </c>
      <c r="B4458" s="105" t="s">
        <v>7364</v>
      </c>
      <c r="C4458" s="105" t="s">
        <v>7365</v>
      </c>
      <c r="D4458" s="105">
        <v>0</v>
      </c>
      <c r="E4458" s="105">
        <v>0</v>
      </c>
      <c r="F4458" s="105">
        <v>0</v>
      </c>
    </row>
    <row r="4459" spans="1:6" x14ac:dyDescent="0.25">
      <c r="A4459" s="105">
        <f t="shared" si="69"/>
        <v>8692504</v>
      </c>
      <c r="B4459" s="105" t="s">
        <v>7366</v>
      </c>
      <c r="C4459" s="105" t="s">
        <v>7367</v>
      </c>
      <c r="D4459" s="105">
        <v>6764.7</v>
      </c>
      <c r="E4459" s="105">
        <v>4058.82</v>
      </c>
      <c r="F4459" s="105">
        <v>0</v>
      </c>
    </row>
    <row r="4460" spans="1:6" x14ac:dyDescent="0.25">
      <c r="A4460" s="105">
        <f t="shared" si="69"/>
        <v>8692505</v>
      </c>
      <c r="B4460" s="105" t="s">
        <v>7368</v>
      </c>
      <c r="C4460" s="105" t="s">
        <v>7369</v>
      </c>
      <c r="D4460" s="105">
        <v>7379.65</v>
      </c>
      <c r="E4460" s="105">
        <v>4427.79</v>
      </c>
      <c r="F4460" s="105">
        <v>0</v>
      </c>
    </row>
    <row r="4461" spans="1:6" x14ac:dyDescent="0.25">
      <c r="A4461" s="105">
        <f t="shared" si="69"/>
        <v>8692506</v>
      </c>
      <c r="B4461" s="105" t="s">
        <v>7370</v>
      </c>
      <c r="C4461" s="105" t="s">
        <v>7371</v>
      </c>
      <c r="D4461" s="105">
        <v>6695.34</v>
      </c>
      <c r="E4461" s="105">
        <v>4017.2</v>
      </c>
      <c r="F4461" s="105">
        <v>0</v>
      </c>
    </row>
    <row r="4462" spans="1:6" x14ac:dyDescent="0.25">
      <c r="A4462" s="105" t="str">
        <f t="shared" si="69"/>
        <v/>
      </c>
      <c r="B4462" s="105" t="s">
        <v>7372</v>
      </c>
      <c r="C4462" s="105" t="s">
        <v>8</v>
      </c>
      <c r="D4462" s="105">
        <v>0</v>
      </c>
      <c r="E4462" s="105">
        <v>0</v>
      </c>
      <c r="F4462" s="105">
        <v>0</v>
      </c>
    </row>
    <row r="4463" spans="1:6" x14ac:dyDescent="0.25">
      <c r="A4463" s="105">
        <f t="shared" si="69"/>
        <v>8692507</v>
      </c>
      <c r="B4463" s="105" t="s">
        <v>7373</v>
      </c>
      <c r="C4463" s="105" t="s">
        <v>7374</v>
      </c>
      <c r="D4463" s="105">
        <v>0</v>
      </c>
      <c r="E4463" s="105">
        <v>0</v>
      </c>
      <c r="F4463" s="105">
        <v>0</v>
      </c>
    </row>
    <row r="4464" spans="1:6" x14ac:dyDescent="0.25">
      <c r="A4464" s="105" t="str">
        <f t="shared" si="69"/>
        <v/>
      </c>
      <c r="B4464" s="105" t="s">
        <v>7375</v>
      </c>
      <c r="C4464" s="105" t="s">
        <v>8</v>
      </c>
      <c r="D4464" s="105">
        <v>0</v>
      </c>
      <c r="E4464" s="105">
        <v>0</v>
      </c>
      <c r="F4464" s="105">
        <v>0</v>
      </c>
    </row>
    <row r="4465" spans="1:6" x14ac:dyDescent="0.25">
      <c r="A4465" s="105">
        <f t="shared" si="69"/>
        <v>8692508</v>
      </c>
      <c r="B4465" s="105" t="s">
        <v>7376</v>
      </c>
      <c r="C4465" s="105" t="s">
        <v>7341</v>
      </c>
      <c r="D4465" s="105">
        <v>0</v>
      </c>
      <c r="E4465" s="105">
        <v>0</v>
      </c>
      <c r="F4465" s="105">
        <v>0</v>
      </c>
    </row>
    <row r="4466" spans="1:6" x14ac:dyDescent="0.25">
      <c r="A4466" s="105" t="str">
        <f t="shared" si="69"/>
        <v/>
      </c>
      <c r="B4466" s="105" t="s">
        <v>7377</v>
      </c>
      <c r="C4466" s="105" t="s">
        <v>8</v>
      </c>
      <c r="D4466" s="105">
        <v>0</v>
      </c>
      <c r="E4466" s="105">
        <v>0</v>
      </c>
      <c r="F4466" s="105">
        <v>0</v>
      </c>
    </row>
    <row r="4467" spans="1:6" x14ac:dyDescent="0.25">
      <c r="A4467" s="105">
        <f t="shared" si="69"/>
        <v>8692851</v>
      </c>
      <c r="B4467" s="105" t="s">
        <v>7378</v>
      </c>
      <c r="C4467" s="105" t="s">
        <v>7379</v>
      </c>
      <c r="D4467" s="105">
        <v>0</v>
      </c>
      <c r="E4467" s="105">
        <v>0</v>
      </c>
      <c r="F4467" s="105">
        <v>0</v>
      </c>
    </row>
    <row r="4468" spans="1:6" x14ac:dyDescent="0.25">
      <c r="A4468" s="105" t="str">
        <f t="shared" si="69"/>
        <v/>
      </c>
      <c r="B4468" s="105" t="s">
        <v>7380</v>
      </c>
      <c r="C4468" s="105" t="s">
        <v>8</v>
      </c>
      <c r="D4468" s="105">
        <v>0</v>
      </c>
      <c r="E4468" s="105">
        <v>0</v>
      </c>
      <c r="F4468" s="105">
        <v>0</v>
      </c>
    </row>
    <row r="4469" spans="1:6" x14ac:dyDescent="0.25">
      <c r="A4469" s="105">
        <f t="shared" si="69"/>
        <v>8693012</v>
      </c>
      <c r="B4469" s="105" t="s">
        <v>7381</v>
      </c>
      <c r="C4469" s="105" t="s">
        <v>7382</v>
      </c>
      <c r="D4469" s="105">
        <v>0</v>
      </c>
      <c r="E4469" s="105">
        <v>0</v>
      </c>
      <c r="F4469" s="105">
        <v>0</v>
      </c>
    </row>
    <row r="4470" spans="1:6" x14ac:dyDescent="0.25">
      <c r="A4470" s="105" t="str">
        <f t="shared" si="69"/>
        <v/>
      </c>
      <c r="B4470" s="105" t="s">
        <v>7383</v>
      </c>
      <c r="C4470" s="105" t="s">
        <v>8</v>
      </c>
      <c r="D4470" s="105">
        <v>0</v>
      </c>
      <c r="E4470" s="105">
        <v>0</v>
      </c>
      <c r="F4470" s="105">
        <v>0</v>
      </c>
    </row>
    <row r="4471" spans="1:6" x14ac:dyDescent="0.25">
      <c r="A4471" s="105">
        <f t="shared" si="69"/>
        <v>8694014</v>
      </c>
      <c r="B4471" s="105" t="s">
        <v>7384</v>
      </c>
      <c r="C4471" s="105" t="s">
        <v>7382</v>
      </c>
      <c r="D4471" s="105">
        <v>0</v>
      </c>
      <c r="E4471" s="105">
        <v>0</v>
      </c>
      <c r="F4471" s="105">
        <v>0</v>
      </c>
    </row>
    <row r="4472" spans="1:6" x14ac:dyDescent="0.25">
      <c r="A4472" s="105" t="str">
        <f t="shared" si="69"/>
        <v/>
      </c>
      <c r="B4472" s="105" t="s">
        <v>7385</v>
      </c>
      <c r="C4472" s="105" t="s">
        <v>8</v>
      </c>
      <c r="D4472" s="105">
        <v>0</v>
      </c>
      <c r="E4472" s="105">
        <v>0</v>
      </c>
      <c r="F4472" s="105">
        <v>0</v>
      </c>
    </row>
    <row r="4473" spans="1:6" x14ac:dyDescent="0.25">
      <c r="A4473" s="105">
        <f t="shared" si="69"/>
        <v>8695001</v>
      </c>
      <c r="B4473" s="105" t="s">
        <v>7386</v>
      </c>
      <c r="C4473" s="105" t="s">
        <v>7387</v>
      </c>
      <c r="D4473" s="105">
        <v>0</v>
      </c>
      <c r="E4473" s="105">
        <v>0</v>
      </c>
      <c r="F4473" s="105">
        <v>0</v>
      </c>
    </row>
    <row r="4474" spans="1:6" x14ac:dyDescent="0.25">
      <c r="A4474" s="105" t="str">
        <f t="shared" si="69"/>
        <v/>
      </c>
      <c r="B4474" s="105" t="s">
        <v>7388</v>
      </c>
      <c r="C4474" s="105" t="s">
        <v>8</v>
      </c>
      <c r="D4474" s="105">
        <v>0</v>
      </c>
      <c r="E4474" s="105">
        <v>0</v>
      </c>
      <c r="F4474" s="105">
        <v>0</v>
      </c>
    </row>
    <row r="4475" spans="1:6" x14ac:dyDescent="0.25">
      <c r="A4475" s="105">
        <f t="shared" si="69"/>
        <v>8697004</v>
      </c>
      <c r="B4475" s="105" t="s">
        <v>7389</v>
      </c>
      <c r="C4475" s="105" t="s">
        <v>6866</v>
      </c>
      <c r="D4475" s="105">
        <v>0</v>
      </c>
      <c r="E4475" s="105">
        <v>0</v>
      </c>
      <c r="F4475" s="105">
        <v>0</v>
      </c>
    </row>
    <row r="4476" spans="1:6" x14ac:dyDescent="0.25">
      <c r="A4476" s="105">
        <f t="shared" si="69"/>
        <v>87</v>
      </c>
      <c r="B4476" s="105" t="s">
        <v>7390</v>
      </c>
      <c r="C4476" s="105" t="s">
        <v>8</v>
      </c>
      <c r="D4476" s="105">
        <v>0</v>
      </c>
      <c r="E4476" s="105">
        <v>0</v>
      </c>
      <c r="F4476" s="105">
        <v>0</v>
      </c>
    </row>
    <row r="4477" spans="1:6" x14ac:dyDescent="0.25">
      <c r="A4477" s="105">
        <f t="shared" si="69"/>
        <v>8701000</v>
      </c>
      <c r="B4477" s="105" t="s">
        <v>7391</v>
      </c>
      <c r="C4477" s="105" t="s">
        <v>7392</v>
      </c>
      <c r="D4477" s="105">
        <v>2098.8000000000002</v>
      </c>
      <c r="E4477" s="105">
        <v>1259.28</v>
      </c>
      <c r="F4477" s="105">
        <v>0</v>
      </c>
    </row>
    <row r="4478" spans="1:6" x14ac:dyDescent="0.25">
      <c r="A4478" s="105" t="str">
        <f t="shared" si="69"/>
        <v/>
      </c>
      <c r="B4478" s="105" t="s">
        <v>7393</v>
      </c>
      <c r="C4478" s="105" t="s">
        <v>7394</v>
      </c>
      <c r="D4478" s="105">
        <v>0</v>
      </c>
      <c r="E4478" s="105">
        <v>0</v>
      </c>
      <c r="F4478" s="105">
        <v>0</v>
      </c>
    </row>
    <row r="4479" spans="1:6" x14ac:dyDescent="0.25">
      <c r="A4479" s="105">
        <f t="shared" si="69"/>
        <v>8701001</v>
      </c>
      <c r="B4479" s="105" t="s">
        <v>7395</v>
      </c>
      <c r="C4479" s="105" t="s">
        <v>7396</v>
      </c>
      <c r="D4479" s="105">
        <v>2678.9</v>
      </c>
      <c r="E4479" s="105">
        <v>1607.34</v>
      </c>
      <c r="F4479" s="105">
        <v>0</v>
      </c>
    </row>
    <row r="4480" spans="1:6" x14ac:dyDescent="0.25">
      <c r="A4480" s="105">
        <f t="shared" si="69"/>
        <v>8701002</v>
      </c>
      <c r="B4480" s="105" t="s">
        <v>7397</v>
      </c>
      <c r="C4480" s="105" t="s">
        <v>7398</v>
      </c>
      <c r="D4480" s="105">
        <v>2098.8000000000002</v>
      </c>
      <c r="E4480" s="105">
        <v>1259.28</v>
      </c>
      <c r="F4480" s="105">
        <v>0</v>
      </c>
    </row>
    <row r="4481" spans="1:6" x14ac:dyDescent="0.25">
      <c r="A4481" s="105">
        <f t="shared" si="69"/>
        <v>870100222</v>
      </c>
      <c r="B4481" s="105" t="s">
        <v>7399</v>
      </c>
      <c r="C4481" s="105" t="s">
        <v>8</v>
      </c>
      <c r="D4481" s="105">
        <v>0</v>
      </c>
      <c r="E4481" s="105">
        <v>0</v>
      </c>
      <c r="F4481" s="105">
        <v>0</v>
      </c>
    </row>
    <row r="4482" spans="1:6" x14ac:dyDescent="0.25">
      <c r="A4482" s="105">
        <f t="shared" si="69"/>
        <v>8701003</v>
      </c>
      <c r="B4482" s="105" t="s">
        <v>7400</v>
      </c>
      <c r="C4482" s="105" t="s">
        <v>7401</v>
      </c>
      <c r="D4482" s="105">
        <v>2480.4</v>
      </c>
      <c r="E4482" s="105">
        <v>1488.24</v>
      </c>
      <c r="F4482" s="105">
        <v>0</v>
      </c>
    </row>
    <row r="4483" spans="1:6" x14ac:dyDescent="0.25">
      <c r="A4483" s="105">
        <f t="shared" ref="A4483:A4546" si="70">IF(B4483&lt;&gt;"",IFERROR(B4483*1,""),"")</f>
        <v>8701005</v>
      </c>
      <c r="B4483" s="105" t="s">
        <v>7402</v>
      </c>
      <c r="C4483" s="105" t="s">
        <v>7403</v>
      </c>
      <c r="D4483" s="105">
        <v>1720.24</v>
      </c>
      <c r="E4483" s="105">
        <v>1032.1400000000001</v>
      </c>
      <c r="F4483" s="105">
        <v>4</v>
      </c>
    </row>
    <row r="4484" spans="1:6" x14ac:dyDescent="0.25">
      <c r="A4484" s="105" t="str">
        <f t="shared" si="70"/>
        <v/>
      </c>
      <c r="B4484" s="105" t="s">
        <v>7404</v>
      </c>
      <c r="C4484" s="105" t="s">
        <v>8</v>
      </c>
      <c r="D4484" s="105">
        <v>0</v>
      </c>
      <c r="E4484" s="105">
        <v>0</v>
      </c>
      <c r="F4484" s="105">
        <v>0</v>
      </c>
    </row>
    <row r="4485" spans="1:6" x14ac:dyDescent="0.25">
      <c r="A4485" s="105">
        <f t="shared" si="70"/>
        <v>8701020</v>
      </c>
      <c r="B4485" s="105" t="s">
        <v>7405</v>
      </c>
      <c r="C4485" s="105" t="s">
        <v>7406</v>
      </c>
      <c r="D4485" s="105">
        <v>0</v>
      </c>
      <c r="E4485" s="105">
        <v>0</v>
      </c>
      <c r="F4485" s="105">
        <v>20</v>
      </c>
    </row>
    <row r="4486" spans="1:6" x14ac:dyDescent="0.25">
      <c r="A4486" s="105">
        <f t="shared" si="70"/>
        <v>8701032</v>
      </c>
      <c r="B4486" s="105" t="s">
        <v>7407</v>
      </c>
      <c r="C4486" s="105" t="s">
        <v>7408</v>
      </c>
      <c r="D4486" s="105">
        <v>6042</v>
      </c>
      <c r="E4486" s="105">
        <v>3625.2</v>
      </c>
      <c r="F4486" s="105">
        <v>11</v>
      </c>
    </row>
    <row r="4487" spans="1:6" x14ac:dyDescent="0.25">
      <c r="A4487" s="105">
        <f t="shared" si="70"/>
        <v>8701033</v>
      </c>
      <c r="B4487" s="105" t="s">
        <v>7409</v>
      </c>
      <c r="C4487" s="105" t="s">
        <v>7410</v>
      </c>
      <c r="D4487" s="105">
        <v>7950</v>
      </c>
      <c r="E4487" s="105">
        <v>4770</v>
      </c>
      <c r="F4487" s="105">
        <v>11</v>
      </c>
    </row>
    <row r="4488" spans="1:6" x14ac:dyDescent="0.25">
      <c r="A4488" s="105">
        <f t="shared" si="70"/>
        <v>8701038</v>
      </c>
      <c r="B4488" s="105" t="s">
        <v>7411</v>
      </c>
      <c r="C4488" s="105" t="s">
        <v>7412</v>
      </c>
      <c r="D4488" s="105">
        <v>1590</v>
      </c>
      <c r="E4488" s="105">
        <v>954</v>
      </c>
      <c r="F4488" s="105">
        <v>0</v>
      </c>
    </row>
    <row r="4489" spans="1:6" x14ac:dyDescent="0.25">
      <c r="A4489" s="105" t="str">
        <f t="shared" si="70"/>
        <v/>
      </c>
      <c r="B4489" s="105" t="s">
        <v>7413</v>
      </c>
      <c r="C4489" s="105" t="s">
        <v>8</v>
      </c>
      <c r="D4489" s="105">
        <v>0</v>
      </c>
      <c r="E4489" s="105">
        <v>0</v>
      </c>
      <c r="F4489" s="105">
        <v>0</v>
      </c>
    </row>
    <row r="4490" spans="1:6" x14ac:dyDescent="0.25">
      <c r="A4490" s="105">
        <f t="shared" si="70"/>
        <v>8701060</v>
      </c>
      <c r="B4490" s="105" t="s">
        <v>7414</v>
      </c>
      <c r="C4490" s="105" t="s">
        <v>7415</v>
      </c>
      <c r="D4490" s="105">
        <v>0</v>
      </c>
      <c r="E4490" s="105">
        <v>0</v>
      </c>
      <c r="F4490" s="105">
        <v>0</v>
      </c>
    </row>
    <row r="4491" spans="1:6" x14ac:dyDescent="0.25">
      <c r="A4491" s="105">
        <f t="shared" si="70"/>
        <v>8701090</v>
      </c>
      <c r="B4491" s="105" t="s">
        <v>7416</v>
      </c>
      <c r="C4491" s="105" t="s">
        <v>7417</v>
      </c>
      <c r="D4491" s="105">
        <v>1625.16</v>
      </c>
      <c r="E4491" s="105">
        <v>975.1</v>
      </c>
      <c r="F4491" s="105">
        <v>0</v>
      </c>
    </row>
    <row r="4492" spans="1:6" x14ac:dyDescent="0.25">
      <c r="A4492" s="105">
        <f t="shared" si="70"/>
        <v>8701092</v>
      </c>
      <c r="B4492" s="105" t="s">
        <v>7418</v>
      </c>
      <c r="C4492" s="105" t="s">
        <v>7419</v>
      </c>
      <c r="D4492" s="105">
        <v>1625.16</v>
      </c>
      <c r="E4492" s="105">
        <v>975.1</v>
      </c>
      <c r="F4492" s="105">
        <v>17</v>
      </c>
    </row>
    <row r="4493" spans="1:6" x14ac:dyDescent="0.25">
      <c r="A4493" s="105">
        <f t="shared" si="70"/>
        <v>8701093</v>
      </c>
      <c r="B4493" s="105" t="s">
        <v>7420</v>
      </c>
      <c r="C4493" s="105" t="s">
        <v>7421</v>
      </c>
      <c r="D4493" s="105">
        <v>1984.32</v>
      </c>
      <c r="E4493" s="105">
        <v>1190.5899999999999</v>
      </c>
      <c r="F4493" s="105">
        <v>2</v>
      </c>
    </row>
    <row r="4494" spans="1:6" x14ac:dyDescent="0.25">
      <c r="A4494" s="105" t="str">
        <f t="shared" si="70"/>
        <v/>
      </c>
      <c r="B4494" s="105" t="s">
        <v>7422</v>
      </c>
      <c r="C4494" s="105" t="s">
        <v>8</v>
      </c>
      <c r="D4494" s="105">
        <v>0</v>
      </c>
      <c r="E4494" s="105">
        <v>0</v>
      </c>
      <c r="F4494" s="105">
        <v>0</v>
      </c>
    </row>
    <row r="4495" spans="1:6" x14ac:dyDescent="0.25">
      <c r="A4495" s="105">
        <f t="shared" si="70"/>
        <v>8701100</v>
      </c>
      <c r="B4495" s="105" t="s">
        <v>7423</v>
      </c>
      <c r="C4495" s="105" t="s">
        <v>7424</v>
      </c>
      <c r="D4495" s="105">
        <v>0</v>
      </c>
      <c r="E4495" s="105">
        <v>0</v>
      </c>
      <c r="F4495" s="105">
        <v>0</v>
      </c>
    </row>
    <row r="4496" spans="1:6" x14ac:dyDescent="0.25">
      <c r="A4496" s="105">
        <f t="shared" si="70"/>
        <v>8701120</v>
      </c>
      <c r="B4496" s="105" t="s">
        <v>7425</v>
      </c>
      <c r="C4496" s="105" t="s">
        <v>7426</v>
      </c>
      <c r="D4496" s="105">
        <v>2150</v>
      </c>
      <c r="E4496" s="105">
        <v>1290</v>
      </c>
      <c r="F4496" s="105">
        <v>0</v>
      </c>
    </row>
    <row r="4497" spans="1:6" x14ac:dyDescent="0.25">
      <c r="A4497" s="105" t="str">
        <f t="shared" si="70"/>
        <v/>
      </c>
      <c r="B4497" s="105" t="s">
        <v>7427</v>
      </c>
      <c r="C4497" s="105" t="s">
        <v>8</v>
      </c>
      <c r="D4497" s="105">
        <v>0</v>
      </c>
      <c r="E4497" s="105">
        <v>0</v>
      </c>
      <c r="F4497" s="105">
        <v>0</v>
      </c>
    </row>
    <row r="4498" spans="1:6" x14ac:dyDescent="0.25">
      <c r="A4498" s="105">
        <f t="shared" si="70"/>
        <v>8701158</v>
      </c>
      <c r="B4498" s="105" t="s">
        <v>7428</v>
      </c>
      <c r="C4498" s="105" t="s">
        <v>7429</v>
      </c>
      <c r="D4498" s="105">
        <v>0</v>
      </c>
      <c r="E4498" s="105">
        <v>0</v>
      </c>
      <c r="F4498" s="105">
        <v>0</v>
      </c>
    </row>
    <row r="4499" spans="1:6" x14ac:dyDescent="0.25">
      <c r="A4499" s="105">
        <f t="shared" si="70"/>
        <v>8701162</v>
      </c>
      <c r="B4499" s="105" t="s">
        <v>7430</v>
      </c>
      <c r="C4499" s="105" t="s">
        <v>7431</v>
      </c>
      <c r="D4499" s="105">
        <v>1528.88</v>
      </c>
      <c r="E4499" s="105">
        <v>917.33</v>
      </c>
      <c r="F4499" s="105">
        <v>0</v>
      </c>
    </row>
    <row r="4500" spans="1:6" x14ac:dyDescent="0.25">
      <c r="A4500" s="105">
        <f t="shared" si="70"/>
        <v>8701200</v>
      </c>
      <c r="B4500" s="105" t="s">
        <v>7432</v>
      </c>
      <c r="C4500" s="105" t="s">
        <v>7433</v>
      </c>
      <c r="D4500" s="105">
        <v>3997.11</v>
      </c>
      <c r="E4500" s="105">
        <v>2398.27</v>
      </c>
      <c r="F4500" s="105">
        <v>1</v>
      </c>
    </row>
    <row r="4501" spans="1:6" x14ac:dyDescent="0.25">
      <c r="A4501" s="105">
        <f t="shared" si="70"/>
        <v>8701214</v>
      </c>
      <c r="B4501" s="105" t="s">
        <v>7434</v>
      </c>
      <c r="C4501" s="105" t="s">
        <v>7435</v>
      </c>
      <c r="D4501" s="105">
        <v>2150</v>
      </c>
      <c r="E4501" s="105">
        <v>1290</v>
      </c>
      <c r="F4501" s="105">
        <v>55</v>
      </c>
    </row>
    <row r="4502" spans="1:6" x14ac:dyDescent="0.25">
      <c r="A4502" s="105" t="str">
        <f t="shared" si="70"/>
        <v/>
      </c>
      <c r="B4502" s="105" t="s">
        <v>7436</v>
      </c>
      <c r="C4502" s="105" t="s">
        <v>8</v>
      </c>
      <c r="D4502" s="105">
        <v>0</v>
      </c>
      <c r="E4502" s="105">
        <v>0</v>
      </c>
      <c r="F4502" s="105">
        <v>0</v>
      </c>
    </row>
    <row r="4503" spans="1:6" x14ac:dyDescent="0.25">
      <c r="A4503" s="105">
        <f t="shared" si="70"/>
        <v>8701215</v>
      </c>
      <c r="B4503" s="105" t="s">
        <v>7437</v>
      </c>
      <c r="C4503" s="105" t="s">
        <v>7438</v>
      </c>
      <c r="D4503" s="105">
        <v>0</v>
      </c>
      <c r="E4503" s="105">
        <v>0</v>
      </c>
      <c r="F4503" s="105">
        <v>0</v>
      </c>
    </row>
    <row r="4504" spans="1:6" x14ac:dyDescent="0.25">
      <c r="A4504" s="105">
        <f t="shared" si="70"/>
        <v>8701216</v>
      </c>
      <c r="B4504" s="105" t="s">
        <v>7439</v>
      </c>
      <c r="C4504" s="105" t="s">
        <v>7440</v>
      </c>
      <c r="D4504" s="105">
        <v>4207.6000000000004</v>
      </c>
      <c r="E4504" s="105">
        <v>2524.56</v>
      </c>
      <c r="F4504" s="105">
        <v>0</v>
      </c>
    </row>
    <row r="4505" spans="1:6" x14ac:dyDescent="0.25">
      <c r="A4505" s="105" t="str">
        <f t="shared" si="70"/>
        <v/>
      </c>
      <c r="B4505" s="105" t="s">
        <v>7441</v>
      </c>
      <c r="C4505" s="105" t="s">
        <v>8</v>
      </c>
      <c r="D4505" s="105">
        <v>0</v>
      </c>
      <c r="E4505" s="105">
        <v>0</v>
      </c>
      <c r="F4505" s="105">
        <v>0</v>
      </c>
    </row>
    <row r="4506" spans="1:6" x14ac:dyDescent="0.25">
      <c r="A4506" s="105">
        <f t="shared" si="70"/>
        <v>8701326</v>
      </c>
      <c r="B4506" s="105" t="s">
        <v>7442</v>
      </c>
      <c r="C4506" s="105" t="s">
        <v>7443</v>
      </c>
      <c r="D4506" s="105">
        <v>0</v>
      </c>
      <c r="E4506" s="105">
        <v>0</v>
      </c>
      <c r="F4506" s="105">
        <v>0</v>
      </c>
    </row>
    <row r="4507" spans="1:6" x14ac:dyDescent="0.25">
      <c r="A4507" s="105">
        <f t="shared" si="70"/>
        <v>8701350</v>
      </c>
      <c r="B4507" s="105" t="s">
        <v>7444</v>
      </c>
      <c r="C4507" s="105" t="s">
        <v>9469</v>
      </c>
      <c r="D4507" s="105">
        <v>2750</v>
      </c>
      <c r="E4507" s="105">
        <v>1650</v>
      </c>
      <c r="F4507" s="105">
        <v>11</v>
      </c>
    </row>
    <row r="4508" spans="1:6" x14ac:dyDescent="0.25">
      <c r="A4508" s="105" t="str">
        <f t="shared" si="70"/>
        <v/>
      </c>
      <c r="B4508" s="105" t="s">
        <v>7445</v>
      </c>
      <c r="C4508" s="105" t="s">
        <v>8</v>
      </c>
      <c r="D4508" s="105">
        <v>0</v>
      </c>
      <c r="E4508" s="105">
        <v>0</v>
      </c>
      <c r="F4508" s="105">
        <v>0</v>
      </c>
    </row>
    <row r="4509" spans="1:6" x14ac:dyDescent="0.25">
      <c r="A4509" s="105">
        <f t="shared" si="70"/>
        <v>8701351</v>
      </c>
      <c r="B4509" s="105" t="s">
        <v>7446</v>
      </c>
      <c r="C4509" s="105" t="s">
        <v>7447</v>
      </c>
      <c r="D4509" s="105">
        <v>0</v>
      </c>
      <c r="E4509" s="105">
        <v>0</v>
      </c>
      <c r="F4509" s="105">
        <v>0</v>
      </c>
    </row>
    <row r="4510" spans="1:6" x14ac:dyDescent="0.25">
      <c r="A4510" s="105">
        <f t="shared" si="70"/>
        <v>8701453</v>
      </c>
      <c r="B4510" s="105" t="s">
        <v>7448</v>
      </c>
      <c r="C4510" s="105" t="s">
        <v>7449</v>
      </c>
      <c r="D4510" s="105">
        <v>1939.8</v>
      </c>
      <c r="E4510" s="105">
        <v>1163.8800000000001</v>
      </c>
      <c r="F4510" s="105">
        <v>0</v>
      </c>
    </row>
    <row r="4511" spans="1:6" x14ac:dyDescent="0.25">
      <c r="A4511" s="105">
        <f t="shared" si="70"/>
        <v>8701458</v>
      </c>
      <c r="B4511" s="105" t="s">
        <v>7450</v>
      </c>
      <c r="C4511" s="105" t="s">
        <v>7451</v>
      </c>
      <c r="D4511" s="105">
        <v>1939.8</v>
      </c>
      <c r="E4511" s="105">
        <v>1163.8800000000001</v>
      </c>
      <c r="F4511" s="105">
        <v>0</v>
      </c>
    </row>
    <row r="4512" spans="1:6" x14ac:dyDescent="0.25">
      <c r="A4512" s="105">
        <f t="shared" si="70"/>
        <v>8701494</v>
      </c>
      <c r="B4512" s="105" t="s">
        <v>7452</v>
      </c>
      <c r="C4512" s="105" t="s">
        <v>7453</v>
      </c>
      <c r="D4512" s="105">
        <v>636</v>
      </c>
      <c r="E4512" s="105">
        <v>381.6</v>
      </c>
      <c r="F4512" s="105">
        <v>94</v>
      </c>
    </row>
    <row r="4513" spans="1:6" x14ac:dyDescent="0.25">
      <c r="A4513" s="105">
        <f t="shared" si="70"/>
        <v>8701495</v>
      </c>
      <c r="B4513" s="105" t="s">
        <v>7454</v>
      </c>
      <c r="C4513" s="105" t="s">
        <v>7455</v>
      </c>
      <c r="D4513" s="105">
        <v>636</v>
      </c>
      <c r="E4513" s="105">
        <v>381.6</v>
      </c>
      <c r="F4513" s="105">
        <v>495</v>
      </c>
    </row>
    <row r="4514" spans="1:6" x14ac:dyDescent="0.25">
      <c r="A4514" s="105">
        <f t="shared" si="70"/>
        <v>8701500</v>
      </c>
      <c r="B4514" s="105" t="s">
        <v>7456</v>
      </c>
      <c r="C4514" s="105" t="s">
        <v>7457</v>
      </c>
      <c r="D4514" s="105">
        <v>1625.16</v>
      </c>
      <c r="E4514" s="105">
        <v>975.1</v>
      </c>
      <c r="F4514" s="105">
        <v>229</v>
      </c>
    </row>
    <row r="4515" spans="1:6" x14ac:dyDescent="0.25">
      <c r="A4515" s="105">
        <f t="shared" si="70"/>
        <v>8701541</v>
      </c>
      <c r="B4515" s="105" t="s">
        <v>7458</v>
      </c>
      <c r="C4515" s="105" t="s">
        <v>7459</v>
      </c>
      <c r="D4515" s="105">
        <v>1620.53</v>
      </c>
      <c r="E4515" s="105">
        <v>972.32</v>
      </c>
      <c r="F4515" s="105">
        <v>211</v>
      </c>
    </row>
    <row r="4516" spans="1:6" x14ac:dyDescent="0.25">
      <c r="A4516" s="105">
        <f t="shared" si="70"/>
        <v>8701542</v>
      </c>
      <c r="B4516" s="105" t="s">
        <v>7460</v>
      </c>
      <c r="C4516" s="105" t="s">
        <v>7461</v>
      </c>
      <c r="D4516" s="105">
        <v>1620.53</v>
      </c>
      <c r="E4516" s="105">
        <v>972.32</v>
      </c>
      <c r="F4516" s="105">
        <v>231</v>
      </c>
    </row>
    <row r="4517" spans="1:6" x14ac:dyDescent="0.25">
      <c r="A4517" s="105">
        <f t="shared" si="70"/>
        <v>8701550</v>
      </c>
      <c r="B4517" s="105" t="s">
        <v>7462</v>
      </c>
      <c r="C4517" s="105" t="s">
        <v>7463</v>
      </c>
      <c r="D4517" s="105">
        <v>1528.88</v>
      </c>
      <c r="E4517" s="105">
        <v>917.33</v>
      </c>
      <c r="F4517" s="105">
        <v>0</v>
      </c>
    </row>
    <row r="4518" spans="1:6" x14ac:dyDescent="0.25">
      <c r="A4518" s="105" t="str">
        <f t="shared" si="70"/>
        <v/>
      </c>
      <c r="B4518" s="105" t="s">
        <v>7464</v>
      </c>
      <c r="C4518" s="105" t="s">
        <v>8</v>
      </c>
      <c r="D4518" s="105">
        <v>0</v>
      </c>
      <c r="E4518" s="105">
        <v>0</v>
      </c>
      <c r="F4518" s="105">
        <v>0</v>
      </c>
    </row>
    <row r="4519" spans="1:6" x14ac:dyDescent="0.25">
      <c r="A4519" s="105">
        <f t="shared" si="70"/>
        <v>8701552</v>
      </c>
      <c r="B4519" s="105" t="s">
        <v>7465</v>
      </c>
      <c r="C4519" s="105" t="s">
        <v>7466</v>
      </c>
      <c r="D4519" s="105">
        <v>0</v>
      </c>
      <c r="E4519" s="105">
        <v>0</v>
      </c>
      <c r="F4519" s="105">
        <v>0</v>
      </c>
    </row>
    <row r="4520" spans="1:6" x14ac:dyDescent="0.25">
      <c r="A4520" s="105">
        <f t="shared" si="70"/>
        <v>8701575</v>
      </c>
      <c r="B4520" s="105" t="s">
        <v>7467</v>
      </c>
      <c r="C4520" s="105" t="s">
        <v>7468</v>
      </c>
      <c r="D4520" s="105">
        <v>742</v>
      </c>
      <c r="E4520" s="105">
        <v>445.2</v>
      </c>
      <c r="F4520" s="105">
        <v>98</v>
      </c>
    </row>
    <row r="4521" spans="1:6" x14ac:dyDescent="0.25">
      <c r="A4521" s="105">
        <f t="shared" si="70"/>
        <v>8701576</v>
      </c>
      <c r="B4521" s="105" t="s">
        <v>7469</v>
      </c>
      <c r="C4521" s="105" t="s">
        <v>15352</v>
      </c>
      <c r="D4521" s="105">
        <v>1802</v>
      </c>
      <c r="E4521" s="105">
        <v>1081.2</v>
      </c>
      <c r="F4521" s="105">
        <v>944</v>
      </c>
    </row>
    <row r="4522" spans="1:6" x14ac:dyDescent="0.25">
      <c r="A4522" s="105">
        <f t="shared" si="70"/>
        <v>8701652</v>
      </c>
      <c r="B4522" s="105" t="s">
        <v>7470</v>
      </c>
      <c r="C4522" s="105" t="s">
        <v>7471</v>
      </c>
      <c r="D4522" s="105">
        <v>690</v>
      </c>
      <c r="E4522" s="105">
        <v>414</v>
      </c>
      <c r="F4522" s="105">
        <v>63</v>
      </c>
    </row>
    <row r="4523" spans="1:6" x14ac:dyDescent="0.25">
      <c r="A4523" s="105">
        <f t="shared" si="70"/>
        <v>8701653</v>
      </c>
      <c r="B4523" s="105" t="s">
        <v>7472</v>
      </c>
      <c r="C4523" s="105" t="s">
        <v>7473</v>
      </c>
      <c r="D4523" s="105">
        <v>1150</v>
      </c>
      <c r="E4523" s="105">
        <v>690</v>
      </c>
      <c r="F4523" s="105">
        <v>18</v>
      </c>
    </row>
    <row r="4524" spans="1:6" x14ac:dyDescent="0.25">
      <c r="A4524" s="105">
        <f t="shared" si="70"/>
        <v>8701654</v>
      </c>
      <c r="B4524" s="105" t="s">
        <v>7474</v>
      </c>
      <c r="C4524" s="105" t="s">
        <v>7475</v>
      </c>
      <c r="D4524" s="105">
        <v>636</v>
      </c>
      <c r="E4524" s="105">
        <v>381.6</v>
      </c>
      <c r="F4524" s="105">
        <v>0</v>
      </c>
    </row>
    <row r="4525" spans="1:6" x14ac:dyDescent="0.25">
      <c r="A4525" s="105">
        <f t="shared" si="70"/>
        <v>8701655</v>
      </c>
      <c r="B4525" s="105" t="s">
        <v>7476</v>
      </c>
      <c r="C4525" s="105" t="s">
        <v>7477</v>
      </c>
      <c r="D4525" s="105">
        <v>1950</v>
      </c>
      <c r="E4525" s="105">
        <v>1170</v>
      </c>
      <c r="F4525" s="105">
        <v>-1</v>
      </c>
    </row>
    <row r="4526" spans="1:6" x14ac:dyDescent="0.25">
      <c r="A4526" s="105">
        <f t="shared" si="70"/>
        <v>8701656</v>
      </c>
      <c r="B4526" s="105" t="s">
        <v>7478</v>
      </c>
      <c r="C4526" s="105" t="s">
        <v>7479</v>
      </c>
      <c r="D4526" s="105">
        <v>4700</v>
      </c>
      <c r="E4526" s="105">
        <v>2820</v>
      </c>
      <c r="F4526" s="105">
        <v>0</v>
      </c>
    </row>
    <row r="4527" spans="1:6" x14ac:dyDescent="0.25">
      <c r="A4527" s="105">
        <f t="shared" si="70"/>
        <v>8701657</v>
      </c>
      <c r="B4527" s="105" t="s">
        <v>7480</v>
      </c>
      <c r="C4527" s="105" t="s">
        <v>7481</v>
      </c>
      <c r="D4527" s="105">
        <v>1431</v>
      </c>
      <c r="E4527" s="105">
        <v>858.6</v>
      </c>
      <c r="F4527" s="105">
        <v>10</v>
      </c>
    </row>
    <row r="4528" spans="1:6" x14ac:dyDescent="0.25">
      <c r="A4528" s="105" t="str">
        <f t="shared" si="70"/>
        <v/>
      </c>
      <c r="B4528" s="105" t="s">
        <v>7482</v>
      </c>
      <c r="C4528" s="105" t="s">
        <v>8</v>
      </c>
      <c r="D4528" s="105">
        <v>0</v>
      </c>
      <c r="E4528" s="105">
        <v>0</v>
      </c>
      <c r="F4528" s="105">
        <v>0</v>
      </c>
    </row>
    <row r="4529" spans="1:6" x14ac:dyDescent="0.25">
      <c r="A4529" s="105">
        <f t="shared" si="70"/>
        <v>8701658</v>
      </c>
      <c r="B4529" s="105" t="s">
        <v>7483</v>
      </c>
      <c r="C4529" s="105" t="s">
        <v>7484</v>
      </c>
      <c r="D4529" s="105">
        <v>0</v>
      </c>
      <c r="E4529" s="105">
        <v>0</v>
      </c>
      <c r="F4529" s="105">
        <v>0</v>
      </c>
    </row>
    <row r="4530" spans="1:6" x14ac:dyDescent="0.25">
      <c r="A4530" s="105">
        <f t="shared" si="70"/>
        <v>8701735</v>
      </c>
      <c r="B4530" s="105" t="s">
        <v>7485</v>
      </c>
      <c r="C4530" s="105" t="s">
        <v>7486</v>
      </c>
      <c r="D4530" s="105">
        <v>6201</v>
      </c>
      <c r="E4530" s="105">
        <v>3720.6</v>
      </c>
      <c r="F4530" s="105">
        <v>32</v>
      </c>
    </row>
    <row r="4531" spans="1:6" x14ac:dyDescent="0.25">
      <c r="A4531" s="105">
        <f t="shared" si="70"/>
        <v>870173500</v>
      </c>
      <c r="B4531" s="105" t="s">
        <v>7487</v>
      </c>
      <c r="C4531" s="105" t="s">
        <v>7488</v>
      </c>
      <c r="D4531" s="105">
        <v>0</v>
      </c>
      <c r="E4531" s="105">
        <v>0</v>
      </c>
      <c r="F4531" s="105">
        <v>0</v>
      </c>
    </row>
    <row r="4532" spans="1:6" x14ac:dyDescent="0.25">
      <c r="A4532" s="105">
        <f t="shared" si="70"/>
        <v>870173505</v>
      </c>
      <c r="B4532" s="105" t="s">
        <v>7489</v>
      </c>
      <c r="C4532" s="105" t="s">
        <v>7490</v>
      </c>
      <c r="D4532" s="105">
        <v>557.12</v>
      </c>
      <c r="E4532" s="105">
        <v>334.27</v>
      </c>
      <c r="F4532" s="105">
        <v>0</v>
      </c>
    </row>
    <row r="4533" spans="1:6" x14ac:dyDescent="0.25">
      <c r="A4533" s="105">
        <f t="shared" si="70"/>
        <v>870173511</v>
      </c>
      <c r="B4533" s="105" t="s">
        <v>7491</v>
      </c>
      <c r="C4533" s="105" t="s">
        <v>7492</v>
      </c>
      <c r="D4533" s="105">
        <v>557.12</v>
      </c>
      <c r="E4533" s="105">
        <v>334.27</v>
      </c>
      <c r="F4533" s="105">
        <v>0</v>
      </c>
    </row>
    <row r="4534" spans="1:6" x14ac:dyDescent="0.25">
      <c r="A4534" s="105">
        <f t="shared" si="70"/>
        <v>870173512</v>
      </c>
      <c r="B4534" s="105" t="s">
        <v>7493</v>
      </c>
      <c r="C4534" s="105" t="s">
        <v>7494</v>
      </c>
      <c r="D4534" s="105">
        <v>571.04999999999995</v>
      </c>
      <c r="E4534" s="105">
        <v>342.63</v>
      </c>
      <c r="F4534" s="105">
        <v>0</v>
      </c>
    </row>
    <row r="4535" spans="1:6" x14ac:dyDescent="0.25">
      <c r="A4535" s="105">
        <f t="shared" si="70"/>
        <v>870173515</v>
      </c>
      <c r="B4535" s="105" t="s">
        <v>7495</v>
      </c>
      <c r="C4535" s="105" t="s">
        <v>7496</v>
      </c>
      <c r="D4535" s="105">
        <v>571.04999999999995</v>
      </c>
      <c r="E4535" s="105">
        <v>342.63</v>
      </c>
      <c r="F4535" s="105">
        <v>0</v>
      </c>
    </row>
    <row r="4536" spans="1:6" x14ac:dyDescent="0.25">
      <c r="A4536" s="105">
        <f t="shared" si="70"/>
        <v>870173580</v>
      </c>
      <c r="B4536" s="105" t="s">
        <v>7497</v>
      </c>
      <c r="C4536" s="105" t="s">
        <v>7498</v>
      </c>
      <c r="D4536" s="105">
        <v>571.04999999999995</v>
      </c>
      <c r="E4536" s="105">
        <v>342.63</v>
      </c>
      <c r="F4536" s="105">
        <v>0</v>
      </c>
    </row>
    <row r="4537" spans="1:6" x14ac:dyDescent="0.25">
      <c r="A4537" s="105">
        <f t="shared" si="70"/>
        <v>870173585</v>
      </c>
      <c r="B4537" s="105" t="s">
        <v>7499</v>
      </c>
      <c r="C4537" s="105" t="s">
        <v>7500</v>
      </c>
      <c r="D4537" s="105">
        <v>571.04999999999995</v>
      </c>
      <c r="E4537" s="105">
        <v>342.63</v>
      </c>
      <c r="F4537" s="105">
        <v>0</v>
      </c>
    </row>
    <row r="4538" spans="1:6" x14ac:dyDescent="0.25">
      <c r="A4538" s="105">
        <f t="shared" si="70"/>
        <v>870173590</v>
      </c>
      <c r="B4538" s="105" t="s">
        <v>7501</v>
      </c>
      <c r="C4538" s="105" t="s">
        <v>7502</v>
      </c>
      <c r="D4538" s="105">
        <v>0</v>
      </c>
      <c r="E4538" s="105">
        <v>0</v>
      </c>
      <c r="F4538" s="105">
        <v>0</v>
      </c>
    </row>
    <row r="4539" spans="1:6" x14ac:dyDescent="0.25">
      <c r="A4539" s="105">
        <f t="shared" si="70"/>
        <v>870173595</v>
      </c>
      <c r="B4539" s="105" t="s">
        <v>7503</v>
      </c>
      <c r="C4539" s="105" t="s">
        <v>7504</v>
      </c>
      <c r="D4539" s="105">
        <v>571.04999999999995</v>
      </c>
      <c r="E4539" s="105">
        <v>342.63</v>
      </c>
      <c r="F4539" s="105">
        <v>0</v>
      </c>
    </row>
    <row r="4540" spans="1:6" x14ac:dyDescent="0.25">
      <c r="A4540" s="105" t="str">
        <f t="shared" si="70"/>
        <v/>
      </c>
      <c r="B4540" s="105" t="s">
        <v>7505</v>
      </c>
      <c r="C4540" s="105" t="s">
        <v>8</v>
      </c>
      <c r="D4540" s="105">
        <v>0</v>
      </c>
      <c r="E4540" s="105">
        <v>0</v>
      </c>
      <c r="F4540" s="105">
        <v>0</v>
      </c>
    </row>
    <row r="4541" spans="1:6" x14ac:dyDescent="0.25">
      <c r="A4541" s="105">
        <f t="shared" si="70"/>
        <v>8701736</v>
      </c>
      <c r="B4541" s="105" t="s">
        <v>7506</v>
      </c>
      <c r="C4541" s="105" t="s">
        <v>7507</v>
      </c>
      <c r="D4541" s="105">
        <v>0</v>
      </c>
      <c r="E4541" s="105">
        <v>0</v>
      </c>
      <c r="F4541" s="105">
        <v>0</v>
      </c>
    </row>
    <row r="4542" spans="1:6" x14ac:dyDescent="0.25">
      <c r="A4542" s="105">
        <f t="shared" si="70"/>
        <v>8701741</v>
      </c>
      <c r="B4542" s="105" t="s">
        <v>7508</v>
      </c>
      <c r="C4542" s="105" t="s">
        <v>7509</v>
      </c>
      <c r="D4542" s="105">
        <v>2250.2199999999998</v>
      </c>
      <c r="E4542" s="105">
        <v>1350.13</v>
      </c>
      <c r="F4542" s="105">
        <v>8</v>
      </c>
    </row>
    <row r="4543" spans="1:6" x14ac:dyDescent="0.25">
      <c r="A4543" s="105">
        <f t="shared" si="70"/>
        <v>8701742</v>
      </c>
      <c r="B4543" s="105" t="s">
        <v>7510</v>
      </c>
      <c r="C4543" s="105" t="s">
        <v>7511</v>
      </c>
      <c r="D4543" s="105">
        <v>2250.2199999999998</v>
      </c>
      <c r="E4543" s="105">
        <v>1350.13</v>
      </c>
      <c r="F4543" s="105">
        <v>46</v>
      </c>
    </row>
    <row r="4544" spans="1:6" x14ac:dyDescent="0.25">
      <c r="A4544" s="105" t="str">
        <f t="shared" si="70"/>
        <v/>
      </c>
      <c r="B4544" s="105" t="s">
        <v>7512</v>
      </c>
      <c r="C4544" s="105" t="s">
        <v>8</v>
      </c>
      <c r="D4544" s="105">
        <v>0</v>
      </c>
      <c r="E4544" s="105">
        <v>0</v>
      </c>
      <c r="F4544" s="105">
        <v>0</v>
      </c>
    </row>
    <row r="4545" spans="1:6" x14ac:dyDescent="0.25">
      <c r="A4545" s="105">
        <f t="shared" si="70"/>
        <v>8701745</v>
      </c>
      <c r="B4545" s="105" t="s">
        <v>7513</v>
      </c>
      <c r="C4545" s="105" t="s">
        <v>7514</v>
      </c>
      <c r="D4545" s="105">
        <v>0</v>
      </c>
      <c r="E4545" s="105">
        <v>0</v>
      </c>
      <c r="F4545" s="105">
        <v>0</v>
      </c>
    </row>
    <row r="4546" spans="1:6" x14ac:dyDescent="0.25">
      <c r="A4546" s="105">
        <f t="shared" si="70"/>
        <v>8701750</v>
      </c>
      <c r="B4546" s="105" t="s">
        <v>7515</v>
      </c>
      <c r="C4546" s="105" t="s">
        <v>7516</v>
      </c>
      <c r="D4546" s="105">
        <v>1939.8</v>
      </c>
      <c r="E4546" s="105">
        <v>1163.8800000000001</v>
      </c>
      <c r="F4546" s="105">
        <v>2</v>
      </c>
    </row>
    <row r="4547" spans="1:6" x14ac:dyDescent="0.25">
      <c r="A4547" s="105">
        <f t="shared" ref="A4547:A4610" si="71">IF(B4547&lt;&gt;"",IFERROR(B4547*1,""),"")</f>
        <v>8701800</v>
      </c>
      <c r="B4547" s="105" t="s">
        <v>7517</v>
      </c>
      <c r="C4547" s="105" t="s">
        <v>7518</v>
      </c>
      <c r="D4547" s="105">
        <v>1500.14</v>
      </c>
      <c r="E4547" s="105">
        <v>900.08</v>
      </c>
      <c r="F4547" s="105">
        <v>0</v>
      </c>
    </row>
    <row r="4548" spans="1:6" x14ac:dyDescent="0.25">
      <c r="A4548" s="105">
        <f t="shared" si="71"/>
        <v>8701856</v>
      </c>
      <c r="B4548" s="105" t="s">
        <v>7519</v>
      </c>
      <c r="C4548" s="105" t="s">
        <v>7520</v>
      </c>
      <c r="D4548" s="105">
        <v>1528.88</v>
      </c>
      <c r="E4548" s="105">
        <v>917.33</v>
      </c>
      <c r="F4548" s="105">
        <v>10</v>
      </c>
    </row>
    <row r="4549" spans="1:6" x14ac:dyDescent="0.25">
      <c r="A4549" s="105">
        <f t="shared" si="71"/>
        <v>8701900</v>
      </c>
      <c r="B4549" s="105" t="s">
        <v>7521</v>
      </c>
      <c r="C4549" s="105" t="s">
        <v>7522</v>
      </c>
      <c r="D4549" s="105">
        <v>1817.8</v>
      </c>
      <c r="E4549" s="105">
        <v>1090.68</v>
      </c>
      <c r="F4549" s="105">
        <v>7</v>
      </c>
    </row>
    <row r="4550" spans="1:6" x14ac:dyDescent="0.25">
      <c r="A4550" s="105">
        <f t="shared" si="71"/>
        <v>8701999</v>
      </c>
      <c r="B4550" s="105" t="s">
        <v>7523</v>
      </c>
      <c r="C4550" s="105" t="s">
        <v>7524</v>
      </c>
      <c r="D4550" s="105">
        <v>1908</v>
      </c>
      <c r="E4550" s="105">
        <v>1144.8</v>
      </c>
      <c r="F4550" s="105">
        <v>101</v>
      </c>
    </row>
    <row r="4551" spans="1:6" x14ac:dyDescent="0.25">
      <c r="A4551" s="105">
        <f t="shared" si="71"/>
        <v>870199900</v>
      </c>
      <c r="B4551" s="105" t="s">
        <v>7525</v>
      </c>
      <c r="C4551" s="105" t="s">
        <v>7526</v>
      </c>
      <c r="D4551" s="105">
        <v>146.08000000000001</v>
      </c>
      <c r="E4551" s="105">
        <v>87.65</v>
      </c>
      <c r="F4551" s="105">
        <v>0</v>
      </c>
    </row>
    <row r="4552" spans="1:6" x14ac:dyDescent="0.25">
      <c r="A4552" s="105">
        <f t="shared" si="71"/>
        <v>870199905</v>
      </c>
      <c r="B4552" s="105" t="s">
        <v>7527</v>
      </c>
      <c r="C4552" s="105" t="s">
        <v>7528</v>
      </c>
      <c r="D4552" s="105">
        <v>146.08000000000001</v>
      </c>
      <c r="E4552" s="105">
        <v>87.65</v>
      </c>
      <c r="F4552" s="105">
        <v>0</v>
      </c>
    </row>
    <row r="4553" spans="1:6" x14ac:dyDescent="0.25">
      <c r="A4553" s="105">
        <f t="shared" si="71"/>
        <v>870199910</v>
      </c>
      <c r="B4553" s="105" t="s">
        <v>7529</v>
      </c>
      <c r="C4553" s="105" t="s">
        <v>7530</v>
      </c>
      <c r="D4553" s="105">
        <v>146.08000000000001</v>
      </c>
      <c r="E4553" s="105">
        <v>87.65</v>
      </c>
      <c r="F4553" s="105">
        <v>0</v>
      </c>
    </row>
    <row r="4554" spans="1:6" x14ac:dyDescent="0.25">
      <c r="A4554" s="105">
        <f t="shared" si="71"/>
        <v>870199915</v>
      </c>
      <c r="B4554" s="105" t="s">
        <v>7531</v>
      </c>
      <c r="C4554" s="105" t="s">
        <v>7532</v>
      </c>
      <c r="D4554" s="105">
        <v>146.08000000000001</v>
      </c>
      <c r="E4554" s="105">
        <v>87.65</v>
      </c>
      <c r="F4554" s="105">
        <v>0</v>
      </c>
    </row>
    <row r="4555" spans="1:6" x14ac:dyDescent="0.25">
      <c r="A4555" s="105">
        <f t="shared" si="71"/>
        <v>870199920</v>
      </c>
      <c r="B4555" s="105" t="s">
        <v>7533</v>
      </c>
      <c r="C4555" s="105" t="s">
        <v>7534</v>
      </c>
      <c r="D4555" s="105">
        <v>146.08000000000001</v>
      </c>
      <c r="E4555" s="105">
        <v>87.65</v>
      </c>
      <c r="F4555" s="105">
        <v>0</v>
      </c>
    </row>
    <row r="4556" spans="1:6" x14ac:dyDescent="0.25">
      <c r="A4556" s="105">
        <f t="shared" si="71"/>
        <v>870199925</v>
      </c>
      <c r="B4556" s="105" t="s">
        <v>7535</v>
      </c>
      <c r="C4556" s="105" t="s">
        <v>7536</v>
      </c>
      <c r="D4556" s="105">
        <v>146.08000000000001</v>
      </c>
      <c r="E4556" s="105">
        <v>87.65</v>
      </c>
      <c r="F4556" s="105">
        <v>0</v>
      </c>
    </row>
    <row r="4557" spans="1:6" x14ac:dyDescent="0.25">
      <c r="A4557" s="105">
        <f t="shared" si="71"/>
        <v>870199970</v>
      </c>
      <c r="B4557" s="105" t="s">
        <v>7537</v>
      </c>
      <c r="C4557" s="105" t="s">
        <v>7538</v>
      </c>
      <c r="D4557" s="105">
        <v>146.08000000000001</v>
      </c>
      <c r="E4557" s="105">
        <v>87.65</v>
      </c>
      <c r="F4557" s="105">
        <v>0</v>
      </c>
    </row>
    <row r="4558" spans="1:6" x14ac:dyDescent="0.25">
      <c r="A4558" s="105">
        <f t="shared" si="71"/>
        <v>870199975</v>
      </c>
      <c r="B4558" s="105" t="s">
        <v>7539</v>
      </c>
      <c r="C4558" s="105" t="s">
        <v>7540</v>
      </c>
      <c r="D4558" s="105">
        <v>146.08000000000001</v>
      </c>
      <c r="E4558" s="105">
        <v>87.65</v>
      </c>
      <c r="F4558" s="105">
        <v>0</v>
      </c>
    </row>
    <row r="4559" spans="1:6" x14ac:dyDescent="0.25">
      <c r="A4559" s="105">
        <f t="shared" si="71"/>
        <v>870199980</v>
      </c>
      <c r="B4559" s="105" t="s">
        <v>7541</v>
      </c>
      <c r="C4559" s="105" t="s">
        <v>7542</v>
      </c>
      <c r="D4559" s="105">
        <v>146.08000000000001</v>
      </c>
      <c r="E4559" s="105">
        <v>87.65</v>
      </c>
      <c r="F4559" s="105">
        <v>0</v>
      </c>
    </row>
    <row r="4560" spans="1:6" x14ac:dyDescent="0.25">
      <c r="A4560" s="105">
        <f t="shared" si="71"/>
        <v>870199985</v>
      </c>
      <c r="B4560" s="105" t="s">
        <v>7543</v>
      </c>
      <c r="C4560" s="105" t="s">
        <v>7544</v>
      </c>
      <c r="D4560" s="105">
        <v>349</v>
      </c>
      <c r="E4560" s="105">
        <v>209.4</v>
      </c>
      <c r="F4560" s="105">
        <v>1</v>
      </c>
    </row>
    <row r="4561" spans="1:6" x14ac:dyDescent="0.25">
      <c r="A4561" s="105">
        <f t="shared" si="71"/>
        <v>870199990</v>
      </c>
      <c r="B4561" s="105" t="s">
        <v>7545</v>
      </c>
      <c r="C4561" s="105" t="s">
        <v>7546</v>
      </c>
      <c r="D4561" s="105">
        <v>146.08000000000001</v>
      </c>
      <c r="E4561" s="105">
        <v>87.65</v>
      </c>
      <c r="F4561" s="105">
        <v>0</v>
      </c>
    </row>
    <row r="4562" spans="1:6" x14ac:dyDescent="0.25">
      <c r="A4562" s="105">
        <f t="shared" si="71"/>
        <v>870199995</v>
      </c>
      <c r="B4562" s="105" t="s">
        <v>7547</v>
      </c>
      <c r="C4562" s="105" t="s">
        <v>7548</v>
      </c>
      <c r="D4562" s="105">
        <v>146.08000000000001</v>
      </c>
      <c r="E4562" s="105">
        <v>87.65</v>
      </c>
      <c r="F4562" s="105">
        <v>0</v>
      </c>
    </row>
    <row r="4563" spans="1:6" x14ac:dyDescent="0.25">
      <c r="A4563" s="105" t="str">
        <f t="shared" si="71"/>
        <v/>
      </c>
      <c r="B4563" s="105" t="s">
        <v>7549</v>
      </c>
      <c r="C4563" s="105" t="s">
        <v>8</v>
      </c>
      <c r="D4563" s="105">
        <v>0</v>
      </c>
      <c r="E4563" s="105">
        <v>0</v>
      </c>
      <c r="F4563" s="105">
        <v>0</v>
      </c>
    </row>
    <row r="4564" spans="1:6" x14ac:dyDescent="0.25">
      <c r="A4564" s="105">
        <f t="shared" si="71"/>
        <v>8702073</v>
      </c>
      <c r="B4564" s="105" t="s">
        <v>7550</v>
      </c>
      <c r="C4564" s="105" t="s">
        <v>7551</v>
      </c>
      <c r="D4564" s="105">
        <v>0</v>
      </c>
      <c r="E4564" s="105">
        <v>0</v>
      </c>
      <c r="F4564" s="105">
        <v>0</v>
      </c>
    </row>
    <row r="4565" spans="1:6" x14ac:dyDescent="0.25">
      <c r="A4565" s="105" t="str">
        <f t="shared" si="71"/>
        <v/>
      </c>
      <c r="B4565" s="105" t="s">
        <v>7552</v>
      </c>
      <c r="C4565" s="105" t="s">
        <v>8</v>
      </c>
      <c r="D4565" s="105">
        <v>0</v>
      </c>
      <c r="E4565" s="105">
        <v>0</v>
      </c>
      <c r="F4565" s="105">
        <v>0</v>
      </c>
    </row>
    <row r="4566" spans="1:6" x14ac:dyDescent="0.25">
      <c r="A4566" s="105">
        <f t="shared" si="71"/>
        <v>8702228</v>
      </c>
      <c r="B4566" s="105" t="s">
        <v>7553</v>
      </c>
      <c r="C4566" s="105" t="s">
        <v>7554</v>
      </c>
      <c r="D4566" s="105">
        <v>0</v>
      </c>
      <c r="E4566" s="105">
        <v>0</v>
      </c>
      <c r="F4566" s="105">
        <v>0</v>
      </c>
    </row>
    <row r="4567" spans="1:6" x14ac:dyDescent="0.25">
      <c r="A4567" s="105">
        <f t="shared" si="71"/>
        <v>8702557</v>
      </c>
      <c r="B4567" s="105" t="s">
        <v>7555</v>
      </c>
      <c r="C4567" s="105" t="s">
        <v>7556</v>
      </c>
      <c r="D4567" s="105">
        <v>726.77</v>
      </c>
      <c r="E4567" s="105">
        <v>436.06</v>
      </c>
      <c r="F4567" s="105">
        <v>0</v>
      </c>
    </row>
    <row r="4568" spans="1:6" x14ac:dyDescent="0.25">
      <c r="A4568" s="105">
        <f t="shared" si="71"/>
        <v>8702660</v>
      </c>
      <c r="B4568" s="105" t="s">
        <v>7557</v>
      </c>
      <c r="C4568" s="105" t="s">
        <v>7558</v>
      </c>
      <c r="D4568" s="105">
        <v>1478.7</v>
      </c>
      <c r="E4568" s="105">
        <v>887.22</v>
      </c>
      <c r="F4568" s="105">
        <v>3</v>
      </c>
    </row>
    <row r="4569" spans="1:6" x14ac:dyDescent="0.25">
      <c r="A4569" s="105">
        <f t="shared" si="71"/>
        <v>8702661</v>
      </c>
      <c r="B4569" s="105" t="s">
        <v>7559</v>
      </c>
      <c r="C4569" s="105" t="s">
        <v>7560</v>
      </c>
      <c r="D4569" s="105">
        <v>2100</v>
      </c>
      <c r="E4569" s="105">
        <v>1260</v>
      </c>
      <c r="F4569" s="105">
        <v>1</v>
      </c>
    </row>
    <row r="4570" spans="1:6" x14ac:dyDescent="0.25">
      <c r="A4570" s="105">
        <f t="shared" si="71"/>
        <v>8702668</v>
      </c>
      <c r="B4570" s="105" t="s">
        <v>7561</v>
      </c>
      <c r="C4570" s="105" t="s">
        <v>7562</v>
      </c>
      <c r="D4570" s="105">
        <v>726.77</v>
      </c>
      <c r="E4570" s="105">
        <v>436.06</v>
      </c>
      <c r="F4570" s="105">
        <v>0</v>
      </c>
    </row>
    <row r="4571" spans="1:6" x14ac:dyDescent="0.25">
      <c r="A4571" s="105" t="str">
        <f t="shared" si="71"/>
        <v/>
      </c>
      <c r="B4571" s="105" t="s">
        <v>7563</v>
      </c>
      <c r="C4571" s="105" t="s">
        <v>8</v>
      </c>
      <c r="D4571" s="105">
        <v>0</v>
      </c>
      <c r="E4571" s="105">
        <v>0</v>
      </c>
      <c r="F4571" s="105">
        <v>0</v>
      </c>
    </row>
    <row r="4572" spans="1:6" x14ac:dyDescent="0.25">
      <c r="A4572" s="105">
        <f t="shared" si="71"/>
        <v>8703000</v>
      </c>
      <c r="B4572" s="105" t="s">
        <v>7564</v>
      </c>
      <c r="C4572" s="105" t="s">
        <v>7565</v>
      </c>
      <c r="D4572" s="105">
        <v>0</v>
      </c>
      <c r="E4572" s="105">
        <v>0</v>
      </c>
      <c r="F4572" s="105">
        <v>0</v>
      </c>
    </row>
    <row r="4573" spans="1:6" x14ac:dyDescent="0.25">
      <c r="A4573" s="105">
        <f t="shared" si="71"/>
        <v>8703001</v>
      </c>
      <c r="B4573" s="105" t="s">
        <v>7566</v>
      </c>
      <c r="C4573" s="105" t="s">
        <v>7567</v>
      </c>
      <c r="D4573" s="105">
        <v>1097.0999999999999</v>
      </c>
      <c r="E4573" s="105">
        <v>658.26</v>
      </c>
      <c r="F4573" s="105">
        <v>3</v>
      </c>
    </row>
    <row r="4574" spans="1:6" x14ac:dyDescent="0.25">
      <c r="A4574" s="105" t="str">
        <f t="shared" si="71"/>
        <v/>
      </c>
      <c r="B4574" s="105" t="s">
        <v>7568</v>
      </c>
      <c r="C4574" s="105" t="s">
        <v>8</v>
      </c>
      <c r="D4574" s="105">
        <v>0</v>
      </c>
      <c r="E4574" s="105">
        <v>0</v>
      </c>
      <c r="F4574" s="105">
        <v>0</v>
      </c>
    </row>
    <row r="4575" spans="1:6" x14ac:dyDescent="0.25">
      <c r="A4575" s="105">
        <f t="shared" si="71"/>
        <v>8703002</v>
      </c>
      <c r="B4575" s="105" t="s">
        <v>7569</v>
      </c>
      <c r="C4575" s="105" t="s">
        <v>7570</v>
      </c>
      <c r="D4575" s="105">
        <v>0</v>
      </c>
      <c r="E4575" s="105">
        <v>0</v>
      </c>
      <c r="F4575" s="105">
        <v>0</v>
      </c>
    </row>
    <row r="4576" spans="1:6" x14ac:dyDescent="0.25">
      <c r="A4576" s="105">
        <f t="shared" si="71"/>
        <v>8703004</v>
      </c>
      <c r="B4576" s="105" t="s">
        <v>7571</v>
      </c>
      <c r="C4576" s="105" t="s">
        <v>7572</v>
      </c>
      <c r="D4576" s="105">
        <v>2671.2</v>
      </c>
      <c r="E4576" s="105">
        <v>1602.72</v>
      </c>
      <c r="F4576" s="105">
        <v>7</v>
      </c>
    </row>
    <row r="4577" spans="1:6" x14ac:dyDescent="0.25">
      <c r="A4577" s="105">
        <f t="shared" si="71"/>
        <v>8703005</v>
      </c>
      <c r="B4577" s="105" t="s">
        <v>7573</v>
      </c>
      <c r="C4577" s="105" t="s">
        <v>7574</v>
      </c>
      <c r="D4577" s="105">
        <v>0</v>
      </c>
      <c r="E4577" s="105">
        <v>0</v>
      </c>
      <c r="F4577" s="105">
        <v>0</v>
      </c>
    </row>
    <row r="4578" spans="1:6" x14ac:dyDescent="0.25">
      <c r="A4578" s="105" t="str">
        <f t="shared" si="71"/>
        <v/>
      </c>
      <c r="B4578" s="105" t="s">
        <v>7575</v>
      </c>
      <c r="C4578" s="105" t="s">
        <v>8</v>
      </c>
      <c r="D4578" s="105">
        <v>0</v>
      </c>
      <c r="E4578" s="105">
        <v>0</v>
      </c>
      <c r="F4578" s="105">
        <v>0</v>
      </c>
    </row>
    <row r="4579" spans="1:6" x14ac:dyDescent="0.25">
      <c r="A4579" s="105">
        <f t="shared" si="71"/>
        <v>8703011</v>
      </c>
      <c r="B4579" s="105" t="s">
        <v>7576</v>
      </c>
      <c r="C4579" s="105" t="s">
        <v>7577</v>
      </c>
      <c r="D4579" s="105">
        <v>0</v>
      </c>
      <c r="E4579" s="105">
        <v>0</v>
      </c>
      <c r="F4579" s="105">
        <v>0</v>
      </c>
    </row>
    <row r="4580" spans="1:6" x14ac:dyDescent="0.25">
      <c r="A4580" s="105">
        <f t="shared" si="71"/>
        <v>8703012</v>
      </c>
      <c r="B4580" s="105" t="s">
        <v>7578</v>
      </c>
      <c r="C4580" s="105" t="s">
        <v>7579</v>
      </c>
      <c r="D4580" s="105">
        <v>2226</v>
      </c>
      <c r="E4580" s="105">
        <v>1335.6</v>
      </c>
      <c r="F4580" s="105">
        <v>4</v>
      </c>
    </row>
    <row r="4581" spans="1:6" x14ac:dyDescent="0.25">
      <c r="A4581" s="105">
        <f t="shared" si="71"/>
        <v>8703017</v>
      </c>
      <c r="B4581" s="105" t="s">
        <v>7580</v>
      </c>
      <c r="C4581" s="105" t="s">
        <v>7581</v>
      </c>
      <c r="D4581" s="105">
        <v>3975</v>
      </c>
      <c r="E4581" s="105">
        <v>2385</v>
      </c>
      <c r="F4581" s="105">
        <v>0</v>
      </c>
    </row>
    <row r="4582" spans="1:6" x14ac:dyDescent="0.25">
      <c r="A4582" s="105">
        <f t="shared" si="71"/>
        <v>8703018</v>
      </c>
      <c r="B4582" s="105" t="s">
        <v>7582</v>
      </c>
      <c r="C4582" s="105" t="s">
        <v>7583</v>
      </c>
      <c r="D4582" s="105">
        <v>3150</v>
      </c>
      <c r="E4582" s="105">
        <v>1890</v>
      </c>
      <c r="F4582" s="105">
        <v>6</v>
      </c>
    </row>
    <row r="4583" spans="1:6" x14ac:dyDescent="0.25">
      <c r="A4583" s="105">
        <f t="shared" si="71"/>
        <v>8703020</v>
      </c>
      <c r="B4583" s="105" t="s">
        <v>7584</v>
      </c>
      <c r="C4583" s="105" t="s">
        <v>7585</v>
      </c>
      <c r="D4583" s="105">
        <v>249.75</v>
      </c>
      <c r="E4583" s="105">
        <v>149.85</v>
      </c>
      <c r="F4583" s="105">
        <v>0</v>
      </c>
    </row>
    <row r="4584" spans="1:6" x14ac:dyDescent="0.25">
      <c r="A4584" s="105" t="str">
        <f t="shared" si="71"/>
        <v/>
      </c>
      <c r="B4584" s="105" t="s">
        <v>7586</v>
      </c>
      <c r="C4584" s="105" t="s">
        <v>8</v>
      </c>
      <c r="D4584" s="105">
        <v>0</v>
      </c>
      <c r="E4584" s="105">
        <v>0</v>
      </c>
      <c r="F4584" s="105">
        <v>0</v>
      </c>
    </row>
    <row r="4585" spans="1:6" x14ac:dyDescent="0.25">
      <c r="A4585" s="105">
        <f t="shared" si="71"/>
        <v>8703021</v>
      </c>
      <c r="B4585" s="105" t="s">
        <v>7587</v>
      </c>
      <c r="C4585" s="105" t="s">
        <v>7588</v>
      </c>
      <c r="D4585" s="105">
        <v>0</v>
      </c>
      <c r="E4585" s="105">
        <v>0</v>
      </c>
      <c r="F4585" s="105">
        <v>0</v>
      </c>
    </row>
    <row r="4586" spans="1:6" x14ac:dyDescent="0.25">
      <c r="A4586" s="105" t="str">
        <f t="shared" si="71"/>
        <v/>
      </c>
      <c r="B4586" s="105" t="s">
        <v>7589</v>
      </c>
      <c r="C4586" s="105" t="s">
        <v>8</v>
      </c>
      <c r="D4586" s="105">
        <v>0</v>
      </c>
      <c r="E4586" s="105">
        <v>0</v>
      </c>
      <c r="F4586" s="105">
        <v>0</v>
      </c>
    </row>
    <row r="4587" spans="1:6" x14ac:dyDescent="0.25">
      <c r="A4587" s="105">
        <f t="shared" si="71"/>
        <v>8703028</v>
      </c>
      <c r="B4587" s="105" t="s">
        <v>7590</v>
      </c>
      <c r="C4587" s="105" t="s">
        <v>7591</v>
      </c>
      <c r="D4587" s="105">
        <v>0</v>
      </c>
      <c r="E4587" s="105">
        <v>0</v>
      </c>
      <c r="F4587" s="105">
        <v>0</v>
      </c>
    </row>
    <row r="4588" spans="1:6" x14ac:dyDescent="0.25">
      <c r="A4588" s="105">
        <f t="shared" si="71"/>
        <v>8703030</v>
      </c>
      <c r="B4588" s="105" t="s">
        <v>7592</v>
      </c>
      <c r="C4588" s="105" t="s">
        <v>7593</v>
      </c>
      <c r="D4588" s="105">
        <v>2671.2</v>
      </c>
      <c r="E4588" s="105">
        <v>1602.72</v>
      </c>
      <c r="F4588" s="105">
        <v>0</v>
      </c>
    </row>
    <row r="4589" spans="1:6" x14ac:dyDescent="0.25">
      <c r="A4589" s="105">
        <f t="shared" si="71"/>
        <v>8703034</v>
      </c>
      <c r="B4589" s="105" t="s">
        <v>7594</v>
      </c>
      <c r="C4589" s="105" t="s">
        <v>7595</v>
      </c>
      <c r="D4589" s="105">
        <v>3900</v>
      </c>
      <c r="E4589" s="105">
        <v>2340</v>
      </c>
      <c r="F4589" s="105">
        <v>0</v>
      </c>
    </row>
    <row r="4590" spans="1:6" x14ac:dyDescent="0.25">
      <c r="A4590" s="105">
        <f t="shared" si="71"/>
        <v>8703035</v>
      </c>
      <c r="B4590" s="105" t="s">
        <v>7596</v>
      </c>
      <c r="C4590" s="105" t="s">
        <v>7597</v>
      </c>
      <c r="D4590" s="105">
        <v>4150</v>
      </c>
      <c r="E4590" s="105">
        <v>2490</v>
      </c>
      <c r="F4590" s="105">
        <v>16</v>
      </c>
    </row>
    <row r="4591" spans="1:6" x14ac:dyDescent="0.25">
      <c r="A4591" s="105">
        <f t="shared" si="71"/>
        <v>8703036</v>
      </c>
      <c r="B4591" s="105" t="s">
        <v>7598</v>
      </c>
      <c r="C4591" s="105" t="s">
        <v>7599</v>
      </c>
      <c r="D4591" s="105">
        <v>3600</v>
      </c>
      <c r="E4591" s="105">
        <v>2160</v>
      </c>
      <c r="F4591" s="105">
        <v>9</v>
      </c>
    </row>
    <row r="4592" spans="1:6" x14ac:dyDescent="0.25">
      <c r="A4592" s="105">
        <f t="shared" si="71"/>
        <v>870303601</v>
      </c>
      <c r="B4592" s="105" t="s">
        <v>7600</v>
      </c>
      <c r="C4592" s="105" t="s">
        <v>7601</v>
      </c>
      <c r="D4592" s="105">
        <v>0</v>
      </c>
      <c r="E4592" s="105">
        <v>0</v>
      </c>
      <c r="F4592" s="105">
        <v>0</v>
      </c>
    </row>
    <row r="4593" spans="1:6" x14ac:dyDescent="0.25">
      <c r="A4593" s="105">
        <f t="shared" si="71"/>
        <v>870303602</v>
      </c>
      <c r="B4593" s="105" t="s">
        <v>7602</v>
      </c>
      <c r="C4593" s="105" t="s">
        <v>7603</v>
      </c>
      <c r="D4593" s="105">
        <v>0</v>
      </c>
      <c r="E4593" s="105">
        <v>0</v>
      </c>
      <c r="F4593" s="105">
        <v>0</v>
      </c>
    </row>
    <row r="4594" spans="1:6" x14ac:dyDescent="0.25">
      <c r="A4594" s="105">
        <f t="shared" si="71"/>
        <v>8703037</v>
      </c>
      <c r="B4594" s="105" t="s">
        <v>7604</v>
      </c>
      <c r="C4594" s="105" t="s">
        <v>7605</v>
      </c>
      <c r="D4594" s="105">
        <v>3600</v>
      </c>
      <c r="E4594" s="105">
        <v>2160</v>
      </c>
      <c r="F4594" s="105">
        <v>16</v>
      </c>
    </row>
    <row r="4595" spans="1:6" x14ac:dyDescent="0.25">
      <c r="A4595" s="105">
        <f t="shared" si="71"/>
        <v>8703038</v>
      </c>
      <c r="B4595" s="105" t="s">
        <v>7606</v>
      </c>
      <c r="C4595" s="105" t="s">
        <v>7607</v>
      </c>
      <c r="D4595" s="105">
        <v>4650</v>
      </c>
      <c r="E4595" s="105">
        <v>2790</v>
      </c>
      <c r="F4595" s="105">
        <v>16</v>
      </c>
    </row>
    <row r="4596" spans="1:6" x14ac:dyDescent="0.25">
      <c r="A4596" s="105">
        <f t="shared" si="71"/>
        <v>870303800</v>
      </c>
      <c r="B4596" s="105" t="s">
        <v>7608</v>
      </c>
      <c r="C4596" s="105" t="s">
        <v>7609</v>
      </c>
      <c r="D4596" s="105">
        <v>0</v>
      </c>
      <c r="E4596" s="105">
        <v>0</v>
      </c>
      <c r="F4596" s="105">
        <v>0</v>
      </c>
    </row>
    <row r="4597" spans="1:6" x14ac:dyDescent="0.25">
      <c r="A4597" s="105">
        <f t="shared" si="71"/>
        <v>870303801</v>
      </c>
      <c r="B4597" s="105" t="s">
        <v>7610</v>
      </c>
      <c r="C4597" s="105" t="s">
        <v>7611</v>
      </c>
      <c r="D4597" s="105">
        <v>2860.7</v>
      </c>
      <c r="E4597" s="105">
        <v>1716.42</v>
      </c>
      <c r="F4597" s="105">
        <v>0</v>
      </c>
    </row>
    <row r="4598" spans="1:6" x14ac:dyDescent="0.25">
      <c r="A4598" s="105">
        <f t="shared" si="71"/>
        <v>870303802</v>
      </c>
      <c r="B4598" s="105" t="s">
        <v>7612</v>
      </c>
      <c r="C4598" s="105" t="s">
        <v>7613</v>
      </c>
      <c r="D4598" s="105">
        <v>0</v>
      </c>
      <c r="E4598" s="105">
        <v>0</v>
      </c>
      <c r="F4598" s="105">
        <v>0</v>
      </c>
    </row>
    <row r="4599" spans="1:6" x14ac:dyDescent="0.25">
      <c r="A4599" s="105">
        <f t="shared" si="71"/>
        <v>870303803</v>
      </c>
      <c r="B4599" s="105" t="s">
        <v>7614</v>
      </c>
      <c r="C4599" s="105" t="s">
        <v>7615</v>
      </c>
      <c r="D4599" s="105">
        <v>0</v>
      </c>
      <c r="E4599" s="105">
        <v>0</v>
      </c>
      <c r="F4599" s="105">
        <v>0</v>
      </c>
    </row>
    <row r="4600" spans="1:6" x14ac:dyDescent="0.25">
      <c r="A4600" s="105" t="str">
        <f t="shared" si="71"/>
        <v/>
      </c>
      <c r="B4600" s="105" t="s">
        <v>7616</v>
      </c>
      <c r="C4600" s="105" t="s">
        <v>8</v>
      </c>
      <c r="D4600" s="105">
        <v>0</v>
      </c>
      <c r="E4600" s="105">
        <v>0</v>
      </c>
      <c r="F4600" s="105">
        <v>0</v>
      </c>
    </row>
    <row r="4601" spans="1:6" x14ac:dyDescent="0.25">
      <c r="A4601" s="105">
        <f t="shared" si="71"/>
        <v>8703039</v>
      </c>
      <c r="B4601" s="105" t="s">
        <v>7617</v>
      </c>
      <c r="C4601" s="105" t="s">
        <v>7618</v>
      </c>
      <c r="D4601" s="105">
        <v>0</v>
      </c>
      <c r="E4601" s="105">
        <v>0</v>
      </c>
      <c r="F4601" s="105">
        <v>0</v>
      </c>
    </row>
    <row r="4602" spans="1:6" x14ac:dyDescent="0.25">
      <c r="A4602" s="105">
        <f t="shared" si="71"/>
        <v>8703040</v>
      </c>
      <c r="B4602" s="105" t="s">
        <v>7619</v>
      </c>
      <c r="C4602" s="105" t="s">
        <v>7620</v>
      </c>
      <c r="D4602" s="105">
        <v>5550</v>
      </c>
      <c r="E4602" s="105">
        <v>3330</v>
      </c>
      <c r="F4602" s="105">
        <v>9</v>
      </c>
    </row>
    <row r="4603" spans="1:6" x14ac:dyDescent="0.25">
      <c r="A4603" s="105">
        <f t="shared" si="71"/>
        <v>8703041</v>
      </c>
      <c r="B4603" s="105" t="s">
        <v>7621</v>
      </c>
      <c r="C4603" s="105" t="s">
        <v>7622</v>
      </c>
      <c r="D4603" s="105">
        <v>4200</v>
      </c>
      <c r="E4603" s="105">
        <v>2520</v>
      </c>
      <c r="F4603" s="105">
        <v>5</v>
      </c>
    </row>
    <row r="4604" spans="1:6" x14ac:dyDescent="0.25">
      <c r="A4604" s="105">
        <f t="shared" si="71"/>
        <v>870304101</v>
      </c>
      <c r="B4604" s="105" t="s">
        <v>7623</v>
      </c>
      <c r="C4604" s="105" t="s">
        <v>7624</v>
      </c>
      <c r="D4604" s="105">
        <v>0</v>
      </c>
      <c r="E4604" s="105">
        <v>0</v>
      </c>
      <c r="F4604" s="105">
        <v>0</v>
      </c>
    </row>
    <row r="4605" spans="1:6" x14ac:dyDescent="0.25">
      <c r="A4605" s="105">
        <f t="shared" si="71"/>
        <v>870304102</v>
      </c>
      <c r="B4605" s="105" t="s">
        <v>7625</v>
      </c>
      <c r="C4605" s="105" t="s">
        <v>7626</v>
      </c>
      <c r="D4605" s="105">
        <v>0</v>
      </c>
      <c r="E4605" s="105">
        <v>0</v>
      </c>
      <c r="F4605" s="105">
        <v>0</v>
      </c>
    </row>
    <row r="4606" spans="1:6" x14ac:dyDescent="0.25">
      <c r="A4606" s="105">
        <f t="shared" si="71"/>
        <v>8703042</v>
      </c>
      <c r="B4606" s="105" t="s">
        <v>7627</v>
      </c>
      <c r="C4606" s="105" t="s">
        <v>7628</v>
      </c>
      <c r="D4606" s="105">
        <v>4150</v>
      </c>
      <c r="E4606" s="105">
        <v>2490</v>
      </c>
      <c r="F4606" s="105">
        <v>12</v>
      </c>
    </row>
    <row r="4607" spans="1:6" x14ac:dyDescent="0.25">
      <c r="A4607" s="105">
        <f t="shared" si="71"/>
        <v>8703045</v>
      </c>
      <c r="B4607" s="105" t="s">
        <v>7629</v>
      </c>
      <c r="C4607" s="105" t="s">
        <v>7630</v>
      </c>
      <c r="D4607" s="105">
        <v>4950</v>
      </c>
      <c r="E4607" s="105">
        <v>2970</v>
      </c>
      <c r="F4607" s="105">
        <v>4</v>
      </c>
    </row>
    <row r="4608" spans="1:6" x14ac:dyDescent="0.25">
      <c r="A4608" s="105">
        <f t="shared" si="71"/>
        <v>8703046</v>
      </c>
      <c r="B4608" s="105" t="s">
        <v>7631</v>
      </c>
      <c r="C4608" s="105" t="s">
        <v>7632</v>
      </c>
      <c r="D4608" s="105">
        <v>1590</v>
      </c>
      <c r="E4608" s="105">
        <v>954</v>
      </c>
      <c r="F4608" s="105">
        <v>4</v>
      </c>
    </row>
    <row r="4609" spans="1:6" x14ac:dyDescent="0.25">
      <c r="A4609" s="105">
        <f t="shared" si="71"/>
        <v>8703047</v>
      </c>
      <c r="B4609" s="105" t="s">
        <v>7633</v>
      </c>
      <c r="C4609" s="105" t="s">
        <v>9470</v>
      </c>
      <c r="D4609" s="105">
        <v>4626</v>
      </c>
      <c r="E4609" s="105">
        <v>2775.6</v>
      </c>
      <c r="F4609" s="105">
        <v>0</v>
      </c>
    </row>
    <row r="4610" spans="1:6" x14ac:dyDescent="0.25">
      <c r="A4610" s="105">
        <f t="shared" si="71"/>
        <v>8703051</v>
      </c>
      <c r="B4610" s="105" t="s">
        <v>7634</v>
      </c>
      <c r="C4610" s="105" t="s">
        <v>7635</v>
      </c>
      <c r="D4610" s="105">
        <v>4950</v>
      </c>
      <c r="E4610" s="105">
        <v>2970</v>
      </c>
      <c r="F4610" s="105">
        <v>19</v>
      </c>
    </row>
    <row r="4611" spans="1:6" x14ac:dyDescent="0.25">
      <c r="A4611" s="105">
        <f t="shared" ref="A4611:A4674" si="72">IF(B4611&lt;&gt;"",IFERROR(B4611*1,""),"")</f>
        <v>8703052</v>
      </c>
      <c r="B4611" s="105" t="s">
        <v>7636</v>
      </c>
      <c r="C4611" s="105" t="s">
        <v>7637</v>
      </c>
      <c r="D4611" s="105">
        <v>4452</v>
      </c>
      <c r="E4611" s="105">
        <v>2671.2</v>
      </c>
      <c r="F4611" s="105">
        <v>0</v>
      </c>
    </row>
    <row r="4612" spans="1:6" x14ac:dyDescent="0.25">
      <c r="A4612" s="105">
        <f t="shared" si="72"/>
        <v>8703053</v>
      </c>
      <c r="B4612" s="105" t="s">
        <v>7638</v>
      </c>
      <c r="C4612" s="105" t="s">
        <v>7639</v>
      </c>
      <c r="D4612" s="105">
        <v>3339</v>
      </c>
      <c r="E4612" s="105">
        <v>2003.4</v>
      </c>
      <c r="F4612" s="105">
        <v>0</v>
      </c>
    </row>
    <row r="4613" spans="1:6" x14ac:dyDescent="0.25">
      <c r="A4613" s="105" t="str">
        <f t="shared" si="72"/>
        <v/>
      </c>
      <c r="B4613" s="105" t="s">
        <v>7640</v>
      </c>
      <c r="C4613" s="105" t="s">
        <v>8</v>
      </c>
      <c r="D4613" s="105">
        <v>0</v>
      </c>
      <c r="E4613" s="105">
        <v>0</v>
      </c>
      <c r="F4613" s="105">
        <v>0</v>
      </c>
    </row>
    <row r="4614" spans="1:6" x14ac:dyDescent="0.25">
      <c r="A4614" s="105">
        <f t="shared" si="72"/>
        <v>8703062</v>
      </c>
      <c r="B4614" s="105" t="s">
        <v>7641</v>
      </c>
      <c r="C4614" s="105" t="s">
        <v>7642</v>
      </c>
      <c r="D4614" s="105">
        <v>0</v>
      </c>
      <c r="E4614" s="105">
        <v>0</v>
      </c>
      <c r="F4614" s="105">
        <v>0</v>
      </c>
    </row>
    <row r="4615" spans="1:6" x14ac:dyDescent="0.25">
      <c r="A4615" s="105" t="str">
        <f t="shared" si="72"/>
        <v/>
      </c>
      <c r="B4615" s="105" t="s">
        <v>7643</v>
      </c>
      <c r="C4615" s="105" t="s">
        <v>8</v>
      </c>
      <c r="D4615" s="105">
        <v>0</v>
      </c>
      <c r="E4615" s="105">
        <v>0</v>
      </c>
      <c r="F4615" s="105">
        <v>0</v>
      </c>
    </row>
    <row r="4616" spans="1:6" x14ac:dyDescent="0.25">
      <c r="A4616" s="105">
        <f t="shared" si="72"/>
        <v>8703090</v>
      </c>
      <c r="B4616" s="105" t="s">
        <v>7644</v>
      </c>
      <c r="C4616" s="105" t="s">
        <v>7645</v>
      </c>
      <c r="D4616" s="105">
        <v>0</v>
      </c>
      <c r="E4616" s="105">
        <v>0</v>
      </c>
      <c r="F4616" s="105">
        <v>0</v>
      </c>
    </row>
    <row r="4617" spans="1:6" x14ac:dyDescent="0.25">
      <c r="A4617" s="105" t="str">
        <f t="shared" si="72"/>
        <v/>
      </c>
      <c r="B4617" s="105" t="s">
        <v>7646</v>
      </c>
      <c r="C4617" s="105" t="s">
        <v>8</v>
      </c>
      <c r="D4617" s="105">
        <v>0</v>
      </c>
      <c r="E4617" s="105">
        <v>0</v>
      </c>
      <c r="F4617" s="105">
        <v>0</v>
      </c>
    </row>
    <row r="4618" spans="1:6" x14ac:dyDescent="0.25">
      <c r="A4618" s="105">
        <f t="shared" si="72"/>
        <v>8703094</v>
      </c>
      <c r="B4618" s="105" t="s">
        <v>7647</v>
      </c>
      <c r="C4618" s="105" t="s">
        <v>7648</v>
      </c>
      <c r="D4618" s="105">
        <v>0</v>
      </c>
      <c r="E4618" s="105">
        <v>0</v>
      </c>
      <c r="F4618" s="105">
        <v>0</v>
      </c>
    </row>
    <row r="4619" spans="1:6" x14ac:dyDescent="0.25">
      <c r="A4619" s="105">
        <f t="shared" si="72"/>
        <v>8703097</v>
      </c>
      <c r="B4619" s="105" t="s">
        <v>7649</v>
      </c>
      <c r="C4619" s="105" t="s">
        <v>7650</v>
      </c>
      <c r="D4619" s="105">
        <v>2014</v>
      </c>
      <c r="E4619" s="105">
        <v>1208.4000000000001</v>
      </c>
      <c r="F4619" s="105">
        <v>0</v>
      </c>
    </row>
    <row r="4620" spans="1:6" x14ac:dyDescent="0.25">
      <c r="A4620" s="105">
        <f t="shared" si="72"/>
        <v>8703099</v>
      </c>
      <c r="B4620" s="105" t="s">
        <v>7651</v>
      </c>
      <c r="C4620" s="105" t="s">
        <v>7652</v>
      </c>
      <c r="D4620" s="105">
        <v>9102</v>
      </c>
      <c r="E4620" s="105">
        <v>5461.2</v>
      </c>
      <c r="F4620" s="105">
        <v>0</v>
      </c>
    </row>
    <row r="4621" spans="1:6" x14ac:dyDescent="0.25">
      <c r="A4621" s="105" t="str">
        <f t="shared" si="72"/>
        <v/>
      </c>
      <c r="B4621" s="105" t="s">
        <v>7653</v>
      </c>
      <c r="C4621" s="105" t="s">
        <v>8</v>
      </c>
      <c r="D4621" s="105">
        <v>0</v>
      </c>
      <c r="E4621" s="105">
        <v>0</v>
      </c>
      <c r="F4621" s="105">
        <v>0</v>
      </c>
    </row>
    <row r="4622" spans="1:6" x14ac:dyDescent="0.25">
      <c r="A4622" s="105">
        <f t="shared" si="72"/>
        <v>8703100</v>
      </c>
      <c r="B4622" s="105" t="s">
        <v>7654</v>
      </c>
      <c r="C4622" s="105" t="s">
        <v>7655</v>
      </c>
      <c r="D4622" s="105">
        <v>0</v>
      </c>
      <c r="E4622" s="105">
        <v>0</v>
      </c>
      <c r="F4622" s="105">
        <v>0</v>
      </c>
    </row>
    <row r="4623" spans="1:6" x14ac:dyDescent="0.25">
      <c r="A4623" s="105">
        <f t="shared" si="72"/>
        <v>8703101</v>
      </c>
      <c r="B4623" s="105" t="s">
        <v>7656</v>
      </c>
      <c r="C4623" s="105" t="s">
        <v>7657</v>
      </c>
      <c r="D4623" s="105">
        <v>2775</v>
      </c>
      <c r="E4623" s="105">
        <v>1665</v>
      </c>
      <c r="F4623" s="105">
        <v>0</v>
      </c>
    </row>
    <row r="4624" spans="1:6" x14ac:dyDescent="0.25">
      <c r="A4624" s="105">
        <f t="shared" si="72"/>
        <v>8703102</v>
      </c>
      <c r="B4624" s="105" t="s">
        <v>7658</v>
      </c>
      <c r="C4624" s="105" t="s">
        <v>7659</v>
      </c>
      <c r="D4624" s="105">
        <v>3873</v>
      </c>
      <c r="E4624" s="105">
        <v>2323.8000000000002</v>
      </c>
      <c r="F4624" s="105">
        <v>5</v>
      </c>
    </row>
    <row r="4625" spans="1:6" x14ac:dyDescent="0.25">
      <c r="A4625" s="105">
        <f t="shared" si="72"/>
        <v>8703103</v>
      </c>
      <c r="B4625" s="105" t="s">
        <v>7660</v>
      </c>
      <c r="C4625" s="105" t="s">
        <v>7661</v>
      </c>
      <c r="D4625" s="105">
        <v>3576.14</v>
      </c>
      <c r="E4625" s="105">
        <v>2145.6799999999998</v>
      </c>
      <c r="F4625" s="105">
        <v>0</v>
      </c>
    </row>
    <row r="4626" spans="1:6" x14ac:dyDescent="0.25">
      <c r="A4626" s="105">
        <f t="shared" si="72"/>
        <v>8703104</v>
      </c>
      <c r="B4626" s="105" t="s">
        <v>7662</v>
      </c>
      <c r="C4626" s="105" t="s">
        <v>7663</v>
      </c>
      <c r="D4626" s="105">
        <v>3474.57</v>
      </c>
      <c r="E4626" s="105">
        <v>2084.7399999999998</v>
      </c>
      <c r="F4626" s="105">
        <v>0</v>
      </c>
    </row>
    <row r="4627" spans="1:6" x14ac:dyDescent="0.25">
      <c r="A4627" s="105">
        <f t="shared" si="72"/>
        <v>8703105</v>
      </c>
      <c r="B4627" s="105" t="s">
        <v>7664</v>
      </c>
      <c r="C4627" s="105" t="s">
        <v>7665</v>
      </c>
      <c r="D4627" s="105">
        <v>5681</v>
      </c>
      <c r="E4627" s="105">
        <v>3408.6</v>
      </c>
      <c r="F4627" s="105">
        <v>0</v>
      </c>
    </row>
    <row r="4628" spans="1:6" x14ac:dyDescent="0.25">
      <c r="A4628" s="105">
        <f t="shared" si="72"/>
        <v>8703106</v>
      </c>
      <c r="B4628" s="105" t="s">
        <v>7666</v>
      </c>
      <c r="C4628" s="105" t="s">
        <v>7667</v>
      </c>
      <c r="D4628" s="105">
        <v>5681</v>
      </c>
      <c r="E4628" s="105">
        <v>3408.6</v>
      </c>
      <c r="F4628" s="105">
        <v>2</v>
      </c>
    </row>
    <row r="4629" spans="1:6" x14ac:dyDescent="0.25">
      <c r="A4629" s="105">
        <f t="shared" si="72"/>
        <v>8703107</v>
      </c>
      <c r="B4629" s="105" t="s">
        <v>7668</v>
      </c>
      <c r="C4629" s="105" t="s">
        <v>7669</v>
      </c>
      <c r="D4629" s="105">
        <v>5681</v>
      </c>
      <c r="E4629" s="105">
        <v>3408.6</v>
      </c>
      <c r="F4629" s="105">
        <v>2</v>
      </c>
    </row>
    <row r="4630" spans="1:6" x14ac:dyDescent="0.25">
      <c r="A4630" s="105">
        <f t="shared" si="72"/>
        <v>8703108</v>
      </c>
      <c r="B4630" s="105" t="s">
        <v>7670</v>
      </c>
      <c r="C4630" s="105" t="s">
        <v>7671</v>
      </c>
      <c r="D4630" s="105">
        <v>3782.1</v>
      </c>
      <c r="E4630" s="105">
        <v>2269.2600000000002</v>
      </c>
      <c r="F4630" s="105">
        <v>2</v>
      </c>
    </row>
    <row r="4631" spans="1:6" x14ac:dyDescent="0.25">
      <c r="A4631" s="105">
        <f t="shared" si="72"/>
        <v>8703109</v>
      </c>
      <c r="B4631" s="105" t="s">
        <v>7672</v>
      </c>
      <c r="C4631" s="105" t="s">
        <v>7673</v>
      </c>
      <c r="D4631" s="105">
        <v>3576.14</v>
      </c>
      <c r="E4631" s="105">
        <v>2145.6799999999998</v>
      </c>
      <c r="F4631" s="105">
        <v>1</v>
      </c>
    </row>
    <row r="4632" spans="1:6" x14ac:dyDescent="0.25">
      <c r="A4632" s="105">
        <f t="shared" si="72"/>
        <v>8703110</v>
      </c>
      <c r="B4632" s="105" t="s">
        <v>7674</v>
      </c>
      <c r="C4632" s="105" t="s">
        <v>7675</v>
      </c>
      <c r="D4632" s="105">
        <v>3180</v>
      </c>
      <c r="E4632" s="105">
        <v>1908</v>
      </c>
      <c r="F4632" s="105">
        <v>7</v>
      </c>
    </row>
    <row r="4633" spans="1:6" x14ac:dyDescent="0.25">
      <c r="A4633" s="105">
        <f t="shared" si="72"/>
        <v>8703111</v>
      </c>
      <c r="B4633" s="105" t="s">
        <v>7676</v>
      </c>
      <c r="C4633" s="105" t="s">
        <v>7677</v>
      </c>
      <c r="D4633" s="105">
        <v>5444.01</v>
      </c>
      <c r="E4633" s="105">
        <v>3266.41</v>
      </c>
      <c r="F4633" s="105">
        <v>1</v>
      </c>
    </row>
    <row r="4634" spans="1:6" x14ac:dyDescent="0.25">
      <c r="A4634" s="105">
        <f t="shared" si="72"/>
        <v>8703112</v>
      </c>
      <c r="B4634" s="105" t="s">
        <v>7678</v>
      </c>
      <c r="C4634" s="105" t="s">
        <v>7679</v>
      </c>
      <c r="D4634" s="105">
        <v>9060.75</v>
      </c>
      <c r="E4634" s="105">
        <v>5436.45</v>
      </c>
      <c r="F4634" s="105">
        <v>1</v>
      </c>
    </row>
    <row r="4635" spans="1:6" x14ac:dyDescent="0.25">
      <c r="A4635" s="105">
        <f t="shared" si="72"/>
        <v>8703113</v>
      </c>
      <c r="B4635" s="105" t="s">
        <v>7680</v>
      </c>
      <c r="C4635" s="105" t="s">
        <v>7681</v>
      </c>
      <c r="D4635" s="105">
        <v>9060.75</v>
      </c>
      <c r="E4635" s="105">
        <v>5436.45</v>
      </c>
      <c r="F4635" s="105">
        <v>0</v>
      </c>
    </row>
    <row r="4636" spans="1:6" x14ac:dyDescent="0.25">
      <c r="A4636" s="105" t="str">
        <f t="shared" si="72"/>
        <v/>
      </c>
      <c r="B4636" s="105" t="s">
        <v>7682</v>
      </c>
      <c r="C4636" s="105" t="s">
        <v>8</v>
      </c>
      <c r="D4636" s="105">
        <v>0</v>
      </c>
      <c r="E4636" s="105">
        <v>0</v>
      </c>
      <c r="F4636" s="105">
        <v>0</v>
      </c>
    </row>
    <row r="4637" spans="1:6" x14ac:dyDescent="0.25">
      <c r="A4637" s="105">
        <f t="shared" si="72"/>
        <v>8703114</v>
      </c>
      <c r="B4637" s="105" t="s">
        <v>7683</v>
      </c>
      <c r="C4637" s="105" t="s">
        <v>7684</v>
      </c>
      <c r="D4637" s="105">
        <v>0</v>
      </c>
      <c r="E4637" s="105">
        <v>0</v>
      </c>
      <c r="F4637" s="105">
        <v>0</v>
      </c>
    </row>
    <row r="4638" spans="1:6" x14ac:dyDescent="0.25">
      <c r="A4638" s="105" t="str">
        <f t="shared" si="72"/>
        <v/>
      </c>
      <c r="B4638" s="105" t="s">
        <v>7685</v>
      </c>
      <c r="C4638" s="105" t="s">
        <v>8</v>
      </c>
      <c r="D4638" s="105">
        <v>0</v>
      </c>
      <c r="E4638" s="105">
        <v>0</v>
      </c>
      <c r="F4638" s="105">
        <v>0</v>
      </c>
    </row>
    <row r="4639" spans="1:6" x14ac:dyDescent="0.25">
      <c r="A4639" s="105">
        <f t="shared" si="72"/>
        <v>8703115</v>
      </c>
      <c r="B4639" s="105" t="s">
        <v>7686</v>
      </c>
      <c r="C4639" s="105" t="s">
        <v>7687</v>
      </c>
      <c r="D4639" s="105">
        <v>8480</v>
      </c>
      <c r="E4639" s="105">
        <v>5088</v>
      </c>
      <c r="F4639" s="105">
        <v>0</v>
      </c>
    </row>
    <row r="4640" spans="1:6" x14ac:dyDescent="0.25">
      <c r="A4640" s="105">
        <f t="shared" si="72"/>
        <v>8703116</v>
      </c>
      <c r="B4640" s="105" t="s">
        <v>7688</v>
      </c>
      <c r="C4640" s="105" t="s">
        <v>7689</v>
      </c>
      <c r="D4640" s="105">
        <v>3576.14</v>
      </c>
      <c r="E4640" s="105">
        <v>2145.6799999999998</v>
      </c>
      <c r="F4640" s="105">
        <v>4</v>
      </c>
    </row>
    <row r="4641" spans="1:6" x14ac:dyDescent="0.25">
      <c r="A4641" s="105">
        <f t="shared" si="72"/>
        <v>8703117</v>
      </c>
      <c r="B4641" s="105" t="s">
        <v>7690</v>
      </c>
      <c r="C4641" s="105" t="s">
        <v>7691</v>
      </c>
      <c r="D4641" s="105">
        <v>3576.14</v>
      </c>
      <c r="E4641" s="105">
        <v>2145.6799999999998</v>
      </c>
      <c r="F4641" s="105">
        <v>4</v>
      </c>
    </row>
    <row r="4642" spans="1:6" x14ac:dyDescent="0.25">
      <c r="A4642" s="105">
        <f t="shared" si="72"/>
        <v>8703118</v>
      </c>
      <c r="B4642" s="105" t="s">
        <v>7692</v>
      </c>
      <c r="C4642" s="105" t="s">
        <v>7693</v>
      </c>
      <c r="D4642" s="105">
        <v>3576.14</v>
      </c>
      <c r="E4642" s="105">
        <v>2145.6799999999998</v>
      </c>
      <c r="F4642" s="105">
        <v>2</v>
      </c>
    </row>
    <row r="4643" spans="1:6" x14ac:dyDescent="0.25">
      <c r="A4643" s="105">
        <f t="shared" si="72"/>
        <v>8703119</v>
      </c>
      <c r="B4643" s="105" t="s">
        <v>7694</v>
      </c>
      <c r="C4643" s="105" t="s">
        <v>7695</v>
      </c>
      <c r="D4643" s="105">
        <v>5110.57</v>
      </c>
      <c r="E4643" s="105">
        <v>3066.34</v>
      </c>
      <c r="F4643" s="105">
        <v>1</v>
      </c>
    </row>
    <row r="4644" spans="1:6" x14ac:dyDescent="0.25">
      <c r="A4644" s="105" t="str">
        <f t="shared" si="72"/>
        <v/>
      </c>
      <c r="B4644" s="105" t="s">
        <v>7696</v>
      </c>
      <c r="C4644" s="105" t="s">
        <v>8</v>
      </c>
      <c r="D4644" s="105">
        <v>0</v>
      </c>
      <c r="E4644" s="105">
        <v>0</v>
      </c>
      <c r="F4644" s="105">
        <v>0</v>
      </c>
    </row>
    <row r="4645" spans="1:6" x14ac:dyDescent="0.25">
      <c r="A4645" s="105">
        <f t="shared" si="72"/>
        <v>8703120</v>
      </c>
      <c r="B4645" s="105" t="s">
        <v>7697</v>
      </c>
      <c r="C4645" s="105" t="s">
        <v>7698</v>
      </c>
      <c r="D4645" s="105">
        <v>0</v>
      </c>
      <c r="E4645" s="105">
        <v>0</v>
      </c>
      <c r="F4645" s="105">
        <v>0</v>
      </c>
    </row>
    <row r="4646" spans="1:6" x14ac:dyDescent="0.25">
      <c r="A4646" s="105" t="str">
        <f t="shared" si="72"/>
        <v/>
      </c>
      <c r="B4646" s="105" t="s">
        <v>7699</v>
      </c>
      <c r="C4646" s="105" t="s">
        <v>8</v>
      </c>
      <c r="D4646" s="105">
        <v>0</v>
      </c>
      <c r="E4646" s="105">
        <v>0</v>
      </c>
      <c r="F4646" s="105">
        <v>0</v>
      </c>
    </row>
    <row r="4647" spans="1:6" x14ac:dyDescent="0.25">
      <c r="A4647" s="105">
        <f t="shared" si="72"/>
        <v>8703121</v>
      </c>
      <c r="B4647" s="105" t="s">
        <v>7700</v>
      </c>
      <c r="C4647" s="105" t="s">
        <v>7701</v>
      </c>
      <c r="D4647" s="105">
        <v>0</v>
      </c>
      <c r="E4647" s="105">
        <v>0</v>
      </c>
      <c r="F4647" s="105">
        <v>0</v>
      </c>
    </row>
    <row r="4648" spans="1:6" x14ac:dyDescent="0.25">
      <c r="A4648" s="105">
        <f t="shared" si="72"/>
        <v>8703122</v>
      </c>
      <c r="B4648" s="105" t="s">
        <v>7702</v>
      </c>
      <c r="C4648" s="105" t="s">
        <v>7703</v>
      </c>
      <c r="D4648" s="105">
        <v>7167.02</v>
      </c>
      <c r="E4648" s="105">
        <v>4300.21</v>
      </c>
      <c r="F4648" s="105">
        <v>0</v>
      </c>
    </row>
    <row r="4649" spans="1:6" x14ac:dyDescent="0.25">
      <c r="A4649" s="105">
        <f t="shared" si="72"/>
        <v>8703128</v>
      </c>
      <c r="B4649" s="105" t="s">
        <v>7704</v>
      </c>
      <c r="C4649" s="105" t="s">
        <v>7705</v>
      </c>
      <c r="D4649" s="105">
        <v>7652.09</v>
      </c>
      <c r="E4649" s="105">
        <v>4591.25</v>
      </c>
      <c r="F4649" s="105">
        <v>6</v>
      </c>
    </row>
    <row r="4650" spans="1:6" x14ac:dyDescent="0.25">
      <c r="A4650" s="105" t="str">
        <f t="shared" si="72"/>
        <v/>
      </c>
      <c r="B4650" s="105" t="s">
        <v>7706</v>
      </c>
      <c r="C4650" s="105" t="s">
        <v>8</v>
      </c>
      <c r="D4650" s="105">
        <v>0</v>
      </c>
      <c r="E4650" s="105">
        <v>0</v>
      </c>
      <c r="F4650" s="105">
        <v>0</v>
      </c>
    </row>
    <row r="4651" spans="1:6" x14ac:dyDescent="0.25">
      <c r="A4651" s="105">
        <f t="shared" si="72"/>
        <v>8703135</v>
      </c>
      <c r="B4651" s="105" t="s">
        <v>7707</v>
      </c>
      <c r="C4651" s="105" t="s">
        <v>7708</v>
      </c>
      <c r="D4651" s="105">
        <v>0</v>
      </c>
      <c r="E4651" s="105">
        <v>0</v>
      </c>
      <c r="F4651" s="105">
        <v>0</v>
      </c>
    </row>
    <row r="4652" spans="1:6" x14ac:dyDescent="0.25">
      <c r="A4652" s="105" t="str">
        <f t="shared" si="72"/>
        <v/>
      </c>
      <c r="B4652" s="105" t="s">
        <v>7709</v>
      </c>
      <c r="C4652" s="105" t="s">
        <v>8</v>
      </c>
      <c r="D4652" s="105">
        <v>0</v>
      </c>
      <c r="E4652" s="105">
        <v>0</v>
      </c>
      <c r="F4652" s="105">
        <v>0</v>
      </c>
    </row>
    <row r="4653" spans="1:6" x14ac:dyDescent="0.25">
      <c r="A4653" s="105">
        <f t="shared" si="72"/>
        <v>8703138</v>
      </c>
      <c r="B4653" s="105" t="s">
        <v>7710</v>
      </c>
      <c r="C4653" s="105" t="s">
        <v>7711</v>
      </c>
      <c r="D4653" s="105">
        <v>0</v>
      </c>
      <c r="E4653" s="105">
        <v>0</v>
      </c>
      <c r="F4653" s="105">
        <v>0</v>
      </c>
    </row>
    <row r="4654" spans="1:6" x14ac:dyDescent="0.25">
      <c r="A4654" s="105">
        <f t="shared" si="72"/>
        <v>8703140</v>
      </c>
      <c r="B4654" s="105" t="s">
        <v>7712</v>
      </c>
      <c r="C4654" s="105" t="s">
        <v>7713</v>
      </c>
      <c r="D4654" s="105">
        <v>0</v>
      </c>
      <c r="E4654" s="105">
        <v>0</v>
      </c>
      <c r="F4654" s="105">
        <v>1</v>
      </c>
    </row>
    <row r="4655" spans="1:6" x14ac:dyDescent="0.25">
      <c r="A4655" s="105">
        <f t="shared" si="72"/>
        <v>8703150</v>
      </c>
      <c r="B4655" s="105" t="s">
        <v>7714</v>
      </c>
      <c r="C4655" s="105" t="s">
        <v>7715</v>
      </c>
      <c r="D4655" s="105">
        <v>7536</v>
      </c>
      <c r="E4655" s="105">
        <v>4521.6000000000004</v>
      </c>
      <c r="F4655" s="105">
        <v>2</v>
      </c>
    </row>
    <row r="4656" spans="1:6" x14ac:dyDescent="0.25">
      <c r="A4656" s="105">
        <f t="shared" si="72"/>
        <v>8703151</v>
      </c>
      <c r="B4656" s="105" t="s">
        <v>7716</v>
      </c>
      <c r="C4656" s="105" t="s">
        <v>7717</v>
      </c>
      <c r="D4656" s="105">
        <v>7686</v>
      </c>
      <c r="E4656" s="105">
        <v>4611.6000000000004</v>
      </c>
      <c r="F4656" s="105">
        <v>11</v>
      </c>
    </row>
    <row r="4657" spans="1:6" x14ac:dyDescent="0.25">
      <c r="A4657" s="105">
        <f t="shared" si="72"/>
        <v>8703152</v>
      </c>
      <c r="B4657" s="105" t="s">
        <v>7718</v>
      </c>
      <c r="C4657" s="105" t="s">
        <v>7719</v>
      </c>
      <c r="D4657" s="105">
        <v>7686</v>
      </c>
      <c r="E4657" s="105">
        <v>4611.6000000000004</v>
      </c>
      <c r="F4657" s="105">
        <v>8</v>
      </c>
    </row>
    <row r="4658" spans="1:6" x14ac:dyDescent="0.25">
      <c r="A4658" s="105">
        <f t="shared" si="72"/>
        <v>8703153</v>
      </c>
      <c r="B4658" s="105" t="s">
        <v>7720</v>
      </c>
      <c r="C4658" s="105" t="s">
        <v>7721</v>
      </c>
      <c r="D4658" s="105">
        <v>7686</v>
      </c>
      <c r="E4658" s="105">
        <v>4611.6000000000004</v>
      </c>
      <c r="F4658" s="105">
        <v>0</v>
      </c>
    </row>
    <row r="4659" spans="1:6" x14ac:dyDescent="0.25">
      <c r="A4659" s="105">
        <f t="shared" si="72"/>
        <v>8703155</v>
      </c>
      <c r="B4659" s="105" t="s">
        <v>7722</v>
      </c>
      <c r="C4659" s="105" t="s">
        <v>7723</v>
      </c>
      <c r="D4659" s="105">
        <v>5681</v>
      </c>
      <c r="E4659" s="105">
        <v>3408.6</v>
      </c>
      <c r="F4659" s="105">
        <v>1</v>
      </c>
    </row>
    <row r="4660" spans="1:6" x14ac:dyDescent="0.25">
      <c r="A4660" s="105">
        <f t="shared" si="72"/>
        <v>8703157</v>
      </c>
      <c r="B4660" s="105" t="s">
        <v>7724</v>
      </c>
      <c r="C4660" s="105" t="s">
        <v>7725</v>
      </c>
      <c r="D4660" s="105">
        <v>5681</v>
      </c>
      <c r="E4660" s="105">
        <v>3408.6</v>
      </c>
      <c r="F4660" s="105">
        <v>3</v>
      </c>
    </row>
    <row r="4661" spans="1:6" x14ac:dyDescent="0.25">
      <c r="A4661" s="105" t="str">
        <f t="shared" si="72"/>
        <v/>
      </c>
      <c r="B4661" s="105" t="s">
        <v>7726</v>
      </c>
      <c r="C4661" s="105" t="s">
        <v>8</v>
      </c>
      <c r="D4661" s="105">
        <v>0</v>
      </c>
      <c r="E4661" s="105">
        <v>0</v>
      </c>
      <c r="F4661" s="105">
        <v>0</v>
      </c>
    </row>
    <row r="4662" spans="1:6" x14ac:dyDescent="0.25">
      <c r="A4662" s="105">
        <f t="shared" si="72"/>
        <v>8703158</v>
      </c>
      <c r="B4662" s="105" t="s">
        <v>7727</v>
      </c>
      <c r="C4662" s="105" t="s">
        <v>7728</v>
      </c>
      <c r="D4662" s="105">
        <v>0</v>
      </c>
      <c r="E4662" s="105">
        <v>0</v>
      </c>
      <c r="F4662" s="105">
        <v>0</v>
      </c>
    </row>
    <row r="4663" spans="1:6" x14ac:dyDescent="0.25">
      <c r="A4663" s="105">
        <f t="shared" si="72"/>
        <v>8703162</v>
      </c>
      <c r="B4663" s="105" t="s">
        <v>7729</v>
      </c>
      <c r="C4663" s="105" t="s">
        <v>7730</v>
      </c>
      <c r="D4663" s="105">
        <v>875.08</v>
      </c>
      <c r="E4663" s="105">
        <v>525.04999999999995</v>
      </c>
      <c r="F4663" s="105">
        <v>0</v>
      </c>
    </row>
    <row r="4664" spans="1:6" x14ac:dyDescent="0.25">
      <c r="A4664" s="105">
        <f t="shared" si="72"/>
        <v>8703163</v>
      </c>
      <c r="B4664" s="105" t="s">
        <v>9471</v>
      </c>
      <c r="C4664" s="105" t="s">
        <v>9472</v>
      </c>
      <c r="D4664" s="105">
        <v>2756</v>
      </c>
      <c r="E4664" s="105">
        <v>1653.6</v>
      </c>
      <c r="F4664" s="105">
        <v>55</v>
      </c>
    </row>
    <row r="4665" spans="1:6" x14ac:dyDescent="0.25">
      <c r="A4665" s="105">
        <f t="shared" si="72"/>
        <v>8703197</v>
      </c>
      <c r="B4665" s="105" t="s">
        <v>7731</v>
      </c>
      <c r="C4665" s="105" t="s">
        <v>7732</v>
      </c>
      <c r="D4665" s="105">
        <v>2957.4</v>
      </c>
      <c r="E4665" s="105">
        <v>1774.44</v>
      </c>
      <c r="F4665" s="105">
        <v>113</v>
      </c>
    </row>
    <row r="4666" spans="1:6" x14ac:dyDescent="0.25">
      <c r="A4666" s="105">
        <f t="shared" si="72"/>
        <v>8703200</v>
      </c>
      <c r="B4666" s="105" t="s">
        <v>7733</v>
      </c>
      <c r="C4666" s="105" t="s">
        <v>9473</v>
      </c>
      <c r="D4666" s="105">
        <v>5550</v>
      </c>
      <c r="E4666" s="105">
        <v>3330</v>
      </c>
      <c r="F4666" s="105">
        <v>7</v>
      </c>
    </row>
    <row r="4667" spans="1:6" x14ac:dyDescent="0.25">
      <c r="A4667" s="105" t="str">
        <f t="shared" si="72"/>
        <v/>
      </c>
      <c r="B4667" s="105" t="s">
        <v>7734</v>
      </c>
      <c r="C4667" s="105" t="s">
        <v>8</v>
      </c>
      <c r="D4667" s="105">
        <v>0</v>
      </c>
      <c r="E4667" s="105">
        <v>0</v>
      </c>
      <c r="F4667" s="105">
        <v>0</v>
      </c>
    </row>
    <row r="4668" spans="1:6" x14ac:dyDescent="0.25">
      <c r="A4668" s="105">
        <f t="shared" si="72"/>
        <v>8703201</v>
      </c>
      <c r="B4668" s="105" t="s">
        <v>7735</v>
      </c>
      <c r="C4668" s="105" t="s">
        <v>7736</v>
      </c>
      <c r="D4668" s="105">
        <v>0</v>
      </c>
      <c r="E4668" s="105">
        <v>0</v>
      </c>
      <c r="F4668" s="105">
        <v>0</v>
      </c>
    </row>
    <row r="4669" spans="1:6" x14ac:dyDescent="0.25">
      <c r="A4669" s="105">
        <f t="shared" si="72"/>
        <v>8703203</v>
      </c>
      <c r="B4669" s="105" t="s">
        <v>7737</v>
      </c>
      <c r="C4669" s="105" t="s">
        <v>7738</v>
      </c>
      <c r="D4669" s="105">
        <v>1397.64</v>
      </c>
      <c r="E4669" s="105">
        <v>838.58</v>
      </c>
      <c r="F4669" s="105">
        <v>0</v>
      </c>
    </row>
    <row r="4670" spans="1:6" x14ac:dyDescent="0.25">
      <c r="A4670" s="105">
        <f t="shared" si="72"/>
        <v>8703205</v>
      </c>
      <c r="B4670" s="105" t="s">
        <v>7739</v>
      </c>
      <c r="C4670" s="105" t="s">
        <v>7740</v>
      </c>
      <c r="D4670" s="105">
        <v>16239.08</v>
      </c>
      <c r="E4670" s="105">
        <v>9743.4500000000007</v>
      </c>
      <c r="F4670" s="105">
        <v>29</v>
      </c>
    </row>
    <row r="4671" spans="1:6" x14ac:dyDescent="0.25">
      <c r="A4671" s="105">
        <f t="shared" si="72"/>
        <v>8703206</v>
      </c>
      <c r="B4671" s="105" t="s">
        <v>7741</v>
      </c>
      <c r="C4671" s="105" t="s">
        <v>7742</v>
      </c>
      <c r="D4671" s="105">
        <v>16239.08</v>
      </c>
      <c r="E4671" s="105">
        <v>9743.4500000000007</v>
      </c>
      <c r="F4671" s="105">
        <v>21</v>
      </c>
    </row>
    <row r="4672" spans="1:6" x14ac:dyDescent="0.25">
      <c r="A4672" s="105">
        <f t="shared" si="72"/>
        <v>8703207</v>
      </c>
      <c r="B4672" s="105" t="s">
        <v>7743</v>
      </c>
      <c r="C4672" s="105" t="s">
        <v>7744</v>
      </c>
      <c r="D4672" s="105">
        <v>16239.08</v>
      </c>
      <c r="E4672" s="105">
        <v>9743.4500000000007</v>
      </c>
      <c r="F4672" s="105">
        <v>2</v>
      </c>
    </row>
    <row r="4673" spans="1:6" x14ac:dyDescent="0.25">
      <c r="A4673" s="105">
        <f t="shared" si="72"/>
        <v>8703208</v>
      </c>
      <c r="B4673" s="105" t="s">
        <v>7745</v>
      </c>
      <c r="C4673" s="105" t="s">
        <v>7746</v>
      </c>
      <c r="D4673" s="105">
        <v>16239.08</v>
      </c>
      <c r="E4673" s="105">
        <v>9743.4500000000007</v>
      </c>
      <c r="F4673" s="105">
        <v>37</v>
      </c>
    </row>
    <row r="4674" spans="1:6" x14ac:dyDescent="0.25">
      <c r="A4674" s="105" t="str">
        <f t="shared" si="72"/>
        <v/>
      </c>
      <c r="B4674" s="105" t="s">
        <v>7747</v>
      </c>
      <c r="C4674" s="105" t="s">
        <v>8</v>
      </c>
      <c r="D4674" s="105">
        <v>0</v>
      </c>
      <c r="E4674" s="105">
        <v>0</v>
      </c>
      <c r="F4674" s="105">
        <v>0</v>
      </c>
    </row>
    <row r="4675" spans="1:6" x14ac:dyDescent="0.25">
      <c r="A4675" s="105">
        <f t="shared" ref="A4675:A4738" si="73">IF(B4675&lt;&gt;"",IFERROR(B4675*1,""),"")</f>
        <v>8703237</v>
      </c>
      <c r="B4675" s="105" t="s">
        <v>7748</v>
      </c>
      <c r="C4675" s="105" t="s">
        <v>7749</v>
      </c>
      <c r="D4675" s="105">
        <v>0</v>
      </c>
      <c r="E4675" s="105">
        <v>0</v>
      </c>
      <c r="F4675" s="105">
        <v>0</v>
      </c>
    </row>
    <row r="4676" spans="1:6" x14ac:dyDescent="0.25">
      <c r="A4676" s="105">
        <f t="shared" si="73"/>
        <v>8703238</v>
      </c>
      <c r="B4676" s="105" t="s">
        <v>7750</v>
      </c>
      <c r="C4676" s="105" t="s">
        <v>7751</v>
      </c>
      <c r="D4676" s="105">
        <v>5457</v>
      </c>
      <c r="E4676" s="105">
        <v>3274.2</v>
      </c>
      <c r="F4676" s="105">
        <v>1</v>
      </c>
    </row>
    <row r="4677" spans="1:6" x14ac:dyDescent="0.25">
      <c r="A4677" s="105">
        <f t="shared" si="73"/>
        <v>8703240</v>
      </c>
      <c r="B4677" s="105" t="s">
        <v>7752</v>
      </c>
      <c r="C4677" s="105" t="s">
        <v>7753</v>
      </c>
      <c r="D4677" s="105">
        <v>5457</v>
      </c>
      <c r="E4677" s="105">
        <v>3274.2</v>
      </c>
      <c r="F4677" s="105">
        <v>0</v>
      </c>
    </row>
    <row r="4678" spans="1:6" x14ac:dyDescent="0.25">
      <c r="A4678" s="105">
        <f t="shared" si="73"/>
        <v>8703241</v>
      </c>
      <c r="B4678" s="105" t="s">
        <v>7754</v>
      </c>
      <c r="C4678" s="105" t="s">
        <v>7755</v>
      </c>
      <c r="D4678" s="105">
        <v>5457</v>
      </c>
      <c r="E4678" s="105">
        <v>3274.2</v>
      </c>
      <c r="F4678" s="105">
        <v>4</v>
      </c>
    </row>
    <row r="4679" spans="1:6" x14ac:dyDescent="0.25">
      <c r="A4679" s="105">
        <f t="shared" si="73"/>
        <v>8703242</v>
      </c>
      <c r="B4679" s="105" t="s">
        <v>7756</v>
      </c>
      <c r="C4679" s="105" t="s">
        <v>7757</v>
      </c>
      <c r="D4679" s="105">
        <v>3700</v>
      </c>
      <c r="E4679" s="105">
        <v>2220</v>
      </c>
      <c r="F4679" s="105">
        <v>0</v>
      </c>
    </row>
    <row r="4680" spans="1:6" x14ac:dyDescent="0.25">
      <c r="A4680" s="105">
        <f t="shared" si="73"/>
        <v>8703244</v>
      </c>
      <c r="B4680" s="105" t="s">
        <v>7758</v>
      </c>
      <c r="C4680" s="105" t="s">
        <v>7759</v>
      </c>
      <c r="D4680" s="105">
        <v>5457</v>
      </c>
      <c r="E4680" s="105">
        <v>3274.2</v>
      </c>
      <c r="F4680" s="105">
        <v>3</v>
      </c>
    </row>
    <row r="4681" spans="1:6" x14ac:dyDescent="0.25">
      <c r="A4681" s="105">
        <f t="shared" si="73"/>
        <v>8703245</v>
      </c>
      <c r="B4681" s="105" t="s">
        <v>7760</v>
      </c>
      <c r="C4681" s="105" t="s">
        <v>7761</v>
      </c>
      <c r="D4681" s="105">
        <v>5457</v>
      </c>
      <c r="E4681" s="105">
        <v>3274.2</v>
      </c>
      <c r="F4681" s="105">
        <v>7</v>
      </c>
    </row>
    <row r="4682" spans="1:6" x14ac:dyDescent="0.25">
      <c r="A4682" s="105">
        <f t="shared" si="73"/>
        <v>8703247</v>
      </c>
      <c r="B4682" s="105" t="s">
        <v>7762</v>
      </c>
      <c r="C4682" s="105" t="s">
        <v>7763</v>
      </c>
      <c r="D4682" s="105">
        <v>5457</v>
      </c>
      <c r="E4682" s="105">
        <v>3274.2</v>
      </c>
      <c r="F4682" s="105">
        <v>0</v>
      </c>
    </row>
    <row r="4683" spans="1:6" x14ac:dyDescent="0.25">
      <c r="A4683" s="105" t="str">
        <f t="shared" si="73"/>
        <v/>
      </c>
      <c r="B4683" s="105" t="s">
        <v>7764</v>
      </c>
      <c r="C4683" s="105" t="s">
        <v>8</v>
      </c>
      <c r="D4683" s="105">
        <v>0</v>
      </c>
      <c r="E4683" s="105">
        <v>0</v>
      </c>
      <c r="F4683" s="105">
        <v>0</v>
      </c>
    </row>
    <row r="4684" spans="1:6" x14ac:dyDescent="0.25">
      <c r="A4684" s="105">
        <f t="shared" si="73"/>
        <v>8703249</v>
      </c>
      <c r="B4684" s="105" t="s">
        <v>7765</v>
      </c>
      <c r="C4684" s="105" t="s">
        <v>7766</v>
      </c>
      <c r="D4684" s="105">
        <v>5457</v>
      </c>
      <c r="E4684" s="105">
        <v>3274.2</v>
      </c>
      <c r="F4684" s="105">
        <v>0</v>
      </c>
    </row>
    <row r="4685" spans="1:6" x14ac:dyDescent="0.25">
      <c r="A4685" s="105">
        <f t="shared" si="73"/>
        <v>8703250</v>
      </c>
      <c r="B4685" s="105" t="s">
        <v>7767</v>
      </c>
      <c r="C4685" s="105" t="s">
        <v>7768</v>
      </c>
      <c r="D4685" s="105">
        <v>6572</v>
      </c>
      <c r="E4685" s="105">
        <v>3943.2</v>
      </c>
      <c r="F4685" s="105">
        <v>5</v>
      </c>
    </row>
    <row r="4686" spans="1:6" x14ac:dyDescent="0.25">
      <c r="A4686" s="105" t="str">
        <f t="shared" si="73"/>
        <v/>
      </c>
      <c r="B4686" s="105" t="s">
        <v>7769</v>
      </c>
      <c r="C4686" s="105" t="s">
        <v>8</v>
      </c>
      <c r="D4686" s="105">
        <v>0</v>
      </c>
      <c r="E4686" s="105">
        <v>0</v>
      </c>
      <c r="F4686" s="105">
        <v>0</v>
      </c>
    </row>
    <row r="4687" spans="1:6" x14ac:dyDescent="0.25">
      <c r="A4687" s="105">
        <f t="shared" si="73"/>
        <v>8703251</v>
      </c>
      <c r="B4687" s="105" t="s">
        <v>7770</v>
      </c>
      <c r="C4687" s="105" t="s">
        <v>7771</v>
      </c>
      <c r="D4687" s="105">
        <v>0</v>
      </c>
      <c r="E4687" s="105">
        <v>0</v>
      </c>
      <c r="F4687" s="105">
        <v>0</v>
      </c>
    </row>
    <row r="4688" spans="1:6" x14ac:dyDescent="0.25">
      <c r="A4688" s="105">
        <f t="shared" si="73"/>
        <v>8703252</v>
      </c>
      <c r="B4688" s="105" t="s">
        <v>7772</v>
      </c>
      <c r="C4688" s="105" t="s">
        <v>7773</v>
      </c>
      <c r="D4688" s="105">
        <v>16239.08</v>
      </c>
      <c r="E4688" s="105">
        <v>9743.4500000000007</v>
      </c>
      <c r="F4688" s="105">
        <v>1</v>
      </c>
    </row>
    <row r="4689" spans="1:6" x14ac:dyDescent="0.25">
      <c r="A4689" s="105" t="str">
        <f t="shared" si="73"/>
        <v/>
      </c>
      <c r="B4689" s="105" t="s">
        <v>7774</v>
      </c>
      <c r="C4689" s="105" t="s">
        <v>8</v>
      </c>
      <c r="D4689" s="105">
        <v>0</v>
      </c>
      <c r="E4689" s="105">
        <v>0</v>
      </c>
      <c r="F4689" s="105">
        <v>0</v>
      </c>
    </row>
    <row r="4690" spans="1:6" x14ac:dyDescent="0.25">
      <c r="A4690" s="105">
        <f t="shared" si="73"/>
        <v>8703291</v>
      </c>
      <c r="B4690" s="105" t="s">
        <v>7775</v>
      </c>
      <c r="C4690" s="105" t="s">
        <v>7776</v>
      </c>
      <c r="D4690" s="105">
        <v>0</v>
      </c>
      <c r="E4690" s="105">
        <v>0</v>
      </c>
      <c r="F4690" s="105">
        <v>0</v>
      </c>
    </row>
    <row r="4691" spans="1:6" x14ac:dyDescent="0.25">
      <c r="A4691" s="105">
        <f t="shared" si="73"/>
        <v>8703300</v>
      </c>
      <c r="B4691" s="105" t="s">
        <v>7777</v>
      </c>
      <c r="C4691" s="105" t="s">
        <v>7778</v>
      </c>
      <c r="D4691" s="105">
        <v>4346</v>
      </c>
      <c r="E4691" s="105">
        <v>2607.6</v>
      </c>
      <c r="F4691" s="105">
        <v>110</v>
      </c>
    </row>
    <row r="4692" spans="1:6" x14ac:dyDescent="0.25">
      <c r="A4692" s="105">
        <f t="shared" si="73"/>
        <v>8703338</v>
      </c>
      <c r="B4692" s="105" t="s">
        <v>9474</v>
      </c>
      <c r="C4692" s="105" t="s">
        <v>9475</v>
      </c>
      <c r="D4692" s="105">
        <v>4185</v>
      </c>
      <c r="E4692" s="105">
        <v>2511</v>
      </c>
      <c r="F4692" s="105">
        <v>2</v>
      </c>
    </row>
    <row r="4693" spans="1:6" x14ac:dyDescent="0.25">
      <c r="A4693" s="105" t="str">
        <f t="shared" si="73"/>
        <v/>
      </c>
      <c r="B4693" s="105" t="s">
        <v>7779</v>
      </c>
      <c r="C4693" s="105" t="s">
        <v>8</v>
      </c>
      <c r="D4693" s="105">
        <v>0</v>
      </c>
      <c r="E4693" s="105">
        <v>0</v>
      </c>
      <c r="F4693" s="105">
        <v>0</v>
      </c>
    </row>
    <row r="4694" spans="1:6" x14ac:dyDescent="0.25">
      <c r="A4694" s="105">
        <f t="shared" si="73"/>
        <v>8703349</v>
      </c>
      <c r="B4694" s="105" t="s">
        <v>7780</v>
      </c>
      <c r="C4694" s="105" t="s">
        <v>7781</v>
      </c>
      <c r="D4694" s="105">
        <v>0</v>
      </c>
      <c r="E4694" s="105">
        <v>0</v>
      </c>
      <c r="F4694" s="105">
        <v>0</v>
      </c>
    </row>
    <row r="4695" spans="1:6" x14ac:dyDescent="0.25">
      <c r="A4695" s="105">
        <f t="shared" si="73"/>
        <v>8703350</v>
      </c>
      <c r="B4695" s="105" t="s">
        <v>7782</v>
      </c>
      <c r="C4695" s="105" t="s">
        <v>7783</v>
      </c>
      <c r="D4695" s="105">
        <v>3339</v>
      </c>
      <c r="E4695" s="105">
        <v>2003.4</v>
      </c>
      <c r="F4695" s="105">
        <v>5</v>
      </c>
    </row>
    <row r="4696" spans="1:6" x14ac:dyDescent="0.25">
      <c r="A4696" s="105">
        <f t="shared" si="73"/>
        <v>8703351</v>
      </c>
      <c r="B4696" s="105" t="s">
        <v>7784</v>
      </c>
      <c r="C4696" s="105" t="s">
        <v>7785</v>
      </c>
      <c r="D4696" s="105">
        <v>3339</v>
      </c>
      <c r="E4696" s="105">
        <v>2003.4</v>
      </c>
      <c r="F4696" s="105">
        <v>8</v>
      </c>
    </row>
    <row r="4697" spans="1:6" x14ac:dyDescent="0.25">
      <c r="A4697" s="105">
        <f t="shared" si="73"/>
        <v>8703352</v>
      </c>
      <c r="B4697" s="105" t="s">
        <v>7786</v>
      </c>
      <c r="C4697" s="105" t="s">
        <v>7787</v>
      </c>
      <c r="D4697" s="105">
        <v>3339</v>
      </c>
      <c r="E4697" s="105">
        <v>2003.4</v>
      </c>
      <c r="F4697" s="105">
        <v>7</v>
      </c>
    </row>
    <row r="4698" spans="1:6" x14ac:dyDescent="0.25">
      <c r="A4698" s="105">
        <f t="shared" si="73"/>
        <v>8703376</v>
      </c>
      <c r="B4698" s="105" t="s">
        <v>7788</v>
      </c>
      <c r="C4698" s="105" t="s">
        <v>7789</v>
      </c>
      <c r="D4698" s="105">
        <v>3922</v>
      </c>
      <c r="E4698" s="105">
        <v>2353.1999999999998</v>
      </c>
      <c r="F4698" s="105">
        <v>7</v>
      </c>
    </row>
    <row r="4699" spans="1:6" x14ac:dyDescent="0.25">
      <c r="A4699" s="105">
        <f t="shared" si="73"/>
        <v>8703391</v>
      </c>
      <c r="B4699" s="105" t="s">
        <v>7790</v>
      </c>
      <c r="C4699" s="105" t="s">
        <v>7791</v>
      </c>
      <c r="D4699" s="105">
        <v>8736</v>
      </c>
      <c r="E4699" s="105">
        <v>5241.6000000000004</v>
      </c>
      <c r="F4699" s="105">
        <v>0</v>
      </c>
    </row>
    <row r="4700" spans="1:6" x14ac:dyDescent="0.25">
      <c r="A4700" s="105">
        <f t="shared" si="73"/>
        <v>8703400</v>
      </c>
      <c r="B4700" s="105" t="s">
        <v>7792</v>
      </c>
      <c r="C4700" s="105" t="s">
        <v>7793</v>
      </c>
      <c r="D4700" s="105">
        <v>10704</v>
      </c>
      <c r="E4700" s="105">
        <v>6422.4</v>
      </c>
      <c r="F4700" s="105">
        <v>5</v>
      </c>
    </row>
    <row r="4701" spans="1:6" x14ac:dyDescent="0.25">
      <c r="A4701" s="105">
        <f t="shared" si="73"/>
        <v>8703405</v>
      </c>
      <c r="B4701" s="105" t="s">
        <v>7794</v>
      </c>
      <c r="C4701" s="105" t="s">
        <v>7795</v>
      </c>
      <c r="D4701" s="105">
        <v>10704</v>
      </c>
      <c r="E4701" s="105">
        <v>6422.4</v>
      </c>
      <c r="F4701" s="105">
        <v>5</v>
      </c>
    </row>
    <row r="4702" spans="1:6" x14ac:dyDescent="0.25">
      <c r="A4702" s="105">
        <f t="shared" si="73"/>
        <v>8703500</v>
      </c>
      <c r="B4702" s="105" t="s">
        <v>7796</v>
      </c>
      <c r="C4702" s="105" t="s">
        <v>7797</v>
      </c>
      <c r="D4702" s="105">
        <v>1696</v>
      </c>
      <c r="E4702" s="105">
        <v>1017.6</v>
      </c>
      <c r="F4702" s="105">
        <v>40</v>
      </c>
    </row>
    <row r="4703" spans="1:6" x14ac:dyDescent="0.25">
      <c r="A4703" s="105">
        <f t="shared" si="73"/>
        <v>8703501</v>
      </c>
      <c r="B4703" s="105" t="s">
        <v>7798</v>
      </c>
      <c r="C4703" s="105" t="s">
        <v>7799</v>
      </c>
      <c r="D4703" s="105">
        <v>2496.3000000000002</v>
      </c>
      <c r="E4703" s="105">
        <v>1497.78</v>
      </c>
      <c r="F4703" s="105">
        <v>1</v>
      </c>
    </row>
    <row r="4704" spans="1:6" x14ac:dyDescent="0.25">
      <c r="A4704" s="105">
        <f t="shared" si="73"/>
        <v>8703502</v>
      </c>
      <c r="B4704" s="105" t="s">
        <v>7800</v>
      </c>
      <c r="C4704" s="105" t="s">
        <v>7801</v>
      </c>
      <c r="D4704" s="105">
        <v>1812.6</v>
      </c>
      <c r="E4704" s="105">
        <v>1087.56</v>
      </c>
      <c r="F4704" s="105">
        <v>0</v>
      </c>
    </row>
    <row r="4705" spans="1:6" x14ac:dyDescent="0.25">
      <c r="A4705" s="105">
        <f t="shared" si="73"/>
        <v>8703503</v>
      </c>
      <c r="B4705" s="105" t="s">
        <v>7802</v>
      </c>
      <c r="C4705" s="105" t="s">
        <v>7803</v>
      </c>
      <c r="D4705" s="105">
        <v>1650</v>
      </c>
      <c r="E4705" s="105">
        <v>990</v>
      </c>
      <c r="F4705" s="105">
        <v>9</v>
      </c>
    </row>
    <row r="4706" spans="1:6" x14ac:dyDescent="0.25">
      <c r="A4706" s="105">
        <f t="shared" si="73"/>
        <v>8703504</v>
      </c>
      <c r="B4706" s="105" t="s">
        <v>7804</v>
      </c>
      <c r="C4706" s="105" t="s">
        <v>7805</v>
      </c>
      <c r="D4706" s="105">
        <v>2950</v>
      </c>
      <c r="E4706" s="105">
        <v>1770</v>
      </c>
      <c r="F4706" s="105">
        <v>77</v>
      </c>
    </row>
    <row r="4707" spans="1:6" x14ac:dyDescent="0.25">
      <c r="A4707" s="105">
        <f t="shared" si="73"/>
        <v>8703505</v>
      </c>
      <c r="B4707" s="105" t="s">
        <v>7806</v>
      </c>
      <c r="C4707" s="105" t="s">
        <v>7807</v>
      </c>
      <c r="D4707" s="105">
        <v>2580</v>
      </c>
      <c r="E4707" s="105">
        <v>1548</v>
      </c>
      <c r="F4707" s="105">
        <v>14</v>
      </c>
    </row>
    <row r="4708" spans="1:6" x14ac:dyDescent="0.25">
      <c r="A4708" s="105">
        <f t="shared" si="73"/>
        <v>8703506</v>
      </c>
      <c r="B4708" s="105" t="s">
        <v>7808</v>
      </c>
      <c r="C4708" s="105" t="s">
        <v>7809</v>
      </c>
      <c r="D4708" s="105">
        <v>2580</v>
      </c>
      <c r="E4708" s="105">
        <v>1548</v>
      </c>
      <c r="F4708" s="105">
        <v>18</v>
      </c>
    </row>
    <row r="4709" spans="1:6" x14ac:dyDescent="0.25">
      <c r="A4709" s="105">
        <f t="shared" si="73"/>
        <v>8703507</v>
      </c>
      <c r="B4709" s="105" t="s">
        <v>7810</v>
      </c>
      <c r="C4709" s="105" t="s">
        <v>7811</v>
      </c>
      <c r="D4709" s="105">
        <v>2496.3000000000002</v>
      </c>
      <c r="E4709" s="105">
        <v>1497.78</v>
      </c>
      <c r="F4709" s="105">
        <v>1</v>
      </c>
    </row>
    <row r="4710" spans="1:6" x14ac:dyDescent="0.25">
      <c r="A4710" s="105">
        <f t="shared" si="73"/>
        <v>8703508</v>
      </c>
      <c r="B4710" s="105" t="s">
        <v>7812</v>
      </c>
      <c r="C4710" s="105" t="s">
        <v>7813</v>
      </c>
      <c r="D4710" s="105">
        <v>1062.23</v>
      </c>
      <c r="E4710" s="105">
        <v>637.34</v>
      </c>
      <c r="F4710" s="105">
        <v>0</v>
      </c>
    </row>
    <row r="4711" spans="1:6" x14ac:dyDescent="0.25">
      <c r="A4711" s="105">
        <f t="shared" si="73"/>
        <v>8703509</v>
      </c>
      <c r="B4711" s="105" t="s">
        <v>7814</v>
      </c>
      <c r="C4711" s="105" t="s">
        <v>7815</v>
      </c>
      <c r="D4711" s="105">
        <v>1395</v>
      </c>
      <c r="E4711" s="105">
        <v>837</v>
      </c>
      <c r="F4711" s="105">
        <v>0</v>
      </c>
    </row>
    <row r="4712" spans="1:6" x14ac:dyDescent="0.25">
      <c r="A4712" s="105" t="str">
        <f t="shared" si="73"/>
        <v/>
      </c>
      <c r="B4712" s="105" t="s">
        <v>7816</v>
      </c>
      <c r="C4712" s="105" t="s">
        <v>8</v>
      </c>
      <c r="D4712" s="105">
        <v>0</v>
      </c>
      <c r="E4712" s="105">
        <v>0</v>
      </c>
      <c r="F4712" s="105">
        <v>0</v>
      </c>
    </row>
    <row r="4713" spans="1:6" x14ac:dyDescent="0.25">
      <c r="A4713" s="105">
        <f t="shared" si="73"/>
        <v>8703510</v>
      </c>
      <c r="B4713" s="105" t="s">
        <v>7817</v>
      </c>
      <c r="C4713" s="105" t="s">
        <v>7818</v>
      </c>
      <c r="D4713" s="105">
        <v>2734.8</v>
      </c>
      <c r="E4713" s="105">
        <v>1640.88</v>
      </c>
      <c r="F4713" s="105">
        <v>0</v>
      </c>
    </row>
    <row r="4714" spans="1:6" x14ac:dyDescent="0.25">
      <c r="A4714" s="105">
        <f t="shared" si="73"/>
        <v>8703513</v>
      </c>
      <c r="B4714" s="105" t="s">
        <v>7819</v>
      </c>
      <c r="C4714" s="105" t="s">
        <v>7820</v>
      </c>
      <c r="D4714" s="105">
        <v>1850</v>
      </c>
      <c r="E4714" s="105">
        <v>1110</v>
      </c>
      <c r="F4714" s="105">
        <v>11</v>
      </c>
    </row>
    <row r="4715" spans="1:6" x14ac:dyDescent="0.25">
      <c r="A4715" s="105">
        <f t="shared" si="73"/>
        <v>8703517</v>
      </c>
      <c r="B4715" s="105" t="s">
        <v>7821</v>
      </c>
      <c r="C4715" s="105" t="s">
        <v>7822</v>
      </c>
      <c r="D4715" s="105">
        <v>0</v>
      </c>
      <c r="E4715" s="105">
        <v>0</v>
      </c>
      <c r="F4715" s="105">
        <v>0</v>
      </c>
    </row>
    <row r="4716" spans="1:6" x14ac:dyDescent="0.25">
      <c r="A4716" s="105">
        <f t="shared" si="73"/>
        <v>8703550</v>
      </c>
      <c r="B4716" s="105" t="s">
        <v>7823</v>
      </c>
      <c r="C4716" s="105" t="s">
        <v>7824</v>
      </c>
      <c r="D4716" s="105">
        <v>1471.28</v>
      </c>
      <c r="E4716" s="105">
        <v>882.77</v>
      </c>
      <c r="F4716" s="105">
        <v>0</v>
      </c>
    </row>
    <row r="4717" spans="1:6" x14ac:dyDescent="0.25">
      <c r="A4717" s="105">
        <f t="shared" si="73"/>
        <v>8703551</v>
      </c>
      <c r="B4717" s="105" t="s">
        <v>7825</v>
      </c>
      <c r="C4717" s="105" t="s">
        <v>7826</v>
      </c>
      <c r="D4717" s="105">
        <v>2385</v>
      </c>
      <c r="E4717" s="105">
        <v>1431</v>
      </c>
      <c r="F4717" s="105">
        <v>4</v>
      </c>
    </row>
    <row r="4718" spans="1:6" x14ac:dyDescent="0.25">
      <c r="A4718" s="105" t="str">
        <f t="shared" si="73"/>
        <v/>
      </c>
      <c r="B4718" s="105" t="s">
        <v>7827</v>
      </c>
      <c r="C4718" s="105" t="s">
        <v>8</v>
      </c>
      <c r="D4718" s="105">
        <v>0</v>
      </c>
      <c r="E4718" s="105">
        <v>0</v>
      </c>
      <c r="F4718" s="105">
        <v>0</v>
      </c>
    </row>
    <row r="4719" spans="1:6" x14ac:dyDescent="0.25">
      <c r="A4719" s="105">
        <f t="shared" si="73"/>
        <v>8703552</v>
      </c>
      <c r="B4719" s="105" t="s">
        <v>7828</v>
      </c>
      <c r="C4719" s="105" t="s">
        <v>7829</v>
      </c>
      <c r="D4719" s="105">
        <v>0</v>
      </c>
      <c r="E4719" s="105">
        <v>0</v>
      </c>
      <c r="F4719" s="105">
        <v>0</v>
      </c>
    </row>
    <row r="4720" spans="1:6" x14ac:dyDescent="0.25">
      <c r="A4720" s="105">
        <f t="shared" si="73"/>
        <v>8703553</v>
      </c>
      <c r="B4720" s="105" t="s">
        <v>7830</v>
      </c>
      <c r="C4720" s="105" t="s">
        <v>7831</v>
      </c>
      <c r="D4720" s="105">
        <v>1816.95</v>
      </c>
      <c r="E4720" s="105">
        <v>1090.17</v>
      </c>
      <c r="F4720" s="105">
        <v>0</v>
      </c>
    </row>
    <row r="4721" spans="1:6" x14ac:dyDescent="0.25">
      <c r="A4721" s="105">
        <f t="shared" si="73"/>
        <v>8703555</v>
      </c>
      <c r="B4721" s="105" t="s">
        <v>7832</v>
      </c>
      <c r="C4721" s="105" t="s">
        <v>7833</v>
      </c>
      <c r="D4721" s="105">
        <v>1750</v>
      </c>
      <c r="E4721" s="105">
        <v>1050</v>
      </c>
      <c r="F4721" s="105">
        <v>12</v>
      </c>
    </row>
    <row r="4722" spans="1:6" x14ac:dyDescent="0.25">
      <c r="A4722" s="105">
        <f t="shared" si="73"/>
        <v>8703557</v>
      </c>
      <c r="B4722" s="105" t="s">
        <v>7834</v>
      </c>
      <c r="C4722" s="105" t="s">
        <v>7835</v>
      </c>
      <c r="D4722" s="105">
        <v>1500.14</v>
      </c>
      <c r="E4722" s="105">
        <v>900.08</v>
      </c>
      <c r="F4722" s="105">
        <v>1</v>
      </c>
    </row>
    <row r="4723" spans="1:6" x14ac:dyDescent="0.25">
      <c r="A4723" s="105">
        <f t="shared" si="73"/>
        <v>8703570</v>
      </c>
      <c r="B4723" s="105" t="s">
        <v>7836</v>
      </c>
      <c r="C4723" s="105" t="s">
        <v>7837</v>
      </c>
      <c r="D4723" s="105">
        <v>954</v>
      </c>
      <c r="E4723" s="105">
        <v>572.4</v>
      </c>
      <c r="F4723" s="105">
        <v>147</v>
      </c>
    </row>
    <row r="4724" spans="1:6" x14ac:dyDescent="0.25">
      <c r="A4724" s="105">
        <f t="shared" si="73"/>
        <v>8703573</v>
      </c>
      <c r="B4724" s="105" t="s">
        <v>7838</v>
      </c>
      <c r="C4724" s="105" t="s">
        <v>7839</v>
      </c>
      <c r="D4724" s="105">
        <v>4876</v>
      </c>
      <c r="E4724" s="105">
        <v>2925.6</v>
      </c>
      <c r="F4724" s="105">
        <v>107</v>
      </c>
    </row>
    <row r="4725" spans="1:6" x14ac:dyDescent="0.25">
      <c r="A4725" s="105">
        <f t="shared" si="73"/>
        <v>8703599</v>
      </c>
      <c r="B4725" s="105" t="s">
        <v>7840</v>
      </c>
      <c r="C4725" s="105" t="s">
        <v>7841</v>
      </c>
      <c r="D4725" s="105">
        <v>2496.3000000000002</v>
      </c>
      <c r="E4725" s="105">
        <v>1497.78</v>
      </c>
      <c r="F4725" s="105">
        <v>1</v>
      </c>
    </row>
    <row r="4726" spans="1:6" x14ac:dyDescent="0.25">
      <c r="A4726" s="105">
        <f t="shared" si="73"/>
        <v>8703600</v>
      </c>
      <c r="B4726" s="105" t="s">
        <v>7842</v>
      </c>
      <c r="C4726" s="105" t="s">
        <v>7843</v>
      </c>
      <c r="D4726" s="105">
        <v>1680</v>
      </c>
      <c r="E4726" s="105">
        <v>1008</v>
      </c>
      <c r="F4726" s="105">
        <v>0</v>
      </c>
    </row>
    <row r="4727" spans="1:6" x14ac:dyDescent="0.25">
      <c r="A4727" s="105">
        <f t="shared" si="73"/>
        <v>8703601</v>
      </c>
      <c r="B4727" s="105" t="s">
        <v>7844</v>
      </c>
      <c r="C4727" s="105" t="s">
        <v>7845</v>
      </c>
      <c r="D4727" s="105">
        <v>1750</v>
      </c>
      <c r="E4727" s="105">
        <v>1050</v>
      </c>
      <c r="F4727" s="105">
        <v>0</v>
      </c>
    </row>
    <row r="4728" spans="1:6" x14ac:dyDescent="0.25">
      <c r="A4728" s="105">
        <f t="shared" si="73"/>
        <v>8703604</v>
      </c>
      <c r="B4728" s="105" t="s">
        <v>7846</v>
      </c>
      <c r="C4728" s="105" t="s">
        <v>7847</v>
      </c>
      <c r="D4728" s="105">
        <v>4134</v>
      </c>
      <c r="E4728" s="105">
        <v>2480.4</v>
      </c>
      <c r="F4728" s="105">
        <v>10</v>
      </c>
    </row>
    <row r="4729" spans="1:6" x14ac:dyDescent="0.25">
      <c r="A4729" s="105">
        <f t="shared" si="73"/>
        <v>8703607</v>
      </c>
      <c r="B4729" s="105" t="s">
        <v>7848</v>
      </c>
      <c r="C4729" s="105" t="s">
        <v>7849</v>
      </c>
      <c r="D4729" s="105">
        <v>1950</v>
      </c>
      <c r="E4729" s="105">
        <v>1170</v>
      </c>
      <c r="F4729" s="105">
        <v>2</v>
      </c>
    </row>
    <row r="4730" spans="1:6" x14ac:dyDescent="0.25">
      <c r="A4730" s="105">
        <f t="shared" si="73"/>
        <v>8703608</v>
      </c>
      <c r="B4730" s="105" t="s">
        <v>7850</v>
      </c>
      <c r="C4730" s="105" t="s">
        <v>7851</v>
      </c>
      <c r="D4730" s="105">
        <v>3600</v>
      </c>
      <c r="E4730" s="105">
        <v>2160</v>
      </c>
      <c r="F4730" s="105">
        <v>3</v>
      </c>
    </row>
    <row r="4731" spans="1:6" x14ac:dyDescent="0.25">
      <c r="A4731" s="105">
        <f t="shared" si="73"/>
        <v>8703611</v>
      </c>
      <c r="B4731" s="105" t="s">
        <v>7852</v>
      </c>
      <c r="C4731" s="105" t="s">
        <v>7853</v>
      </c>
      <c r="D4731" s="105">
        <v>1621.8</v>
      </c>
      <c r="E4731" s="105">
        <v>973.08</v>
      </c>
      <c r="F4731" s="105">
        <v>0</v>
      </c>
    </row>
    <row r="4732" spans="1:6" x14ac:dyDescent="0.25">
      <c r="A4732" s="105">
        <f t="shared" si="73"/>
        <v>8703612</v>
      </c>
      <c r="B4732" s="105" t="s">
        <v>7854</v>
      </c>
      <c r="C4732" s="105" t="s">
        <v>7855</v>
      </c>
      <c r="D4732" s="105">
        <v>2550</v>
      </c>
      <c r="E4732" s="105">
        <v>1530</v>
      </c>
      <c r="F4732" s="105">
        <v>3</v>
      </c>
    </row>
    <row r="4733" spans="1:6" x14ac:dyDescent="0.25">
      <c r="A4733" s="105">
        <f t="shared" si="73"/>
        <v>8703613</v>
      </c>
      <c r="B4733" s="105" t="s">
        <v>7856</v>
      </c>
      <c r="C4733" s="105" t="s">
        <v>7857</v>
      </c>
      <c r="D4733" s="105">
        <v>2448.6</v>
      </c>
      <c r="E4733" s="105">
        <v>1469.16</v>
      </c>
      <c r="F4733" s="105">
        <v>12</v>
      </c>
    </row>
    <row r="4734" spans="1:6" x14ac:dyDescent="0.25">
      <c r="A4734" s="105">
        <f t="shared" si="73"/>
        <v>8703615</v>
      </c>
      <c r="B4734" s="105" t="s">
        <v>7858</v>
      </c>
      <c r="C4734" s="105" t="s">
        <v>7859</v>
      </c>
      <c r="D4734" s="105">
        <v>1590</v>
      </c>
      <c r="E4734" s="105">
        <v>954</v>
      </c>
      <c r="F4734" s="105">
        <v>6</v>
      </c>
    </row>
    <row r="4735" spans="1:6" x14ac:dyDescent="0.25">
      <c r="A4735" s="105">
        <f t="shared" si="73"/>
        <v>8703616</v>
      </c>
      <c r="B4735" s="105" t="s">
        <v>7860</v>
      </c>
      <c r="C4735" s="105" t="s">
        <v>7861</v>
      </c>
      <c r="D4735" s="105">
        <v>3600</v>
      </c>
      <c r="E4735" s="105">
        <v>2160</v>
      </c>
      <c r="F4735" s="105">
        <v>0</v>
      </c>
    </row>
    <row r="4736" spans="1:6" x14ac:dyDescent="0.25">
      <c r="A4736" s="105">
        <f t="shared" si="73"/>
        <v>8703617</v>
      </c>
      <c r="B4736" s="105" t="s">
        <v>7862</v>
      </c>
      <c r="C4736" s="105" t="s">
        <v>7863</v>
      </c>
      <c r="D4736" s="105">
        <v>4150</v>
      </c>
      <c r="E4736" s="105">
        <v>2490</v>
      </c>
      <c r="F4736" s="105">
        <v>1</v>
      </c>
    </row>
    <row r="4737" spans="1:6" x14ac:dyDescent="0.25">
      <c r="A4737" s="105">
        <f t="shared" si="73"/>
        <v>8703619</v>
      </c>
      <c r="B4737" s="105" t="s">
        <v>7864</v>
      </c>
      <c r="C4737" s="105" t="s">
        <v>7865</v>
      </c>
      <c r="D4737" s="105">
        <v>1590</v>
      </c>
      <c r="E4737" s="105">
        <v>954</v>
      </c>
      <c r="F4737" s="105">
        <v>20</v>
      </c>
    </row>
    <row r="4738" spans="1:6" x14ac:dyDescent="0.25">
      <c r="A4738" s="105">
        <f t="shared" si="73"/>
        <v>8703620</v>
      </c>
      <c r="B4738" s="105" t="s">
        <v>7866</v>
      </c>
      <c r="C4738" s="105" t="s">
        <v>7867</v>
      </c>
      <c r="D4738" s="105">
        <v>3600</v>
      </c>
      <c r="E4738" s="105">
        <v>2160</v>
      </c>
      <c r="F4738" s="105">
        <v>0</v>
      </c>
    </row>
    <row r="4739" spans="1:6" x14ac:dyDescent="0.25">
      <c r="A4739" s="105">
        <f t="shared" ref="A4739:A4802" si="74">IF(B4739&lt;&gt;"",IFERROR(B4739*1,""),"")</f>
        <v>8703621</v>
      </c>
      <c r="B4739" s="105" t="s">
        <v>7868</v>
      </c>
      <c r="C4739" s="105" t="s">
        <v>7869</v>
      </c>
      <c r="D4739" s="105">
        <v>4150</v>
      </c>
      <c r="E4739" s="105">
        <v>2490</v>
      </c>
      <c r="F4739" s="105">
        <v>5</v>
      </c>
    </row>
    <row r="4740" spans="1:6" x14ac:dyDescent="0.25">
      <c r="A4740" s="105">
        <f t="shared" si="74"/>
        <v>8703630</v>
      </c>
      <c r="B4740" s="105" t="s">
        <v>7870</v>
      </c>
      <c r="C4740" s="105" t="s">
        <v>7871</v>
      </c>
      <c r="D4740" s="105">
        <v>1049.4000000000001</v>
      </c>
      <c r="E4740" s="105">
        <v>629.64</v>
      </c>
      <c r="F4740" s="105">
        <v>0</v>
      </c>
    </row>
    <row r="4741" spans="1:6" x14ac:dyDescent="0.25">
      <c r="A4741" s="105">
        <f t="shared" si="74"/>
        <v>8703641</v>
      </c>
      <c r="B4741" s="105" t="s">
        <v>7872</v>
      </c>
      <c r="C4741" s="105" t="s">
        <v>7873</v>
      </c>
      <c r="D4741" s="105">
        <v>3180</v>
      </c>
      <c r="E4741" s="105">
        <v>1908</v>
      </c>
      <c r="F4741" s="105">
        <v>13</v>
      </c>
    </row>
    <row r="4742" spans="1:6" x14ac:dyDescent="0.25">
      <c r="A4742" s="105">
        <f t="shared" si="74"/>
        <v>8703656</v>
      </c>
      <c r="B4742" s="105" t="s">
        <v>7874</v>
      </c>
      <c r="C4742" s="105" t="s">
        <v>7875</v>
      </c>
      <c r="D4742" s="105">
        <v>2544</v>
      </c>
      <c r="E4742" s="105">
        <v>1526.4</v>
      </c>
      <c r="F4742" s="105">
        <v>28</v>
      </c>
    </row>
    <row r="4743" spans="1:6" x14ac:dyDescent="0.25">
      <c r="A4743" s="105">
        <f t="shared" si="74"/>
        <v>8703658</v>
      </c>
      <c r="B4743" s="105" t="s">
        <v>7876</v>
      </c>
      <c r="C4743" s="105" t="s">
        <v>7877</v>
      </c>
      <c r="D4743" s="105">
        <v>4664</v>
      </c>
      <c r="E4743" s="105">
        <v>2798.4</v>
      </c>
      <c r="F4743" s="105">
        <v>62</v>
      </c>
    </row>
    <row r="4744" spans="1:6" x14ac:dyDescent="0.25">
      <c r="A4744" s="105">
        <f t="shared" si="74"/>
        <v>8703660</v>
      </c>
      <c r="B4744" s="105" t="s">
        <v>7878</v>
      </c>
      <c r="C4744" s="105" t="s">
        <v>7879</v>
      </c>
      <c r="D4744" s="105">
        <v>1590</v>
      </c>
      <c r="E4744" s="105">
        <v>954</v>
      </c>
      <c r="F4744" s="105">
        <v>3</v>
      </c>
    </row>
    <row r="4745" spans="1:6" x14ac:dyDescent="0.25">
      <c r="A4745" s="105">
        <f t="shared" si="74"/>
        <v>8703662</v>
      </c>
      <c r="B4745" s="105" t="s">
        <v>7880</v>
      </c>
      <c r="C4745" s="105" t="s">
        <v>7881</v>
      </c>
      <c r="D4745" s="105">
        <v>2438</v>
      </c>
      <c r="E4745" s="105">
        <v>1462.8</v>
      </c>
      <c r="F4745" s="105">
        <v>47</v>
      </c>
    </row>
    <row r="4746" spans="1:6" x14ac:dyDescent="0.25">
      <c r="A4746" s="105">
        <f t="shared" si="74"/>
        <v>8703665</v>
      </c>
      <c r="B4746" s="105" t="s">
        <v>7882</v>
      </c>
      <c r="C4746" s="105" t="s">
        <v>7883</v>
      </c>
      <c r="D4746" s="105">
        <v>5194</v>
      </c>
      <c r="E4746" s="105">
        <v>3116.4</v>
      </c>
      <c r="F4746" s="105">
        <v>18</v>
      </c>
    </row>
    <row r="4747" spans="1:6" x14ac:dyDescent="0.25">
      <c r="A4747" s="105">
        <f t="shared" si="74"/>
        <v>8703667</v>
      </c>
      <c r="B4747" s="105" t="s">
        <v>7884</v>
      </c>
      <c r="C4747" s="105" t="s">
        <v>7885</v>
      </c>
      <c r="D4747" s="105">
        <v>4982</v>
      </c>
      <c r="E4747" s="105">
        <v>2989.2</v>
      </c>
      <c r="F4747" s="105">
        <v>26</v>
      </c>
    </row>
    <row r="4748" spans="1:6" x14ac:dyDescent="0.25">
      <c r="A4748" s="105">
        <f t="shared" si="74"/>
        <v>8703669</v>
      </c>
      <c r="B4748" s="105" t="s">
        <v>7886</v>
      </c>
      <c r="C4748" s="105" t="s">
        <v>7887</v>
      </c>
      <c r="D4748" s="105">
        <v>4452</v>
      </c>
      <c r="E4748" s="105">
        <v>2671.2</v>
      </c>
      <c r="F4748" s="105">
        <v>32</v>
      </c>
    </row>
    <row r="4749" spans="1:6" x14ac:dyDescent="0.25">
      <c r="A4749" s="105">
        <f t="shared" si="74"/>
        <v>8703670</v>
      </c>
      <c r="B4749" s="105" t="s">
        <v>7888</v>
      </c>
      <c r="C4749" s="105" t="s">
        <v>9476</v>
      </c>
      <c r="D4749" s="105">
        <v>4240</v>
      </c>
      <c r="E4749" s="105">
        <v>2544</v>
      </c>
      <c r="F4749" s="105">
        <v>6</v>
      </c>
    </row>
    <row r="4750" spans="1:6" x14ac:dyDescent="0.25">
      <c r="A4750" s="105">
        <f t="shared" si="74"/>
        <v>8703671</v>
      </c>
      <c r="B4750" s="105" t="s">
        <v>7889</v>
      </c>
      <c r="C4750" s="105" t="s">
        <v>7890</v>
      </c>
      <c r="D4750" s="105">
        <v>5830</v>
      </c>
      <c r="E4750" s="105">
        <v>3498</v>
      </c>
      <c r="F4750" s="105">
        <v>47</v>
      </c>
    </row>
    <row r="4751" spans="1:6" x14ac:dyDescent="0.25">
      <c r="A4751" s="105" t="str">
        <f t="shared" si="74"/>
        <v/>
      </c>
      <c r="B4751" s="105" t="s">
        <v>7891</v>
      </c>
      <c r="C4751" s="105" t="s">
        <v>8</v>
      </c>
      <c r="D4751" s="105">
        <v>0</v>
      </c>
      <c r="E4751" s="105">
        <v>0</v>
      </c>
      <c r="F4751" s="105">
        <v>0</v>
      </c>
    </row>
    <row r="4752" spans="1:6" x14ac:dyDescent="0.25">
      <c r="A4752" s="105">
        <f t="shared" si="74"/>
        <v>8703674</v>
      </c>
      <c r="B4752" s="105" t="s">
        <v>7892</v>
      </c>
      <c r="C4752" s="105" t="s">
        <v>7893</v>
      </c>
      <c r="D4752" s="105">
        <v>0</v>
      </c>
      <c r="E4752" s="105">
        <v>0</v>
      </c>
      <c r="F4752" s="105">
        <v>0</v>
      </c>
    </row>
    <row r="4753" spans="1:6" x14ac:dyDescent="0.25">
      <c r="A4753" s="105" t="str">
        <f t="shared" si="74"/>
        <v/>
      </c>
      <c r="B4753" s="105" t="s">
        <v>7894</v>
      </c>
      <c r="C4753" s="105" t="s">
        <v>8</v>
      </c>
      <c r="D4753" s="105">
        <v>0</v>
      </c>
      <c r="E4753" s="105">
        <v>0</v>
      </c>
      <c r="F4753" s="105">
        <v>0</v>
      </c>
    </row>
    <row r="4754" spans="1:6" x14ac:dyDescent="0.25">
      <c r="A4754" s="105">
        <f t="shared" si="74"/>
        <v>8703677</v>
      </c>
      <c r="B4754" s="105" t="s">
        <v>7895</v>
      </c>
      <c r="C4754" s="105" t="s">
        <v>7896</v>
      </c>
      <c r="D4754" s="105">
        <v>0</v>
      </c>
      <c r="E4754" s="105">
        <v>0</v>
      </c>
      <c r="F4754" s="105">
        <v>0</v>
      </c>
    </row>
    <row r="4755" spans="1:6" x14ac:dyDescent="0.25">
      <c r="A4755" s="105">
        <f t="shared" si="74"/>
        <v>8703679</v>
      </c>
      <c r="B4755" s="105" t="s">
        <v>7897</v>
      </c>
      <c r="C4755" s="105" t="s">
        <v>7898</v>
      </c>
      <c r="D4755" s="105">
        <v>2120</v>
      </c>
      <c r="E4755" s="105">
        <v>1272</v>
      </c>
      <c r="F4755" s="105">
        <v>5</v>
      </c>
    </row>
    <row r="4756" spans="1:6" x14ac:dyDescent="0.25">
      <c r="A4756" s="105">
        <f t="shared" si="74"/>
        <v>8703681</v>
      </c>
      <c r="B4756" s="105" t="s">
        <v>7899</v>
      </c>
      <c r="C4756" s="105" t="s">
        <v>7713</v>
      </c>
      <c r="D4756" s="105">
        <v>0</v>
      </c>
      <c r="E4756" s="105">
        <v>0</v>
      </c>
      <c r="F4756" s="105">
        <v>4</v>
      </c>
    </row>
    <row r="4757" spans="1:6" x14ac:dyDescent="0.25">
      <c r="A4757" s="105">
        <f t="shared" si="74"/>
        <v>8703699</v>
      </c>
      <c r="B4757" s="105" t="s">
        <v>7900</v>
      </c>
      <c r="C4757" s="105" t="s">
        <v>7901</v>
      </c>
      <c r="D4757" s="105">
        <v>3975</v>
      </c>
      <c r="E4757" s="105">
        <v>2385</v>
      </c>
      <c r="F4757" s="105">
        <v>4</v>
      </c>
    </row>
    <row r="4758" spans="1:6" x14ac:dyDescent="0.25">
      <c r="A4758" s="105">
        <f t="shared" si="74"/>
        <v>8703700</v>
      </c>
      <c r="B4758" s="105" t="s">
        <v>7902</v>
      </c>
      <c r="C4758" s="105" t="s">
        <v>7903</v>
      </c>
      <c r="D4758" s="105">
        <v>937.61</v>
      </c>
      <c r="E4758" s="105">
        <v>562.57000000000005</v>
      </c>
      <c r="F4758" s="105">
        <v>1</v>
      </c>
    </row>
    <row r="4759" spans="1:6" x14ac:dyDescent="0.25">
      <c r="A4759" s="105">
        <f t="shared" si="74"/>
        <v>8703702</v>
      </c>
      <c r="B4759" s="105" t="s">
        <v>7904</v>
      </c>
      <c r="C4759" s="105" t="s">
        <v>7905</v>
      </c>
      <c r="D4759" s="105">
        <v>1590</v>
      </c>
      <c r="E4759" s="105">
        <v>954</v>
      </c>
      <c r="F4759" s="105">
        <v>6</v>
      </c>
    </row>
    <row r="4760" spans="1:6" x14ac:dyDescent="0.25">
      <c r="A4760" s="105">
        <f t="shared" si="74"/>
        <v>8703703</v>
      </c>
      <c r="B4760" s="105" t="s">
        <v>7906</v>
      </c>
      <c r="C4760" s="105" t="s">
        <v>7907</v>
      </c>
      <c r="D4760" s="105">
        <v>2750</v>
      </c>
      <c r="E4760" s="105">
        <v>1650</v>
      </c>
      <c r="F4760" s="105">
        <v>6</v>
      </c>
    </row>
    <row r="4761" spans="1:6" x14ac:dyDescent="0.25">
      <c r="A4761" s="105" t="str">
        <f t="shared" si="74"/>
        <v/>
      </c>
      <c r="B4761" s="105" t="s">
        <v>7908</v>
      </c>
      <c r="C4761" s="105" t="s">
        <v>8</v>
      </c>
      <c r="D4761" s="105">
        <v>0</v>
      </c>
      <c r="E4761" s="105">
        <v>0</v>
      </c>
      <c r="F4761" s="105">
        <v>0</v>
      </c>
    </row>
    <row r="4762" spans="1:6" x14ac:dyDescent="0.25">
      <c r="A4762" s="105">
        <f t="shared" si="74"/>
        <v>8703704</v>
      </c>
      <c r="B4762" s="105" t="s">
        <v>7909</v>
      </c>
      <c r="C4762" s="105" t="s">
        <v>7910</v>
      </c>
      <c r="D4762" s="105">
        <v>0</v>
      </c>
      <c r="E4762" s="105">
        <v>0</v>
      </c>
      <c r="F4762" s="105">
        <v>0</v>
      </c>
    </row>
    <row r="4763" spans="1:6" x14ac:dyDescent="0.25">
      <c r="A4763" s="105">
        <f t="shared" si="74"/>
        <v>8703705</v>
      </c>
      <c r="B4763" s="105" t="s">
        <v>7911</v>
      </c>
      <c r="C4763" s="105" t="s">
        <v>7912</v>
      </c>
      <c r="D4763" s="105">
        <v>0</v>
      </c>
      <c r="E4763" s="105">
        <v>0</v>
      </c>
      <c r="F4763" s="105">
        <v>0</v>
      </c>
    </row>
    <row r="4764" spans="1:6" x14ac:dyDescent="0.25">
      <c r="A4764" s="105">
        <f t="shared" si="74"/>
        <v>8703706</v>
      </c>
      <c r="B4764" s="105" t="s">
        <v>7913</v>
      </c>
      <c r="C4764" s="105" t="s">
        <v>7914</v>
      </c>
      <c r="D4764" s="105">
        <v>0</v>
      </c>
      <c r="E4764" s="105">
        <v>0</v>
      </c>
      <c r="F4764" s="105">
        <v>0</v>
      </c>
    </row>
    <row r="4765" spans="1:6" x14ac:dyDescent="0.25">
      <c r="A4765" s="105" t="str">
        <f t="shared" si="74"/>
        <v/>
      </c>
      <c r="B4765" s="105" t="s">
        <v>7915</v>
      </c>
      <c r="C4765" s="105" t="s">
        <v>8</v>
      </c>
      <c r="D4765" s="105">
        <v>0</v>
      </c>
      <c r="E4765" s="105">
        <v>0</v>
      </c>
      <c r="F4765" s="105">
        <v>0</v>
      </c>
    </row>
    <row r="4766" spans="1:6" x14ac:dyDescent="0.25">
      <c r="A4766" s="105">
        <f t="shared" si="74"/>
        <v>8703707</v>
      </c>
      <c r="B4766" s="105" t="s">
        <v>7916</v>
      </c>
      <c r="C4766" s="105" t="s">
        <v>7917</v>
      </c>
      <c r="D4766" s="105">
        <v>0</v>
      </c>
      <c r="E4766" s="105">
        <v>0</v>
      </c>
      <c r="F4766" s="105">
        <v>0</v>
      </c>
    </row>
    <row r="4767" spans="1:6" x14ac:dyDescent="0.25">
      <c r="A4767" s="105" t="str">
        <f t="shared" si="74"/>
        <v/>
      </c>
      <c r="B4767" s="105" t="s">
        <v>7918</v>
      </c>
      <c r="C4767" s="105" t="s">
        <v>8</v>
      </c>
      <c r="D4767" s="105">
        <v>0</v>
      </c>
      <c r="E4767" s="105">
        <v>0</v>
      </c>
      <c r="F4767" s="105">
        <v>0</v>
      </c>
    </row>
    <row r="4768" spans="1:6" x14ac:dyDescent="0.25">
      <c r="A4768" s="105">
        <f t="shared" si="74"/>
        <v>8703735</v>
      </c>
      <c r="B4768" s="105" t="s">
        <v>7919</v>
      </c>
      <c r="C4768" s="105" t="s">
        <v>5434</v>
      </c>
      <c r="D4768" s="105">
        <v>0</v>
      </c>
      <c r="E4768" s="105">
        <v>0</v>
      </c>
      <c r="F4768" s="105">
        <v>0</v>
      </c>
    </row>
    <row r="4769" spans="1:6" x14ac:dyDescent="0.25">
      <c r="A4769" s="105">
        <f t="shared" si="74"/>
        <v>8703741</v>
      </c>
      <c r="B4769" s="105" t="s">
        <v>7920</v>
      </c>
      <c r="C4769" s="105" t="s">
        <v>7921</v>
      </c>
      <c r="D4769" s="105">
        <v>8736</v>
      </c>
      <c r="E4769" s="105">
        <v>5241.6000000000004</v>
      </c>
      <c r="F4769" s="105">
        <v>0</v>
      </c>
    </row>
    <row r="4770" spans="1:6" x14ac:dyDescent="0.25">
      <c r="A4770" s="105">
        <f t="shared" si="74"/>
        <v>8703742</v>
      </c>
      <c r="B4770" s="105" t="s">
        <v>7922</v>
      </c>
      <c r="C4770" s="105" t="s">
        <v>7923</v>
      </c>
      <c r="D4770" s="105">
        <v>8736</v>
      </c>
      <c r="E4770" s="105">
        <v>5241.6000000000004</v>
      </c>
      <c r="F4770" s="105">
        <v>0</v>
      </c>
    </row>
    <row r="4771" spans="1:6" x14ac:dyDescent="0.25">
      <c r="A4771" s="105">
        <f t="shared" si="74"/>
        <v>8703743</v>
      </c>
      <c r="B4771" s="105" t="s">
        <v>7924</v>
      </c>
      <c r="C4771" s="105" t="s">
        <v>7925</v>
      </c>
      <c r="D4771" s="105">
        <v>8736</v>
      </c>
      <c r="E4771" s="105">
        <v>5241.6000000000004</v>
      </c>
      <c r="F4771" s="105">
        <v>1</v>
      </c>
    </row>
    <row r="4772" spans="1:6" x14ac:dyDescent="0.25">
      <c r="A4772" s="105">
        <f t="shared" si="74"/>
        <v>8703750</v>
      </c>
      <c r="B4772" s="105" t="s">
        <v>7926</v>
      </c>
      <c r="C4772" s="105" t="s">
        <v>7927</v>
      </c>
      <c r="D4772" s="105">
        <v>734.59</v>
      </c>
      <c r="E4772" s="105">
        <v>440.75</v>
      </c>
      <c r="F4772" s="105">
        <v>4</v>
      </c>
    </row>
    <row r="4773" spans="1:6" x14ac:dyDescent="0.25">
      <c r="A4773" s="105">
        <f t="shared" si="74"/>
        <v>8703779</v>
      </c>
      <c r="B4773" s="105" t="s">
        <v>9477</v>
      </c>
      <c r="C4773" s="105" t="s">
        <v>9478</v>
      </c>
      <c r="D4773" s="105">
        <v>6255</v>
      </c>
      <c r="E4773" s="105">
        <v>3753</v>
      </c>
      <c r="F4773" s="105">
        <v>8</v>
      </c>
    </row>
    <row r="4774" spans="1:6" x14ac:dyDescent="0.25">
      <c r="A4774" s="105" t="str">
        <f t="shared" si="74"/>
        <v/>
      </c>
      <c r="B4774" s="105" t="s">
        <v>7928</v>
      </c>
      <c r="C4774" s="105" t="s">
        <v>8</v>
      </c>
      <c r="D4774" s="105">
        <v>0</v>
      </c>
      <c r="E4774" s="105">
        <v>0</v>
      </c>
      <c r="F4774" s="105">
        <v>0</v>
      </c>
    </row>
    <row r="4775" spans="1:6" x14ac:dyDescent="0.25">
      <c r="A4775" s="105">
        <f t="shared" si="74"/>
        <v>8703800</v>
      </c>
      <c r="B4775" s="105" t="s">
        <v>7929</v>
      </c>
      <c r="C4775" s="105" t="s">
        <v>7930</v>
      </c>
      <c r="D4775" s="105">
        <v>8736</v>
      </c>
      <c r="E4775" s="105">
        <v>5241.6000000000004</v>
      </c>
      <c r="F4775" s="105">
        <v>0</v>
      </c>
    </row>
    <row r="4776" spans="1:6" x14ac:dyDescent="0.25">
      <c r="A4776" s="105">
        <f t="shared" si="74"/>
        <v>8703803</v>
      </c>
      <c r="B4776" s="105" t="s">
        <v>7931</v>
      </c>
      <c r="C4776" s="105" t="s">
        <v>7932</v>
      </c>
      <c r="D4776" s="105">
        <v>765.38</v>
      </c>
      <c r="E4776" s="105">
        <v>459.23</v>
      </c>
      <c r="F4776" s="105">
        <v>0</v>
      </c>
    </row>
    <row r="4777" spans="1:6" x14ac:dyDescent="0.25">
      <c r="A4777" s="105">
        <f t="shared" si="74"/>
        <v>8703810</v>
      </c>
      <c r="B4777" s="105" t="s">
        <v>7933</v>
      </c>
      <c r="C4777" s="105" t="s">
        <v>7934</v>
      </c>
      <c r="D4777" s="105">
        <v>1908</v>
      </c>
      <c r="E4777" s="105">
        <v>1144.8</v>
      </c>
      <c r="F4777" s="105">
        <v>21</v>
      </c>
    </row>
    <row r="4778" spans="1:6" x14ac:dyDescent="0.25">
      <c r="A4778" s="105">
        <f t="shared" si="74"/>
        <v>8703811</v>
      </c>
      <c r="B4778" s="105" t="s">
        <v>7935</v>
      </c>
      <c r="C4778" s="105" t="s">
        <v>7936</v>
      </c>
      <c r="D4778" s="105">
        <v>1908</v>
      </c>
      <c r="E4778" s="105">
        <v>1144.8</v>
      </c>
      <c r="F4778" s="105">
        <v>10</v>
      </c>
    </row>
    <row r="4779" spans="1:6" x14ac:dyDescent="0.25">
      <c r="A4779" s="105">
        <f t="shared" si="74"/>
        <v>8703812</v>
      </c>
      <c r="B4779" s="105" t="s">
        <v>7937</v>
      </c>
      <c r="C4779" s="105" t="s">
        <v>7938</v>
      </c>
      <c r="D4779" s="105">
        <v>1908</v>
      </c>
      <c r="E4779" s="105">
        <v>1144.8</v>
      </c>
      <c r="F4779" s="105">
        <v>27</v>
      </c>
    </row>
    <row r="4780" spans="1:6" x14ac:dyDescent="0.25">
      <c r="A4780" s="105">
        <f t="shared" si="74"/>
        <v>8703841</v>
      </c>
      <c r="B4780" s="105" t="s">
        <v>7939</v>
      </c>
      <c r="C4780" s="105" t="s">
        <v>7940</v>
      </c>
      <c r="D4780" s="105">
        <v>8736</v>
      </c>
      <c r="E4780" s="105">
        <v>5241.6000000000004</v>
      </c>
      <c r="F4780" s="105">
        <v>0</v>
      </c>
    </row>
    <row r="4781" spans="1:6" x14ac:dyDescent="0.25">
      <c r="A4781" s="105">
        <f t="shared" si="74"/>
        <v>8703842</v>
      </c>
      <c r="B4781" s="105" t="s">
        <v>7941</v>
      </c>
      <c r="C4781" s="105" t="s">
        <v>7942</v>
      </c>
      <c r="D4781" s="105">
        <v>8736</v>
      </c>
      <c r="E4781" s="105">
        <v>5241.6000000000004</v>
      </c>
      <c r="F4781" s="105">
        <v>0</v>
      </c>
    </row>
    <row r="4782" spans="1:6" x14ac:dyDescent="0.25">
      <c r="A4782" s="105">
        <f t="shared" si="74"/>
        <v>8703843</v>
      </c>
      <c r="B4782" s="105" t="s">
        <v>7943</v>
      </c>
      <c r="C4782" s="105" t="s">
        <v>7944</v>
      </c>
      <c r="D4782" s="105">
        <v>8736</v>
      </c>
      <c r="E4782" s="105">
        <v>5241.6000000000004</v>
      </c>
      <c r="F4782" s="105">
        <v>0</v>
      </c>
    </row>
    <row r="4783" spans="1:6" x14ac:dyDescent="0.25">
      <c r="A4783" s="105" t="str">
        <f t="shared" si="74"/>
        <v/>
      </c>
      <c r="B4783" s="105" t="s">
        <v>7945</v>
      </c>
      <c r="C4783" s="105" t="s">
        <v>8</v>
      </c>
      <c r="D4783" s="105">
        <v>0</v>
      </c>
      <c r="E4783" s="105">
        <v>0</v>
      </c>
      <c r="F4783" s="105">
        <v>0</v>
      </c>
    </row>
    <row r="4784" spans="1:6" x14ac:dyDescent="0.25">
      <c r="A4784" s="105">
        <f t="shared" si="74"/>
        <v>8703861</v>
      </c>
      <c r="B4784" s="105" t="s">
        <v>7946</v>
      </c>
      <c r="C4784" s="105" t="s">
        <v>7947</v>
      </c>
      <c r="D4784" s="105">
        <v>0</v>
      </c>
      <c r="E4784" s="105">
        <v>0</v>
      </c>
      <c r="F4784" s="105">
        <v>0</v>
      </c>
    </row>
    <row r="4785" spans="1:6" x14ac:dyDescent="0.25">
      <c r="A4785" s="105">
        <f t="shared" si="74"/>
        <v>8703900</v>
      </c>
      <c r="B4785" s="105" t="s">
        <v>7948</v>
      </c>
      <c r="C4785" s="105" t="s">
        <v>7949</v>
      </c>
      <c r="D4785" s="105">
        <v>1696</v>
      </c>
      <c r="E4785" s="105">
        <v>1017.6</v>
      </c>
      <c r="F4785" s="105">
        <v>3</v>
      </c>
    </row>
    <row r="4786" spans="1:6" x14ac:dyDescent="0.25">
      <c r="A4786" s="105">
        <f t="shared" si="74"/>
        <v>8703901</v>
      </c>
      <c r="B4786" s="105" t="s">
        <v>7950</v>
      </c>
      <c r="C4786" s="105" t="s">
        <v>7951</v>
      </c>
      <c r="D4786" s="105">
        <v>1696</v>
      </c>
      <c r="E4786" s="105">
        <v>1017.6</v>
      </c>
      <c r="F4786" s="105">
        <v>0</v>
      </c>
    </row>
    <row r="4787" spans="1:6" x14ac:dyDescent="0.25">
      <c r="A4787" s="105" t="str">
        <f t="shared" si="74"/>
        <v/>
      </c>
      <c r="B4787" s="105" t="s">
        <v>7952</v>
      </c>
      <c r="C4787" s="105" t="s">
        <v>8</v>
      </c>
      <c r="D4787" s="105">
        <v>0</v>
      </c>
      <c r="E4787" s="105">
        <v>0</v>
      </c>
      <c r="F4787" s="105">
        <v>0</v>
      </c>
    </row>
    <row r="4788" spans="1:6" x14ac:dyDescent="0.25">
      <c r="A4788" s="105">
        <f t="shared" si="74"/>
        <v>8703902</v>
      </c>
      <c r="B4788" s="105" t="s">
        <v>7953</v>
      </c>
      <c r="C4788" s="105" t="s">
        <v>7954</v>
      </c>
      <c r="D4788" s="105">
        <v>1590</v>
      </c>
      <c r="E4788" s="105">
        <v>954</v>
      </c>
      <c r="F4788" s="105">
        <v>0</v>
      </c>
    </row>
    <row r="4789" spans="1:6" x14ac:dyDescent="0.25">
      <c r="A4789" s="105">
        <f t="shared" si="74"/>
        <v>8703905</v>
      </c>
      <c r="B4789" s="105" t="s">
        <v>7955</v>
      </c>
      <c r="C4789" s="105" t="s">
        <v>7956</v>
      </c>
      <c r="D4789" s="105">
        <v>2448.6</v>
      </c>
      <c r="E4789" s="105">
        <v>1469.16</v>
      </c>
      <c r="F4789" s="105">
        <v>0</v>
      </c>
    </row>
    <row r="4790" spans="1:6" x14ac:dyDescent="0.25">
      <c r="A4790" s="105">
        <f t="shared" si="74"/>
        <v>8703925</v>
      </c>
      <c r="B4790" s="105" t="s">
        <v>7957</v>
      </c>
      <c r="C4790" s="105" t="s">
        <v>7958</v>
      </c>
      <c r="D4790" s="105">
        <v>1237.6199999999999</v>
      </c>
      <c r="E4790" s="105">
        <v>742.57</v>
      </c>
      <c r="F4790" s="105">
        <v>9</v>
      </c>
    </row>
    <row r="4791" spans="1:6" x14ac:dyDescent="0.25">
      <c r="A4791" s="105">
        <f t="shared" si="74"/>
        <v>8703926</v>
      </c>
      <c r="B4791" s="105" t="s">
        <v>7959</v>
      </c>
      <c r="C4791" s="105" t="s">
        <v>7960</v>
      </c>
      <c r="D4791" s="105">
        <v>1237.6199999999999</v>
      </c>
      <c r="E4791" s="105">
        <v>742.57</v>
      </c>
      <c r="F4791" s="105">
        <v>42</v>
      </c>
    </row>
    <row r="4792" spans="1:6" x14ac:dyDescent="0.25">
      <c r="A4792" s="105">
        <f t="shared" si="74"/>
        <v>8703950</v>
      </c>
      <c r="B4792" s="105" t="s">
        <v>7961</v>
      </c>
      <c r="C4792" s="105" t="s">
        <v>7962</v>
      </c>
      <c r="D4792" s="105">
        <v>4500.4399999999996</v>
      </c>
      <c r="E4792" s="105">
        <v>2700.26</v>
      </c>
      <c r="F4792" s="105">
        <v>19</v>
      </c>
    </row>
    <row r="4793" spans="1:6" x14ac:dyDescent="0.25">
      <c r="A4793" s="105">
        <f t="shared" si="74"/>
        <v>8703952</v>
      </c>
      <c r="B4793" s="105" t="s">
        <v>7963</v>
      </c>
      <c r="C4793" s="105" t="s">
        <v>7964</v>
      </c>
      <c r="D4793" s="105">
        <v>4500.4399999999996</v>
      </c>
      <c r="E4793" s="105">
        <v>2700.26</v>
      </c>
      <c r="F4793" s="105">
        <v>0</v>
      </c>
    </row>
    <row r="4794" spans="1:6" x14ac:dyDescent="0.25">
      <c r="A4794" s="105">
        <f t="shared" si="74"/>
        <v>8703954</v>
      </c>
      <c r="B4794" s="105" t="s">
        <v>7965</v>
      </c>
      <c r="C4794" s="105" t="s">
        <v>7966</v>
      </c>
      <c r="D4794" s="105">
        <v>4500.4399999999996</v>
      </c>
      <c r="E4794" s="105">
        <v>2700.26</v>
      </c>
      <c r="F4794" s="105">
        <v>0</v>
      </c>
    </row>
    <row r="4795" spans="1:6" x14ac:dyDescent="0.25">
      <c r="A4795" s="105">
        <f t="shared" si="74"/>
        <v>8703955</v>
      </c>
      <c r="B4795" s="105" t="s">
        <v>7967</v>
      </c>
      <c r="C4795" s="105" t="s">
        <v>7968</v>
      </c>
      <c r="D4795" s="105">
        <v>4500.4399999999996</v>
      </c>
      <c r="E4795" s="105">
        <v>2700.26</v>
      </c>
      <c r="F4795" s="105">
        <v>4</v>
      </c>
    </row>
    <row r="4796" spans="1:6" x14ac:dyDescent="0.25">
      <c r="A4796" s="105">
        <f t="shared" si="74"/>
        <v>8703956</v>
      </c>
      <c r="B4796" s="105" t="s">
        <v>7969</v>
      </c>
      <c r="C4796" s="105" t="s">
        <v>7970</v>
      </c>
      <c r="D4796" s="105">
        <v>4500.4399999999996</v>
      </c>
      <c r="E4796" s="105">
        <v>2700.26</v>
      </c>
      <c r="F4796" s="105">
        <v>1</v>
      </c>
    </row>
    <row r="4797" spans="1:6" x14ac:dyDescent="0.25">
      <c r="A4797" s="105">
        <f t="shared" si="74"/>
        <v>8703958</v>
      </c>
      <c r="B4797" s="105" t="s">
        <v>7971</v>
      </c>
      <c r="C4797" s="105" t="s">
        <v>7972</v>
      </c>
      <c r="D4797" s="105">
        <v>4500.4399999999996</v>
      </c>
      <c r="E4797" s="105">
        <v>2700.26</v>
      </c>
      <c r="F4797" s="105">
        <v>6</v>
      </c>
    </row>
    <row r="4798" spans="1:6" x14ac:dyDescent="0.25">
      <c r="A4798" s="105">
        <f t="shared" si="74"/>
        <v>8703959</v>
      </c>
      <c r="B4798" s="105" t="s">
        <v>7973</v>
      </c>
      <c r="C4798" s="105" t="s">
        <v>7974</v>
      </c>
      <c r="D4798" s="105">
        <v>4500.4399999999996</v>
      </c>
      <c r="E4798" s="105">
        <v>2700.26</v>
      </c>
      <c r="F4798" s="105">
        <v>1</v>
      </c>
    </row>
    <row r="4799" spans="1:6" x14ac:dyDescent="0.25">
      <c r="A4799" s="105">
        <f t="shared" si="74"/>
        <v>8703960</v>
      </c>
      <c r="B4799" s="105" t="s">
        <v>7975</v>
      </c>
      <c r="C4799" s="105" t="s">
        <v>7976</v>
      </c>
      <c r="D4799" s="105">
        <v>4500.4399999999996</v>
      </c>
      <c r="E4799" s="105">
        <v>2700.26</v>
      </c>
      <c r="F4799" s="105">
        <v>0</v>
      </c>
    </row>
    <row r="4800" spans="1:6" x14ac:dyDescent="0.25">
      <c r="A4800" s="105">
        <f t="shared" si="74"/>
        <v>8703961</v>
      </c>
      <c r="B4800" s="105" t="s">
        <v>7977</v>
      </c>
      <c r="C4800" s="105" t="s">
        <v>7978</v>
      </c>
      <c r="D4800" s="105">
        <v>3932.88</v>
      </c>
      <c r="E4800" s="105">
        <v>2359.73</v>
      </c>
      <c r="F4800" s="105">
        <v>0</v>
      </c>
    </row>
    <row r="4801" spans="1:6" x14ac:dyDescent="0.25">
      <c r="A4801" s="105">
        <f t="shared" si="74"/>
        <v>8703962</v>
      </c>
      <c r="B4801" s="105" t="s">
        <v>7979</v>
      </c>
      <c r="C4801" s="105" t="s">
        <v>7980</v>
      </c>
      <c r="D4801" s="105">
        <v>1260.81</v>
      </c>
      <c r="E4801" s="105">
        <v>756.49</v>
      </c>
      <c r="F4801" s="105">
        <v>50</v>
      </c>
    </row>
    <row r="4802" spans="1:6" x14ac:dyDescent="0.25">
      <c r="A4802" s="105">
        <f t="shared" si="74"/>
        <v>8703987</v>
      </c>
      <c r="B4802" s="105" t="s">
        <v>7981</v>
      </c>
      <c r="C4802" s="105" t="s">
        <v>7982</v>
      </c>
      <c r="D4802" s="105">
        <v>149.75</v>
      </c>
      <c r="E4802" s="105">
        <v>89.85</v>
      </c>
      <c r="F4802" s="105">
        <v>52</v>
      </c>
    </row>
    <row r="4803" spans="1:6" x14ac:dyDescent="0.25">
      <c r="A4803" s="105">
        <f t="shared" ref="A4803:A4866" si="75">IF(B4803&lt;&gt;"",IFERROR(B4803*1,""),"")</f>
        <v>8705001</v>
      </c>
      <c r="B4803" s="105" t="s">
        <v>7983</v>
      </c>
      <c r="C4803" s="105" t="s">
        <v>7984</v>
      </c>
      <c r="D4803" s="105">
        <v>1060</v>
      </c>
      <c r="E4803" s="105">
        <v>636</v>
      </c>
      <c r="F4803" s="105">
        <v>0</v>
      </c>
    </row>
    <row r="4804" spans="1:6" x14ac:dyDescent="0.25">
      <c r="A4804" s="105">
        <f t="shared" si="75"/>
        <v>8705002</v>
      </c>
      <c r="B4804" s="105" t="s">
        <v>7985</v>
      </c>
      <c r="C4804" s="105" t="s">
        <v>7986</v>
      </c>
      <c r="D4804" s="105">
        <v>1017.6</v>
      </c>
      <c r="E4804" s="105">
        <v>610.55999999999995</v>
      </c>
      <c r="F4804" s="105">
        <v>0</v>
      </c>
    </row>
    <row r="4805" spans="1:6" x14ac:dyDescent="0.25">
      <c r="A4805" s="105">
        <f t="shared" si="75"/>
        <v>8705003</v>
      </c>
      <c r="B4805" s="105" t="s">
        <v>7987</v>
      </c>
      <c r="C4805" s="105" t="s">
        <v>7988</v>
      </c>
      <c r="D4805" s="105">
        <v>1950</v>
      </c>
      <c r="E4805" s="105">
        <v>1170</v>
      </c>
      <c r="F4805" s="105">
        <v>85</v>
      </c>
    </row>
    <row r="4806" spans="1:6" x14ac:dyDescent="0.25">
      <c r="A4806" s="105" t="str">
        <f t="shared" si="75"/>
        <v/>
      </c>
      <c r="B4806" s="105" t="s">
        <v>7989</v>
      </c>
      <c r="C4806" s="105" t="s">
        <v>8</v>
      </c>
      <c r="D4806" s="105">
        <v>0</v>
      </c>
      <c r="E4806" s="105">
        <v>0</v>
      </c>
      <c r="F4806" s="105">
        <v>0</v>
      </c>
    </row>
    <row r="4807" spans="1:6" x14ac:dyDescent="0.25">
      <c r="A4807" s="105">
        <f t="shared" si="75"/>
        <v>8705004</v>
      </c>
      <c r="B4807" s="105" t="s">
        <v>7990</v>
      </c>
      <c r="C4807" s="105" t="s">
        <v>7991</v>
      </c>
      <c r="D4807" s="105">
        <v>1049.4000000000001</v>
      </c>
      <c r="E4807" s="105">
        <v>629.64</v>
      </c>
      <c r="F4807" s="105">
        <v>0</v>
      </c>
    </row>
    <row r="4808" spans="1:6" x14ac:dyDescent="0.25">
      <c r="A4808" s="105" t="str">
        <f t="shared" si="75"/>
        <v/>
      </c>
      <c r="B4808" s="105" t="s">
        <v>7992</v>
      </c>
      <c r="C4808" s="105" t="s">
        <v>8</v>
      </c>
      <c r="D4808" s="105">
        <v>0</v>
      </c>
      <c r="E4808" s="105">
        <v>0</v>
      </c>
      <c r="F4808" s="105">
        <v>0</v>
      </c>
    </row>
    <row r="4809" spans="1:6" x14ac:dyDescent="0.25">
      <c r="A4809" s="105">
        <f t="shared" si="75"/>
        <v>8705005</v>
      </c>
      <c r="B4809" s="105" t="s">
        <v>7993</v>
      </c>
      <c r="C4809" s="105" t="s">
        <v>7994</v>
      </c>
      <c r="D4809" s="105">
        <v>1049.4000000000001</v>
      </c>
      <c r="E4809" s="105">
        <v>629.64</v>
      </c>
      <c r="F4809" s="105">
        <v>0</v>
      </c>
    </row>
    <row r="4810" spans="1:6" x14ac:dyDescent="0.25">
      <c r="A4810" s="105" t="str">
        <f t="shared" si="75"/>
        <v/>
      </c>
      <c r="B4810" s="105" t="s">
        <v>7995</v>
      </c>
      <c r="C4810" s="105" t="s">
        <v>8</v>
      </c>
      <c r="D4810" s="105">
        <v>0</v>
      </c>
      <c r="E4810" s="105">
        <v>0</v>
      </c>
      <c r="F4810" s="105">
        <v>0</v>
      </c>
    </row>
    <row r="4811" spans="1:6" x14ac:dyDescent="0.25">
      <c r="A4811" s="105">
        <f t="shared" si="75"/>
        <v>8705006</v>
      </c>
      <c r="B4811" s="105" t="s">
        <v>7996</v>
      </c>
      <c r="C4811" s="105" t="s">
        <v>7997</v>
      </c>
      <c r="D4811" s="105">
        <v>1717.2</v>
      </c>
      <c r="E4811" s="105">
        <v>1030.32</v>
      </c>
      <c r="F4811" s="105">
        <v>0</v>
      </c>
    </row>
    <row r="4812" spans="1:6" x14ac:dyDescent="0.25">
      <c r="A4812" s="105" t="str">
        <f t="shared" si="75"/>
        <v/>
      </c>
      <c r="B4812" s="105" t="s">
        <v>7998</v>
      </c>
      <c r="C4812" s="105" t="s">
        <v>8</v>
      </c>
      <c r="D4812" s="105">
        <v>0</v>
      </c>
      <c r="E4812" s="105">
        <v>0</v>
      </c>
      <c r="F4812" s="105">
        <v>0</v>
      </c>
    </row>
    <row r="4813" spans="1:6" x14ac:dyDescent="0.25">
      <c r="A4813" s="105">
        <f t="shared" si="75"/>
        <v>8705007</v>
      </c>
      <c r="B4813" s="105" t="s">
        <v>7999</v>
      </c>
      <c r="C4813" s="105" t="s">
        <v>8000</v>
      </c>
      <c r="D4813" s="105">
        <v>1224.3</v>
      </c>
      <c r="E4813" s="105">
        <v>734.58</v>
      </c>
      <c r="F4813" s="105">
        <v>0</v>
      </c>
    </row>
    <row r="4814" spans="1:6" x14ac:dyDescent="0.25">
      <c r="A4814" s="105">
        <f t="shared" si="75"/>
        <v>8705008</v>
      </c>
      <c r="B4814" s="105" t="s">
        <v>8001</v>
      </c>
      <c r="C4814" s="105" t="s">
        <v>8002</v>
      </c>
      <c r="D4814" s="105">
        <v>1663.89</v>
      </c>
      <c r="E4814" s="105">
        <v>998.33</v>
      </c>
      <c r="F4814" s="105">
        <v>0</v>
      </c>
    </row>
    <row r="4815" spans="1:6" x14ac:dyDescent="0.25">
      <c r="A4815" s="105" t="str">
        <f t="shared" si="75"/>
        <v/>
      </c>
      <c r="B4815" s="105" t="s">
        <v>8003</v>
      </c>
      <c r="C4815" s="105" t="s">
        <v>8</v>
      </c>
      <c r="D4815" s="105">
        <v>0</v>
      </c>
      <c r="E4815" s="105">
        <v>0</v>
      </c>
      <c r="F4815" s="105">
        <v>0</v>
      </c>
    </row>
    <row r="4816" spans="1:6" x14ac:dyDescent="0.25">
      <c r="A4816" s="105">
        <f t="shared" si="75"/>
        <v>8705009</v>
      </c>
      <c r="B4816" s="105" t="s">
        <v>8004</v>
      </c>
      <c r="C4816" s="105" t="s">
        <v>8005</v>
      </c>
      <c r="D4816" s="105">
        <v>938.1</v>
      </c>
      <c r="E4816" s="105">
        <v>562.86</v>
      </c>
      <c r="F4816" s="105">
        <v>0</v>
      </c>
    </row>
    <row r="4817" spans="1:6" x14ac:dyDescent="0.25">
      <c r="A4817" s="105" t="str">
        <f t="shared" si="75"/>
        <v/>
      </c>
      <c r="B4817" s="105" t="s">
        <v>8006</v>
      </c>
      <c r="C4817" s="105" t="s">
        <v>8</v>
      </c>
      <c r="D4817" s="105">
        <v>0</v>
      </c>
      <c r="E4817" s="105">
        <v>0</v>
      </c>
      <c r="F4817" s="105">
        <v>0</v>
      </c>
    </row>
    <row r="4818" spans="1:6" x14ac:dyDescent="0.25">
      <c r="A4818" s="105">
        <f t="shared" si="75"/>
        <v>8705010</v>
      </c>
      <c r="B4818" s="105" t="s">
        <v>8007</v>
      </c>
      <c r="C4818" s="105" t="s">
        <v>8008</v>
      </c>
      <c r="D4818" s="105">
        <v>0</v>
      </c>
      <c r="E4818" s="105">
        <v>0</v>
      </c>
      <c r="F4818" s="105">
        <v>0</v>
      </c>
    </row>
    <row r="4819" spans="1:6" x14ac:dyDescent="0.25">
      <c r="A4819" s="105">
        <f t="shared" si="75"/>
        <v>8705011</v>
      </c>
      <c r="B4819" s="105" t="s">
        <v>8009</v>
      </c>
      <c r="C4819" s="105" t="s">
        <v>8010</v>
      </c>
      <c r="D4819" s="105">
        <v>2321.4</v>
      </c>
      <c r="E4819" s="105">
        <v>1392.84</v>
      </c>
      <c r="F4819" s="105">
        <v>0</v>
      </c>
    </row>
    <row r="4820" spans="1:6" x14ac:dyDescent="0.25">
      <c r="A4820" s="105" t="str">
        <f t="shared" si="75"/>
        <v/>
      </c>
      <c r="B4820" s="105" t="s">
        <v>8011</v>
      </c>
      <c r="C4820" s="105" t="s">
        <v>8</v>
      </c>
      <c r="D4820" s="105">
        <v>0</v>
      </c>
      <c r="E4820" s="105">
        <v>0</v>
      </c>
      <c r="F4820" s="105">
        <v>0</v>
      </c>
    </row>
    <row r="4821" spans="1:6" x14ac:dyDescent="0.25">
      <c r="A4821" s="105">
        <f t="shared" si="75"/>
        <v>8705012</v>
      </c>
      <c r="B4821" s="105" t="s">
        <v>8012</v>
      </c>
      <c r="C4821" s="105" t="s">
        <v>8013</v>
      </c>
      <c r="D4821" s="105">
        <v>0</v>
      </c>
      <c r="E4821" s="105">
        <v>0</v>
      </c>
      <c r="F4821" s="105">
        <v>0</v>
      </c>
    </row>
    <row r="4822" spans="1:6" x14ac:dyDescent="0.25">
      <c r="A4822" s="105">
        <f t="shared" si="75"/>
        <v>8705013</v>
      </c>
      <c r="B4822" s="105" t="s">
        <v>8014</v>
      </c>
      <c r="C4822" s="105" t="s">
        <v>9479</v>
      </c>
      <c r="D4822" s="105">
        <v>992.16</v>
      </c>
      <c r="E4822" s="105">
        <v>595.29999999999995</v>
      </c>
      <c r="F4822" s="105">
        <v>1</v>
      </c>
    </row>
    <row r="4823" spans="1:6" x14ac:dyDescent="0.25">
      <c r="A4823" s="105">
        <f t="shared" si="75"/>
        <v>8705014</v>
      </c>
      <c r="B4823" s="105" t="s">
        <v>8015</v>
      </c>
      <c r="C4823" s="105" t="s">
        <v>8016</v>
      </c>
      <c r="D4823" s="105">
        <v>0</v>
      </c>
      <c r="E4823" s="105">
        <v>0</v>
      </c>
      <c r="F4823" s="105">
        <v>0</v>
      </c>
    </row>
    <row r="4824" spans="1:6" x14ac:dyDescent="0.25">
      <c r="A4824" s="105">
        <f t="shared" si="75"/>
        <v>8705016</v>
      </c>
      <c r="B4824" s="105" t="s">
        <v>8017</v>
      </c>
      <c r="C4824" s="105" t="s">
        <v>8018</v>
      </c>
      <c r="D4824" s="105">
        <v>1939.8</v>
      </c>
      <c r="E4824" s="105">
        <v>1163.8800000000001</v>
      </c>
      <c r="F4824" s="105">
        <v>0</v>
      </c>
    </row>
    <row r="4825" spans="1:6" x14ac:dyDescent="0.25">
      <c r="A4825" s="105">
        <f t="shared" si="75"/>
        <v>8705018</v>
      </c>
      <c r="B4825" s="105" t="s">
        <v>8019</v>
      </c>
      <c r="C4825" s="105" t="s">
        <v>8020</v>
      </c>
      <c r="D4825" s="105">
        <v>3750</v>
      </c>
      <c r="E4825" s="105">
        <v>2250</v>
      </c>
      <c r="F4825" s="105">
        <v>6</v>
      </c>
    </row>
    <row r="4826" spans="1:6" x14ac:dyDescent="0.25">
      <c r="A4826" s="105">
        <f t="shared" si="75"/>
        <v>8705019</v>
      </c>
      <c r="B4826" s="105" t="s">
        <v>8021</v>
      </c>
      <c r="C4826" s="105" t="s">
        <v>8022</v>
      </c>
      <c r="D4826" s="105">
        <v>3339</v>
      </c>
      <c r="E4826" s="105">
        <v>2003.4</v>
      </c>
      <c r="F4826" s="105">
        <v>17</v>
      </c>
    </row>
    <row r="4827" spans="1:6" x14ac:dyDescent="0.25">
      <c r="A4827" s="105">
        <f t="shared" si="75"/>
        <v>8705020</v>
      </c>
      <c r="B4827" s="105" t="s">
        <v>8023</v>
      </c>
      <c r="C4827" s="105" t="s">
        <v>8024</v>
      </c>
      <c r="D4827" s="105">
        <v>380.79</v>
      </c>
      <c r="E4827" s="105">
        <v>228.47</v>
      </c>
      <c r="F4827" s="105">
        <v>0</v>
      </c>
    </row>
    <row r="4828" spans="1:6" x14ac:dyDescent="0.25">
      <c r="A4828" s="105" t="str">
        <f t="shared" si="75"/>
        <v/>
      </c>
      <c r="B4828" s="105" t="s">
        <v>8025</v>
      </c>
      <c r="C4828" s="105" t="s">
        <v>8</v>
      </c>
      <c r="D4828" s="105">
        <v>0</v>
      </c>
      <c r="E4828" s="105">
        <v>0</v>
      </c>
      <c r="F4828" s="105">
        <v>0</v>
      </c>
    </row>
    <row r="4829" spans="1:6" x14ac:dyDescent="0.25">
      <c r="A4829" s="105">
        <f t="shared" si="75"/>
        <v>8705021</v>
      </c>
      <c r="B4829" s="105" t="s">
        <v>8026</v>
      </c>
      <c r="C4829" s="105" t="s">
        <v>8027</v>
      </c>
      <c r="D4829" s="105">
        <v>0</v>
      </c>
      <c r="E4829" s="105">
        <v>0</v>
      </c>
      <c r="F4829" s="105">
        <v>0</v>
      </c>
    </row>
    <row r="4830" spans="1:6" x14ac:dyDescent="0.25">
      <c r="A4830" s="105" t="str">
        <f t="shared" si="75"/>
        <v/>
      </c>
      <c r="B4830" s="105" t="s">
        <v>8028</v>
      </c>
      <c r="C4830" s="105" t="s">
        <v>8</v>
      </c>
      <c r="D4830" s="105">
        <v>0</v>
      </c>
      <c r="E4830" s="105">
        <v>0</v>
      </c>
      <c r="F4830" s="105">
        <v>0</v>
      </c>
    </row>
    <row r="4831" spans="1:6" x14ac:dyDescent="0.25">
      <c r="A4831" s="105">
        <f t="shared" si="75"/>
        <v>8705022</v>
      </c>
      <c r="B4831" s="105" t="s">
        <v>8029</v>
      </c>
      <c r="C4831" s="105" t="s">
        <v>8030</v>
      </c>
      <c r="D4831" s="105">
        <v>0</v>
      </c>
      <c r="E4831" s="105">
        <v>0</v>
      </c>
      <c r="F4831" s="105">
        <v>0</v>
      </c>
    </row>
    <row r="4832" spans="1:6" x14ac:dyDescent="0.25">
      <c r="A4832" s="105" t="str">
        <f t="shared" si="75"/>
        <v/>
      </c>
      <c r="B4832" s="105" t="s">
        <v>8031</v>
      </c>
      <c r="C4832" s="105" t="s">
        <v>8</v>
      </c>
      <c r="D4832" s="105">
        <v>0</v>
      </c>
      <c r="E4832" s="105">
        <v>0</v>
      </c>
      <c r="F4832" s="105">
        <v>0</v>
      </c>
    </row>
    <row r="4833" spans="1:6" x14ac:dyDescent="0.25">
      <c r="A4833" s="105">
        <f t="shared" si="75"/>
        <v>8705023</v>
      </c>
      <c r="B4833" s="105" t="s">
        <v>8032</v>
      </c>
      <c r="C4833" s="105" t="s">
        <v>8033</v>
      </c>
      <c r="D4833" s="105">
        <v>2273.6999999999998</v>
      </c>
      <c r="E4833" s="105">
        <v>1364.22</v>
      </c>
      <c r="F4833" s="105">
        <v>1</v>
      </c>
    </row>
    <row r="4834" spans="1:6" x14ac:dyDescent="0.25">
      <c r="A4834" s="105">
        <f t="shared" si="75"/>
        <v>8705036</v>
      </c>
      <c r="B4834" s="105" t="s">
        <v>8034</v>
      </c>
      <c r="C4834" s="105" t="s">
        <v>8035</v>
      </c>
      <c r="D4834" s="105">
        <v>1062.23</v>
      </c>
      <c r="E4834" s="105">
        <v>637.34</v>
      </c>
      <c r="F4834" s="105">
        <v>0</v>
      </c>
    </row>
    <row r="4835" spans="1:6" x14ac:dyDescent="0.25">
      <c r="A4835" s="105">
        <f t="shared" si="75"/>
        <v>8705037</v>
      </c>
      <c r="B4835" s="105" t="s">
        <v>8036</v>
      </c>
      <c r="C4835" s="105" t="s">
        <v>8037</v>
      </c>
      <c r="D4835" s="105">
        <v>1227</v>
      </c>
      <c r="E4835" s="105">
        <v>736.2</v>
      </c>
      <c r="F4835" s="105">
        <v>0</v>
      </c>
    </row>
    <row r="4836" spans="1:6" x14ac:dyDescent="0.25">
      <c r="A4836" s="105">
        <f t="shared" si="75"/>
        <v>8705038</v>
      </c>
      <c r="B4836" s="105" t="s">
        <v>8038</v>
      </c>
      <c r="C4836" s="105" t="s">
        <v>8039</v>
      </c>
      <c r="D4836" s="105">
        <v>1049.4000000000001</v>
      </c>
      <c r="E4836" s="105">
        <v>629.64</v>
      </c>
      <c r="F4836" s="105">
        <v>0</v>
      </c>
    </row>
    <row r="4837" spans="1:6" x14ac:dyDescent="0.25">
      <c r="A4837" s="105">
        <f t="shared" si="75"/>
        <v>8705039</v>
      </c>
      <c r="B4837" s="105" t="s">
        <v>8040</v>
      </c>
      <c r="C4837" s="105" t="s">
        <v>8041</v>
      </c>
      <c r="D4837" s="105">
        <v>629.54</v>
      </c>
      <c r="E4837" s="105">
        <v>377.72</v>
      </c>
      <c r="F4837" s="105">
        <v>0</v>
      </c>
    </row>
    <row r="4838" spans="1:6" x14ac:dyDescent="0.25">
      <c r="A4838" s="105">
        <f t="shared" si="75"/>
        <v>8705072</v>
      </c>
      <c r="B4838" s="105" t="s">
        <v>8042</v>
      </c>
      <c r="C4838" s="105" t="s">
        <v>8043</v>
      </c>
      <c r="D4838" s="105">
        <v>1035</v>
      </c>
      <c r="E4838" s="105">
        <v>621</v>
      </c>
      <c r="F4838" s="105">
        <v>573</v>
      </c>
    </row>
    <row r="4839" spans="1:6" x14ac:dyDescent="0.25">
      <c r="A4839" s="105" t="str">
        <f t="shared" si="75"/>
        <v/>
      </c>
      <c r="B4839" s="105" t="s">
        <v>8044</v>
      </c>
      <c r="C4839" s="105" t="s">
        <v>8</v>
      </c>
      <c r="D4839" s="105">
        <v>0</v>
      </c>
      <c r="E4839" s="105">
        <v>0</v>
      </c>
      <c r="F4839" s="105">
        <v>0</v>
      </c>
    </row>
    <row r="4840" spans="1:6" x14ac:dyDescent="0.25">
      <c r="A4840" s="105">
        <f t="shared" si="75"/>
        <v>8705075</v>
      </c>
      <c r="B4840" s="105" t="s">
        <v>8045</v>
      </c>
      <c r="C4840" s="105" t="s">
        <v>8046</v>
      </c>
      <c r="D4840" s="105">
        <v>2289.6</v>
      </c>
      <c r="E4840" s="105">
        <v>1373.76</v>
      </c>
      <c r="F4840" s="105">
        <v>0</v>
      </c>
    </row>
    <row r="4841" spans="1:6" x14ac:dyDescent="0.25">
      <c r="A4841" s="105" t="str">
        <f t="shared" si="75"/>
        <v/>
      </c>
      <c r="B4841" s="105" t="s">
        <v>8047</v>
      </c>
      <c r="C4841" s="105" t="s">
        <v>8</v>
      </c>
      <c r="D4841" s="105">
        <v>0</v>
      </c>
      <c r="E4841" s="105">
        <v>0</v>
      </c>
      <c r="F4841" s="105">
        <v>0</v>
      </c>
    </row>
    <row r="4842" spans="1:6" x14ac:dyDescent="0.25">
      <c r="A4842" s="105">
        <f t="shared" si="75"/>
        <v>8705100</v>
      </c>
      <c r="B4842" s="105" t="s">
        <v>8048</v>
      </c>
      <c r="C4842" s="105" t="s">
        <v>8049</v>
      </c>
      <c r="D4842" s="105">
        <v>1545</v>
      </c>
      <c r="E4842" s="105">
        <v>927</v>
      </c>
      <c r="F4842" s="105">
        <v>0</v>
      </c>
    </row>
    <row r="4843" spans="1:6" x14ac:dyDescent="0.25">
      <c r="A4843" s="105">
        <f t="shared" si="75"/>
        <v>8705113</v>
      </c>
      <c r="B4843" s="105" t="s">
        <v>8050</v>
      </c>
      <c r="C4843" s="105" t="s">
        <v>8051</v>
      </c>
      <c r="D4843" s="105">
        <v>8244</v>
      </c>
      <c r="E4843" s="105">
        <v>4946.3999999999996</v>
      </c>
      <c r="F4843" s="105">
        <v>20</v>
      </c>
    </row>
    <row r="4844" spans="1:6" x14ac:dyDescent="0.25">
      <c r="A4844" s="105">
        <f t="shared" si="75"/>
        <v>8705118</v>
      </c>
      <c r="B4844" s="105" t="s">
        <v>8052</v>
      </c>
      <c r="C4844" s="105" t="s">
        <v>8053</v>
      </c>
      <c r="D4844" s="105">
        <v>1383.3</v>
      </c>
      <c r="E4844" s="105">
        <v>829.98</v>
      </c>
      <c r="F4844" s="105">
        <v>0</v>
      </c>
    </row>
    <row r="4845" spans="1:6" x14ac:dyDescent="0.25">
      <c r="A4845" s="105" t="str">
        <f t="shared" si="75"/>
        <v/>
      </c>
      <c r="B4845" s="105" t="s">
        <v>8054</v>
      </c>
      <c r="C4845" s="105" t="s">
        <v>8</v>
      </c>
      <c r="D4845" s="105">
        <v>0</v>
      </c>
      <c r="E4845" s="105">
        <v>0</v>
      </c>
      <c r="F4845" s="105">
        <v>0</v>
      </c>
    </row>
    <row r="4846" spans="1:6" x14ac:dyDescent="0.25">
      <c r="A4846" s="105">
        <f t="shared" si="75"/>
        <v>8705121</v>
      </c>
      <c r="B4846" s="105" t="s">
        <v>8055</v>
      </c>
      <c r="C4846" s="105" t="s">
        <v>8</v>
      </c>
      <c r="D4846" s="105">
        <v>0</v>
      </c>
      <c r="E4846" s="105">
        <v>0</v>
      </c>
      <c r="F4846" s="105">
        <v>0</v>
      </c>
    </row>
    <row r="4847" spans="1:6" x14ac:dyDescent="0.25">
      <c r="A4847" s="105" t="str">
        <f t="shared" si="75"/>
        <v/>
      </c>
      <c r="B4847" s="105" t="s">
        <v>8056</v>
      </c>
      <c r="C4847" s="105" t="s">
        <v>8</v>
      </c>
      <c r="D4847" s="105">
        <v>0</v>
      </c>
      <c r="E4847" s="105">
        <v>0</v>
      </c>
      <c r="F4847" s="105">
        <v>0</v>
      </c>
    </row>
    <row r="4848" spans="1:6" x14ac:dyDescent="0.25">
      <c r="A4848" s="105">
        <f t="shared" si="75"/>
        <v>8705131</v>
      </c>
      <c r="B4848" s="105" t="s">
        <v>8057</v>
      </c>
      <c r="C4848" s="105" t="s">
        <v>8058</v>
      </c>
      <c r="D4848" s="105">
        <v>0</v>
      </c>
      <c r="E4848" s="105">
        <v>0</v>
      </c>
      <c r="F4848" s="105">
        <v>0</v>
      </c>
    </row>
    <row r="4849" spans="1:6" x14ac:dyDescent="0.25">
      <c r="A4849" s="105">
        <f t="shared" si="75"/>
        <v>8705200</v>
      </c>
      <c r="B4849" s="105" t="s">
        <v>8059</v>
      </c>
      <c r="C4849" s="105" t="s">
        <v>8060</v>
      </c>
      <c r="D4849" s="105">
        <v>1504.78</v>
      </c>
      <c r="E4849" s="105">
        <v>902.87</v>
      </c>
      <c r="F4849" s="105">
        <v>0</v>
      </c>
    </row>
    <row r="4850" spans="1:6" x14ac:dyDescent="0.25">
      <c r="A4850" s="105">
        <f t="shared" si="75"/>
        <v>8705201</v>
      </c>
      <c r="B4850" s="105" t="s">
        <v>8061</v>
      </c>
      <c r="C4850" s="105" t="s">
        <v>8062</v>
      </c>
      <c r="D4850" s="105">
        <v>1749</v>
      </c>
      <c r="E4850" s="105">
        <v>1049.4000000000001</v>
      </c>
      <c r="F4850" s="105">
        <v>2</v>
      </c>
    </row>
    <row r="4851" spans="1:6" x14ac:dyDescent="0.25">
      <c r="A4851" s="105" t="str">
        <f t="shared" si="75"/>
        <v/>
      </c>
      <c r="B4851" s="105" t="s">
        <v>8063</v>
      </c>
      <c r="C4851" s="105" t="s">
        <v>8</v>
      </c>
      <c r="D4851" s="105">
        <v>0</v>
      </c>
      <c r="E4851" s="105">
        <v>0</v>
      </c>
      <c r="F4851" s="105">
        <v>0</v>
      </c>
    </row>
    <row r="4852" spans="1:6" x14ac:dyDescent="0.25">
      <c r="A4852" s="105">
        <f t="shared" si="75"/>
        <v>8705214</v>
      </c>
      <c r="B4852" s="105" t="s">
        <v>8064</v>
      </c>
      <c r="C4852" s="105" t="s">
        <v>8065</v>
      </c>
      <c r="D4852" s="105">
        <v>0</v>
      </c>
      <c r="E4852" s="105">
        <v>0</v>
      </c>
      <c r="F4852" s="105">
        <v>0</v>
      </c>
    </row>
    <row r="4853" spans="1:6" x14ac:dyDescent="0.25">
      <c r="A4853" s="105" t="str">
        <f t="shared" si="75"/>
        <v/>
      </c>
      <c r="B4853" s="105" t="s">
        <v>8066</v>
      </c>
      <c r="C4853" s="105" t="s">
        <v>8</v>
      </c>
      <c r="D4853" s="105">
        <v>0</v>
      </c>
      <c r="E4853" s="105">
        <v>0</v>
      </c>
      <c r="F4853" s="105">
        <v>0</v>
      </c>
    </row>
    <row r="4854" spans="1:6" x14ac:dyDescent="0.25">
      <c r="A4854" s="105">
        <f t="shared" si="75"/>
        <v>8705225</v>
      </c>
      <c r="B4854" s="105" t="s">
        <v>8067</v>
      </c>
      <c r="C4854" s="105" t="s">
        <v>8068</v>
      </c>
      <c r="D4854" s="105">
        <v>1939.8</v>
      </c>
      <c r="E4854" s="105">
        <v>1163.8800000000001</v>
      </c>
      <c r="F4854" s="105">
        <v>0</v>
      </c>
    </row>
    <row r="4855" spans="1:6" x14ac:dyDescent="0.25">
      <c r="A4855" s="105">
        <f t="shared" si="75"/>
        <v>8705226</v>
      </c>
      <c r="B4855" s="105" t="s">
        <v>8069</v>
      </c>
      <c r="C4855" s="105" t="s">
        <v>8070</v>
      </c>
      <c r="D4855" s="105">
        <v>1939.8</v>
      </c>
      <c r="E4855" s="105">
        <v>1163.8800000000001</v>
      </c>
      <c r="F4855" s="105">
        <v>0</v>
      </c>
    </row>
    <row r="4856" spans="1:6" x14ac:dyDescent="0.25">
      <c r="A4856" s="105" t="str">
        <f t="shared" si="75"/>
        <v/>
      </c>
      <c r="B4856" s="105" t="s">
        <v>8071</v>
      </c>
      <c r="C4856" s="105" t="s">
        <v>8</v>
      </c>
      <c r="D4856" s="105">
        <v>0</v>
      </c>
      <c r="E4856" s="105">
        <v>0</v>
      </c>
      <c r="F4856" s="105">
        <v>0</v>
      </c>
    </row>
    <row r="4857" spans="1:6" x14ac:dyDescent="0.25">
      <c r="A4857" s="105">
        <f t="shared" si="75"/>
        <v>8705227</v>
      </c>
      <c r="B4857" s="105" t="s">
        <v>8072</v>
      </c>
      <c r="C4857" s="105" t="s">
        <v>8073</v>
      </c>
      <c r="D4857" s="105">
        <v>0</v>
      </c>
      <c r="E4857" s="105">
        <v>0</v>
      </c>
      <c r="F4857" s="105">
        <v>0</v>
      </c>
    </row>
    <row r="4858" spans="1:6" x14ac:dyDescent="0.25">
      <c r="A4858" s="105" t="str">
        <f t="shared" si="75"/>
        <v/>
      </c>
      <c r="B4858" s="105" t="s">
        <v>8074</v>
      </c>
      <c r="C4858" s="105" t="s">
        <v>8</v>
      </c>
      <c r="D4858" s="105">
        <v>0</v>
      </c>
      <c r="E4858" s="105">
        <v>0</v>
      </c>
      <c r="F4858" s="105">
        <v>0</v>
      </c>
    </row>
    <row r="4859" spans="1:6" x14ac:dyDescent="0.25">
      <c r="A4859" s="105">
        <f t="shared" si="75"/>
        <v>8705228</v>
      </c>
      <c r="B4859" s="105" t="s">
        <v>8075</v>
      </c>
      <c r="C4859" s="105" t="s">
        <v>8076</v>
      </c>
      <c r="D4859" s="105">
        <v>0</v>
      </c>
      <c r="E4859" s="105">
        <v>0</v>
      </c>
      <c r="F4859" s="105">
        <v>0</v>
      </c>
    </row>
    <row r="4860" spans="1:6" x14ac:dyDescent="0.25">
      <c r="A4860" s="105">
        <f t="shared" si="75"/>
        <v>8705233</v>
      </c>
      <c r="B4860" s="105" t="s">
        <v>8077</v>
      </c>
      <c r="C4860" s="105" t="s">
        <v>8078</v>
      </c>
      <c r="D4860" s="105">
        <v>1515</v>
      </c>
      <c r="E4860" s="105">
        <v>909</v>
      </c>
      <c r="F4860" s="105">
        <v>3</v>
      </c>
    </row>
    <row r="4861" spans="1:6" x14ac:dyDescent="0.25">
      <c r="A4861" s="105" t="str">
        <f t="shared" si="75"/>
        <v/>
      </c>
      <c r="B4861" s="105" t="s">
        <v>8079</v>
      </c>
      <c r="C4861" s="105" t="s">
        <v>8</v>
      </c>
      <c r="D4861" s="105">
        <v>0</v>
      </c>
      <c r="E4861" s="105">
        <v>0</v>
      </c>
      <c r="F4861" s="105">
        <v>0</v>
      </c>
    </row>
    <row r="4862" spans="1:6" x14ac:dyDescent="0.25">
      <c r="A4862" s="105">
        <f t="shared" si="75"/>
        <v>8705241</v>
      </c>
      <c r="B4862" s="105" t="s">
        <v>8080</v>
      </c>
      <c r="C4862" s="105" t="s">
        <v>8081</v>
      </c>
      <c r="D4862" s="105">
        <v>0</v>
      </c>
      <c r="E4862" s="105">
        <v>0</v>
      </c>
      <c r="F4862" s="105">
        <v>0</v>
      </c>
    </row>
    <row r="4863" spans="1:6" x14ac:dyDescent="0.25">
      <c r="A4863" s="105">
        <f t="shared" si="75"/>
        <v>8705256</v>
      </c>
      <c r="B4863" s="105" t="s">
        <v>8082</v>
      </c>
      <c r="C4863" s="105" t="s">
        <v>8083</v>
      </c>
      <c r="D4863" s="105">
        <v>3116.4</v>
      </c>
      <c r="E4863" s="105">
        <v>1869.84</v>
      </c>
      <c r="F4863" s="105">
        <v>7</v>
      </c>
    </row>
    <row r="4864" spans="1:6" x14ac:dyDescent="0.25">
      <c r="A4864" s="105">
        <f t="shared" si="75"/>
        <v>8705300</v>
      </c>
      <c r="B4864" s="105" t="s">
        <v>8084</v>
      </c>
      <c r="C4864" s="105" t="s">
        <v>8085</v>
      </c>
      <c r="D4864" s="105">
        <v>1749</v>
      </c>
      <c r="E4864" s="105">
        <v>1049.4000000000001</v>
      </c>
      <c r="F4864" s="105">
        <v>22</v>
      </c>
    </row>
    <row r="4865" spans="1:6" x14ac:dyDescent="0.25">
      <c r="A4865" s="105">
        <f t="shared" si="75"/>
        <v>8705370</v>
      </c>
      <c r="B4865" s="105" t="s">
        <v>8086</v>
      </c>
      <c r="C4865" s="105" t="s">
        <v>8087</v>
      </c>
      <c r="D4865" s="105">
        <v>1000.1</v>
      </c>
      <c r="E4865" s="105">
        <v>600.05999999999995</v>
      </c>
      <c r="F4865" s="105">
        <v>0</v>
      </c>
    </row>
    <row r="4866" spans="1:6" x14ac:dyDescent="0.25">
      <c r="A4866" s="105">
        <f t="shared" si="75"/>
        <v>8705449</v>
      </c>
      <c r="B4866" s="105" t="s">
        <v>8088</v>
      </c>
      <c r="C4866" s="105" t="s">
        <v>8089</v>
      </c>
      <c r="D4866" s="105">
        <v>419.27</v>
      </c>
      <c r="E4866" s="105">
        <v>251.56</v>
      </c>
      <c r="F4866" s="105">
        <v>0</v>
      </c>
    </row>
    <row r="4867" spans="1:6" x14ac:dyDescent="0.25">
      <c r="A4867" s="105">
        <f t="shared" ref="A4867:A4930" si="76">IF(B4867&lt;&gt;"",IFERROR(B4867*1,""),"")</f>
        <v>8705450</v>
      </c>
      <c r="B4867" s="105" t="s">
        <v>8090</v>
      </c>
      <c r="C4867" s="105" t="s">
        <v>8091</v>
      </c>
      <c r="D4867" s="105">
        <v>0</v>
      </c>
      <c r="E4867" s="105">
        <v>0</v>
      </c>
      <c r="F4867" s="105">
        <v>0</v>
      </c>
    </row>
    <row r="4868" spans="1:6" x14ac:dyDescent="0.25">
      <c r="A4868" s="105">
        <f t="shared" si="76"/>
        <v>8705459</v>
      </c>
      <c r="B4868" s="105" t="s">
        <v>8092</v>
      </c>
      <c r="C4868" s="105" t="s">
        <v>8093</v>
      </c>
      <c r="D4868" s="105">
        <v>1200</v>
      </c>
      <c r="E4868" s="105">
        <v>720</v>
      </c>
      <c r="F4868" s="105">
        <v>9</v>
      </c>
    </row>
    <row r="4869" spans="1:6" x14ac:dyDescent="0.25">
      <c r="A4869" s="105">
        <f t="shared" si="76"/>
        <v>8705460</v>
      </c>
      <c r="B4869" s="105" t="s">
        <v>8094</v>
      </c>
      <c r="C4869" s="105" t="s">
        <v>8095</v>
      </c>
      <c r="D4869" s="105">
        <v>1128.9000000000001</v>
      </c>
      <c r="E4869" s="105">
        <v>677.34</v>
      </c>
      <c r="F4869" s="105">
        <v>0</v>
      </c>
    </row>
    <row r="4870" spans="1:6" x14ac:dyDescent="0.25">
      <c r="A4870" s="105" t="str">
        <f t="shared" si="76"/>
        <v/>
      </c>
      <c r="B4870" s="105" t="s">
        <v>8096</v>
      </c>
      <c r="C4870" s="105" t="s">
        <v>8</v>
      </c>
      <c r="D4870" s="105">
        <v>0</v>
      </c>
      <c r="E4870" s="105">
        <v>0</v>
      </c>
      <c r="F4870" s="105">
        <v>0</v>
      </c>
    </row>
    <row r="4871" spans="1:6" x14ac:dyDescent="0.25">
      <c r="A4871" s="105">
        <f t="shared" si="76"/>
        <v>8705480</v>
      </c>
      <c r="B4871" s="105" t="s">
        <v>8097</v>
      </c>
      <c r="C4871" s="105" t="s">
        <v>8098</v>
      </c>
      <c r="D4871" s="105">
        <v>0</v>
      </c>
      <c r="E4871" s="105">
        <v>0</v>
      </c>
      <c r="F4871" s="105">
        <v>0</v>
      </c>
    </row>
    <row r="4872" spans="1:6" x14ac:dyDescent="0.25">
      <c r="A4872" s="105">
        <f t="shared" si="76"/>
        <v>8705500</v>
      </c>
      <c r="B4872" s="105" t="s">
        <v>8099</v>
      </c>
      <c r="C4872" s="105" t="s">
        <v>8100</v>
      </c>
      <c r="D4872" s="105">
        <v>0</v>
      </c>
      <c r="E4872" s="105">
        <v>0</v>
      </c>
      <c r="F4872" s="105">
        <v>1</v>
      </c>
    </row>
    <row r="4873" spans="1:6" x14ac:dyDescent="0.25">
      <c r="A4873" s="105">
        <f t="shared" si="76"/>
        <v>8705550</v>
      </c>
      <c r="B4873" s="105" t="s">
        <v>8101</v>
      </c>
      <c r="C4873" s="105" t="s">
        <v>8027</v>
      </c>
      <c r="D4873" s="105">
        <v>954.85</v>
      </c>
      <c r="E4873" s="105">
        <v>572.91</v>
      </c>
      <c r="F4873" s="105">
        <v>1</v>
      </c>
    </row>
    <row r="4874" spans="1:6" x14ac:dyDescent="0.25">
      <c r="A4874" s="105">
        <f t="shared" si="76"/>
        <v>8705551</v>
      </c>
      <c r="B4874" s="105" t="s">
        <v>8102</v>
      </c>
      <c r="C4874" s="105" t="s">
        <v>8103</v>
      </c>
      <c r="D4874" s="105">
        <v>1750</v>
      </c>
      <c r="E4874" s="105">
        <v>1050</v>
      </c>
      <c r="F4874" s="105">
        <v>222</v>
      </c>
    </row>
    <row r="4875" spans="1:6" x14ac:dyDescent="0.25">
      <c r="A4875" s="105">
        <f t="shared" si="76"/>
        <v>8705552</v>
      </c>
      <c r="B4875" s="105" t="s">
        <v>8104</v>
      </c>
      <c r="C4875" s="105" t="s">
        <v>8105</v>
      </c>
      <c r="D4875" s="105">
        <v>380.79</v>
      </c>
      <c r="E4875" s="105">
        <v>228.47</v>
      </c>
      <c r="F4875" s="105">
        <v>0</v>
      </c>
    </row>
    <row r="4876" spans="1:6" x14ac:dyDescent="0.25">
      <c r="A4876" s="105">
        <f t="shared" si="76"/>
        <v>8705553</v>
      </c>
      <c r="B4876" s="105" t="s">
        <v>8106</v>
      </c>
      <c r="C4876" s="105" t="s">
        <v>8107</v>
      </c>
      <c r="D4876" s="105">
        <v>1212.6400000000001</v>
      </c>
      <c r="E4876" s="105">
        <v>727.58</v>
      </c>
      <c r="F4876" s="105">
        <v>1</v>
      </c>
    </row>
    <row r="4877" spans="1:6" x14ac:dyDescent="0.25">
      <c r="A4877" s="105">
        <f t="shared" si="76"/>
        <v>8705554</v>
      </c>
      <c r="B4877" s="105" t="s">
        <v>8108</v>
      </c>
      <c r="C4877" s="105" t="s">
        <v>8109</v>
      </c>
      <c r="D4877" s="105">
        <v>667.82</v>
      </c>
      <c r="E4877" s="105">
        <v>400.69</v>
      </c>
      <c r="F4877" s="105">
        <v>0</v>
      </c>
    </row>
    <row r="4878" spans="1:6" x14ac:dyDescent="0.25">
      <c r="A4878" s="105">
        <f t="shared" si="76"/>
        <v>8705555</v>
      </c>
      <c r="B4878" s="105" t="s">
        <v>8110</v>
      </c>
      <c r="C4878" s="105" t="s">
        <v>8111</v>
      </c>
      <c r="D4878" s="105">
        <v>1750.17</v>
      </c>
      <c r="E4878" s="105">
        <v>1050.0999999999999</v>
      </c>
      <c r="F4878" s="105">
        <v>0</v>
      </c>
    </row>
    <row r="4879" spans="1:6" x14ac:dyDescent="0.25">
      <c r="A4879" s="105">
        <f t="shared" si="76"/>
        <v>8705556</v>
      </c>
      <c r="B4879" s="105" t="s">
        <v>8112</v>
      </c>
      <c r="C4879" s="105" t="s">
        <v>8113</v>
      </c>
      <c r="D4879" s="105">
        <v>954.85</v>
      </c>
      <c r="E4879" s="105">
        <v>572.91</v>
      </c>
      <c r="F4879" s="105">
        <v>0</v>
      </c>
    </row>
    <row r="4880" spans="1:6" x14ac:dyDescent="0.25">
      <c r="A4880" s="105" t="str">
        <f t="shared" si="76"/>
        <v/>
      </c>
      <c r="B4880" s="105" t="s">
        <v>8114</v>
      </c>
      <c r="C4880" s="105" t="s">
        <v>8</v>
      </c>
      <c r="D4880" s="105">
        <v>0</v>
      </c>
      <c r="E4880" s="105">
        <v>0</v>
      </c>
      <c r="F4880" s="105">
        <v>0</v>
      </c>
    </row>
    <row r="4881" spans="1:6" x14ac:dyDescent="0.25">
      <c r="A4881" s="105">
        <f t="shared" si="76"/>
        <v>8705557</v>
      </c>
      <c r="B4881" s="105" t="s">
        <v>8115</v>
      </c>
      <c r="C4881" s="105" t="s">
        <v>8116</v>
      </c>
      <c r="D4881" s="105">
        <v>0</v>
      </c>
      <c r="E4881" s="105">
        <v>0</v>
      </c>
      <c r="F4881" s="105">
        <v>0</v>
      </c>
    </row>
    <row r="4882" spans="1:6" x14ac:dyDescent="0.25">
      <c r="A4882" s="105">
        <f t="shared" si="76"/>
        <v>8705568</v>
      </c>
      <c r="B4882" s="105" t="s">
        <v>8117</v>
      </c>
      <c r="C4882" s="105" t="s">
        <v>8118</v>
      </c>
      <c r="D4882" s="105">
        <v>1908</v>
      </c>
      <c r="E4882" s="105">
        <v>1144.8</v>
      </c>
      <c r="F4882" s="105">
        <v>37</v>
      </c>
    </row>
    <row r="4883" spans="1:6" x14ac:dyDescent="0.25">
      <c r="A4883" s="105">
        <f t="shared" si="76"/>
        <v>8705586</v>
      </c>
      <c r="B4883" s="105" t="s">
        <v>8119</v>
      </c>
      <c r="C4883" s="105" t="s">
        <v>8120</v>
      </c>
      <c r="D4883" s="105">
        <v>2014</v>
      </c>
      <c r="E4883" s="105">
        <v>1208.4000000000001</v>
      </c>
      <c r="F4883" s="105">
        <v>70</v>
      </c>
    </row>
    <row r="4884" spans="1:6" x14ac:dyDescent="0.25">
      <c r="A4884" s="105" t="str">
        <f t="shared" si="76"/>
        <v/>
      </c>
      <c r="B4884" s="105" t="s">
        <v>8121</v>
      </c>
      <c r="C4884" s="105" t="s">
        <v>8</v>
      </c>
      <c r="D4884" s="105">
        <v>0</v>
      </c>
      <c r="E4884" s="105">
        <v>0</v>
      </c>
      <c r="F4884" s="105">
        <v>0</v>
      </c>
    </row>
    <row r="4885" spans="1:6" x14ac:dyDescent="0.25">
      <c r="A4885" s="105">
        <f t="shared" si="76"/>
        <v>8705651</v>
      </c>
      <c r="B4885" s="105" t="s">
        <v>8122</v>
      </c>
      <c r="C4885" s="105" t="s">
        <v>8123</v>
      </c>
      <c r="D4885" s="105">
        <v>1450</v>
      </c>
      <c r="E4885" s="105">
        <v>870</v>
      </c>
      <c r="F4885" s="105">
        <v>0</v>
      </c>
    </row>
    <row r="4886" spans="1:6" x14ac:dyDescent="0.25">
      <c r="A4886" s="105">
        <f t="shared" si="76"/>
        <v>8705661</v>
      </c>
      <c r="B4886" s="105" t="s">
        <v>8124</v>
      </c>
      <c r="C4886" s="105" t="s">
        <v>8125</v>
      </c>
      <c r="D4886" s="105">
        <v>1696</v>
      </c>
      <c r="E4886" s="105">
        <v>1017.6</v>
      </c>
      <c r="F4886" s="105">
        <v>73</v>
      </c>
    </row>
    <row r="4887" spans="1:6" x14ac:dyDescent="0.25">
      <c r="A4887" s="105">
        <f t="shared" si="76"/>
        <v>8705665</v>
      </c>
      <c r="B4887" s="105" t="s">
        <v>8126</v>
      </c>
      <c r="C4887" s="105" t="s">
        <v>8127</v>
      </c>
      <c r="D4887" s="105">
        <v>1049.4000000000001</v>
      </c>
      <c r="E4887" s="105">
        <v>629.64</v>
      </c>
      <c r="F4887" s="105">
        <v>0</v>
      </c>
    </row>
    <row r="4888" spans="1:6" x14ac:dyDescent="0.25">
      <c r="A4888" s="105" t="str">
        <f t="shared" si="76"/>
        <v/>
      </c>
      <c r="B4888" s="105" t="s">
        <v>8128</v>
      </c>
      <c r="C4888" s="105" t="s">
        <v>8</v>
      </c>
      <c r="D4888" s="105">
        <v>0</v>
      </c>
      <c r="E4888" s="105">
        <v>0</v>
      </c>
      <c r="F4888" s="105">
        <v>0</v>
      </c>
    </row>
    <row r="4889" spans="1:6" x14ac:dyDescent="0.25">
      <c r="A4889" s="105">
        <f t="shared" si="76"/>
        <v>8705668</v>
      </c>
      <c r="B4889" s="105" t="s">
        <v>8129</v>
      </c>
      <c r="C4889" s="105" t="s">
        <v>8130</v>
      </c>
      <c r="D4889" s="105">
        <v>0</v>
      </c>
      <c r="E4889" s="105">
        <v>0</v>
      </c>
      <c r="F4889" s="105">
        <v>1</v>
      </c>
    </row>
    <row r="4890" spans="1:6" x14ac:dyDescent="0.25">
      <c r="A4890" s="105">
        <f t="shared" si="76"/>
        <v>8705683</v>
      </c>
      <c r="B4890" s="105" t="s">
        <v>8131</v>
      </c>
      <c r="C4890" s="105" t="s">
        <v>8132</v>
      </c>
      <c r="D4890" s="105">
        <v>1378</v>
      </c>
      <c r="E4890" s="105">
        <v>826.8</v>
      </c>
      <c r="F4890" s="105">
        <v>0</v>
      </c>
    </row>
    <row r="4891" spans="1:6" x14ac:dyDescent="0.25">
      <c r="A4891" s="105" t="str">
        <f t="shared" si="76"/>
        <v/>
      </c>
      <c r="B4891" s="105" t="s">
        <v>8133</v>
      </c>
      <c r="C4891" s="105" t="s">
        <v>8</v>
      </c>
      <c r="D4891" s="105">
        <v>0</v>
      </c>
      <c r="E4891" s="105">
        <v>0</v>
      </c>
      <c r="F4891" s="105">
        <v>0</v>
      </c>
    </row>
    <row r="4892" spans="1:6" x14ac:dyDescent="0.25">
      <c r="A4892" s="105">
        <f t="shared" si="76"/>
        <v>8705700</v>
      </c>
      <c r="B4892" s="105" t="s">
        <v>8134</v>
      </c>
      <c r="C4892" s="105" t="s">
        <v>8135</v>
      </c>
      <c r="D4892" s="105">
        <v>2353.1999999999998</v>
      </c>
      <c r="E4892" s="105">
        <v>1411.92</v>
      </c>
      <c r="F4892" s="105">
        <v>0</v>
      </c>
    </row>
    <row r="4893" spans="1:6" x14ac:dyDescent="0.25">
      <c r="A4893" s="105">
        <f t="shared" si="76"/>
        <v>8705749</v>
      </c>
      <c r="B4893" s="105" t="s">
        <v>8136</v>
      </c>
      <c r="C4893" s="105" t="s">
        <v>8137</v>
      </c>
      <c r="D4893" s="105">
        <v>1212.6400000000001</v>
      </c>
      <c r="E4893" s="105">
        <v>727.58</v>
      </c>
      <c r="F4893" s="105">
        <v>0</v>
      </c>
    </row>
    <row r="4894" spans="1:6" x14ac:dyDescent="0.25">
      <c r="A4894" s="105">
        <f t="shared" si="76"/>
        <v>8705750</v>
      </c>
      <c r="B4894" s="105" t="s">
        <v>8138</v>
      </c>
      <c r="C4894" s="105" t="s">
        <v>8139</v>
      </c>
      <c r="D4894" s="105">
        <v>954.85</v>
      </c>
      <c r="E4894" s="105">
        <v>572.91</v>
      </c>
      <c r="F4894" s="105">
        <v>9</v>
      </c>
    </row>
    <row r="4895" spans="1:6" x14ac:dyDescent="0.25">
      <c r="A4895" s="105">
        <f t="shared" si="76"/>
        <v>8705802</v>
      </c>
      <c r="B4895" s="105" t="s">
        <v>8140</v>
      </c>
      <c r="C4895" s="105" t="s">
        <v>8141</v>
      </c>
      <c r="D4895" s="105">
        <v>954.85</v>
      </c>
      <c r="E4895" s="105">
        <v>572.91</v>
      </c>
      <c r="F4895" s="105">
        <v>0</v>
      </c>
    </row>
    <row r="4896" spans="1:6" x14ac:dyDescent="0.25">
      <c r="A4896" s="105">
        <f t="shared" si="76"/>
        <v>8705861</v>
      </c>
      <c r="B4896" s="105" t="s">
        <v>8142</v>
      </c>
      <c r="C4896" s="105" t="s">
        <v>8143</v>
      </c>
      <c r="D4896" s="105">
        <v>1653.6</v>
      </c>
      <c r="E4896" s="105">
        <v>992.16</v>
      </c>
      <c r="F4896" s="105">
        <v>0</v>
      </c>
    </row>
    <row r="4897" spans="1:6" x14ac:dyDescent="0.25">
      <c r="A4897" s="105" t="str">
        <f t="shared" si="76"/>
        <v/>
      </c>
      <c r="B4897" s="105" t="s">
        <v>8144</v>
      </c>
      <c r="C4897" s="105" t="s">
        <v>8</v>
      </c>
      <c r="D4897" s="105">
        <v>0</v>
      </c>
      <c r="E4897" s="105">
        <v>0</v>
      </c>
      <c r="F4897" s="105">
        <v>0</v>
      </c>
    </row>
    <row r="4898" spans="1:6" x14ac:dyDescent="0.25">
      <c r="A4898" s="105">
        <f t="shared" si="76"/>
        <v>8705905</v>
      </c>
      <c r="B4898" s="105" t="s">
        <v>8145</v>
      </c>
      <c r="C4898" s="105" t="s">
        <v>8146</v>
      </c>
      <c r="D4898" s="105">
        <v>1462.8</v>
      </c>
      <c r="E4898" s="105">
        <v>877.68</v>
      </c>
      <c r="F4898" s="105">
        <v>0</v>
      </c>
    </row>
    <row r="4899" spans="1:6" x14ac:dyDescent="0.25">
      <c r="A4899" s="105">
        <f t="shared" si="76"/>
        <v>8705910</v>
      </c>
      <c r="B4899" s="105" t="s">
        <v>8147</v>
      </c>
      <c r="C4899" s="105" t="s">
        <v>8148</v>
      </c>
      <c r="D4899" s="105">
        <v>838.58</v>
      </c>
      <c r="E4899" s="105">
        <v>503.15</v>
      </c>
      <c r="F4899" s="105">
        <v>0</v>
      </c>
    </row>
    <row r="4900" spans="1:6" x14ac:dyDescent="0.25">
      <c r="A4900" s="105">
        <f t="shared" si="76"/>
        <v>8705913</v>
      </c>
      <c r="B4900" s="105" t="s">
        <v>8149</v>
      </c>
      <c r="C4900" s="105" t="s">
        <v>8150</v>
      </c>
      <c r="D4900" s="105">
        <v>2544</v>
      </c>
      <c r="E4900" s="105">
        <v>1526.4</v>
      </c>
      <c r="F4900" s="105">
        <v>8</v>
      </c>
    </row>
    <row r="4901" spans="1:6" x14ac:dyDescent="0.25">
      <c r="A4901" s="105">
        <f t="shared" si="76"/>
        <v>8705914</v>
      </c>
      <c r="B4901" s="105" t="s">
        <v>8151</v>
      </c>
      <c r="C4901" s="105" t="s">
        <v>8152</v>
      </c>
      <c r="D4901" s="105">
        <v>2544</v>
      </c>
      <c r="E4901" s="105">
        <v>1526.4</v>
      </c>
      <c r="F4901" s="105">
        <v>5</v>
      </c>
    </row>
    <row r="4902" spans="1:6" x14ac:dyDescent="0.25">
      <c r="A4902" s="105">
        <f t="shared" si="76"/>
        <v>8706002</v>
      </c>
      <c r="B4902" s="105" t="s">
        <v>8153</v>
      </c>
      <c r="C4902" s="105" t="s">
        <v>8154</v>
      </c>
      <c r="D4902" s="105">
        <v>3932.88</v>
      </c>
      <c r="E4902" s="105">
        <v>2359.73</v>
      </c>
      <c r="F4902" s="105">
        <v>60</v>
      </c>
    </row>
    <row r="4903" spans="1:6" x14ac:dyDescent="0.25">
      <c r="A4903" s="105">
        <f t="shared" si="76"/>
        <v>8706012</v>
      </c>
      <c r="B4903" s="105" t="s">
        <v>8155</v>
      </c>
      <c r="C4903" s="105" t="s">
        <v>8156</v>
      </c>
      <c r="D4903" s="105">
        <v>5771.7</v>
      </c>
      <c r="E4903" s="105">
        <v>3463.02</v>
      </c>
      <c r="F4903" s="105">
        <v>2</v>
      </c>
    </row>
    <row r="4904" spans="1:6" x14ac:dyDescent="0.25">
      <c r="A4904" s="105">
        <f t="shared" si="76"/>
        <v>8706500</v>
      </c>
      <c r="B4904" s="105" t="s">
        <v>8157</v>
      </c>
      <c r="C4904" s="105" t="s">
        <v>8158</v>
      </c>
      <c r="D4904" s="105">
        <v>750.08</v>
      </c>
      <c r="E4904" s="105">
        <v>450.05</v>
      </c>
      <c r="F4904" s="105">
        <v>0</v>
      </c>
    </row>
    <row r="4905" spans="1:6" x14ac:dyDescent="0.25">
      <c r="A4905" s="105">
        <f t="shared" si="76"/>
        <v>8707000</v>
      </c>
      <c r="B4905" s="105" t="s">
        <v>8159</v>
      </c>
      <c r="C4905" s="105" t="s">
        <v>8160</v>
      </c>
      <c r="D4905" s="105">
        <v>159</v>
      </c>
      <c r="E4905" s="105">
        <v>95.4</v>
      </c>
      <c r="F4905" s="105">
        <v>286</v>
      </c>
    </row>
    <row r="4906" spans="1:6" x14ac:dyDescent="0.25">
      <c r="A4906" s="105">
        <f t="shared" si="76"/>
        <v>8707002</v>
      </c>
      <c r="B4906" s="105" t="s">
        <v>8161</v>
      </c>
      <c r="C4906" s="105" t="s">
        <v>8162</v>
      </c>
      <c r="D4906" s="105">
        <v>279.52</v>
      </c>
      <c r="E4906" s="105">
        <v>167.71</v>
      </c>
      <c r="F4906" s="105">
        <v>0</v>
      </c>
    </row>
    <row r="4907" spans="1:6" x14ac:dyDescent="0.25">
      <c r="A4907" s="105" t="str">
        <f t="shared" si="76"/>
        <v/>
      </c>
      <c r="B4907" s="105" t="s">
        <v>8163</v>
      </c>
      <c r="C4907" s="105" t="s">
        <v>8</v>
      </c>
      <c r="D4907" s="105">
        <v>0</v>
      </c>
      <c r="E4907" s="105">
        <v>0</v>
      </c>
      <c r="F4907" s="105">
        <v>0</v>
      </c>
    </row>
    <row r="4908" spans="1:6" x14ac:dyDescent="0.25">
      <c r="A4908" s="105">
        <f t="shared" si="76"/>
        <v>8707003</v>
      </c>
      <c r="B4908" s="105" t="s">
        <v>8164</v>
      </c>
      <c r="C4908" s="105" t="s">
        <v>8165</v>
      </c>
      <c r="D4908" s="105">
        <v>1097.0999999999999</v>
      </c>
      <c r="E4908" s="105">
        <v>658.26</v>
      </c>
      <c r="F4908" s="105">
        <v>0</v>
      </c>
    </row>
    <row r="4909" spans="1:6" x14ac:dyDescent="0.25">
      <c r="A4909" s="105" t="str">
        <f t="shared" si="76"/>
        <v/>
      </c>
      <c r="B4909" s="105" t="s">
        <v>8166</v>
      </c>
      <c r="C4909" s="105" t="s">
        <v>8</v>
      </c>
      <c r="D4909" s="105">
        <v>0</v>
      </c>
      <c r="E4909" s="105">
        <v>0</v>
      </c>
      <c r="F4909" s="105">
        <v>0</v>
      </c>
    </row>
    <row r="4910" spans="1:6" x14ac:dyDescent="0.25">
      <c r="A4910" s="105">
        <f t="shared" si="76"/>
        <v>8707020</v>
      </c>
      <c r="B4910" s="105" t="s">
        <v>8167</v>
      </c>
      <c r="C4910" s="105" t="s">
        <v>8168</v>
      </c>
      <c r="D4910" s="105">
        <v>0</v>
      </c>
      <c r="E4910" s="105">
        <v>0</v>
      </c>
      <c r="F4910" s="105">
        <v>0</v>
      </c>
    </row>
    <row r="4911" spans="1:6" x14ac:dyDescent="0.25">
      <c r="A4911" s="105">
        <f t="shared" si="76"/>
        <v>8707021</v>
      </c>
      <c r="B4911" s="105" t="s">
        <v>8169</v>
      </c>
      <c r="C4911" s="105" t="s">
        <v>8170</v>
      </c>
      <c r="D4911" s="105">
        <v>859.16</v>
      </c>
      <c r="E4911" s="105">
        <v>515.5</v>
      </c>
      <c r="F4911" s="105">
        <v>1</v>
      </c>
    </row>
    <row r="4912" spans="1:6" x14ac:dyDescent="0.25">
      <c r="A4912" s="105">
        <f t="shared" si="76"/>
        <v>8707023</v>
      </c>
      <c r="B4912" s="105" t="s">
        <v>8171</v>
      </c>
      <c r="C4912" s="105" t="s">
        <v>8172</v>
      </c>
      <c r="D4912" s="105">
        <v>3784.2</v>
      </c>
      <c r="E4912" s="105">
        <v>2270.52</v>
      </c>
      <c r="F4912" s="105">
        <v>13</v>
      </c>
    </row>
    <row r="4913" spans="1:6" x14ac:dyDescent="0.25">
      <c r="A4913" s="105">
        <f t="shared" si="76"/>
        <v>8707024</v>
      </c>
      <c r="B4913" s="105" t="s">
        <v>8173</v>
      </c>
      <c r="C4913" s="105" t="s">
        <v>8174</v>
      </c>
      <c r="D4913" s="105">
        <v>2750</v>
      </c>
      <c r="E4913" s="105">
        <v>1650</v>
      </c>
      <c r="F4913" s="105">
        <v>11</v>
      </c>
    </row>
    <row r="4914" spans="1:6" x14ac:dyDescent="0.25">
      <c r="A4914" s="105" t="str">
        <f t="shared" si="76"/>
        <v/>
      </c>
      <c r="B4914" s="105" t="s">
        <v>8175</v>
      </c>
      <c r="C4914" s="105" t="s">
        <v>8</v>
      </c>
      <c r="D4914" s="105">
        <v>0</v>
      </c>
      <c r="E4914" s="105">
        <v>0</v>
      </c>
      <c r="F4914" s="105">
        <v>0</v>
      </c>
    </row>
    <row r="4915" spans="1:6" x14ac:dyDescent="0.25">
      <c r="A4915" s="105">
        <f t="shared" si="76"/>
        <v>8707025</v>
      </c>
      <c r="B4915" s="105" t="s">
        <v>8176</v>
      </c>
      <c r="C4915" s="105" t="s">
        <v>8177</v>
      </c>
      <c r="D4915" s="105">
        <v>0</v>
      </c>
      <c r="E4915" s="105">
        <v>0</v>
      </c>
      <c r="F4915" s="105">
        <v>0</v>
      </c>
    </row>
    <row r="4916" spans="1:6" x14ac:dyDescent="0.25">
      <c r="A4916" s="105">
        <f t="shared" si="76"/>
        <v>8707026</v>
      </c>
      <c r="B4916" s="105" t="s">
        <v>8178</v>
      </c>
      <c r="C4916" s="105" t="s">
        <v>8179</v>
      </c>
      <c r="D4916" s="105">
        <v>3571.25</v>
      </c>
      <c r="E4916" s="105">
        <v>2142.75</v>
      </c>
      <c r="F4916" s="105">
        <v>0</v>
      </c>
    </row>
    <row r="4917" spans="1:6" x14ac:dyDescent="0.25">
      <c r="A4917" s="105" t="str">
        <f t="shared" si="76"/>
        <v/>
      </c>
      <c r="B4917" s="105" t="s">
        <v>8180</v>
      </c>
      <c r="C4917" s="105" t="s">
        <v>8</v>
      </c>
      <c r="D4917" s="105">
        <v>0</v>
      </c>
      <c r="E4917" s="105">
        <v>0</v>
      </c>
      <c r="F4917" s="105">
        <v>0</v>
      </c>
    </row>
    <row r="4918" spans="1:6" x14ac:dyDescent="0.25">
      <c r="A4918" s="105">
        <f t="shared" si="76"/>
        <v>8707058</v>
      </c>
      <c r="B4918" s="105" t="s">
        <v>8181</v>
      </c>
      <c r="C4918" s="105" t="s">
        <v>8182</v>
      </c>
      <c r="D4918" s="105">
        <v>0</v>
      </c>
      <c r="E4918" s="105">
        <v>0</v>
      </c>
      <c r="F4918" s="105">
        <v>0</v>
      </c>
    </row>
    <row r="4919" spans="1:6" x14ac:dyDescent="0.25">
      <c r="A4919" s="105">
        <f t="shared" si="76"/>
        <v>8707113</v>
      </c>
      <c r="B4919" s="105" t="s">
        <v>8183</v>
      </c>
      <c r="C4919" s="105" t="s">
        <v>8184</v>
      </c>
      <c r="D4919" s="105">
        <v>1395</v>
      </c>
      <c r="E4919" s="105">
        <v>837</v>
      </c>
      <c r="F4919" s="105">
        <v>17</v>
      </c>
    </row>
    <row r="4920" spans="1:6" x14ac:dyDescent="0.25">
      <c r="A4920" s="105">
        <f t="shared" si="76"/>
        <v>8707117</v>
      </c>
      <c r="B4920" s="105" t="s">
        <v>8185</v>
      </c>
      <c r="C4920" s="105" t="s">
        <v>8186</v>
      </c>
      <c r="D4920" s="105">
        <v>3622.79</v>
      </c>
      <c r="E4920" s="105">
        <v>2173.67</v>
      </c>
      <c r="F4920" s="105">
        <v>0</v>
      </c>
    </row>
    <row r="4921" spans="1:6" x14ac:dyDescent="0.25">
      <c r="A4921" s="105" t="str">
        <f t="shared" si="76"/>
        <v/>
      </c>
      <c r="B4921" s="105" t="s">
        <v>8187</v>
      </c>
      <c r="C4921" s="105" t="s">
        <v>8</v>
      </c>
      <c r="D4921" s="105">
        <v>0</v>
      </c>
      <c r="E4921" s="105">
        <v>0</v>
      </c>
      <c r="F4921" s="105">
        <v>0</v>
      </c>
    </row>
    <row r="4922" spans="1:6" x14ac:dyDescent="0.25">
      <c r="A4922" s="105">
        <f t="shared" si="76"/>
        <v>8707206</v>
      </c>
      <c r="B4922" s="105" t="s">
        <v>8188</v>
      </c>
      <c r="C4922" s="105" t="s">
        <v>8189</v>
      </c>
      <c r="D4922" s="105">
        <v>0</v>
      </c>
      <c r="E4922" s="105">
        <v>0</v>
      </c>
      <c r="F4922" s="105">
        <v>0</v>
      </c>
    </row>
    <row r="4923" spans="1:6" x14ac:dyDescent="0.25">
      <c r="A4923" s="105">
        <f t="shared" si="76"/>
        <v>8707381</v>
      </c>
      <c r="B4923" s="105" t="s">
        <v>8190</v>
      </c>
      <c r="C4923" s="105" t="s">
        <v>8191</v>
      </c>
      <c r="D4923" s="105">
        <v>24380</v>
      </c>
      <c r="E4923" s="105">
        <v>14628</v>
      </c>
      <c r="F4923" s="105">
        <v>2</v>
      </c>
    </row>
    <row r="4924" spans="1:6" x14ac:dyDescent="0.25">
      <c r="A4924" s="105">
        <f t="shared" si="76"/>
        <v>8707500</v>
      </c>
      <c r="B4924" s="105" t="s">
        <v>8192</v>
      </c>
      <c r="C4924" s="105" t="s">
        <v>8193</v>
      </c>
      <c r="D4924" s="105">
        <v>1749</v>
      </c>
      <c r="E4924" s="105">
        <v>1049.4000000000001</v>
      </c>
      <c r="F4924" s="105">
        <v>10</v>
      </c>
    </row>
    <row r="4925" spans="1:6" x14ac:dyDescent="0.25">
      <c r="A4925" s="105">
        <f t="shared" si="76"/>
        <v>8707509</v>
      </c>
      <c r="B4925" s="105" t="s">
        <v>8194</v>
      </c>
      <c r="C4925" s="105" t="s">
        <v>8195</v>
      </c>
      <c r="D4925" s="105">
        <v>2250</v>
      </c>
      <c r="E4925" s="105">
        <v>1350</v>
      </c>
      <c r="F4925" s="105">
        <v>1</v>
      </c>
    </row>
    <row r="4926" spans="1:6" x14ac:dyDescent="0.25">
      <c r="A4926" s="105">
        <f t="shared" si="76"/>
        <v>8707550</v>
      </c>
      <c r="B4926" s="105" t="s">
        <v>8196</v>
      </c>
      <c r="C4926" s="105" t="s">
        <v>8197</v>
      </c>
      <c r="D4926" s="105">
        <v>1431</v>
      </c>
      <c r="E4926" s="105">
        <v>858.6</v>
      </c>
      <c r="F4926" s="105">
        <v>6</v>
      </c>
    </row>
    <row r="4927" spans="1:6" x14ac:dyDescent="0.25">
      <c r="A4927" s="105">
        <f t="shared" si="76"/>
        <v>8707552</v>
      </c>
      <c r="B4927" s="105" t="s">
        <v>8198</v>
      </c>
      <c r="C4927" s="105" t="s">
        <v>8199</v>
      </c>
      <c r="D4927" s="105">
        <v>1590</v>
      </c>
      <c r="E4927" s="105">
        <v>954</v>
      </c>
      <c r="F4927" s="105">
        <v>962</v>
      </c>
    </row>
    <row r="4928" spans="1:6" x14ac:dyDescent="0.25">
      <c r="A4928" s="105">
        <f t="shared" si="76"/>
        <v>8707553</v>
      </c>
      <c r="B4928" s="105" t="s">
        <v>8200</v>
      </c>
      <c r="C4928" s="105" t="s">
        <v>8201</v>
      </c>
      <c r="D4928" s="105">
        <v>1350</v>
      </c>
      <c r="E4928" s="105">
        <v>810</v>
      </c>
      <c r="F4928" s="105">
        <v>22</v>
      </c>
    </row>
    <row r="4929" spans="1:6" x14ac:dyDescent="0.25">
      <c r="A4929" s="105">
        <f t="shared" si="76"/>
        <v>8707554</v>
      </c>
      <c r="B4929" s="105" t="s">
        <v>8202</v>
      </c>
      <c r="C4929" s="105" t="s">
        <v>8203</v>
      </c>
      <c r="D4929" s="105">
        <v>1431</v>
      </c>
      <c r="E4929" s="105">
        <v>858.6</v>
      </c>
      <c r="F4929" s="105">
        <v>0</v>
      </c>
    </row>
    <row r="4930" spans="1:6" x14ac:dyDescent="0.25">
      <c r="A4930" s="105">
        <f t="shared" si="76"/>
        <v>8707555</v>
      </c>
      <c r="B4930" s="105" t="s">
        <v>8204</v>
      </c>
      <c r="C4930" s="105" t="s">
        <v>8205</v>
      </c>
      <c r="D4930" s="105">
        <v>954.85</v>
      </c>
      <c r="E4930" s="105">
        <v>572.91</v>
      </c>
      <c r="F4930" s="105">
        <v>1</v>
      </c>
    </row>
    <row r="4931" spans="1:6" x14ac:dyDescent="0.25">
      <c r="A4931" s="105" t="str">
        <f t="shared" ref="A4931:A4994" si="77">IF(B4931&lt;&gt;"",IFERROR(B4931*1,""),"")</f>
        <v/>
      </c>
      <c r="B4931" s="105" t="s">
        <v>8206</v>
      </c>
      <c r="C4931" s="105" t="s">
        <v>8</v>
      </c>
      <c r="D4931" s="105">
        <v>0</v>
      </c>
      <c r="E4931" s="105">
        <v>0</v>
      </c>
      <c r="F4931" s="105">
        <v>0</v>
      </c>
    </row>
    <row r="4932" spans="1:6" x14ac:dyDescent="0.25">
      <c r="A4932" s="105">
        <f t="shared" si="77"/>
        <v>8707556</v>
      </c>
      <c r="B4932" s="105" t="s">
        <v>8207</v>
      </c>
      <c r="C4932" s="105" t="s">
        <v>8208</v>
      </c>
      <c r="D4932" s="105">
        <v>0</v>
      </c>
      <c r="E4932" s="105">
        <v>0</v>
      </c>
      <c r="F4932" s="105">
        <v>0</v>
      </c>
    </row>
    <row r="4933" spans="1:6" x14ac:dyDescent="0.25">
      <c r="A4933" s="105">
        <f t="shared" si="77"/>
        <v>8707657</v>
      </c>
      <c r="B4933" s="105" t="s">
        <v>8209</v>
      </c>
      <c r="C4933" s="105" t="s">
        <v>8210</v>
      </c>
      <c r="D4933" s="105">
        <v>24380</v>
      </c>
      <c r="E4933" s="105">
        <v>14628</v>
      </c>
      <c r="F4933" s="105">
        <v>0</v>
      </c>
    </row>
    <row r="4934" spans="1:6" x14ac:dyDescent="0.25">
      <c r="A4934" s="105">
        <f t="shared" si="77"/>
        <v>8707658</v>
      </c>
      <c r="B4934" s="105" t="s">
        <v>8211</v>
      </c>
      <c r="C4934" s="105" t="s">
        <v>8212</v>
      </c>
      <c r="D4934" s="105">
        <v>24380</v>
      </c>
      <c r="E4934" s="105">
        <v>14628</v>
      </c>
      <c r="F4934" s="105">
        <v>0</v>
      </c>
    </row>
    <row r="4935" spans="1:6" x14ac:dyDescent="0.25">
      <c r="A4935" s="105" t="str">
        <f t="shared" si="77"/>
        <v/>
      </c>
      <c r="B4935" s="105" t="s">
        <v>8213</v>
      </c>
      <c r="C4935" s="105" t="s">
        <v>8</v>
      </c>
      <c r="D4935" s="105">
        <v>0</v>
      </c>
      <c r="E4935" s="105">
        <v>0</v>
      </c>
      <c r="F4935" s="105">
        <v>0</v>
      </c>
    </row>
    <row r="4936" spans="1:6" x14ac:dyDescent="0.25">
      <c r="A4936" s="105">
        <f t="shared" si="77"/>
        <v>8707701</v>
      </c>
      <c r="B4936" s="105" t="s">
        <v>8214</v>
      </c>
      <c r="C4936" s="105" t="s">
        <v>8215</v>
      </c>
      <c r="D4936" s="105">
        <v>0</v>
      </c>
      <c r="E4936" s="105">
        <v>0</v>
      </c>
      <c r="F4936" s="105">
        <v>0</v>
      </c>
    </row>
    <row r="4937" spans="1:6" x14ac:dyDescent="0.25">
      <c r="A4937" s="105">
        <f t="shared" si="77"/>
        <v>8707702</v>
      </c>
      <c r="B4937" s="105" t="s">
        <v>8216</v>
      </c>
      <c r="C4937" s="105" t="s">
        <v>8217</v>
      </c>
      <c r="D4937" s="105">
        <v>332.77</v>
      </c>
      <c r="E4937" s="105">
        <v>199.66</v>
      </c>
      <c r="F4937" s="105">
        <v>7</v>
      </c>
    </row>
    <row r="4938" spans="1:6" x14ac:dyDescent="0.25">
      <c r="A4938" s="105">
        <f t="shared" si="77"/>
        <v>8707721</v>
      </c>
      <c r="B4938" s="105" t="s">
        <v>8218</v>
      </c>
      <c r="C4938" s="105" t="s">
        <v>8219</v>
      </c>
      <c r="D4938" s="105">
        <v>1166</v>
      </c>
      <c r="E4938" s="105">
        <v>699.6</v>
      </c>
      <c r="F4938" s="105">
        <v>0</v>
      </c>
    </row>
    <row r="4939" spans="1:6" x14ac:dyDescent="0.25">
      <c r="A4939" s="105">
        <f t="shared" si="77"/>
        <v>8707750</v>
      </c>
      <c r="B4939" s="105" t="s">
        <v>8220</v>
      </c>
      <c r="C4939" s="105" t="s">
        <v>8221</v>
      </c>
      <c r="D4939" s="105">
        <v>1431</v>
      </c>
      <c r="E4939" s="105">
        <v>858.6</v>
      </c>
      <c r="F4939" s="105">
        <v>0</v>
      </c>
    </row>
    <row r="4940" spans="1:6" x14ac:dyDescent="0.25">
      <c r="A4940" s="105">
        <f t="shared" si="77"/>
        <v>8707964</v>
      </c>
      <c r="B4940" s="105" t="s">
        <v>8222</v>
      </c>
      <c r="C4940" s="105" t="s">
        <v>8223</v>
      </c>
      <c r="D4940" s="105">
        <v>859.16</v>
      </c>
      <c r="E4940" s="105">
        <v>515.5</v>
      </c>
      <c r="F4940" s="105">
        <v>0</v>
      </c>
    </row>
    <row r="4941" spans="1:6" x14ac:dyDescent="0.25">
      <c r="A4941" s="105" t="str">
        <f t="shared" si="77"/>
        <v/>
      </c>
      <c r="B4941" s="105" t="s">
        <v>8224</v>
      </c>
      <c r="C4941" s="105" t="s">
        <v>8</v>
      </c>
      <c r="D4941" s="105">
        <v>0</v>
      </c>
      <c r="E4941" s="105">
        <v>0</v>
      </c>
      <c r="F4941" s="105">
        <v>0</v>
      </c>
    </row>
    <row r="4942" spans="1:6" x14ac:dyDescent="0.25">
      <c r="A4942" s="105">
        <f t="shared" si="77"/>
        <v>8707965</v>
      </c>
      <c r="B4942" s="105" t="s">
        <v>8225</v>
      </c>
      <c r="C4942" s="105" t="s">
        <v>8226</v>
      </c>
      <c r="D4942" s="105">
        <v>0</v>
      </c>
      <c r="E4942" s="105">
        <v>0</v>
      </c>
      <c r="F4942" s="105">
        <v>0</v>
      </c>
    </row>
    <row r="4943" spans="1:6" x14ac:dyDescent="0.25">
      <c r="A4943" s="105">
        <f t="shared" si="77"/>
        <v>8707980</v>
      </c>
      <c r="B4943" s="105" t="s">
        <v>8227</v>
      </c>
      <c r="C4943" s="105" t="s">
        <v>8228</v>
      </c>
      <c r="D4943" s="105">
        <v>763.49</v>
      </c>
      <c r="E4943" s="105">
        <v>458.09</v>
      </c>
      <c r="F4943" s="105">
        <v>0</v>
      </c>
    </row>
    <row r="4944" spans="1:6" x14ac:dyDescent="0.25">
      <c r="A4944" s="105">
        <f t="shared" si="77"/>
        <v>8707981</v>
      </c>
      <c r="B4944" s="105" t="s">
        <v>8229</v>
      </c>
      <c r="C4944" s="105" t="s">
        <v>8230</v>
      </c>
      <c r="D4944" s="105">
        <v>0</v>
      </c>
      <c r="E4944" s="105">
        <v>0</v>
      </c>
      <c r="F4944" s="105">
        <v>0</v>
      </c>
    </row>
    <row r="4945" spans="1:6" x14ac:dyDescent="0.25">
      <c r="A4945" s="105">
        <f t="shared" si="77"/>
        <v>8707982</v>
      </c>
      <c r="B4945" s="105" t="s">
        <v>8231</v>
      </c>
      <c r="C4945" s="105" t="s">
        <v>8232</v>
      </c>
      <c r="D4945" s="105">
        <v>1939.8</v>
      </c>
      <c r="E4945" s="105">
        <v>1163.8800000000001</v>
      </c>
      <c r="F4945" s="105">
        <v>0</v>
      </c>
    </row>
    <row r="4946" spans="1:6" x14ac:dyDescent="0.25">
      <c r="A4946" s="105">
        <f t="shared" si="77"/>
        <v>8708</v>
      </c>
      <c r="B4946" s="105" t="s">
        <v>8233</v>
      </c>
      <c r="C4946" s="105" t="s">
        <v>8</v>
      </c>
      <c r="D4946" s="105">
        <v>0</v>
      </c>
      <c r="E4946" s="105">
        <v>0</v>
      </c>
      <c r="F4946" s="105">
        <v>0</v>
      </c>
    </row>
    <row r="4947" spans="1:6" x14ac:dyDescent="0.25">
      <c r="A4947" s="105">
        <f t="shared" si="77"/>
        <v>8708001</v>
      </c>
      <c r="B4947" s="105" t="s">
        <v>8234</v>
      </c>
      <c r="C4947" s="105" t="s">
        <v>8235</v>
      </c>
      <c r="D4947" s="105">
        <v>954</v>
      </c>
      <c r="E4947" s="105">
        <v>572.4</v>
      </c>
      <c r="F4947" s="105">
        <v>198</v>
      </c>
    </row>
    <row r="4948" spans="1:6" x14ac:dyDescent="0.25">
      <c r="A4948" s="105" t="str">
        <f t="shared" si="77"/>
        <v/>
      </c>
      <c r="B4948" s="105" t="s">
        <v>8236</v>
      </c>
      <c r="C4948" s="105" t="s">
        <v>8</v>
      </c>
      <c r="D4948" s="105">
        <v>0</v>
      </c>
      <c r="E4948" s="105">
        <v>0</v>
      </c>
      <c r="F4948" s="105">
        <v>0</v>
      </c>
    </row>
    <row r="4949" spans="1:6" x14ac:dyDescent="0.25">
      <c r="A4949" s="105">
        <f t="shared" si="77"/>
        <v>8708002</v>
      </c>
      <c r="B4949" s="105" t="s">
        <v>8237</v>
      </c>
      <c r="C4949" s="105" t="s">
        <v>8238</v>
      </c>
      <c r="D4949" s="105">
        <v>0</v>
      </c>
      <c r="E4949" s="105">
        <v>0</v>
      </c>
      <c r="F4949" s="105">
        <v>0</v>
      </c>
    </row>
    <row r="4950" spans="1:6" x14ac:dyDescent="0.25">
      <c r="A4950" s="105" t="str">
        <f t="shared" si="77"/>
        <v/>
      </c>
      <c r="B4950" s="105" t="s">
        <v>8239</v>
      </c>
      <c r="C4950" s="105" t="s">
        <v>8</v>
      </c>
      <c r="D4950" s="105">
        <v>0</v>
      </c>
      <c r="E4950" s="105">
        <v>0</v>
      </c>
      <c r="F4950" s="105">
        <v>0</v>
      </c>
    </row>
    <row r="4951" spans="1:6" x14ac:dyDescent="0.25">
      <c r="A4951" s="105">
        <f t="shared" si="77"/>
        <v>8708003</v>
      </c>
      <c r="B4951" s="105" t="s">
        <v>8240</v>
      </c>
      <c r="C4951" s="105" t="s">
        <v>8241</v>
      </c>
      <c r="D4951" s="105">
        <v>0</v>
      </c>
      <c r="E4951" s="105">
        <v>0</v>
      </c>
      <c r="F4951" s="105">
        <v>0</v>
      </c>
    </row>
    <row r="4952" spans="1:6" x14ac:dyDescent="0.25">
      <c r="A4952" s="105" t="str">
        <f t="shared" si="77"/>
        <v/>
      </c>
      <c r="B4952" s="105" t="s">
        <v>8242</v>
      </c>
      <c r="C4952" s="105" t="s">
        <v>8</v>
      </c>
      <c r="D4952" s="105">
        <v>0</v>
      </c>
      <c r="E4952" s="105">
        <v>0</v>
      </c>
      <c r="F4952" s="105">
        <v>0</v>
      </c>
    </row>
    <row r="4953" spans="1:6" x14ac:dyDescent="0.25">
      <c r="A4953" s="105">
        <f t="shared" si="77"/>
        <v>8708004</v>
      </c>
      <c r="B4953" s="105" t="s">
        <v>8243</v>
      </c>
      <c r="C4953" s="105" t="s">
        <v>8244</v>
      </c>
      <c r="D4953" s="105">
        <v>0</v>
      </c>
      <c r="E4953" s="105">
        <v>0</v>
      </c>
      <c r="F4953" s="105">
        <v>0</v>
      </c>
    </row>
    <row r="4954" spans="1:6" x14ac:dyDescent="0.25">
      <c r="A4954" s="105" t="str">
        <f t="shared" si="77"/>
        <v/>
      </c>
      <c r="B4954" s="105" t="s">
        <v>8245</v>
      </c>
      <c r="C4954" s="105" t="s">
        <v>8</v>
      </c>
      <c r="D4954" s="105">
        <v>0</v>
      </c>
      <c r="E4954" s="105">
        <v>0</v>
      </c>
      <c r="F4954" s="105">
        <v>0</v>
      </c>
    </row>
    <row r="4955" spans="1:6" x14ac:dyDescent="0.25">
      <c r="A4955" s="105">
        <f t="shared" si="77"/>
        <v>8708006</v>
      </c>
      <c r="B4955" s="105" t="s">
        <v>8246</v>
      </c>
      <c r="C4955" s="105" t="s">
        <v>8247</v>
      </c>
      <c r="D4955" s="105">
        <v>0</v>
      </c>
      <c r="E4955" s="105">
        <v>0</v>
      </c>
      <c r="F4955" s="105">
        <v>0</v>
      </c>
    </row>
    <row r="4956" spans="1:6" x14ac:dyDescent="0.25">
      <c r="A4956" s="105" t="str">
        <f t="shared" si="77"/>
        <v/>
      </c>
      <c r="B4956" s="105" t="s">
        <v>8248</v>
      </c>
      <c r="C4956" s="105" t="s">
        <v>8</v>
      </c>
      <c r="D4956" s="105">
        <v>0</v>
      </c>
      <c r="E4956" s="105">
        <v>0</v>
      </c>
      <c r="F4956" s="105">
        <v>0</v>
      </c>
    </row>
    <row r="4957" spans="1:6" x14ac:dyDescent="0.25">
      <c r="A4957" s="105">
        <f t="shared" si="77"/>
        <v>8708007</v>
      </c>
      <c r="B4957" s="105" t="s">
        <v>8249</v>
      </c>
      <c r="C4957" s="105" t="s">
        <v>8250</v>
      </c>
      <c r="D4957" s="105">
        <v>0</v>
      </c>
      <c r="E4957" s="105">
        <v>0</v>
      </c>
      <c r="F4957" s="105">
        <v>0</v>
      </c>
    </row>
    <row r="4958" spans="1:6" x14ac:dyDescent="0.25">
      <c r="A4958" s="105" t="str">
        <f t="shared" si="77"/>
        <v/>
      </c>
      <c r="B4958" s="105" t="s">
        <v>8251</v>
      </c>
      <c r="C4958" s="105" t="s">
        <v>8</v>
      </c>
      <c r="D4958" s="105">
        <v>0</v>
      </c>
      <c r="E4958" s="105">
        <v>0</v>
      </c>
      <c r="F4958" s="105">
        <v>0</v>
      </c>
    </row>
    <row r="4959" spans="1:6" x14ac:dyDescent="0.25">
      <c r="A4959" s="105">
        <f t="shared" si="77"/>
        <v>8708008</v>
      </c>
      <c r="B4959" s="105" t="s">
        <v>8252</v>
      </c>
      <c r="C4959" s="105" t="s">
        <v>8253</v>
      </c>
      <c r="D4959" s="105">
        <v>0</v>
      </c>
      <c r="E4959" s="105">
        <v>0</v>
      </c>
      <c r="F4959" s="105">
        <v>0</v>
      </c>
    </row>
    <row r="4960" spans="1:6" x14ac:dyDescent="0.25">
      <c r="A4960" s="105" t="str">
        <f t="shared" si="77"/>
        <v/>
      </c>
      <c r="B4960" s="105" t="s">
        <v>8254</v>
      </c>
      <c r="C4960" s="105" t="s">
        <v>8</v>
      </c>
      <c r="D4960" s="105">
        <v>0</v>
      </c>
      <c r="E4960" s="105">
        <v>0</v>
      </c>
      <c r="F4960" s="105">
        <v>0</v>
      </c>
    </row>
    <row r="4961" spans="1:6" x14ac:dyDescent="0.25">
      <c r="A4961" s="105">
        <f t="shared" si="77"/>
        <v>8708009</v>
      </c>
      <c r="B4961" s="105" t="s">
        <v>8255</v>
      </c>
      <c r="C4961" s="105" t="s">
        <v>8256</v>
      </c>
      <c r="D4961" s="105">
        <v>0</v>
      </c>
      <c r="E4961" s="105">
        <v>0</v>
      </c>
      <c r="F4961" s="105">
        <v>0</v>
      </c>
    </row>
    <row r="4962" spans="1:6" x14ac:dyDescent="0.25">
      <c r="A4962" s="105">
        <f t="shared" si="77"/>
        <v>8708010</v>
      </c>
      <c r="B4962" s="105" t="s">
        <v>8257</v>
      </c>
      <c r="C4962" s="105" t="s">
        <v>8258</v>
      </c>
      <c r="D4962" s="105">
        <v>2220</v>
      </c>
      <c r="E4962" s="105">
        <v>1332</v>
      </c>
      <c r="F4962" s="105">
        <v>3</v>
      </c>
    </row>
    <row r="4963" spans="1:6" x14ac:dyDescent="0.25">
      <c r="A4963" s="105">
        <f t="shared" si="77"/>
        <v>8708011</v>
      </c>
      <c r="B4963" s="105" t="s">
        <v>8259</v>
      </c>
      <c r="C4963" s="105" t="s">
        <v>8260</v>
      </c>
      <c r="D4963" s="105">
        <v>1500</v>
      </c>
      <c r="E4963" s="105">
        <v>900</v>
      </c>
      <c r="F4963" s="105">
        <v>0</v>
      </c>
    </row>
    <row r="4964" spans="1:6" x14ac:dyDescent="0.25">
      <c r="A4964" s="105">
        <f t="shared" si="77"/>
        <v>87080111</v>
      </c>
      <c r="B4964" s="105" t="s">
        <v>8261</v>
      </c>
      <c r="C4964" s="105" t="s">
        <v>8262</v>
      </c>
      <c r="D4964" s="105">
        <v>38554.870000000003</v>
      </c>
      <c r="E4964" s="105">
        <v>23132.92</v>
      </c>
      <c r="F4964" s="105">
        <v>0</v>
      </c>
    </row>
    <row r="4965" spans="1:6" x14ac:dyDescent="0.25">
      <c r="A4965" s="105" t="str">
        <f t="shared" si="77"/>
        <v/>
      </c>
      <c r="B4965" s="105" t="s">
        <v>8263</v>
      </c>
      <c r="C4965" s="105" t="s">
        <v>8</v>
      </c>
      <c r="D4965" s="105">
        <v>0</v>
      </c>
      <c r="E4965" s="105">
        <v>0</v>
      </c>
      <c r="F4965" s="105">
        <v>0</v>
      </c>
    </row>
    <row r="4966" spans="1:6" x14ac:dyDescent="0.25">
      <c r="A4966" s="105">
        <f t="shared" si="77"/>
        <v>8708012</v>
      </c>
      <c r="B4966" s="105" t="s">
        <v>8264</v>
      </c>
      <c r="C4966" s="105" t="s">
        <v>8265</v>
      </c>
      <c r="D4966" s="105">
        <v>0</v>
      </c>
      <c r="E4966" s="105">
        <v>0</v>
      </c>
      <c r="F4966" s="105">
        <v>0</v>
      </c>
    </row>
    <row r="4967" spans="1:6" x14ac:dyDescent="0.25">
      <c r="A4967" s="105">
        <f t="shared" si="77"/>
        <v>8708014</v>
      </c>
      <c r="B4967" s="105" t="s">
        <v>8266</v>
      </c>
      <c r="C4967" s="105" t="s">
        <v>8267</v>
      </c>
      <c r="D4967" s="105">
        <v>3498</v>
      </c>
      <c r="E4967" s="105">
        <v>2098.8000000000002</v>
      </c>
      <c r="F4967" s="105">
        <v>4</v>
      </c>
    </row>
    <row r="4968" spans="1:6" x14ac:dyDescent="0.25">
      <c r="A4968" s="105">
        <f t="shared" si="77"/>
        <v>8708015</v>
      </c>
      <c r="B4968" s="105" t="s">
        <v>8268</v>
      </c>
      <c r="C4968" s="105" t="s">
        <v>8269</v>
      </c>
      <c r="D4968" s="105">
        <v>1160.7</v>
      </c>
      <c r="E4968" s="105">
        <v>696.42</v>
      </c>
      <c r="F4968" s="105">
        <v>0</v>
      </c>
    </row>
    <row r="4969" spans="1:6" x14ac:dyDescent="0.25">
      <c r="A4969" s="105">
        <f t="shared" si="77"/>
        <v>8708020</v>
      </c>
      <c r="B4969" s="105" t="s">
        <v>8270</v>
      </c>
      <c r="C4969" s="105" t="s">
        <v>8271</v>
      </c>
      <c r="D4969" s="105">
        <v>5070</v>
      </c>
      <c r="E4969" s="105">
        <v>3042</v>
      </c>
      <c r="F4969" s="105">
        <v>5</v>
      </c>
    </row>
    <row r="4970" spans="1:6" x14ac:dyDescent="0.25">
      <c r="A4970" s="105">
        <f t="shared" si="77"/>
        <v>8708024</v>
      </c>
      <c r="B4970" s="105" t="s">
        <v>8272</v>
      </c>
      <c r="C4970" s="105" t="s">
        <v>8273</v>
      </c>
      <c r="D4970" s="105">
        <v>1110</v>
      </c>
      <c r="E4970" s="105">
        <v>666</v>
      </c>
      <c r="F4970" s="105">
        <v>0</v>
      </c>
    </row>
    <row r="4971" spans="1:6" x14ac:dyDescent="0.25">
      <c r="A4971" s="105">
        <f t="shared" si="77"/>
        <v>8708025</v>
      </c>
      <c r="B4971" s="105" t="s">
        <v>8274</v>
      </c>
      <c r="C4971" s="105" t="s">
        <v>8275</v>
      </c>
      <c r="D4971" s="105">
        <v>11002.8</v>
      </c>
      <c r="E4971" s="105">
        <v>6601.68</v>
      </c>
      <c r="F4971" s="105">
        <v>0</v>
      </c>
    </row>
    <row r="4972" spans="1:6" x14ac:dyDescent="0.25">
      <c r="A4972" s="105" t="str">
        <f t="shared" si="77"/>
        <v/>
      </c>
      <c r="B4972" s="105" t="s">
        <v>8276</v>
      </c>
      <c r="C4972" s="105" t="s">
        <v>8</v>
      </c>
      <c r="D4972" s="105">
        <v>0</v>
      </c>
      <c r="E4972" s="105">
        <v>0</v>
      </c>
      <c r="F4972" s="105">
        <v>0</v>
      </c>
    </row>
    <row r="4973" spans="1:6" x14ac:dyDescent="0.25">
      <c r="A4973" s="105">
        <f t="shared" si="77"/>
        <v>8708030</v>
      </c>
      <c r="B4973" s="105" t="s">
        <v>8277</v>
      </c>
      <c r="C4973" s="105" t="s">
        <v>8278</v>
      </c>
      <c r="D4973" s="105">
        <v>0</v>
      </c>
      <c r="E4973" s="105">
        <v>0</v>
      </c>
      <c r="F4973" s="105">
        <v>0</v>
      </c>
    </row>
    <row r="4974" spans="1:6" x14ac:dyDescent="0.25">
      <c r="A4974" s="105">
        <f t="shared" si="77"/>
        <v>8708040</v>
      </c>
      <c r="B4974" s="105" t="s">
        <v>8279</v>
      </c>
      <c r="C4974" s="105" t="s">
        <v>8280</v>
      </c>
      <c r="D4974" s="105">
        <v>2100</v>
      </c>
      <c r="E4974" s="105">
        <v>1260</v>
      </c>
      <c r="F4974" s="105">
        <v>0</v>
      </c>
    </row>
    <row r="4975" spans="1:6" x14ac:dyDescent="0.25">
      <c r="A4975" s="105">
        <f t="shared" si="77"/>
        <v>8708044</v>
      </c>
      <c r="B4975" s="105" t="s">
        <v>8281</v>
      </c>
      <c r="C4975" s="105" t="s">
        <v>8282</v>
      </c>
      <c r="D4975" s="105">
        <v>1625.16</v>
      </c>
      <c r="E4975" s="105">
        <v>975.1</v>
      </c>
      <c r="F4975" s="105">
        <v>1</v>
      </c>
    </row>
    <row r="4976" spans="1:6" x14ac:dyDescent="0.25">
      <c r="A4976" s="105">
        <f t="shared" si="77"/>
        <v>8708045</v>
      </c>
      <c r="B4976" s="105" t="s">
        <v>8283</v>
      </c>
      <c r="C4976" s="105" t="s">
        <v>8284</v>
      </c>
      <c r="D4976" s="105">
        <v>5346</v>
      </c>
      <c r="E4976" s="105">
        <v>3207.6</v>
      </c>
      <c r="F4976" s="105">
        <v>12</v>
      </c>
    </row>
    <row r="4977" spans="1:6" x14ac:dyDescent="0.25">
      <c r="A4977" s="105">
        <f t="shared" si="77"/>
        <v>8708046</v>
      </c>
      <c r="B4977" s="105" t="s">
        <v>8285</v>
      </c>
      <c r="C4977" s="105" t="s">
        <v>8286</v>
      </c>
      <c r="D4977" s="105">
        <v>1625.16</v>
      </c>
      <c r="E4977" s="105">
        <v>975.1</v>
      </c>
      <c r="F4977" s="105">
        <v>0</v>
      </c>
    </row>
    <row r="4978" spans="1:6" x14ac:dyDescent="0.25">
      <c r="A4978" s="105">
        <f t="shared" si="77"/>
        <v>8708047</v>
      </c>
      <c r="B4978" s="105" t="s">
        <v>8287</v>
      </c>
      <c r="C4978" s="105" t="s">
        <v>8288</v>
      </c>
      <c r="D4978" s="105">
        <v>1625.16</v>
      </c>
      <c r="E4978" s="105">
        <v>975.1</v>
      </c>
      <c r="F4978" s="105">
        <v>0</v>
      </c>
    </row>
    <row r="4979" spans="1:6" x14ac:dyDescent="0.25">
      <c r="A4979" s="105">
        <f t="shared" si="77"/>
        <v>8708048</v>
      </c>
      <c r="B4979" s="105" t="s">
        <v>8289</v>
      </c>
      <c r="C4979" s="105" t="s">
        <v>8290</v>
      </c>
      <c r="D4979" s="105">
        <v>1625.16</v>
      </c>
      <c r="E4979" s="105">
        <v>975.1</v>
      </c>
      <c r="F4979" s="105">
        <v>0</v>
      </c>
    </row>
    <row r="4980" spans="1:6" x14ac:dyDescent="0.25">
      <c r="A4980" s="105">
        <f t="shared" si="77"/>
        <v>8708049</v>
      </c>
      <c r="B4980" s="105" t="s">
        <v>8291</v>
      </c>
      <c r="C4980" s="105" t="s">
        <v>8292</v>
      </c>
      <c r="D4980" s="105">
        <v>1625.16</v>
      </c>
      <c r="E4980" s="105">
        <v>975.1</v>
      </c>
      <c r="F4980" s="105">
        <v>1</v>
      </c>
    </row>
    <row r="4981" spans="1:6" x14ac:dyDescent="0.25">
      <c r="A4981" s="105">
        <f t="shared" si="77"/>
        <v>8708052</v>
      </c>
      <c r="B4981" s="105" t="s">
        <v>8293</v>
      </c>
      <c r="C4981" s="105" t="s">
        <v>8294</v>
      </c>
      <c r="D4981" s="105">
        <v>3625.35</v>
      </c>
      <c r="E4981" s="105">
        <v>2175.21</v>
      </c>
      <c r="F4981" s="105">
        <v>3</v>
      </c>
    </row>
    <row r="4982" spans="1:6" x14ac:dyDescent="0.25">
      <c r="A4982" s="105">
        <f t="shared" si="77"/>
        <v>8708053</v>
      </c>
      <c r="B4982" s="105" t="s">
        <v>8295</v>
      </c>
      <c r="C4982" s="105" t="s">
        <v>8296</v>
      </c>
      <c r="D4982" s="105">
        <v>3625.35</v>
      </c>
      <c r="E4982" s="105">
        <v>2175.21</v>
      </c>
      <c r="F4982" s="105">
        <v>1</v>
      </c>
    </row>
    <row r="4983" spans="1:6" x14ac:dyDescent="0.25">
      <c r="A4983" s="105">
        <f t="shared" si="77"/>
        <v>8708054</v>
      </c>
      <c r="B4983" s="105" t="s">
        <v>8297</v>
      </c>
      <c r="C4983" s="105" t="s">
        <v>8298</v>
      </c>
      <c r="D4983" s="105">
        <v>3625.35</v>
      </c>
      <c r="E4983" s="105">
        <v>2175.21</v>
      </c>
      <c r="F4983" s="105">
        <v>1</v>
      </c>
    </row>
    <row r="4984" spans="1:6" x14ac:dyDescent="0.25">
      <c r="A4984" s="105">
        <f t="shared" si="77"/>
        <v>8708055</v>
      </c>
      <c r="B4984" s="105" t="s">
        <v>8299</v>
      </c>
      <c r="C4984" s="105" t="s">
        <v>8300</v>
      </c>
      <c r="D4984" s="105">
        <v>3737.87</v>
      </c>
      <c r="E4984" s="105">
        <v>2242.7199999999998</v>
      </c>
      <c r="F4984" s="105">
        <v>2</v>
      </c>
    </row>
    <row r="4985" spans="1:6" x14ac:dyDescent="0.25">
      <c r="A4985" s="105">
        <f t="shared" si="77"/>
        <v>8708056</v>
      </c>
      <c r="B4985" s="105" t="s">
        <v>8301</v>
      </c>
      <c r="C4985" s="105" t="s">
        <v>8302</v>
      </c>
      <c r="D4985" s="105">
        <v>3737.87</v>
      </c>
      <c r="E4985" s="105">
        <v>2242.7199999999998</v>
      </c>
      <c r="F4985" s="105">
        <v>0</v>
      </c>
    </row>
    <row r="4986" spans="1:6" x14ac:dyDescent="0.25">
      <c r="A4986" s="105">
        <f t="shared" si="77"/>
        <v>8708057</v>
      </c>
      <c r="B4986" s="105" t="s">
        <v>8303</v>
      </c>
      <c r="C4986" s="105" t="s">
        <v>8304</v>
      </c>
      <c r="D4986" s="105">
        <v>3737.87</v>
      </c>
      <c r="E4986" s="105">
        <v>2242.7199999999998</v>
      </c>
      <c r="F4986" s="105">
        <v>3</v>
      </c>
    </row>
    <row r="4987" spans="1:6" x14ac:dyDescent="0.25">
      <c r="A4987" s="105">
        <f t="shared" si="77"/>
        <v>8708058</v>
      </c>
      <c r="B4987" s="105" t="s">
        <v>8305</v>
      </c>
      <c r="C4987" s="105" t="s">
        <v>8306</v>
      </c>
      <c r="D4987" s="105">
        <v>3737.87</v>
      </c>
      <c r="E4987" s="105">
        <v>2242.7199999999998</v>
      </c>
      <c r="F4987" s="105">
        <v>1</v>
      </c>
    </row>
    <row r="4988" spans="1:6" x14ac:dyDescent="0.25">
      <c r="A4988" s="105">
        <f t="shared" si="77"/>
        <v>8708070</v>
      </c>
      <c r="B4988" s="105" t="s">
        <v>8307</v>
      </c>
      <c r="C4988" s="105" t="s">
        <v>8308</v>
      </c>
      <c r="D4988" s="105">
        <v>4500.4399999999996</v>
      </c>
      <c r="E4988" s="105">
        <v>2700.26</v>
      </c>
      <c r="F4988" s="105">
        <v>0</v>
      </c>
    </row>
    <row r="4989" spans="1:6" x14ac:dyDescent="0.25">
      <c r="A4989" s="105">
        <f t="shared" si="77"/>
        <v>8708071</v>
      </c>
      <c r="B4989" s="105" t="s">
        <v>8309</v>
      </c>
      <c r="C4989" s="105" t="s">
        <v>8310</v>
      </c>
      <c r="D4989" s="105">
        <v>0</v>
      </c>
      <c r="E4989" s="105">
        <v>0</v>
      </c>
      <c r="F4989" s="105">
        <v>0</v>
      </c>
    </row>
    <row r="4990" spans="1:6" x14ac:dyDescent="0.25">
      <c r="A4990" s="105" t="str">
        <f t="shared" si="77"/>
        <v/>
      </c>
      <c r="B4990" s="105" t="s">
        <v>8311</v>
      </c>
      <c r="C4990" s="105" t="s">
        <v>8</v>
      </c>
      <c r="D4990" s="105">
        <v>0</v>
      </c>
      <c r="E4990" s="105">
        <v>0</v>
      </c>
      <c r="F4990" s="105">
        <v>0</v>
      </c>
    </row>
    <row r="4991" spans="1:6" x14ac:dyDescent="0.25">
      <c r="A4991" s="105">
        <f t="shared" si="77"/>
        <v>8708090</v>
      </c>
      <c r="B4991" s="105" t="s">
        <v>8312</v>
      </c>
      <c r="C4991" s="105" t="s">
        <v>8313</v>
      </c>
      <c r="D4991" s="105">
        <v>0</v>
      </c>
      <c r="E4991" s="105">
        <v>0</v>
      </c>
      <c r="F4991" s="105">
        <v>0</v>
      </c>
    </row>
    <row r="4992" spans="1:6" x14ac:dyDescent="0.25">
      <c r="A4992" s="105" t="str">
        <f t="shared" si="77"/>
        <v/>
      </c>
      <c r="B4992" s="105" t="s">
        <v>8314</v>
      </c>
      <c r="C4992" s="105" t="s">
        <v>8</v>
      </c>
      <c r="D4992" s="105">
        <v>0</v>
      </c>
      <c r="E4992" s="105">
        <v>0</v>
      </c>
      <c r="F4992" s="105">
        <v>0</v>
      </c>
    </row>
    <row r="4993" spans="1:6" x14ac:dyDescent="0.25">
      <c r="A4993" s="105">
        <f t="shared" si="77"/>
        <v>8708091</v>
      </c>
      <c r="B4993" s="105" t="s">
        <v>8315</v>
      </c>
      <c r="C4993" s="105" t="s">
        <v>8316</v>
      </c>
      <c r="D4993" s="105">
        <v>0</v>
      </c>
      <c r="E4993" s="105">
        <v>0</v>
      </c>
      <c r="F4993" s="105">
        <v>0</v>
      </c>
    </row>
    <row r="4994" spans="1:6" x14ac:dyDescent="0.25">
      <c r="A4994" s="105" t="str">
        <f t="shared" si="77"/>
        <v/>
      </c>
      <c r="B4994" s="105" t="s">
        <v>8317</v>
      </c>
      <c r="C4994" s="105" t="s">
        <v>8</v>
      </c>
      <c r="D4994" s="105">
        <v>0</v>
      </c>
      <c r="E4994" s="105">
        <v>0</v>
      </c>
      <c r="F4994" s="105">
        <v>0</v>
      </c>
    </row>
    <row r="4995" spans="1:6" x14ac:dyDescent="0.25">
      <c r="A4995" s="105">
        <f t="shared" ref="A4995:A5058" si="78">IF(B4995&lt;&gt;"",IFERROR(B4995*1,""),"")</f>
        <v>8708092</v>
      </c>
      <c r="B4995" s="105" t="s">
        <v>8318</v>
      </c>
      <c r="C4995" s="105" t="s">
        <v>8319</v>
      </c>
      <c r="D4995" s="105">
        <v>0</v>
      </c>
      <c r="E4995" s="105">
        <v>0</v>
      </c>
      <c r="F4995" s="105">
        <v>0</v>
      </c>
    </row>
    <row r="4996" spans="1:6" x14ac:dyDescent="0.25">
      <c r="A4996" s="105" t="str">
        <f t="shared" si="78"/>
        <v/>
      </c>
      <c r="B4996" s="105" t="s">
        <v>8320</v>
      </c>
      <c r="C4996" s="105" t="s">
        <v>8</v>
      </c>
      <c r="D4996" s="105">
        <v>0</v>
      </c>
      <c r="E4996" s="105">
        <v>0</v>
      </c>
      <c r="F4996" s="105">
        <v>0</v>
      </c>
    </row>
    <row r="4997" spans="1:6" x14ac:dyDescent="0.25">
      <c r="A4997" s="105">
        <f t="shared" si="78"/>
        <v>8708093</v>
      </c>
      <c r="B4997" s="105" t="s">
        <v>8321</v>
      </c>
      <c r="C4997" s="105" t="s">
        <v>8322</v>
      </c>
      <c r="D4997" s="105">
        <v>0</v>
      </c>
      <c r="E4997" s="105">
        <v>0</v>
      </c>
      <c r="F4997" s="105">
        <v>0</v>
      </c>
    </row>
    <row r="4998" spans="1:6" x14ac:dyDescent="0.25">
      <c r="A4998" s="105">
        <f t="shared" si="78"/>
        <v>8708099</v>
      </c>
      <c r="B4998" s="105" t="s">
        <v>8323</v>
      </c>
      <c r="C4998" s="105" t="s">
        <v>8324</v>
      </c>
      <c r="D4998" s="105">
        <v>7625.75</v>
      </c>
      <c r="E4998" s="105">
        <v>4575.45</v>
      </c>
      <c r="F4998" s="105">
        <v>0</v>
      </c>
    </row>
    <row r="4999" spans="1:6" x14ac:dyDescent="0.25">
      <c r="A4999" s="105">
        <f t="shared" si="78"/>
        <v>8708100</v>
      </c>
      <c r="B4999" s="105" t="s">
        <v>8325</v>
      </c>
      <c r="C4999" s="105" t="s">
        <v>8326</v>
      </c>
      <c r="D4999" s="105">
        <v>12387</v>
      </c>
      <c r="E4999" s="105">
        <v>7432.2</v>
      </c>
      <c r="F4999" s="105">
        <v>46</v>
      </c>
    </row>
    <row r="5000" spans="1:6" x14ac:dyDescent="0.25">
      <c r="A5000" s="105">
        <f t="shared" si="78"/>
        <v>8708101</v>
      </c>
      <c r="B5000" s="105" t="s">
        <v>8327</v>
      </c>
      <c r="C5000" s="105" t="s">
        <v>8328</v>
      </c>
      <c r="D5000" s="105">
        <v>12471</v>
      </c>
      <c r="E5000" s="105">
        <v>7482.6</v>
      </c>
      <c r="F5000" s="105">
        <v>17</v>
      </c>
    </row>
    <row r="5001" spans="1:6" x14ac:dyDescent="0.25">
      <c r="A5001" s="105">
        <f t="shared" si="78"/>
        <v>8708102</v>
      </c>
      <c r="B5001" s="105" t="s">
        <v>8329</v>
      </c>
      <c r="C5001" s="105" t="s">
        <v>8330</v>
      </c>
      <c r="D5001" s="105">
        <v>21516</v>
      </c>
      <c r="E5001" s="105">
        <v>12909.6</v>
      </c>
      <c r="F5001" s="105">
        <v>6</v>
      </c>
    </row>
    <row r="5002" spans="1:6" x14ac:dyDescent="0.25">
      <c r="A5002" s="105">
        <f t="shared" si="78"/>
        <v>8708103</v>
      </c>
      <c r="B5002" s="105" t="s">
        <v>8331</v>
      </c>
      <c r="C5002" s="105" t="s">
        <v>8332</v>
      </c>
      <c r="D5002" s="105">
        <v>12387</v>
      </c>
      <c r="E5002" s="105">
        <v>7432.2</v>
      </c>
      <c r="F5002" s="105">
        <v>0</v>
      </c>
    </row>
    <row r="5003" spans="1:6" x14ac:dyDescent="0.25">
      <c r="A5003" s="105">
        <f t="shared" si="78"/>
        <v>8708104</v>
      </c>
      <c r="B5003" s="105" t="s">
        <v>8333</v>
      </c>
      <c r="C5003" s="105" t="s">
        <v>8334</v>
      </c>
      <c r="D5003" s="105">
        <v>8571</v>
      </c>
      <c r="E5003" s="105">
        <v>5142.6000000000004</v>
      </c>
      <c r="F5003" s="105">
        <v>24</v>
      </c>
    </row>
    <row r="5004" spans="1:6" x14ac:dyDescent="0.25">
      <c r="A5004" s="105">
        <f t="shared" si="78"/>
        <v>8708105</v>
      </c>
      <c r="B5004" s="105" t="s">
        <v>8335</v>
      </c>
      <c r="C5004" s="105" t="s">
        <v>8336</v>
      </c>
      <c r="D5004" s="105">
        <v>7455</v>
      </c>
      <c r="E5004" s="105">
        <v>4473</v>
      </c>
      <c r="F5004" s="105">
        <v>4</v>
      </c>
    </row>
    <row r="5005" spans="1:6" x14ac:dyDescent="0.25">
      <c r="A5005" s="105" t="str">
        <f t="shared" si="78"/>
        <v/>
      </c>
      <c r="B5005" s="105" t="s">
        <v>8337</v>
      </c>
      <c r="C5005" s="105" t="s">
        <v>8</v>
      </c>
      <c r="D5005" s="105">
        <v>0</v>
      </c>
      <c r="E5005" s="105">
        <v>0</v>
      </c>
      <c r="F5005" s="105">
        <v>0</v>
      </c>
    </row>
    <row r="5006" spans="1:6" x14ac:dyDescent="0.25">
      <c r="A5006" s="105">
        <f t="shared" si="78"/>
        <v>8708106</v>
      </c>
      <c r="B5006" s="105" t="s">
        <v>8338</v>
      </c>
      <c r="C5006" s="105" t="s">
        <v>8339</v>
      </c>
      <c r="D5006" s="105">
        <v>0</v>
      </c>
      <c r="E5006" s="105">
        <v>0</v>
      </c>
      <c r="F5006" s="105">
        <v>0</v>
      </c>
    </row>
    <row r="5007" spans="1:6" x14ac:dyDescent="0.25">
      <c r="A5007" s="105">
        <f t="shared" si="78"/>
        <v>8708107</v>
      </c>
      <c r="B5007" s="105" t="s">
        <v>8340</v>
      </c>
      <c r="C5007" s="105" t="s">
        <v>8341</v>
      </c>
      <c r="D5007" s="105">
        <v>2913</v>
      </c>
      <c r="E5007" s="105">
        <v>1747.8</v>
      </c>
      <c r="F5007" s="105">
        <v>10</v>
      </c>
    </row>
    <row r="5008" spans="1:6" x14ac:dyDescent="0.25">
      <c r="A5008" s="105" t="str">
        <f t="shared" si="78"/>
        <v/>
      </c>
      <c r="B5008" s="105" t="s">
        <v>8342</v>
      </c>
      <c r="C5008" s="105" t="s">
        <v>8</v>
      </c>
      <c r="D5008" s="105">
        <v>0</v>
      </c>
      <c r="E5008" s="105">
        <v>0</v>
      </c>
      <c r="F5008" s="105">
        <v>0</v>
      </c>
    </row>
    <row r="5009" spans="1:6" x14ac:dyDescent="0.25">
      <c r="A5009" s="105">
        <f t="shared" si="78"/>
        <v>8708108</v>
      </c>
      <c r="B5009" s="105" t="s">
        <v>8343</v>
      </c>
      <c r="C5009" s="105" t="s">
        <v>8344</v>
      </c>
      <c r="D5009" s="105">
        <v>14868</v>
      </c>
      <c r="E5009" s="105">
        <v>8920.7999999999993</v>
      </c>
      <c r="F5009" s="105">
        <v>0</v>
      </c>
    </row>
    <row r="5010" spans="1:6" x14ac:dyDescent="0.25">
      <c r="A5010" s="105">
        <f t="shared" si="78"/>
        <v>8708109</v>
      </c>
      <c r="B5010" s="105" t="s">
        <v>8345</v>
      </c>
      <c r="C5010" s="105" t="s">
        <v>8346</v>
      </c>
      <c r="D5010" s="105">
        <v>6078</v>
      </c>
      <c r="E5010" s="105">
        <v>3646.8</v>
      </c>
      <c r="F5010" s="105">
        <v>1</v>
      </c>
    </row>
    <row r="5011" spans="1:6" x14ac:dyDescent="0.25">
      <c r="A5011" s="105">
        <f t="shared" si="78"/>
        <v>8708110</v>
      </c>
      <c r="B5011" s="105" t="s">
        <v>8347</v>
      </c>
      <c r="C5011" s="105" t="s">
        <v>8348</v>
      </c>
      <c r="D5011" s="105">
        <v>6036</v>
      </c>
      <c r="E5011" s="105">
        <v>3621.6</v>
      </c>
      <c r="F5011" s="105">
        <v>11</v>
      </c>
    </row>
    <row r="5012" spans="1:6" x14ac:dyDescent="0.25">
      <c r="A5012" s="105">
        <f t="shared" si="78"/>
        <v>8708111</v>
      </c>
      <c r="B5012" s="105" t="s">
        <v>8349</v>
      </c>
      <c r="C5012" s="105" t="s">
        <v>8350</v>
      </c>
      <c r="D5012" s="105">
        <v>8151</v>
      </c>
      <c r="E5012" s="105">
        <v>4890.6000000000004</v>
      </c>
      <c r="F5012" s="105">
        <v>35</v>
      </c>
    </row>
    <row r="5013" spans="1:6" x14ac:dyDescent="0.25">
      <c r="A5013" s="105">
        <f t="shared" si="78"/>
        <v>8708112</v>
      </c>
      <c r="B5013" s="105" t="s">
        <v>8351</v>
      </c>
      <c r="C5013" s="105" t="s">
        <v>8352</v>
      </c>
      <c r="D5013" s="105">
        <v>9726</v>
      </c>
      <c r="E5013" s="105">
        <v>5835.6</v>
      </c>
      <c r="F5013" s="105">
        <v>71</v>
      </c>
    </row>
    <row r="5014" spans="1:6" x14ac:dyDescent="0.25">
      <c r="A5014" s="105">
        <f t="shared" si="78"/>
        <v>8708113</v>
      </c>
      <c r="B5014" s="105" t="s">
        <v>8353</v>
      </c>
      <c r="C5014" s="105" t="s">
        <v>8354</v>
      </c>
      <c r="D5014" s="105">
        <v>14541</v>
      </c>
      <c r="E5014" s="105">
        <v>8724.6</v>
      </c>
      <c r="F5014" s="105">
        <v>105</v>
      </c>
    </row>
    <row r="5015" spans="1:6" x14ac:dyDescent="0.25">
      <c r="A5015" s="105">
        <f t="shared" si="78"/>
        <v>8708114</v>
      </c>
      <c r="B5015" s="105" t="s">
        <v>8355</v>
      </c>
      <c r="C5015" s="105" t="s">
        <v>8356</v>
      </c>
      <c r="D5015" s="105">
        <v>12636</v>
      </c>
      <c r="E5015" s="105">
        <v>7581.6</v>
      </c>
      <c r="F5015" s="105">
        <v>2</v>
      </c>
    </row>
    <row r="5016" spans="1:6" x14ac:dyDescent="0.25">
      <c r="A5016" s="105">
        <f t="shared" si="78"/>
        <v>8708115</v>
      </c>
      <c r="B5016" s="105" t="s">
        <v>8357</v>
      </c>
      <c r="C5016" s="105" t="s">
        <v>8358</v>
      </c>
      <c r="D5016" s="105">
        <v>1539</v>
      </c>
      <c r="E5016" s="105">
        <v>923.4</v>
      </c>
      <c r="F5016" s="105">
        <v>0</v>
      </c>
    </row>
    <row r="5017" spans="1:6" x14ac:dyDescent="0.25">
      <c r="A5017" s="105">
        <f t="shared" si="78"/>
        <v>8708116</v>
      </c>
      <c r="B5017" s="105" t="s">
        <v>8359</v>
      </c>
      <c r="C5017" s="105" t="s">
        <v>8360</v>
      </c>
      <c r="D5017" s="105">
        <v>16788</v>
      </c>
      <c r="E5017" s="105">
        <v>10072.799999999999</v>
      </c>
      <c r="F5017" s="105">
        <v>28</v>
      </c>
    </row>
    <row r="5018" spans="1:6" x14ac:dyDescent="0.25">
      <c r="A5018" s="105">
        <f t="shared" si="78"/>
        <v>8708117</v>
      </c>
      <c r="B5018" s="105" t="s">
        <v>8361</v>
      </c>
      <c r="C5018" s="105" t="s">
        <v>8362</v>
      </c>
      <c r="D5018" s="105">
        <v>4987.99</v>
      </c>
      <c r="E5018" s="105">
        <v>2992.79</v>
      </c>
      <c r="F5018" s="105">
        <v>1</v>
      </c>
    </row>
    <row r="5019" spans="1:6" x14ac:dyDescent="0.25">
      <c r="A5019" s="105">
        <f t="shared" si="78"/>
        <v>8708118</v>
      </c>
      <c r="B5019" s="105" t="s">
        <v>8363</v>
      </c>
      <c r="C5019" s="105" t="s">
        <v>8364</v>
      </c>
      <c r="D5019" s="105">
        <v>4987.99</v>
      </c>
      <c r="E5019" s="105">
        <v>2992.79</v>
      </c>
      <c r="F5019" s="105">
        <v>0</v>
      </c>
    </row>
    <row r="5020" spans="1:6" x14ac:dyDescent="0.25">
      <c r="A5020" s="105">
        <f t="shared" si="78"/>
        <v>8708119</v>
      </c>
      <c r="B5020" s="105" t="s">
        <v>8365</v>
      </c>
      <c r="C5020" s="105" t="s">
        <v>8366</v>
      </c>
      <c r="D5020" s="105">
        <v>4987.99</v>
      </c>
      <c r="E5020" s="105">
        <v>2992.79</v>
      </c>
      <c r="F5020" s="105">
        <v>3</v>
      </c>
    </row>
    <row r="5021" spans="1:6" x14ac:dyDescent="0.25">
      <c r="A5021" s="105">
        <f t="shared" si="78"/>
        <v>8708120</v>
      </c>
      <c r="B5021" s="105" t="s">
        <v>8367</v>
      </c>
      <c r="C5021" s="105" t="s">
        <v>8368</v>
      </c>
      <c r="D5021" s="105">
        <v>12636</v>
      </c>
      <c r="E5021" s="105">
        <v>7581.6</v>
      </c>
      <c r="F5021" s="105">
        <v>1</v>
      </c>
    </row>
    <row r="5022" spans="1:6" x14ac:dyDescent="0.25">
      <c r="A5022" s="105">
        <f t="shared" si="78"/>
        <v>8708121</v>
      </c>
      <c r="B5022" s="105" t="s">
        <v>8369</v>
      </c>
      <c r="C5022" s="105" t="s">
        <v>8370</v>
      </c>
      <c r="D5022" s="105">
        <v>5625.55</v>
      </c>
      <c r="E5022" s="105">
        <v>3375.33</v>
      </c>
      <c r="F5022" s="105">
        <v>36</v>
      </c>
    </row>
    <row r="5023" spans="1:6" x14ac:dyDescent="0.25">
      <c r="A5023" s="105">
        <f t="shared" si="78"/>
        <v>8708122</v>
      </c>
      <c r="B5023" s="105" t="s">
        <v>8371</v>
      </c>
      <c r="C5023" s="105" t="s">
        <v>8372</v>
      </c>
      <c r="D5023" s="105">
        <v>755.85</v>
      </c>
      <c r="E5023" s="105">
        <v>453.51</v>
      </c>
      <c r="F5023" s="105">
        <v>0</v>
      </c>
    </row>
    <row r="5024" spans="1:6" x14ac:dyDescent="0.25">
      <c r="A5024" s="105">
        <f t="shared" si="78"/>
        <v>8708123</v>
      </c>
      <c r="B5024" s="105" t="s">
        <v>8373</v>
      </c>
      <c r="C5024" s="105" t="s">
        <v>8374</v>
      </c>
      <c r="D5024" s="105">
        <v>12720</v>
      </c>
      <c r="E5024" s="105">
        <v>7632</v>
      </c>
      <c r="F5024" s="105">
        <v>7</v>
      </c>
    </row>
    <row r="5025" spans="1:6" x14ac:dyDescent="0.25">
      <c r="A5025" s="105">
        <f t="shared" si="78"/>
        <v>8708124</v>
      </c>
      <c r="B5025" s="105" t="s">
        <v>8375</v>
      </c>
      <c r="C5025" s="105" t="s">
        <v>8376</v>
      </c>
      <c r="D5025" s="105">
        <v>5625.55</v>
      </c>
      <c r="E5025" s="105">
        <v>3375.33</v>
      </c>
      <c r="F5025" s="105">
        <v>1</v>
      </c>
    </row>
    <row r="5026" spans="1:6" x14ac:dyDescent="0.25">
      <c r="A5026" s="105">
        <f t="shared" si="78"/>
        <v>8708125</v>
      </c>
      <c r="B5026" s="105" t="s">
        <v>8377</v>
      </c>
      <c r="C5026" s="105" t="s">
        <v>8378</v>
      </c>
      <c r="D5026" s="105">
        <v>5625.55</v>
      </c>
      <c r="E5026" s="105">
        <v>3375.33</v>
      </c>
      <c r="F5026" s="105">
        <v>2</v>
      </c>
    </row>
    <row r="5027" spans="1:6" x14ac:dyDescent="0.25">
      <c r="A5027" s="105">
        <f t="shared" si="78"/>
        <v>8708126</v>
      </c>
      <c r="B5027" s="105" t="s">
        <v>8379</v>
      </c>
      <c r="C5027" s="105" t="s">
        <v>8380</v>
      </c>
      <c r="D5027" s="105">
        <v>5625.55</v>
      </c>
      <c r="E5027" s="105">
        <v>3375.33</v>
      </c>
      <c r="F5027" s="105">
        <v>0</v>
      </c>
    </row>
    <row r="5028" spans="1:6" x14ac:dyDescent="0.25">
      <c r="A5028" s="105">
        <f t="shared" si="78"/>
        <v>8708127</v>
      </c>
      <c r="B5028" s="105" t="s">
        <v>8381</v>
      </c>
      <c r="C5028" s="105" t="s">
        <v>8382</v>
      </c>
      <c r="D5028" s="105">
        <v>5625.55</v>
      </c>
      <c r="E5028" s="105">
        <v>3375.33</v>
      </c>
      <c r="F5028" s="105">
        <v>0</v>
      </c>
    </row>
    <row r="5029" spans="1:6" x14ac:dyDescent="0.25">
      <c r="A5029" s="105">
        <f t="shared" si="78"/>
        <v>8708128</v>
      </c>
      <c r="B5029" s="105" t="s">
        <v>8383</v>
      </c>
      <c r="C5029" s="105" t="s">
        <v>8384</v>
      </c>
      <c r="D5029" s="105">
        <v>4987.99</v>
      </c>
      <c r="E5029" s="105">
        <v>2992.79</v>
      </c>
      <c r="F5029" s="105">
        <v>1</v>
      </c>
    </row>
    <row r="5030" spans="1:6" x14ac:dyDescent="0.25">
      <c r="A5030" s="105">
        <f t="shared" si="78"/>
        <v>8708129</v>
      </c>
      <c r="B5030" s="105" t="s">
        <v>8385</v>
      </c>
      <c r="C5030" s="105" t="s">
        <v>8386</v>
      </c>
      <c r="D5030" s="105">
        <v>4987.99</v>
      </c>
      <c r="E5030" s="105">
        <v>2992.79</v>
      </c>
      <c r="F5030" s="105">
        <v>2</v>
      </c>
    </row>
    <row r="5031" spans="1:6" x14ac:dyDescent="0.25">
      <c r="A5031" s="105">
        <f t="shared" si="78"/>
        <v>8708130</v>
      </c>
      <c r="B5031" s="105" t="s">
        <v>8387</v>
      </c>
      <c r="C5031" s="105" t="s">
        <v>8388</v>
      </c>
      <c r="D5031" s="105">
        <v>4987.99</v>
      </c>
      <c r="E5031" s="105">
        <v>2992.79</v>
      </c>
      <c r="F5031" s="105">
        <v>0</v>
      </c>
    </row>
    <row r="5032" spans="1:6" x14ac:dyDescent="0.25">
      <c r="A5032" s="105">
        <f t="shared" si="78"/>
        <v>8708196</v>
      </c>
      <c r="B5032" s="105" t="s">
        <v>8389</v>
      </c>
      <c r="C5032" s="105" t="s">
        <v>8390</v>
      </c>
      <c r="D5032" s="105">
        <v>2703</v>
      </c>
      <c r="E5032" s="105">
        <v>1621.8</v>
      </c>
      <c r="F5032" s="105">
        <v>3</v>
      </c>
    </row>
    <row r="5033" spans="1:6" x14ac:dyDescent="0.25">
      <c r="A5033" s="105">
        <f t="shared" si="78"/>
        <v>8708198</v>
      </c>
      <c r="B5033" s="105" t="s">
        <v>8391</v>
      </c>
      <c r="C5033" s="105" t="s">
        <v>8392</v>
      </c>
      <c r="D5033" s="105">
        <v>3816</v>
      </c>
      <c r="E5033" s="105">
        <v>2289.6</v>
      </c>
      <c r="F5033" s="105">
        <v>3</v>
      </c>
    </row>
    <row r="5034" spans="1:6" x14ac:dyDescent="0.25">
      <c r="A5034" s="105">
        <f t="shared" si="78"/>
        <v>8708200</v>
      </c>
      <c r="B5034" s="105" t="s">
        <v>8393</v>
      </c>
      <c r="C5034" s="105" t="s">
        <v>8394</v>
      </c>
      <c r="D5034" s="105">
        <v>4850</v>
      </c>
      <c r="E5034" s="105">
        <v>2910</v>
      </c>
      <c r="F5034" s="105">
        <v>25</v>
      </c>
    </row>
    <row r="5035" spans="1:6" x14ac:dyDescent="0.25">
      <c r="A5035" s="105">
        <f t="shared" si="78"/>
        <v>8708202</v>
      </c>
      <c r="B5035" s="105" t="s">
        <v>8395</v>
      </c>
      <c r="C5035" s="105" t="s">
        <v>8396</v>
      </c>
      <c r="D5035" s="105">
        <v>3816</v>
      </c>
      <c r="E5035" s="105">
        <v>2289.6</v>
      </c>
      <c r="F5035" s="105">
        <v>2</v>
      </c>
    </row>
    <row r="5036" spans="1:6" x14ac:dyDescent="0.25">
      <c r="A5036" s="105">
        <f t="shared" si="78"/>
        <v>8708203</v>
      </c>
      <c r="B5036" s="105" t="s">
        <v>8397</v>
      </c>
      <c r="C5036" s="105" t="s">
        <v>8398</v>
      </c>
      <c r="D5036" s="105">
        <v>3434.4</v>
      </c>
      <c r="E5036" s="105">
        <v>2060.64</v>
      </c>
      <c r="F5036" s="105">
        <v>0</v>
      </c>
    </row>
    <row r="5037" spans="1:6" x14ac:dyDescent="0.25">
      <c r="A5037" s="105">
        <f t="shared" si="78"/>
        <v>8708204</v>
      </c>
      <c r="B5037" s="105" t="s">
        <v>8399</v>
      </c>
      <c r="C5037" s="105" t="s">
        <v>8400</v>
      </c>
      <c r="D5037" s="105">
        <v>2957.4</v>
      </c>
      <c r="E5037" s="105">
        <v>1774.44</v>
      </c>
      <c r="F5037" s="105">
        <v>2</v>
      </c>
    </row>
    <row r="5038" spans="1:6" x14ac:dyDescent="0.25">
      <c r="A5038" s="105">
        <f t="shared" si="78"/>
        <v>8708205</v>
      </c>
      <c r="B5038" s="105" t="s">
        <v>8401</v>
      </c>
      <c r="C5038" s="105" t="s">
        <v>8402</v>
      </c>
      <c r="D5038" s="105">
        <v>4346</v>
      </c>
      <c r="E5038" s="105">
        <v>2607.6</v>
      </c>
      <c r="F5038" s="105">
        <v>2</v>
      </c>
    </row>
    <row r="5039" spans="1:6" x14ac:dyDescent="0.25">
      <c r="A5039" s="105">
        <f t="shared" si="78"/>
        <v>8708206</v>
      </c>
      <c r="B5039" s="105" t="s">
        <v>8403</v>
      </c>
      <c r="C5039" s="105" t="s">
        <v>8404</v>
      </c>
      <c r="D5039" s="105">
        <v>3148.2</v>
      </c>
      <c r="E5039" s="105">
        <v>1888.92</v>
      </c>
      <c r="F5039" s="105">
        <v>11</v>
      </c>
    </row>
    <row r="5040" spans="1:6" x14ac:dyDescent="0.25">
      <c r="A5040" s="105">
        <f t="shared" si="78"/>
        <v>8708207</v>
      </c>
      <c r="B5040" s="105" t="s">
        <v>8405</v>
      </c>
      <c r="C5040" s="105" t="s">
        <v>8406</v>
      </c>
      <c r="D5040" s="105">
        <v>4346</v>
      </c>
      <c r="E5040" s="105">
        <v>2607.6</v>
      </c>
      <c r="F5040" s="105">
        <v>5</v>
      </c>
    </row>
    <row r="5041" spans="1:6" x14ac:dyDescent="0.25">
      <c r="A5041" s="105">
        <f t="shared" si="78"/>
        <v>8708209</v>
      </c>
      <c r="B5041" s="105" t="s">
        <v>8407</v>
      </c>
      <c r="C5041" s="105" t="s">
        <v>8408</v>
      </c>
      <c r="D5041" s="105">
        <v>1911.58</v>
      </c>
      <c r="E5041" s="105">
        <v>1146.95</v>
      </c>
      <c r="F5041" s="105">
        <v>2</v>
      </c>
    </row>
    <row r="5042" spans="1:6" x14ac:dyDescent="0.25">
      <c r="A5042" s="105">
        <f t="shared" si="78"/>
        <v>8708210</v>
      </c>
      <c r="B5042" s="105" t="s">
        <v>8409</v>
      </c>
      <c r="C5042" s="105" t="s">
        <v>8410</v>
      </c>
      <c r="D5042" s="105">
        <v>4346</v>
      </c>
      <c r="E5042" s="105">
        <v>2607.6</v>
      </c>
      <c r="F5042" s="105">
        <v>13</v>
      </c>
    </row>
    <row r="5043" spans="1:6" x14ac:dyDescent="0.25">
      <c r="A5043" s="105">
        <f t="shared" si="78"/>
        <v>8708211</v>
      </c>
      <c r="B5043" s="105" t="s">
        <v>8411</v>
      </c>
      <c r="C5043" s="105" t="s">
        <v>8412</v>
      </c>
      <c r="D5043" s="105">
        <v>3816</v>
      </c>
      <c r="E5043" s="105">
        <v>2289.6</v>
      </c>
      <c r="F5043" s="105">
        <v>2</v>
      </c>
    </row>
    <row r="5044" spans="1:6" x14ac:dyDescent="0.25">
      <c r="A5044" s="105">
        <f t="shared" si="78"/>
        <v>8708213</v>
      </c>
      <c r="B5044" s="105" t="s">
        <v>8413</v>
      </c>
      <c r="C5044" s="105" t="s">
        <v>8414</v>
      </c>
      <c r="D5044" s="105">
        <v>3816</v>
      </c>
      <c r="E5044" s="105">
        <v>2289.6</v>
      </c>
      <c r="F5044" s="105">
        <v>0</v>
      </c>
    </row>
    <row r="5045" spans="1:6" x14ac:dyDescent="0.25">
      <c r="A5045" s="105" t="str">
        <f t="shared" si="78"/>
        <v/>
      </c>
      <c r="B5045" s="105" t="s">
        <v>8415</v>
      </c>
      <c r="C5045" s="105" t="s">
        <v>8</v>
      </c>
      <c r="D5045" s="105">
        <v>0</v>
      </c>
      <c r="E5045" s="105">
        <v>0</v>
      </c>
      <c r="F5045" s="105">
        <v>0</v>
      </c>
    </row>
    <row r="5046" spans="1:6" x14ac:dyDescent="0.25">
      <c r="A5046" s="105">
        <f t="shared" si="78"/>
        <v>8708214</v>
      </c>
      <c r="B5046" s="105" t="s">
        <v>8416</v>
      </c>
      <c r="C5046" s="105" t="s">
        <v>8417</v>
      </c>
      <c r="D5046" s="105">
        <v>0</v>
      </c>
      <c r="E5046" s="105">
        <v>0</v>
      </c>
      <c r="F5046" s="105">
        <v>0</v>
      </c>
    </row>
    <row r="5047" spans="1:6" x14ac:dyDescent="0.25">
      <c r="A5047" s="105">
        <f t="shared" si="78"/>
        <v>8708215</v>
      </c>
      <c r="B5047" s="105" t="s">
        <v>8418</v>
      </c>
      <c r="C5047" s="105" t="s">
        <v>8419</v>
      </c>
      <c r="D5047" s="105">
        <v>3816</v>
      </c>
      <c r="E5047" s="105">
        <v>2289.6</v>
      </c>
      <c r="F5047" s="105">
        <v>0</v>
      </c>
    </row>
    <row r="5048" spans="1:6" x14ac:dyDescent="0.25">
      <c r="A5048" s="105">
        <f t="shared" si="78"/>
        <v>8708216</v>
      </c>
      <c r="B5048" s="105" t="s">
        <v>8420</v>
      </c>
      <c r="C5048" s="105" t="s">
        <v>8421</v>
      </c>
      <c r="D5048" s="105">
        <v>2862</v>
      </c>
      <c r="E5048" s="105">
        <v>1717.2</v>
      </c>
      <c r="F5048" s="105">
        <v>0</v>
      </c>
    </row>
    <row r="5049" spans="1:6" x14ac:dyDescent="0.25">
      <c r="A5049" s="105">
        <f t="shared" si="78"/>
        <v>8708226</v>
      </c>
      <c r="B5049" s="105" t="s">
        <v>8422</v>
      </c>
      <c r="C5049" s="105" t="s">
        <v>8423</v>
      </c>
      <c r="D5049" s="105">
        <v>7375.71</v>
      </c>
      <c r="E5049" s="105">
        <v>4425.43</v>
      </c>
      <c r="F5049" s="105">
        <v>0</v>
      </c>
    </row>
    <row r="5050" spans="1:6" x14ac:dyDescent="0.25">
      <c r="A5050" s="105">
        <f t="shared" si="78"/>
        <v>8708227</v>
      </c>
      <c r="B5050" s="105" t="s">
        <v>8424</v>
      </c>
      <c r="C5050" s="105" t="s">
        <v>8425</v>
      </c>
      <c r="D5050" s="105">
        <v>7488.23</v>
      </c>
      <c r="E5050" s="105">
        <v>4492.9399999999996</v>
      </c>
      <c r="F5050" s="105">
        <v>8</v>
      </c>
    </row>
    <row r="5051" spans="1:6" x14ac:dyDescent="0.25">
      <c r="A5051" s="105">
        <f t="shared" si="78"/>
        <v>8708228</v>
      </c>
      <c r="B5051" s="105" t="s">
        <v>8426</v>
      </c>
      <c r="C5051" s="105" t="s">
        <v>8427</v>
      </c>
      <c r="D5051" s="105">
        <v>996</v>
      </c>
      <c r="E5051" s="105">
        <v>597.6</v>
      </c>
      <c r="F5051" s="105">
        <v>1</v>
      </c>
    </row>
    <row r="5052" spans="1:6" x14ac:dyDescent="0.25">
      <c r="A5052" s="105">
        <f t="shared" si="78"/>
        <v>8708249</v>
      </c>
      <c r="B5052" s="105" t="s">
        <v>8428</v>
      </c>
      <c r="C5052" s="105" t="s">
        <v>8429</v>
      </c>
      <c r="D5052" s="105">
        <v>5538</v>
      </c>
      <c r="E5052" s="105">
        <v>3322.8</v>
      </c>
      <c r="F5052" s="105">
        <v>19</v>
      </c>
    </row>
    <row r="5053" spans="1:6" x14ac:dyDescent="0.25">
      <c r="A5053" s="105">
        <f t="shared" si="78"/>
        <v>8708254</v>
      </c>
      <c r="B5053" s="105" t="s">
        <v>8430</v>
      </c>
      <c r="C5053" s="105" t="s">
        <v>8431</v>
      </c>
      <c r="D5053" s="105">
        <v>1999.99</v>
      </c>
      <c r="E5053" s="105">
        <v>1199.99</v>
      </c>
      <c r="F5053" s="105">
        <v>5</v>
      </c>
    </row>
    <row r="5054" spans="1:6" x14ac:dyDescent="0.25">
      <c r="A5054" s="105">
        <f t="shared" si="78"/>
        <v>8708255</v>
      </c>
      <c r="B5054" s="105" t="s">
        <v>8432</v>
      </c>
      <c r="C5054" s="105" t="s">
        <v>8433</v>
      </c>
      <c r="D5054" s="105">
        <v>2121</v>
      </c>
      <c r="E5054" s="105">
        <v>1272.5999999999999</v>
      </c>
      <c r="F5054" s="105">
        <v>0</v>
      </c>
    </row>
    <row r="5055" spans="1:6" x14ac:dyDescent="0.25">
      <c r="A5055" s="105">
        <f t="shared" si="78"/>
        <v>8708272</v>
      </c>
      <c r="B5055" s="105" t="s">
        <v>8434</v>
      </c>
      <c r="C5055" s="105" t="s">
        <v>8435</v>
      </c>
      <c r="D5055" s="105">
        <v>5334</v>
      </c>
      <c r="E5055" s="105">
        <v>3200.4</v>
      </c>
      <c r="F5055" s="105">
        <v>8</v>
      </c>
    </row>
    <row r="5056" spans="1:6" x14ac:dyDescent="0.25">
      <c r="A5056" s="105">
        <f t="shared" si="78"/>
        <v>8708273</v>
      </c>
      <c r="B5056" s="105" t="s">
        <v>8436</v>
      </c>
      <c r="C5056" s="105" t="s">
        <v>8437</v>
      </c>
      <c r="D5056" s="105">
        <v>3084.6</v>
      </c>
      <c r="E5056" s="105">
        <v>1850.76</v>
      </c>
      <c r="F5056" s="105">
        <v>0</v>
      </c>
    </row>
    <row r="5057" spans="1:6" x14ac:dyDescent="0.25">
      <c r="A5057" s="105">
        <f t="shared" si="78"/>
        <v>8708300</v>
      </c>
      <c r="B5057" s="105" t="s">
        <v>8438</v>
      </c>
      <c r="C5057" s="105" t="s">
        <v>9480</v>
      </c>
      <c r="D5057" s="105">
        <v>10918</v>
      </c>
      <c r="E5057" s="105">
        <v>6550.8</v>
      </c>
      <c r="F5057" s="105">
        <v>86</v>
      </c>
    </row>
    <row r="5058" spans="1:6" x14ac:dyDescent="0.25">
      <c r="A5058" s="105">
        <f t="shared" si="78"/>
        <v>8708301</v>
      </c>
      <c r="B5058" s="105" t="s">
        <v>8439</v>
      </c>
      <c r="C5058" s="105" t="s">
        <v>8440</v>
      </c>
      <c r="D5058" s="105">
        <v>10918</v>
      </c>
      <c r="E5058" s="105">
        <v>6550.8</v>
      </c>
      <c r="F5058" s="105">
        <v>34</v>
      </c>
    </row>
    <row r="5059" spans="1:6" x14ac:dyDescent="0.25">
      <c r="A5059" s="105">
        <f t="shared" ref="A5059:A5122" si="79">IF(B5059&lt;&gt;"",IFERROR(B5059*1,""),"")</f>
        <v>8708311</v>
      </c>
      <c r="B5059" s="105" t="s">
        <v>8441</v>
      </c>
      <c r="C5059" s="105" t="s">
        <v>8442</v>
      </c>
      <c r="D5059" s="105">
        <v>7375.71</v>
      </c>
      <c r="E5059" s="105">
        <v>4425.43</v>
      </c>
      <c r="F5059" s="105">
        <v>0</v>
      </c>
    </row>
    <row r="5060" spans="1:6" x14ac:dyDescent="0.25">
      <c r="A5060" s="105">
        <f t="shared" si="79"/>
        <v>8708312</v>
      </c>
      <c r="B5060" s="105" t="s">
        <v>8443</v>
      </c>
      <c r="C5060" s="105" t="s">
        <v>8444</v>
      </c>
      <c r="D5060" s="105">
        <v>7375.71</v>
      </c>
      <c r="E5060" s="105">
        <v>4425.43</v>
      </c>
      <c r="F5060" s="105">
        <v>0</v>
      </c>
    </row>
    <row r="5061" spans="1:6" x14ac:dyDescent="0.25">
      <c r="A5061" s="105">
        <f t="shared" si="79"/>
        <v>8708313</v>
      </c>
      <c r="B5061" s="105" t="s">
        <v>8445</v>
      </c>
      <c r="C5061" s="105" t="s">
        <v>8446</v>
      </c>
      <c r="D5061" s="105">
        <v>7375.71</v>
      </c>
      <c r="E5061" s="105">
        <v>4425.43</v>
      </c>
      <c r="F5061" s="105">
        <v>0</v>
      </c>
    </row>
    <row r="5062" spans="1:6" x14ac:dyDescent="0.25">
      <c r="A5062" s="105">
        <f t="shared" si="79"/>
        <v>8708314</v>
      </c>
      <c r="B5062" s="105" t="s">
        <v>8447</v>
      </c>
      <c r="C5062" s="105" t="s">
        <v>8448</v>
      </c>
      <c r="D5062" s="105">
        <v>7375.71</v>
      </c>
      <c r="E5062" s="105">
        <v>4425.43</v>
      </c>
      <c r="F5062" s="105">
        <v>0</v>
      </c>
    </row>
    <row r="5063" spans="1:6" x14ac:dyDescent="0.25">
      <c r="A5063" s="105">
        <f t="shared" si="79"/>
        <v>8708315</v>
      </c>
      <c r="B5063" s="105" t="s">
        <v>8449</v>
      </c>
      <c r="C5063" s="105" t="s">
        <v>8450</v>
      </c>
      <c r="D5063" s="105">
        <v>7375.71</v>
      </c>
      <c r="E5063" s="105">
        <v>4425.43</v>
      </c>
      <c r="F5063" s="105">
        <v>0</v>
      </c>
    </row>
    <row r="5064" spans="1:6" x14ac:dyDescent="0.25">
      <c r="A5064" s="105" t="str">
        <f t="shared" si="79"/>
        <v/>
      </c>
      <c r="B5064" s="105" t="s">
        <v>8451</v>
      </c>
      <c r="C5064" s="105" t="s">
        <v>8</v>
      </c>
      <c r="D5064" s="105">
        <v>0</v>
      </c>
      <c r="E5064" s="105">
        <v>0</v>
      </c>
      <c r="F5064" s="105">
        <v>0</v>
      </c>
    </row>
    <row r="5065" spans="1:6" x14ac:dyDescent="0.25">
      <c r="A5065" s="105">
        <f t="shared" si="79"/>
        <v>8708402</v>
      </c>
      <c r="B5065" s="105" t="s">
        <v>8452</v>
      </c>
      <c r="C5065" s="105" t="s">
        <v>8453</v>
      </c>
      <c r="D5065" s="105">
        <v>0</v>
      </c>
      <c r="E5065" s="105">
        <v>0</v>
      </c>
      <c r="F5065" s="105">
        <v>0</v>
      </c>
    </row>
    <row r="5066" spans="1:6" x14ac:dyDescent="0.25">
      <c r="A5066" s="105">
        <f t="shared" si="79"/>
        <v>8708550</v>
      </c>
      <c r="B5066" s="105" t="s">
        <v>8454</v>
      </c>
      <c r="C5066" s="105" t="s">
        <v>8455</v>
      </c>
      <c r="D5066" s="105">
        <v>2756</v>
      </c>
      <c r="E5066" s="105">
        <v>1653.6</v>
      </c>
      <c r="F5066" s="105">
        <v>2</v>
      </c>
    </row>
    <row r="5067" spans="1:6" x14ac:dyDescent="0.25">
      <c r="A5067" s="105" t="str">
        <f t="shared" si="79"/>
        <v/>
      </c>
      <c r="B5067" s="105" t="s">
        <v>8456</v>
      </c>
      <c r="C5067" s="105" t="s">
        <v>8</v>
      </c>
      <c r="D5067" s="105">
        <v>0</v>
      </c>
      <c r="E5067" s="105">
        <v>0</v>
      </c>
      <c r="F5067" s="105">
        <v>0</v>
      </c>
    </row>
    <row r="5068" spans="1:6" x14ac:dyDescent="0.25">
      <c r="A5068" s="105">
        <f t="shared" si="79"/>
        <v>8708551</v>
      </c>
      <c r="B5068" s="105" t="s">
        <v>8457</v>
      </c>
      <c r="C5068" s="105" t="s">
        <v>8458</v>
      </c>
      <c r="D5068" s="105">
        <v>0</v>
      </c>
      <c r="E5068" s="105">
        <v>0</v>
      </c>
      <c r="F5068" s="105">
        <v>0</v>
      </c>
    </row>
    <row r="5069" spans="1:6" x14ac:dyDescent="0.25">
      <c r="A5069" s="105" t="str">
        <f t="shared" si="79"/>
        <v/>
      </c>
      <c r="B5069" s="105" t="s">
        <v>8459</v>
      </c>
      <c r="C5069" s="105" t="s">
        <v>8</v>
      </c>
      <c r="D5069" s="105">
        <v>0</v>
      </c>
      <c r="E5069" s="105">
        <v>0</v>
      </c>
      <c r="F5069" s="105">
        <v>0</v>
      </c>
    </row>
    <row r="5070" spans="1:6" x14ac:dyDescent="0.25">
      <c r="A5070" s="105">
        <f t="shared" si="79"/>
        <v>8708552</v>
      </c>
      <c r="B5070" s="105" t="s">
        <v>8460</v>
      </c>
      <c r="C5070" s="105" t="s">
        <v>8461</v>
      </c>
      <c r="D5070" s="105">
        <v>0</v>
      </c>
      <c r="E5070" s="105">
        <v>0</v>
      </c>
      <c r="F5070" s="105">
        <v>0</v>
      </c>
    </row>
    <row r="5071" spans="1:6" x14ac:dyDescent="0.25">
      <c r="A5071" s="105">
        <f t="shared" si="79"/>
        <v>8708601</v>
      </c>
      <c r="B5071" s="105" t="s">
        <v>8462</v>
      </c>
      <c r="C5071" s="105" t="s">
        <v>8463</v>
      </c>
      <c r="D5071" s="105">
        <v>5724</v>
      </c>
      <c r="E5071" s="105">
        <v>3434.4</v>
      </c>
      <c r="F5071" s="105">
        <v>153</v>
      </c>
    </row>
    <row r="5072" spans="1:6" x14ac:dyDescent="0.25">
      <c r="A5072" s="105">
        <f t="shared" si="79"/>
        <v>8708602</v>
      </c>
      <c r="B5072" s="105" t="s">
        <v>8464</v>
      </c>
      <c r="C5072" s="105" t="s">
        <v>8465</v>
      </c>
      <c r="D5072" s="105">
        <v>5724</v>
      </c>
      <c r="E5072" s="105">
        <v>3434.4</v>
      </c>
      <c r="F5072" s="105">
        <v>126</v>
      </c>
    </row>
    <row r="5073" spans="1:6" x14ac:dyDescent="0.25">
      <c r="A5073" s="105">
        <f t="shared" si="79"/>
        <v>8708603</v>
      </c>
      <c r="B5073" s="105" t="s">
        <v>8466</v>
      </c>
      <c r="C5073" s="105" t="s">
        <v>8467</v>
      </c>
      <c r="D5073" s="105">
        <v>7950</v>
      </c>
      <c r="E5073" s="105">
        <v>4770</v>
      </c>
      <c r="F5073" s="105">
        <v>40</v>
      </c>
    </row>
    <row r="5074" spans="1:6" x14ac:dyDescent="0.25">
      <c r="A5074" s="105">
        <f t="shared" si="79"/>
        <v>8708604</v>
      </c>
      <c r="B5074" s="105" t="s">
        <v>8468</v>
      </c>
      <c r="C5074" s="105" t="s">
        <v>8469</v>
      </c>
      <c r="D5074" s="105">
        <v>3498</v>
      </c>
      <c r="E5074" s="105">
        <v>2098.8000000000002</v>
      </c>
      <c r="F5074" s="105">
        <v>145</v>
      </c>
    </row>
    <row r="5075" spans="1:6" x14ac:dyDescent="0.25">
      <c r="A5075" s="105">
        <f t="shared" si="79"/>
        <v>8708607</v>
      </c>
      <c r="B5075" s="105" t="s">
        <v>8470</v>
      </c>
      <c r="C5075" s="105" t="s">
        <v>8471</v>
      </c>
      <c r="D5075" s="105">
        <v>7632</v>
      </c>
      <c r="E5075" s="105">
        <v>4579.2</v>
      </c>
      <c r="F5075" s="105">
        <v>59</v>
      </c>
    </row>
    <row r="5076" spans="1:6" x14ac:dyDescent="0.25">
      <c r="A5076" s="105">
        <f t="shared" si="79"/>
        <v>8708608</v>
      </c>
      <c r="B5076" s="105" t="s">
        <v>8472</v>
      </c>
      <c r="C5076" s="105" t="s">
        <v>8473</v>
      </c>
      <c r="D5076" s="105">
        <v>9434</v>
      </c>
      <c r="E5076" s="105">
        <v>5660.4</v>
      </c>
      <c r="F5076" s="105">
        <v>227</v>
      </c>
    </row>
    <row r="5077" spans="1:6" x14ac:dyDescent="0.25">
      <c r="A5077" s="105">
        <f t="shared" si="79"/>
        <v>8708609</v>
      </c>
      <c r="B5077" s="105" t="s">
        <v>8474</v>
      </c>
      <c r="C5077" s="105" t="s">
        <v>8475</v>
      </c>
      <c r="D5077" s="105">
        <v>10070</v>
      </c>
      <c r="E5077" s="105">
        <v>6042</v>
      </c>
      <c r="F5077" s="105">
        <v>49</v>
      </c>
    </row>
    <row r="5078" spans="1:6" x14ac:dyDescent="0.25">
      <c r="A5078" s="105">
        <f t="shared" si="79"/>
        <v>8708610</v>
      </c>
      <c r="B5078" s="105" t="s">
        <v>8476</v>
      </c>
      <c r="C5078" s="105" t="s">
        <v>8477</v>
      </c>
      <c r="D5078" s="105">
        <v>5512</v>
      </c>
      <c r="E5078" s="105">
        <v>3307.2</v>
      </c>
      <c r="F5078" s="105">
        <v>121</v>
      </c>
    </row>
    <row r="5079" spans="1:6" x14ac:dyDescent="0.25">
      <c r="A5079" s="105" t="str">
        <f t="shared" si="79"/>
        <v/>
      </c>
      <c r="B5079" s="105" t="s">
        <v>8478</v>
      </c>
      <c r="C5079" s="105" t="s">
        <v>8</v>
      </c>
      <c r="D5079" s="105">
        <v>0</v>
      </c>
      <c r="E5079" s="105">
        <v>0</v>
      </c>
      <c r="F5079" s="105">
        <v>0</v>
      </c>
    </row>
    <row r="5080" spans="1:6" x14ac:dyDescent="0.25">
      <c r="A5080" s="105">
        <f t="shared" si="79"/>
        <v>8708615</v>
      </c>
      <c r="B5080" s="105" t="s">
        <v>8479</v>
      </c>
      <c r="C5080" s="105" t="s">
        <v>8480</v>
      </c>
      <c r="D5080" s="105">
        <v>0</v>
      </c>
      <c r="E5080" s="105">
        <v>0</v>
      </c>
      <c r="F5080" s="105">
        <v>0</v>
      </c>
    </row>
    <row r="5081" spans="1:6" x14ac:dyDescent="0.25">
      <c r="A5081" s="105">
        <f t="shared" si="79"/>
        <v>8708617</v>
      </c>
      <c r="B5081" s="105" t="s">
        <v>8481</v>
      </c>
      <c r="C5081" s="105" t="s">
        <v>7713</v>
      </c>
      <c r="D5081" s="105">
        <v>2418.7199999999998</v>
      </c>
      <c r="E5081" s="105">
        <v>1451.23</v>
      </c>
      <c r="F5081" s="105">
        <v>1</v>
      </c>
    </row>
    <row r="5082" spans="1:6" x14ac:dyDescent="0.25">
      <c r="A5082" s="105">
        <f t="shared" si="79"/>
        <v>8708618</v>
      </c>
      <c r="B5082" s="105" t="s">
        <v>8482</v>
      </c>
      <c r="C5082" s="105" t="s">
        <v>8483</v>
      </c>
      <c r="D5082" s="105">
        <v>5088</v>
      </c>
      <c r="E5082" s="105">
        <v>3052.8</v>
      </c>
      <c r="F5082" s="105">
        <v>0</v>
      </c>
    </row>
    <row r="5083" spans="1:6" x14ac:dyDescent="0.25">
      <c r="A5083" s="105">
        <f t="shared" si="79"/>
        <v>8708620</v>
      </c>
      <c r="B5083" s="105" t="s">
        <v>8484</v>
      </c>
      <c r="C5083" s="105" t="s">
        <v>8485</v>
      </c>
      <c r="D5083" s="105">
        <v>6890</v>
      </c>
      <c r="E5083" s="105">
        <v>4134</v>
      </c>
      <c r="F5083" s="105">
        <v>85</v>
      </c>
    </row>
    <row r="5084" spans="1:6" x14ac:dyDescent="0.25">
      <c r="A5084" s="105">
        <f t="shared" si="79"/>
        <v>8708625</v>
      </c>
      <c r="B5084" s="105" t="s">
        <v>8486</v>
      </c>
      <c r="C5084" s="105" t="s">
        <v>8487</v>
      </c>
      <c r="D5084" s="105">
        <v>6996</v>
      </c>
      <c r="E5084" s="105">
        <v>4197.6000000000004</v>
      </c>
      <c r="F5084" s="105">
        <v>69</v>
      </c>
    </row>
    <row r="5085" spans="1:6" x14ac:dyDescent="0.25">
      <c r="A5085" s="105">
        <f t="shared" si="79"/>
        <v>8708628</v>
      </c>
      <c r="B5085" s="105" t="s">
        <v>8488</v>
      </c>
      <c r="C5085" s="105" t="s">
        <v>8489</v>
      </c>
      <c r="D5085" s="105">
        <v>8480</v>
      </c>
      <c r="E5085" s="105">
        <v>5088</v>
      </c>
      <c r="F5085" s="105">
        <v>17</v>
      </c>
    </row>
    <row r="5086" spans="1:6" x14ac:dyDescent="0.25">
      <c r="A5086" s="105">
        <f t="shared" si="79"/>
        <v>8708629</v>
      </c>
      <c r="B5086" s="105" t="s">
        <v>8490</v>
      </c>
      <c r="C5086" s="105" t="s">
        <v>8491</v>
      </c>
      <c r="D5086" s="105">
        <v>20140</v>
      </c>
      <c r="E5086" s="105">
        <v>12084</v>
      </c>
      <c r="F5086" s="105">
        <v>37</v>
      </c>
    </row>
    <row r="5087" spans="1:6" x14ac:dyDescent="0.25">
      <c r="A5087" s="105">
        <f t="shared" si="79"/>
        <v>8708630</v>
      </c>
      <c r="B5087" s="105" t="s">
        <v>8492</v>
      </c>
      <c r="C5087" s="105" t="s">
        <v>8493</v>
      </c>
      <c r="D5087" s="105">
        <v>6049.07</v>
      </c>
      <c r="E5087" s="105">
        <v>3629.44</v>
      </c>
      <c r="F5087" s="105">
        <v>24</v>
      </c>
    </row>
    <row r="5088" spans="1:6" x14ac:dyDescent="0.25">
      <c r="A5088" s="105">
        <f t="shared" si="79"/>
        <v>8708631</v>
      </c>
      <c r="B5088" s="105" t="s">
        <v>8494</v>
      </c>
      <c r="C5088" s="105" t="s">
        <v>8495</v>
      </c>
      <c r="D5088" s="105">
        <v>2535.52</v>
      </c>
      <c r="E5088" s="105">
        <v>1521.31</v>
      </c>
      <c r="F5088" s="105">
        <v>0</v>
      </c>
    </row>
    <row r="5089" spans="1:6" x14ac:dyDescent="0.25">
      <c r="A5089" s="105">
        <f t="shared" si="79"/>
        <v>8708634</v>
      </c>
      <c r="B5089" s="105" t="s">
        <v>8496</v>
      </c>
      <c r="C5089" s="105" t="s">
        <v>8497</v>
      </c>
      <c r="D5089" s="105">
        <v>5724</v>
      </c>
      <c r="E5089" s="105">
        <v>3434.4</v>
      </c>
      <c r="F5089" s="105">
        <v>196</v>
      </c>
    </row>
    <row r="5090" spans="1:6" x14ac:dyDescent="0.25">
      <c r="A5090" s="105">
        <f t="shared" si="79"/>
        <v>8708635</v>
      </c>
      <c r="B5090" s="105" t="s">
        <v>8498</v>
      </c>
      <c r="C5090" s="105" t="s">
        <v>8499</v>
      </c>
      <c r="D5090" s="105">
        <v>3125.3</v>
      </c>
      <c r="E5090" s="105">
        <v>1875.18</v>
      </c>
      <c r="F5090" s="105">
        <v>0</v>
      </c>
    </row>
    <row r="5091" spans="1:6" x14ac:dyDescent="0.25">
      <c r="A5091" s="105">
        <f t="shared" si="79"/>
        <v>8708637</v>
      </c>
      <c r="B5091" s="105" t="s">
        <v>8500</v>
      </c>
      <c r="C5091" s="105" t="s">
        <v>8501</v>
      </c>
      <c r="D5091" s="105">
        <v>10176</v>
      </c>
      <c r="E5091" s="105">
        <v>6105.6</v>
      </c>
      <c r="F5091" s="105">
        <v>36</v>
      </c>
    </row>
    <row r="5092" spans="1:6" x14ac:dyDescent="0.25">
      <c r="A5092" s="105">
        <f t="shared" si="79"/>
        <v>8708638</v>
      </c>
      <c r="B5092" s="105" t="s">
        <v>8502</v>
      </c>
      <c r="C5092" s="105" t="s">
        <v>8503</v>
      </c>
      <c r="D5092" s="105">
        <v>18020</v>
      </c>
      <c r="E5092" s="105">
        <v>10812</v>
      </c>
      <c r="F5092" s="105">
        <v>75</v>
      </c>
    </row>
    <row r="5093" spans="1:6" x14ac:dyDescent="0.25">
      <c r="A5093" s="105">
        <f t="shared" si="79"/>
        <v>8708639</v>
      </c>
      <c r="B5093" s="105" t="s">
        <v>8504</v>
      </c>
      <c r="C5093" s="105" t="s">
        <v>8505</v>
      </c>
      <c r="D5093" s="105">
        <v>1378</v>
      </c>
      <c r="E5093" s="105">
        <v>826.8</v>
      </c>
      <c r="F5093" s="105">
        <v>230</v>
      </c>
    </row>
    <row r="5094" spans="1:6" x14ac:dyDescent="0.25">
      <c r="A5094" s="105">
        <f t="shared" si="79"/>
        <v>8708640</v>
      </c>
      <c r="B5094" s="105" t="s">
        <v>8506</v>
      </c>
      <c r="C5094" s="105" t="s">
        <v>8507</v>
      </c>
      <c r="D5094" s="105">
        <v>2866.24</v>
      </c>
      <c r="E5094" s="105">
        <v>1719.74</v>
      </c>
      <c r="F5094" s="105">
        <v>0</v>
      </c>
    </row>
    <row r="5095" spans="1:6" x14ac:dyDescent="0.25">
      <c r="A5095" s="105">
        <f t="shared" si="79"/>
        <v>8708643</v>
      </c>
      <c r="B5095" s="105" t="s">
        <v>8508</v>
      </c>
      <c r="C5095" s="105" t="s">
        <v>8509</v>
      </c>
      <c r="D5095" s="105">
        <v>4134</v>
      </c>
      <c r="E5095" s="105">
        <v>2480.4</v>
      </c>
      <c r="F5095" s="105">
        <v>193</v>
      </c>
    </row>
    <row r="5096" spans="1:6" x14ac:dyDescent="0.25">
      <c r="A5096" s="105">
        <f t="shared" si="79"/>
        <v>8708644</v>
      </c>
      <c r="B5096" s="105" t="s">
        <v>8510</v>
      </c>
      <c r="C5096" s="105" t="s">
        <v>8511</v>
      </c>
      <c r="D5096" s="105">
        <v>1378</v>
      </c>
      <c r="E5096" s="105">
        <v>826.8</v>
      </c>
      <c r="F5096" s="105">
        <v>80</v>
      </c>
    </row>
    <row r="5097" spans="1:6" x14ac:dyDescent="0.25">
      <c r="A5097" s="105">
        <f t="shared" si="79"/>
        <v>8708657</v>
      </c>
      <c r="B5097" s="105" t="s">
        <v>8512</v>
      </c>
      <c r="C5097" s="105" t="s">
        <v>8513</v>
      </c>
      <c r="D5097" s="105">
        <v>5406</v>
      </c>
      <c r="E5097" s="105">
        <v>3243.6</v>
      </c>
      <c r="F5097" s="105">
        <v>100</v>
      </c>
    </row>
    <row r="5098" spans="1:6" x14ac:dyDescent="0.25">
      <c r="A5098" s="105">
        <f t="shared" si="79"/>
        <v>8708815</v>
      </c>
      <c r="B5098" s="105" t="s">
        <v>8514</v>
      </c>
      <c r="C5098" s="105" t="s">
        <v>8515</v>
      </c>
      <c r="D5098" s="105">
        <v>1696</v>
      </c>
      <c r="E5098" s="105">
        <v>1017.6</v>
      </c>
      <c r="F5098" s="105">
        <v>420</v>
      </c>
    </row>
    <row r="5099" spans="1:6" x14ac:dyDescent="0.25">
      <c r="A5099" s="105">
        <f t="shared" si="79"/>
        <v>8708888</v>
      </c>
      <c r="B5099" s="105" t="s">
        <v>8516</v>
      </c>
      <c r="C5099" s="105" t="s">
        <v>8517</v>
      </c>
      <c r="D5099" s="105">
        <v>16960</v>
      </c>
      <c r="E5099" s="105">
        <v>10176</v>
      </c>
      <c r="F5099" s="105">
        <v>85</v>
      </c>
    </row>
    <row r="5100" spans="1:6" x14ac:dyDescent="0.25">
      <c r="A5100" s="105">
        <f t="shared" si="79"/>
        <v>8708899</v>
      </c>
      <c r="B5100" s="105" t="s">
        <v>8518</v>
      </c>
      <c r="C5100" s="105" t="s">
        <v>8519</v>
      </c>
      <c r="D5100" s="105">
        <v>10598.94</v>
      </c>
      <c r="E5100" s="105">
        <v>6359.36</v>
      </c>
      <c r="F5100" s="105">
        <v>14</v>
      </c>
    </row>
    <row r="5101" spans="1:6" x14ac:dyDescent="0.25">
      <c r="A5101" s="105">
        <f t="shared" si="79"/>
        <v>8708900</v>
      </c>
      <c r="B5101" s="105" t="s">
        <v>8520</v>
      </c>
      <c r="C5101" s="105" t="s">
        <v>8521</v>
      </c>
      <c r="D5101" s="105">
        <v>1674.4</v>
      </c>
      <c r="E5101" s="105">
        <v>1004.64</v>
      </c>
      <c r="F5101" s="105">
        <v>0</v>
      </c>
    </row>
    <row r="5102" spans="1:6" x14ac:dyDescent="0.25">
      <c r="A5102" s="105" t="str">
        <f t="shared" si="79"/>
        <v/>
      </c>
      <c r="B5102" s="105" t="s">
        <v>8522</v>
      </c>
      <c r="C5102" s="105" t="s">
        <v>8</v>
      </c>
      <c r="D5102" s="105">
        <v>0</v>
      </c>
      <c r="E5102" s="105">
        <v>0</v>
      </c>
      <c r="F5102" s="105">
        <v>0</v>
      </c>
    </row>
    <row r="5103" spans="1:6" x14ac:dyDescent="0.25">
      <c r="A5103" s="105">
        <f t="shared" si="79"/>
        <v>8708901</v>
      </c>
      <c r="B5103" s="105" t="s">
        <v>8523</v>
      </c>
      <c r="C5103" s="105" t="s">
        <v>8524</v>
      </c>
      <c r="D5103" s="105">
        <v>0</v>
      </c>
      <c r="E5103" s="105">
        <v>0</v>
      </c>
      <c r="F5103" s="105">
        <v>0</v>
      </c>
    </row>
    <row r="5104" spans="1:6" x14ac:dyDescent="0.25">
      <c r="A5104" s="105">
        <f t="shared" si="79"/>
        <v>8708907</v>
      </c>
      <c r="B5104" s="105" t="s">
        <v>8525</v>
      </c>
      <c r="C5104" s="105" t="s">
        <v>8526</v>
      </c>
      <c r="D5104" s="105">
        <v>8904</v>
      </c>
      <c r="E5104" s="105">
        <v>5342.4</v>
      </c>
      <c r="F5104" s="105">
        <v>45</v>
      </c>
    </row>
    <row r="5105" spans="1:6" x14ac:dyDescent="0.25">
      <c r="A5105" s="105">
        <f t="shared" si="79"/>
        <v>8708990</v>
      </c>
      <c r="B5105" s="105" t="s">
        <v>8527</v>
      </c>
      <c r="C5105" s="105" t="s">
        <v>8528</v>
      </c>
      <c r="D5105" s="105">
        <v>2358.71</v>
      </c>
      <c r="E5105" s="105">
        <v>1415.23</v>
      </c>
      <c r="F5105" s="105">
        <v>0</v>
      </c>
    </row>
    <row r="5106" spans="1:6" x14ac:dyDescent="0.25">
      <c r="A5106" s="105">
        <f t="shared" si="79"/>
        <v>8708999</v>
      </c>
      <c r="B5106" s="105" t="s">
        <v>8529</v>
      </c>
      <c r="C5106" s="105" t="s">
        <v>8530</v>
      </c>
      <c r="D5106" s="105">
        <v>16960</v>
      </c>
      <c r="E5106" s="105">
        <v>10176</v>
      </c>
      <c r="F5106" s="105">
        <v>120</v>
      </c>
    </row>
    <row r="5107" spans="1:6" x14ac:dyDescent="0.25">
      <c r="A5107" s="105">
        <f t="shared" si="79"/>
        <v>8709698</v>
      </c>
      <c r="B5107" s="105" t="s">
        <v>8531</v>
      </c>
      <c r="C5107" s="105" t="s">
        <v>8532</v>
      </c>
      <c r="D5107" s="105">
        <v>6900</v>
      </c>
      <c r="E5107" s="105">
        <v>4140</v>
      </c>
      <c r="F5107" s="105">
        <v>0</v>
      </c>
    </row>
    <row r="5108" spans="1:6" x14ac:dyDescent="0.25">
      <c r="A5108" s="105" t="str">
        <f t="shared" si="79"/>
        <v/>
      </c>
      <c r="B5108" s="105" t="s">
        <v>8533</v>
      </c>
      <c r="C5108" s="105" t="s">
        <v>8</v>
      </c>
      <c r="D5108" s="105">
        <v>0</v>
      </c>
      <c r="E5108" s="105">
        <v>0</v>
      </c>
      <c r="F5108" s="105">
        <v>0</v>
      </c>
    </row>
    <row r="5109" spans="1:6" x14ac:dyDescent="0.25">
      <c r="A5109" s="105">
        <f t="shared" si="79"/>
        <v>8709699</v>
      </c>
      <c r="B5109" s="105" t="s">
        <v>8534</v>
      </c>
      <c r="C5109" s="105" t="s">
        <v>8535</v>
      </c>
      <c r="D5109" s="105">
        <v>0</v>
      </c>
      <c r="E5109" s="105">
        <v>0</v>
      </c>
      <c r="F5109" s="105">
        <v>0</v>
      </c>
    </row>
    <row r="5110" spans="1:6" x14ac:dyDescent="0.25">
      <c r="A5110" s="105">
        <f t="shared" si="79"/>
        <v>8711047</v>
      </c>
      <c r="B5110" s="105" t="s">
        <v>8536</v>
      </c>
      <c r="C5110" s="105" t="s">
        <v>8537</v>
      </c>
      <c r="D5110" s="105">
        <v>7750</v>
      </c>
      <c r="E5110" s="105">
        <v>4650</v>
      </c>
      <c r="F5110" s="105">
        <v>0</v>
      </c>
    </row>
    <row r="5111" spans="1:6" x14ac:dyDescent="0.25">
      <c r="A5111" s="105">
        <f t="shared" si="79"/>
        <v>8711048</v>
      </c>
      <c r="B5111" s="105" t="s">
        <v>8538</v>
      </c>
      <c r="C5111" s="105" t="s">
        <v>8539</v>
      </c>
      <c r="D5111" s="105">
        <v>9222</v>
      </c>
      <c r="E5111" s="105">
        <v>5533.2</v>
      </c>
      <c r="F5111" s="105">
        <v>0</v>
      </c>
    </row>
    <row r="5112" spans="1:6" x14ac:dyDescent="0.25">
      <c r="A5112" s="105">
        <f t="shared" si="79"/>
        <v>8711049</v>
      </c>
      <c r="B5112" s="105" t="s">
        <v>8540</v>
      </c>
      <c r="C5112" s="105" t="s">
        <v>8541</v>
      </c>
      <c r="D5112" s="105">
        <v>10017</v>
      </c>
      <c r="E5112" s="105">
        <v>6010.2</v>
      </c>
      <c r="F5112" s="105">
        <v>1</v>
      </c>
    </row>
    <row r="5113" spans="1:6" x14ac:dyDescent="0.25">
      <c r="A5113" s="105">
        <f t="shared" si="79"/>
        <v>8711105</v>
      </c>
      <c r="B5113" s="105" t="s">
        <v>8542</v>
      </c>
      <c r="C5113" s="105" t="s">
        <v>8543</v>
      </c>
      <c r="D5113" s="105">
        <v>3922</v>
      </c>
      <c r="E5113" s="105">
        <v>2353.1999999999998</v>
      </c>
      <c r="F5113" s="105">
        <v>0</v>
      </c>
    </row>
    <row r="5114" spans="1:6" x14ac:dyDescent="0.25">
      <c r="A5114" s="105">
        <f t="shared" si="79"/>
        <v>8711700</v>
      </c>
      <c r="B5114" s="105" t="s">
        <v>8544</v>
      </c>
      <c r="C5114" s="105" t="s">
        <v>8545</v>
      </c>
      <c r="D5114" s="105">
        <v>4500</v>
      </c>
      <c r="E5114" s="105">
        <v>2700</v>
      </c>
      <c r="F5114" s="105">
        <v>8</v>
      </c>
    </row>
    <row r="5115" spans="1:6" x14ac:dyDescent="0.25">
      <c r="A5115" s="105">
        <f t="shared" si="79"/>
        <v>8711701</v>
      </c>
      <c r="B5115" s="105" t="s">
        <v>8546</v>
      </c>
      <c r="C5115" s="105" t="s">
        <v>8547</v>
      </c>
      <c r="D5115" s="105">
        <v>5950</v>
      </c>
      <c r="E5115" s="105">
        <v>3570</v>
      </c>
      <c r="F5115" s="105">
        <v>4</v>
      </c>
    </row>
    <row r="5116" spans="1:6" x14ac:dyDescent="0.25">
      <c r="A5116" s="105">
        <f t="shared" si="79"/>
        <v>8711702</v>
      </c>
      <c r="B5116" s="105" t="s">
        <v>8548</v>
      </c>
      <c r="C5116" s="105" t="s">
        <v>8549</v>
      </c>
      <c r="D5116" s="105">
        <v>6300</v>
      </c>
      <c r="E5116" s="105">
        <v>3780</v>
      </c>
      <c r="F5116" s="105">
        <v>4</v>
      </c>
    </row>
    <row r="5117" spans="1:6" x14ac:dyDescent="0.25">
      <c r="A5117" s="105" t="str">
        <f t="shared" si="79"/>
        <v/>
      </c>
      <c r="B5117" s="105" t="s">
        <v>8550</v>
      </c>
      <c r="C5117" s="105" t="s">
        <v>8</v>
      </c>
      <c r="D5117" s="105">
        <v>0</v>
      </c>
      <c r="E5117" s="105">
        <v>0</v>
      </c>
      <c r="F5117" s="105">
        <v>0</v>
      </c>
    </row>
    <row r="5118" spans="1:6" x14ac:dyDescent="0.25">
      <c r="A5118" s="105">
        <f t="shared" si="79"/>
        <v>8711704</v>
      </c>
      <c r="B5118" s="105" t="s">
        <v>8551</v>
      </c>
      <c r="C5118" s="105" t="s">
        <v>8552</v>
      </c>
      <c r="D5118" s="105">
        <v>0</v>
      </c>
      <c r="E5118" s="105">
        <v>0</v>
      </c>
      <c r="F5118" s="105">
        <v>0</v>
      </c>
    </row>
    <row r="5119" spans="1:6" x14ac:dyDescent="0.25">
      <c r="A5119" s="105">
        <f t="shared" si="79"/>
        <v>8711706</v>
      </c>
      <c r="B5119" s="105" t="s">
        <v>8553</v>
      </c>
      <c r="C5119" s="105" t="s">
        <v>8554</v>
      </c>
      <c r="D5119" s="105">
        <v>0</v>
      </c>
      <c r="E5119" s="105">
        <v>0</v>
      </c>
      <c r="F5119" s="105">
        <v>0</v>
      </c>
    </row>
    <row r="5120" spans="1:6" x14ac:dyDescent="0.25">
      <c r="A5120" s="105" t="str">
        <f t="shared" si="79"/>
        <v/>
      </c>
      <c r="B5120" s="105" t="s">
        <v>8555</v>
      </c>
      <c r="C5120" s="105" t="s">
        <v>8</v>
      </c>
      <c r="D5120" s="105">
        <v>0</v>
      </c>
      <c r="E5120" s="105">
        <v>0</v>
      </c>
      <c r="F5120" s="105">
        <v>0</v>
      </c>
    </row>
    <row r="5121" spans="1:6" x14ac:dyDescent="0.25">
      <c r="A5121" s="105">
        <f t="shared" si="79"/>
        <v>8711707</v>
      </c>
      <c r="B5121" s="105" t="s">
        <v>8556</v>
      </c>
      <c r="C5121" s="105" t="s">
        <v>8557</v>
      </c>
      <c r="D5121" s="105">
        <v>0</v>
      </c>
      <c r="E5121" s="105">
        <v>0</v>
      </c>
      <c r="F5121" s="105">
        <v>0</v>
      </c>
    </row>
    <row r="5122" spans="1:6" x14ac:dyDescent="0.25">
      <c r="A5122" s="105" t="str">
        <f t="shared" si="79"/>
        <v/>
      </c>
      <c r="B5122" s="105" t="s">
        <v>8558</v>
      </c>
      <c r="C5122" s="105" t="s">
        <v>8</v>
      </c>
      <c r="D5122" s="105">
        <v>0</v>
      </c>
      <c r="E5122" s="105">
        <v>0</v>
      </c>
      <c r="F5122" s="105">
        <v>0</v>
      </c>
    </row>
    <row r="5123" spans="1:6" x14ac:dyDescent="0.25">
      <c r="A5123" s="105">
        <f t="shared" ref="A5123:A5186" si="80">IF(B5123&lt;&gt;"",IFERROR(B5123*1,""),"")</f>
        <v>8715004</v>
      </c>
      <c r="B5123" s="105" t="s">
        <v>8559</v>
      </c>
      <c r="C5123" s="105" t="s">
        <v>8560</v>
      </c>
      <c r="D5123" s="105">
        <v>0</v>
      </c>
      <c r="E5123" s="105">
        <v>0</v>
      </c>
      <c r="F5123" s="105">
        <v>0</v>
      </c>
    </row>
    <row r="5124" spans="1:6" x14ac:dyDescent="0.25">
      <c r="A5124" s="105">
        <f t="shared" si="80"/>
        <v>8715803</v>
      </c>
      <c r="B5124" s="105" t="s">
        <v>8561</v>
      </c>
      <c r="C5124" s="105" t="s">
        <v>8562</v>
      </c>
      <c r="D5124" s="105">
        <v>153.07</v>
      </c>
      <c r="E5124" s="105">
        <v>91.84</v>
      </c>
      <c r="F5124" s="105">
        <v>13</v>
      </c>
    </row>
    <row r="5125" spans="1:6" x14ac:dyDescent="0.25">
      <c r="A5125" s="105">
        <f t="shared" si="80"/>
        <v>8717033</v>
      </c>
      <c r="B5125" s="105" t="s">
        <v>8563</v>
      </c>
      <c r="C5125" s="105" t="s">
        <v>8564</v>
      </c>
      <c r="D5125" s="105">
        <v>810.65</v>
      </c>
      <c r="E5125" s="105">
        <v>486.39</v>
      </c>
      <c r="F5125" s="105">
        <v>134</v>
      </c>
    </row>
    <row r="5126" spans="1:6" x14ac:dyDescent="0.25">
      <c r="A5126" s="105">
        <f t="shared" si="80"/>
        <v>8800000</v>
      </c>
      <c r="B5126" s="105" t="s">
        <v>8565</v>
      </c>
      <c r="C5126" s="105" t="s">
        <v>8566</v>
      </c>
      <c r="D5126" s="105">
        <v>0</v>
      </c>
      <c r="E5126" s="105">
        <v>0</v>
      </c>
      <c r="F5126" s="105">
        <v>0</v>
      </c>
    </row>
    <row r="5127" spans="1:6" x14ac:dyDescent="0.25">
      <c r="A5127" s="105" t="str">
        <f t="shared" si="80"/>
        <v/>
      </c>
      <c r="B5127" s="105" t="s">
        <v>8567</v>
      </c>
      <c r="C5127" s="105" t="s">
        <v>8</v>
      </c>
      <c r="D5127" s="105">
        <v>0</v>
      </c>
      <c r="E5127" s="105">
        <v>0</v>
      </c>
      <c r="F5127" s="105">
        <v>0</v>
      </c>
    </row>
    <row r="5128" spans="1:6" x14ac:dyDescent="0.25">
      <c r="A5128" s="105">
        <f t="shared" si="80"/>
        <v>8800001</v>
      </c>
      <c r="B5128" s="105" t="s">
        <v>8568</v>
      </c>
      <c r="C5128" s="105" t="s">
        <v>8569</v>
      </c>
      <c r="D5128" s="105">
        <v>0</v>
      </c>
      <c r="E5128" s="105">
        <v>0</v>
      </c>
      <c r="F5128" s="105">
        <v>0</v>
      </c>
    </row>
    <row r="5129" spans="1:6" x14ac:dyDescent="0.25">
      <c r="A5129" s="105" t="str">
        <f t="shared" si="80"/>
        <v/>
      </c>
      <c r="B5129" s="105" t="s">
        <v>8570</v>
      </c>
      <c r="C5129" s="105" t="s">
        <v>8</v>
      </c>
      <c r="D5129" s="105">
        <v>0</v>
      </c>
      <c r="E5129" s="105">
        <v>0</v>
      </c>
      <c r="F5129" s="105">
        <v>0</v>
      </c>
    </row>
    <row r="5130" spans="1:6" x14ac:dyDescent="0.25">
      <c r="A5130" s="105">
        <f t="shared" si="80"/>
        <v>8800002</v>
      </c>
      <c r="B5130" s="105" t="s">
        <v>8571</v>
      </c>
      <c r="C5130" s="105" t="s">
        <v>8572</v>
      </c>
      <c r="D5130" s="105">
        <v>0</v>
      </c>
      <c r="E5130" s="105">
        <v>0</v>
      </c>
      <c r="F5130" s="105">
        <v>0</v>
      </c>
    </row>
    <row r="5131" spans="1:6" x14ac:dyDescent="0.25">
      <c r="A5131" s="105" t="str">
        <f t="shared" si="80"/>
        <v/>
      </c>
      <c r="B5131" s="105" t="s">
        <v>8573</v>
      </c>
      <c r="C5131" s="105" t="s">
        <v>8</v>
      </c>
      <c r="D5131" s="105">
        <v>0</v>
      </c>
      <c r="E5131" s="105">
        <v>0</v>
      </c>
      <c r="F5131" s="105">
        <v>0</v>
      </c>
    </row>
    <row r="5132" spans="1:6" x14ac:dyDescent="0.25">
      <c r="A5132" s="105">
        <f t="shared" si="80"/>
        <v>8800003</v>
      </c>
      <c r="B5132" s="105" t="s">
        <v>8574</v>
      </c>
      <c r="C5132" s="105" t="s">
        <v>8575</v>
      </c>
      <c r="D5132" s="105">
        <v>0</v>
      </c>
      <c r="E5132" s="105">
        <v>0</v>
      </c>
      <c r="F5132" s="105">
        <v>0</v>
      </c>
    </row>
    <row r="5133" spans="1:6" x14ac:dyDescent="0.25">
      <c r="A5133" s="105" t="str">
        <f t="shared" si="80"/>
        <v/>
      </c>
      <c r="B5133" s="105" t="s">
        <v>8576</v>
      </c>
      <c r="C5133" s="105" t="s">
        <v>8</v>
      </c>
      <c r="D5133" s="105">
        <v>0</v>
      </c>
      <c r="E5133" s="105">
        <v>0</v>
      </c>
      <c r="F5133" s="105">
        <v>0</v>
      </c>
    </row>
    <row r="5134" spans="1:6" x14ac:dyDescent="0.25">
      <c r="A5134" s="105">
        <f t="shared" si="80"/>
        <v>8815007</v>
      </c>
      <c r="B5134" s="105" t="s">
        <v>8577</v>
      </c>
      <c r="C5134" s="105" t="s">
        <v>6866</v>
      </c>
      <c r="D5134" s="105">
        <v>0</v>
      </c>
      <c r="E5134" s="105">
        <v>0</v>
      </c>
      <c r="F5134" s="105">
        <v>0</v>
      </c>
    </row>
    <row r="5135" spans="1:6" x14ac:dyDescent="0.25">
      <c r="A5135" s="105">
        <f t="shared" si="80"/>
        <v>8857005</v>
      </c>
      <c r="B5135" s="105" t="s">
        <v>8578</v>
      </c>
      <c r="C5135" s="105" t="s">
        <v>8579</v>
      </c>
      <c r="D5135" s="105">
        <v>2500.2399999999998</v>
      </c>
      <c r="E5135" s="105">
        <v>1500.14</v>
      </c>
      <c r="F5135" s="105">
        <v>21</v>
      </c>
    </row>
    <row r="5136" spans="1:6" x14ac:dyDescent="0.25">
      <c r="A5136" s="105">
        <f t="shared" si="80"/>
        <v>8857829</v>
      </c>
      <c r="B5136" s="105" t="s">
        <v>8580</v>
      </c>
      <c r="C5136" s="105" t="s">
        <v>8581</v>
      </c>
      <c r="D5136" s="105">
        <v>2438</v>
      </c>
      <c r="E5136" s="105">
        <v>1462.8</v>
      </c>
      <c r="F5136" s="105">
        <v>25</v>
      </c>
    </row>
    <row r="5137" spans="1:6" x14ac:dyDescent="0.25">
      <c r="A5137" s="105" t="str">
        <f t="shared" si="80"/>
        <v/>
      </c>
      <c r="B5137" s="105" t="s">
        <v>8582</v>
      </c>
      <c r="C5137" s="105" t="s">
        <v>8</v>
      </c>
      <c r="D5137" s="105">
        <v>0</v>
      </c>
      <c r="E5137" s="105">
        <v>0</v>
      </c>
      <c r="F5137" s="105">
        <v>0</v>
      </c>
    </row>
    <row r="5138" spans="1:6" x14ac:dyDescent="0.25">
      <c r="A5138" s="105">
        <f t="shared" si="80"/>
        <v>8858005</v>
      </c>
      <c r="B5138" s="105" t="s">
        <v>8583</v>
      </c>
      <c r="C5138" s="105" t="s">
        <v>6866</v>
      </c>
      <c r="D5138" s="105">
        <v>0</v>
      </c>
      <c r="E5138" s="105">
        <v>0</v>
      </c>
      <c r="F5138" s="105">
        <v>0</v>
      </c>
    </row>
    <row r="5139" spans="1:6" x14ac:dyDescent="0.25">
      <c r="A5139" s="105" t="str">
        <f t="shared" si="80"/>
        <v/>
      </c>
      <c r="B5139" s="105" t="s">
        <v>8584</v>
      </c>
      <c r="C5139" s="105" t="s">
        <v>8</v>
      </c>
      <c r="D5139" s="105">
        <v>0</v>
      </c>
      <c r="E5139" s="105">
        <v>0</v>
      </c>
      <c r="F5139" s="105">
        <v>0</v>
      </c>
    </row>
    <row r="5140" spans="1:6" x14ac:dyDescent="0.25">
      <c r="A5140" s="105">
        <f t="shared" si="80"/>
        <v>8888001</v>
      </c>
      <c r="B5140" s="105" t="s">
        <v>8585</v>
      </c>
      <c r="C5140" s="105" t="s">
        <v>8586</v>
      </c>
      <c r="D5140" s="105">
        <v>400.04</v>
      </c>
      <c r="E5140" s="105">
        <v>240.02</v>
      </c>
      <c r="F5140" s="105">
        <v>0</v>
      </c>
    </row>
    <row r="5141" spans="1:6" x14ac:dyDescent="0.25">
      <c r="A5141" s="105" t="str">
        <f t="shared" si="80"/>
        <v/>
      </c>
      <c r="B5141" s="105" t="s">
        <v>8587</v>
      </c>
      <c r="C5141" s="105" t="s">
        <v>8</v>
      </c>
      <c r="D5141" s="105">
        <v>0</v>
      </c>
      <c r="E5141" s="105">
        <v>0</v>
      </c>
      <c r="F5141" s="105">
        <v>0</v>
      </c>
    </row>
    <row r="5142" spans="1:6" x14ac:dyDescent="0.25">
      <c r="A5142" s="105">
        <f t="shared" si="80"/>
        <v>8888002</v>
      </c>
      <c r="B5142" s="105" t="s">
        <v>8588</v>
      </c>
      <c r="C5142" s="105" t="s">
        <v>8589</v>
      </c>
      <c r="D5142" s="105">
        <v>212.52</v>
      </c>
      <c r="E5142" s="105">
        <v>127.51</v>
      </c>
      <c r="F5142" s="105">
        <v>0</v>
      </c>
    </row>
    <row r="5143" spans="1:6" x14ac:dyDescent="0.25">
      <c r="A5143" s="105" t="str">
        <f t="shared" si="80"/>
        <v/>
      </c>
      <c r="B5143" s="105" t="s">
        <v>8590</v>
      </c>
      <c r="C5143" s="105" t="s">
        <v>8</v>
      </c>
      <c r="D5143" s="105">
        <v>0</v>
      </c>
      <c r="E5143" s="105">
        <v>0</v>
      </c>
      <c r="F5143" s="105">
        <v>0</v>
      </c>
    </row>
    <row r="5144" spans="1:6" x14ac:dyDescent="0.25">
      <c r="A5144" s="105">
        <f t="shared" si="80"/>
        <v>8888003</v>
      </c>
      <c r="B5144" s="105" t="s">
        <v>8591</v>
      </c>
      <c r="C5144" s="105" t="s">
        <v>8592</v>
      </c>
      <c r="D5144" s="105">
        <v>0</v>
      </c>
      <c r="E5144" s="105">
        <v>0</v>
      </c>
      <c r="F5144" s="105">
        <v>0</v>
      </c>
    </row>
    <row r="5145" spans="1:6" x14ac:dyDescent="0.25">
      <c r="A5145" s="105" t="str">
        <f t="shared" si="80"/>
        <v/>
      </c>
      <c r="B5145" s="105" t="s">
        <v>8593</v>
      </c>
      <c r="C5145" s="105" t="s">
        <v>8</v>
      </c>
      <c r="D5145" s="105">
        <v>0</v>
      </c>
      <c r="E5145" s="105">
        <v>0</v>
      </c>
      <c r="F5145" s="105">
        <v>0</v>
      </c>
    </row>
    <row r="5146" spans="1:6" x14ac:dyDescent="0.25">
      <c r="A5146" s="105">
        <f t="shared" si="80"/>
        <v>8888004</v>
      </c>
      <c r="B5146" s="105" t="s">
        <v>8594</v>
      </c>
      <c r="C5146" s="105" t="s">
        <v>8595</v>
      </c>
      <c r="D5146" s="105">
        <v>265</v>
      </c>
      <c r="E5146" s="105">
        <v>159</v>
      </c>
      <c r="F5146" s="105">
        <v>0</v>
      </c>
    </row>
    <row r="5147" spans="1:6" x14ac:dyDescent="0.25">
      <c r="A5147" s="105" t="str">
        <f t="shared" si="80"/>
        <v/>
      </c>
      <c r="B5147" s="105" t="s">
        <v>8596</v>
      </c>
      <c r="C5147" s="105" t="s">
        <v>8</v>
      </c>
      <c r="D5147" s="105">
        <v>0</v>
      </c>
      <c r="E5147" s="105">
        <v>0</v>
      </c>
      <c r="F5147" s="105">
        <v>0</v>
      </c>
    </row>
    <row r="5148" spans="1:6" x14ac:dyDescent="0.25">
      <c r="A5148" s="105">
        <f t="shared" si="80"/>
        <v>8888005</v>
      </c>
      <c r="B5148" s="105" t="s">
        <v>8597</v>
      </c>
      <c r="C5148" s="105" t="s">
        <v>8598</v>
      </c>
      <c r="D5148" s="105">
        <v>0</v>
      </c>
      <c r="E5148" s="105">
        <v>0</v>
      </c>
      <c r="F5148" s="105">
        <v>0</v>
      </c>
    </row>
    <row r="5149" spans="1:6" x14ac:dyDescent="0.25">
      <c r="A5149" s="105" t="str">
        <f t="shared" si="80"/>
        <v/>
      </c>
      <c r="B5149" s="105" t="s">
        <v>8599</v>
      </c>
      <c r="C5149" s="105" t="s">
        <v>8</v>
      </c>
      <c r="D5149" s="105">
        <v>0</v>
      </c>
      <c r="E5149" s="105">
        <v>0</v>
      </c>
      <c r="F5149" s="105">
        <v>0</v>
      </c>
    </row>
    <row r="5150" spans="1:6" x14ac:dyDescent="0.25">
      <c r="A5150" s="105">
        <f t="shared" si="80"/>
        <v>8888006</v>
      </c>
      <c r="B5150" s="105" t="s">
        <v>8600</v>
      </c>
      <c r="C5150" s="105" t="s">
        <v>8601</v>
      </c>
      <c r="D5150" s="105">
        <v>0</v>
      </c>
      <c r="E5150" s="105">
        <v>0</v>
      </c>
      <c r="F5150" s="105">
        <v>0</v>
      </c>
    </row>
    <row r="5151" spans="1:6" x14ac:dyDescent="0.25">
      <c r="A5151" s="105" t="str">
        <f t="shared" si="80"/>
        <v/>
      </c>
      <c r="B5151" s="105" t="s">
        <v>8602</v>
      </c>
      <c r="C5151" s="105" t="s">
        <v>8</v>
      </c>
      <c r="D5151" s="105">
        <v>0</v>
      </c>
      <c r="E5151" s="105">
        <v>0</v>
      </c>
      <c r="F5151" s="105">
        <v>0</v>
      </c>
    </row>
    <row r="5152" spans="1:6" x14ac:dyDescent="0.25">
      <c r="A5152" s="105">
        <f t="shared" si="80"/>
        <v>8888007</v>
      </c>
      <c r="B5152" s="105" t="s">
        <v>8603</v>
      </c>
      <c r="C5152" s="105" t="s">
        <v>8604</v>
      </c>
      <c r="D5152" s="105">
        <v>0</v>
      </c>
      <c r="E5152" s="105">
        <v>0</v>
      </c>
      <c r="F5152" s="105">
        <v>0</v>
      </c>
    </row>
    <row r="5153" spans="1:6" x14ac:dyDescent="0.25">
      <c r="A5153" s="105" t="str">
        <f t="shared" si="80"/>
        <v/>
      </c>
      <c r="B5153" s="105" t="s">
        <v>8605</v>
      </c>
      <c r="C5153" s="105" t="s">
        <v>8</v>
      </c>
      <c r="D5153" s="105">
        <v>0</v>
      </c>
      <c r="E5153" s="105">
        <v>0</v>
      </c>
      <c r="F5153" s="105">
        <v>0</v>
      </c>
    </row>
    <row r="5154" spans="1:6" x14ac:dyDescent="0.25">
      <c r="A5154" s="105">
        <f t="shared" si="80"/>
        <v>8888008</v>
      </c>
      <c r="B5154" s="105" t="s">
        <v>8606</v>
      </c>
      <c r="C5154" s="105" t="s">
        <v>8607</v>
      </c>
      <c r="D5154" s="105">
        <v>0</v>
      </c>
      <c r="E5154" s="105">
        <v>0</v>
      </c>
      <c r="F5154" s="105">
        <v>0</v>
      </c>
    </row>
    <row r="5155" spans="1:6" x14ac:dyDescent="0.25">
      <c r="A5155" s="105" t="str">
        <f t="shared" si="80"/>
        <v/>
      </c>
      <c r="B5155" s="105" t="s">
        <v>8608</v>
      </c>
      <c r="C5155" s="105" t="s">
        <v>8</v>
      </c>
      <c r="D5155" s="105">
        <v>0</v>
      </c>
      <c r="E5155" s="105">
        <v>0</v>
      </c>
      <c r="F5155" s="105">
        <v>0</v>
      </c>
    </row>
    <row r="5156" spans="1:6" x14ac:dyDescent="0.25">
      <c r="A5156" s="105">
        <f t="shared" si="80"/>
        <v>8888009</v>
      </c>
      <c r="B5156" s="105" t="s">
        <v>8609</v>
      </c>
      <c r="C5156" s="105" t="s">
        <v>8610</v>
      </c>
      <c r="D5156" s="105">
        <v>265</v>
      </c>
      <c r="E5156" s="105">
        <v>159</v>
      </c>
      <c r="F5156" s="105">
        <v>0</v>
      </c>
    </row>
    <row r="5157" spans="1:6" x14ac:dyDescent="0.25">
      <c r="A5157" s="105" t="str">
        <f t="shared" si="80"/>
        <v/>
      </c>
      <c r="B5157" s="105" t="s">
        <v>8611</v>
      </c>
      <c r="C5157" s="105" t="s">
        <v>8</v>
      </c>
      <c r="D5157" s="105">
        <v>0</v>
      </c>
      <c r="E5157" s="105">
        <v>0</v>
      </c>
      <c r="F5157" s="105">
        <v>0</v>
      </c>
    </row>
    <row r="5158" spans="1:6" x14ac:dyDescent="0.25">
      <c r="A5158" s="105">
        <f t="shared" si="80"/>
        <v>8888010</v>
      </c>
      <c r="B5158" s="105" t="s">
        <v>8612</v>
      </c>
      <c r="C5158" s="105" t="s">
        <v>8613</v>
      </c>
      <c r="D5158" s="105">
        <v>265</v>
      </c>
      <c r="E5158" s="105">
        <v>159</v>
      </c>
      <c r="F5158" s="105">
        <v>0</v>
      </c>
    </row>
    <row r="5159" spans="1:6" x14ac:dyDescent="0.25">
      <c r="A5159" s="105" t="str">
        <f t="shared" si="80"/>
        <v/>
      </c>
      <c r="B5159" s="105" t="s">
        <v>8614</v>
      </c>
      <c r="C5159" s="105" t="s">
        <v>8</v>
      </c>
      <c r="D5159" s="105">
        <v>0</v>
      </c>
      <c r="E5159" s="105">
        <v>0</v>
      </c>
      <c r="F5159" s="105">
        <v>0</v>
      </c>
    </row>
    <row r="5160" spans="1:6" x14ac:dyDescent="0.25">
      <c r="A5160" s="105">
        <f t="shared" si="80"/>
        <v>8888011</v>
      </c>
      <c r="B5160" s="105" t="s">
        <v>8615</v>
      </c>
      <c r="C5160" s="105" t="s">
        <v>8616</v>
      </c>
      <c r="D5160" s="105">
        <v>0</v>
      </c>
      <c r="E5160" s="105">
        <v>0</v>
      </c>
      <c r="F5160" s="105">
        <v>0</v>
      </c>
    </row>
    <row r="5161" spans="1:6" x14ac:dyDescent="0.25">
      <c r="A5161" s="105" t="str">
        <f t="shared" si="80"/>
        <v/>
      </c>
      <c r="B5161" s="105" t="s">
        <v>8617</v>
      </c>
      <c r="C5161" s="105" t="s">
        <v>8</v>
      </c>
      <c r="D5161" s="105">
        <v>0</v>
      </c>
      <c r="E5161" s="105">
        <v>0</v>
      </c>
      <c r="F5161" s="105">
        <v>0</v>
      </c>
    </row>
    <row r="5162" spans="1:6" x14ac:dyDescent="0.25">
      <c r="A5162" s="105">
        <f t="shared" si="80"/>
        <v>8888012</v>
      </c>
      <c r="B5162" s="105" t="s">
        <v>8618</v>
      </c>
      <c r="C5162" s="105" t="s">
        <v>8619</v>
      </c>
      <c r="D5162" s="105">
        <v>169.6</v>
      </c>
      <c r="E5162" s="105">
        <v>101.76</v>
      </c>
      <c r="F5162" s="105">
        <v>0</v>
      </c>
    </row>
    <row r="5163" spans="1:6" x14ac:dyDescent="0.25">
      <c r="A5163" s="105" t="str">
        <f t="shared" si="80"/>
        <v/>
      </c>
      <c r="B5163" s="105" t="s">
        <v>8620</v>
      </c>
      <c r="C5163" s="105" t="s">
        <v>8</v>
      </c>
      <c r="D5163" s="105">
        <v>0</v>
      </c>
      <c r="E5163" s="105">
        <v>0</v>
      </c>
      <c r="F5163" s="105">
        <v>0</v>
      </c>
    </row>
    <row r="5164" spans="1:6" x14ac:dyDescent="0.25">
      <c r="A5164" s="105">
        <f t="shared" si="80"/>
        <v>8888013</v>
      </c>
      <c r="B5164" s="105" t="s">
        <v>8621</v>
      </c>
      <c r="C5164" s="105" t="s">
        <v>8622</v>
      </c>
      <c r="D5164" s="105">
        <v>0</v>
      </c>
      <c r="E5164" s="105">
        <v>0</v>
      </c>
      <c r="F5164" s="105">
        <v>0</v>
      </c>
    </row>
    <row r="5165" spans="1:6" x14ac:dyDescent="0.25">
      <c r="A5165" s="105" t="str">
        <f t="shared" si="80"/>
        <v/>
      </c>
      <c r="B5165" s="105" t="s">
        <v>8623</v>
      </c>
      <c r="C5165" s="105" t="s">
        <v>8</v>
      </c>
      <c r="D5165" s="105">
        <v>0</v>
      </c>
      <c r="E5165" s="105">
        <v>0</v>
      </c>
      <c r="F5165" s="105">
        <v>0</v>
      </c>
    </row>
    <row r="5166" spans="1:6" x14ac:dyDescent="0.25">
      <c r="A5166" s="105">
        <f t="shared" si="80"/>
        <v>8888014</v>
      </c>
      <c r="B5166" s="105" t="s">
        <v>8624</v>
      </c>
      <c r="C5166" s="105" t="s">
        <v>8625</v>
      </c>
      <c r="D5166" s="105">
        <v>0</v>
      </c>
      <c r="E5166" s="105">
        <v>0</v>
      </c>
      <c r="F5166" s="105">
        <v>0</v>
      </c>
    </row>
    <row r="5167" spans="1:6" x14ac:dyDescent="0.25">
      <c r="A5167" s="105" t="str">
        <f t="shared" si="80"/>
        <v/>
      </c>
      <c r="B5167" s="105" t="s">
        <v>8626</v>
      </c>
      <c r="C5167" s="105" t="s">
        <v>8</v>
      </c>
      <c r="D5167" s="105">
        <v>0</v>
      </c>
      <c r="E5167" s="105">
        <v>0</v>
      </c>
      <c r="F5167" s="105">
        <v>0</v>
      </c>
    </row>
    <row r="5168" spans="1:6" x14ac:dyDescent="0.25">
      <c r="A5168" s="105">
        <f t="shared" si="80"/>
        <v>8888015</v>
      </c>
      <c r="B5168" s="105" t="s">
        <v>8627</v>
      </c>
      <c r="C5168" s="105" t="s">
        <v>8628</v>
      </c>
      <c r="D5168" s="105">
        <v>0</v>
      </c>
      <c r="E5168" s="105">
        <v>0</v>
      </c>
      <c r="F5168" s="105">
        <v>0</v>
      </c>
    </row>
    <row r="5169" spans="1:6" x14ac:dyDescent="0.25">
      <c r="A5169" s="105" t="str">
        <f t="shared" si="80"/>
        <v/>
      </c>
      <c r="B5169" s="105" t="s">
        <v>8629</v>
      </c>
      <c r="C5169" s="105" t="s">
        <v>8</v>
      </c>
      <c r="D5169" s="105">
        <v>0</v>
      </c>
      <c r="E5169" s="105">
        <v>0</v>
      </c>
      <c r="F5169" s="105">
        <v>0</v>
      </c>
    </row>
    <row r="5170" spans="1:6" x14ac:dyDescent="0.25">
      <c r="A5170" s="105">
        <f t="shared" si="80"/>
        <v>8888016</v>
      </c>
      <c r="B5170" s="105" t="s">
        <v>8630</v>
      </c>
      <c r="C5170" s="105" t="s">
        <v>8631</v>
      </c>
      <c r="D5170" s="105">
        <v>0</v>
      </c>
      <c r="E5170" s="105">
        <v>0</v>
      </c>
      <c r="F5170" s="105">
        <v>0</v>
      </c>
    </row>
    <row r="5171" spans="1:6" x14ac:dyDescent="0.25">
      <c r="A5171" s="105" t="str">
        <f t="shared" si="80"/>
        <v/>
      </c>
      <c r="B5171" s="105" t="s">
        <v>8632</v>
      </c>
      <c r="C5171" s="105" t="s">
        <v>8</v>
      </c>
      <c r="D5171" s="105">
        <v>0</v>
      </c>
      <c r="E5171" s="105">
        <v>0</v>
      </c>
      <c r="F5171" s="105">
        <v>0</v>
      </c>
    </row>
    <row r="5172" spans="1:6" x14ac:dyDescent="0.25">
      <c r="A5172" s="105">
        <f t="shared" si="80"/>
        <v>8888017</v>
      </c>
      <c r="B5172" s="105" t="s">
        <v>8633</v>
      </c>
      <c r="C5172" s="105" t="s">
        <v>8634</v>
      </c>
      <c r="D5172" s="105">
        <v>0</v>
      </c>
      <c r="E5172" s="105">
        <v>0</v>
      </c>
      <c r="F5172" s="105">
        <v>0</v>
      </c>
    </row>
    <row r="5173" spans="1:6" x14ac:dyDescent="0.25">
      <c r="A5173" s="105" t="str">
        <f t="shared" si="80"/>
        <v/>
      </c>
      <c r="B5173" s="105" t="s">
        <v>8635</v>
      </c>
      <c r="C5173" s="105" t="s">
        <v>8</v>
      </c>
      <c r="D5173" s="105">
        <v>0</v>
      </c>
      <c r="E5173" s="105">
        <v>0</v>
      </c>
      <c r="F5173" s="105">
        <v>0</v>
      </c>
    </row>
    <row r="5174" spans="1:6" x14ac:dyDescent="0.25">
      <c r="A5174" s="105">
        <f t="shared" si="80"/>
        <v>8888018</v>
      </c>
      <c r="B5174" s="105" t="s">
        <v>8636</v>
      </c>
      <c r="C5174" s="105" t="s">
        <v>8637</v>
      </c>
      <c r="D5174" s="105">
        <v>0</v>
      </c>
      <c r="E5174" s="105">
        <v>0</v>
      </c>
      <c r="F5174" s="105">
        <v>0</v>
      </c>
    </row>
    <row r="5175" spans="1:6" x14ac:dyDescent="0.25">
      <c r="A5175" s="105" t="str">
        <f t="shared" si="80"/>
        <v/>
      </c>
      <c r="B5175" s="105" t="s">
        <v>8638</v>
      </c>
      <c r="C5175" s="105" t="s">
        <v>8</v>
      </c>
      <c r="D5175" s="105">
        <v>0</v>
      </c>
      <c r="E5175" s="105">
        <v>0</v>
      </c>
      <c r="F5175" s="105">
        <v>0</v>
      </c>
    </row>
    <row r="5176" spans="1:6" x14ac:dyDescent="0.25">
      <c r="A5176" s="105">
        <f t="shared" si="80"/>
        <v>8888019</v>
      </c>
      <c r="B5176" s="105" t="s">
        <v>8639</v>
      </c>
      <c r="C5176" s="105" t="s">
        <v>8640</v>
      </c>
      <c r="D5176" s="105">
        <v>0</v>
      </c>
      <c r="E5176" s="105">
        <v>0</v>
      </c>
      <c r="F5176" s="105">
        <v>0</v>
      </c>
    </row>
    <row r="5177" spans="1:6" x14ac:dyDescent="0.25">
      <c r="A5177" s="105" t="str">
        <f t="shared" si="80"/>
        <v/>
      </c>
      <c r="B5177" s="105" t="s">
        <v>8641</v>
      </c>
      <c r="C5177" s="105" t="s">
        <v>8</v>
      </c>
      <c r="D5177" s="105">
        <v>0</v>
      </c>
      <c r="E5177" s="105">
        <v>0</v>
      </c>
      <c r="F5177" s="105">
        <v>0</v>
      </c>
    </row>
    <row r="5178" spans="1:6" x14ac:dyDescent="0.25">
      <c r="A5178" s="105">
        <f t="shared" si="80"/>
        <v>8888020</v>
      </c>
      <c r="B5178" s="105" t="s">
        <v>8642</v>
      </c>
      <c r="C5178" s="105" t="s">
        <v>8643</v>
      </c>
      <c r="D5178" s="105">
        <v>0</v>
      </c>
      <c r="E5178" s="105">
        <v>0</v>
      </c>
      <c r="F5178" s="105">
        <v>0</v>
      </c>
    </row>
    <row r="5179" spans="1:6" x14ac:dyDescent="0.25">
      <c r="A5179" s="105" t="str">
        <f t="shared" si="80"/>
        <v/>
      </c>
      <c r="B5179" s="105" t="s">
        <v>8644</v>
      </c>
      <c r="C5179" s="105" t="s">
        <v>8</v>
      </c>
      <c r="D5179" s="105">
        <v>0</v>
      </c>
      <c r="E5179" s="105">
        <v>0</v>
      </c>
      <c r="F5179" s="105">
        <v>0</v>
      </c>
    </row>
    <row r="5180" spans="1:6" x14ac:dyDescent="0.25">
      <c r="A5180" s="105">
        <f t="shared" si="80"/>
        <v>8888021</v>
      </c>
      <c r="B5180" s="105" t="s">
        <v>8645</v>
      </c>
      <c r="C5180" s="105" t="s">
        <v>8646</v>
      </c>
      <c r="D5180" s="105">
        <v>0</v>
      </c>
      <c r="E5180" s="105">
        <v>0</v>
      </c>
      <c r="F5180" s="105">
        <v>0</v>
      </c>
    </row>
    <row r="5181" spans="1:6" x14ac:dyDescent="0.25">
      <c r="A5181" s="105" t="str">
        <f t="shared" si="80"/>
        <v/>
      </c>
      <c r="B5181" s="105" t="s">
        <v>8647</v>
      </c>
      <c r="C5181" s="105" t="s">
        <v>8</v>
      </c>
      <c r="D5181" s="105">
        <v>0</v>
      </c>
      <c r="E5181" s="105">
        <v>0</v>
      </c>
      <c r="F5181" s="105">
        <v>0</v>
      </c>
    </row>
    <row r="5182" spans="1:6" x14ac:dyDescent="0.25">
      <c r="A5182" s="105">
        <f t="shared" si="80"/>
        <v>8888022</v>
      </c>
      <c r="B5182" s="105" t="s">
        <v>8648</v>
      </c>
      <c r="C5182" s="105" t="s">
        <v>8649</v>
      </c>
      <c r="D5182" s="105">
        <v>0</v>
      </c>
      <c r="E5182" s="105">
        <v>0</v>
      </c>
      <c r="F5182" s="105">
        <v>0</v>
      </c>
    </row>
    <row r="5183" spans="1:6" x14ac:dyDescent="0.25">
      <c r="A5183" s="105" t="str">
        <f t="shared" si="80"/>
        <v/>
      </c>
      <c r="B5183" s="105" t="s">
        <v>8650</v>
      </c>
      <c r="C5183" s="105" t="s">
        <v>8</v>
      </c>
      <c r="D5183" s="105">
        <v>0</v>
      </c>
      <c r="E5183" s="105">
        <v>0</v>
      </c>
      <c r="F5183" s="105">
        <v>0</v>
      </c>
    </row>
    <row r="5184" spans="1:6" x14ac:dyDescent="0.25">
      <c r="A5184" s="105">
        <f t="shared" si="80"/>
        <v>8888023</v>
      </c>
      <c r="B5184" s="105" t="s">
        <v>8651</v>
      </c>
      <c r="C5184" s="105" t="s">
        <v>8652</v>
      </c>
      <c r="D5184" s="105">
        <v>0</v>
      </c>
      <c r="E5184" s="105">
        <v>0</v>
      </c>
      <c r="F5184" s="105">
        <v>0</v>
      </c>
    </row>
    <row r="5185" spans="1:6" x14ac:dyDescent="0.25">
      <c r="A5185" s="105" t="str">
        <f t="shared" si="80"/>
        <v/>
      </c>
      <c r="B5185" s="105" t="s">
        <v>8653</v>
      </c>
      <c r="C5185" s="105" t="s">
        <v>8</v>
      </c>
      <c r="D5185" s="105">
        <v>0</v>
      </c>
      <c r="E5185" s="105">
        <v>0</v>
      </c>
      <c r="F5185" s="105">
        <v>0</v>
      </c>
    </row>
    <row r="5186" spans="1:6" x14ac:dyDescent="0.25">
      <c r="A5186" s="105">
        <f t="shared" si="80"/>
        <v>8888024</v>
      </c>
      <c r="B5186" s="105" t="s">
        <v>8654</v>
      </c>
      <c r="C5186" s="105" t="s">
        <v>8655</v>
      </c>
      <c r="D5186" s="105">
        <v>0</v>
      </c>
      <c r="E5186" s="105">
        <v>0</v>
      </c>
      <c r="F5186" s="105">
        <v>0</v>
      </c>
    </row>
    <row r="5187" spans="1:6" x14ac:dyDescent="0.25">
      <c r="A5187" s="105" t="str">
        <f t="shared" ref="A5187:A5250" si="81">IF(B5187&lt;&gt;"",IFERROR(B5187*1,""),"")</f>
        <v/>
      </c>
      <c r="B5187" s="105" t="s">
        <v>8656</v>
      </c>
      <c r="C5187" s="105" t="s">
        <v>8</v>
      </c>
      <c r="D5187" s="105">
        <v>0</v>
      </c>
      <c r="E5187" s="105">
        <v>0</v>
      </c>
      <c r="F5187" s="105">
        <v>0</v>
      </c>
    </row>
    <row r="5188" spans="1:6" x14ac:dyDescent="0.25">
      <c r="A5188" s="105">
        <f t="shared" si="81"/>
        <v>8888025</v>
      </c>
      <c r="B5188" s="105" t="s">
        <v>8657</v>
      </c>
      <c r="C5188" s="105" t="s">
        <v>8658</v>
      </c>
      <c r="D5188" s="105">
        <v>0</v>
      </c>
      <c r="E5188" s="105">
        <v>0</v>
      </c>
      <c r="F5188" s="105">
        <v>0</v>
      </c>
    </row>
    <row r="5189" spans="1:6" x14ac:dyDescent="0.25">
      <c r="A5189" s="105" t="str">
        <f t="shared" si="81"/>
        <v/>
      </c>
      <c r="B5189" s="105" t="s">
        <v>8659</v>
      </c>
      <c r="C5189" s="105" t="s">
        <v>8</v>
      </c>
      <c r="D5189" s="105">
        <v>0</v>
      </c>
      <c r="E5189" s="105">
        <v>0</v>
      </c>
      <c r="F5189" s="105">
        <v>0</v>
      </c>
    </row>
    <row r="5190" spans="1:6" x14ac:dyDescent="0.25">
      <c r="A5190" s="105">
        <f t="shared" si="81"/>
        <v>8888026</v>
      </c>
      <c r="B5190" s="105" t="s">
        <v>8660</v>
      </c>
      <c r="C5190" s="105" t="s">
        <v>8661</v>
      </c>
      <c r="D5190" s="105">
        <v>0</v>
      </c>
      <c r="E5190" s="105">
        <v>0</v>
      </c>
      <c r="F5190" s="105">
        <v>0</v>
      </c>
    </row>
    <row r="5191" spans="1:6" x14ac:dyDescent="0.25">
      <c r="A5191" s="105" t="str">
        <f t="shared" si="81"/>
        <v/>
      </c>
      <c r="B5191" s="105" t="s">
        <v>8662</v>
      </c>
      <c r="C5191" s="105" t="s">
        <v>8</v>
      </c>
      <c r="D5191" s="105">
        <v>0</v>
      </c>
      <c r="E5191" s="105">
        <v>0</v>
      </c>
      <c r="F5191" s="105">
        <v>0</v>
      </c>
    </row>
    <row r="5192" spans="1:6" x14ac:dyDescent="0.25">
      <c r="A5192" s="105">
        <f t="shared" si="81"/>
        <v>8888027</v>
      </c>
      <c r="B5192" s="105" t="s">
        <v>8663</v>
      </c>
      <c r="C5192" s="105" t="s">
        <v>8664</v>
      </c>
      <c r="D5192" s="105">
        <v>0</v>
      </c>
      <c r="E5192" s="105">
        <v>0</v>
      </c>
      <c r="F5192" s="105">
        <v>0</v>
      </c>
    </row>
    <row r="5193" spans="1:6" x14ac:dyDescent="0.25">
      <c r="A5193" s="105">
        <f t="shared" si="81"/>
        <v>8888028</v>
      </c>
      <c r="B5193" s="105" t="s">
        <v>8665</v>
      </c>
      <c r="C5193" s="105" t="s">
        <v>8666</v>
      </c>
      <c r="D5193" s="105">
        <v>0</v>
      </c>
      <c r="E5193" s="105">
        <v>0</v>
      </c>
      <c r="F5193" s="105">
        <v>0</v>
      </c>
    </row>
    <row r="5194" spans="1:6" x14ac:dyDescent="0.25">
      <c r="A5194" s="105" t="str">
        <f t="shared" si="81"/>
        <v/>
      </c>
      <c r="B5194" s="105" t="s">
        <v>8667</v>
      </c>
      <c r="C5194" s="105" t="s">
        <v>8</v>
      </c>
      <c r="D5194" s="105">
        <v>0</v>
      </c>
      <c r="E5194" s="105">
        <v>0</v>
      </c>
      <c r="F5194" s="105">
        <v>0</v>
      </c>
    </row>
    <row r="5195" spans="1:6" x14ac:dyDescent="0.25">
      <c r="A5195" s="105">
        <f t="shared" si="81"/>
        <v>8888029</v>
      </c>
      <c r="B5195" s="105" t="s">
        <v>8668</v>
      </c>
      <c r="C5195" s="105" t="s">
        <v>8669</v>
      </c>
      <c r="D5195" s="105">
        <v>0</v>
      </c>
      <c r="E5195" s="105">
        <v>0</v>
      </c>
      <c r="F5195" s="105">
        <v>0</v>
      </c>
    </row>
    <row r="5196" spans="1:6" x14ac:dyDescent="0.25">
      <c r="A5196" s="105" t="str">
        <f t="shared" si="81"/>
        <v/>
      </c>
      <c r="B5196" s="105" t="s">
        <v>8670</v>
      </c>
      <c r="C5196" s="105" t="s">
        <v>8</v>
      </c>
      <c r="D5196" s="105">
        <v>0</v>
      </c>
      <c r="E5196" s="105">
        <v>0</v>
      </c>
      <c r="F5196" s="105">
        <v>0</v>
      </c>
    </row>
    <row r="5197" spans="1:6" x14ac:dyDescent="0.25">
      <c r="A5197" s="105">
        <f t="shared" si="81"/>
        <v>8888030</v>
      </c>
      <c r="B5197" s="105" t="s">
        <v>8671</v>
      </c>
      <c r="C5197" s="105" t="s">
        <v>8672</v>
      </c>
      <c r="D5197" s="105">
        <v>0</v>
      </c>
      <c r="E5197" s="105">
        <v>0</v>
      </c>
      <c r="F5197" s="105">
        <v>0</v>
      </c>
    </row>
    <row r="5198" spans="1:6" x14ac:dyDescent="0.25">
      <c r="A5198" s="105">
        <f t="shared" si="81"/>
        <v>8888031</v>
      </c>
      <c r="B5198" s="105" t="s">
        <v>8673</v>
      </c>
      <c r="C5198" s="105" t="s">
        <v>8674</v>
      </c>
      <c r="D5198" s="105">
        <v>400.04</v>
      </c>
      <c r="E5198" s="105">
        <v>240.02</v>
      </c>
      <c r="F5198" s="105">
        <v>0</v>
      </c>
    </row>
    <row r="5199" spans="1:6" x14ac:dyDescent="0.25">
      <c r="A5199" s="105">
        <f t="shared" si="81"/>
        <v>8888032</v>
      </c>
      <c r="B5199" s="105" t="s">
        <v>8675</v>
      </c>
      <c r="C5199" s="105" t="s">
        <v>8676</v>
      </c>
      <c r="D5199" s="105">
        <v>212.52</v>
      </c>
      <c r="E5199" s="105">
        <v>127.51</v>
      </c>
      <c r="F5199" s="105">
        <v>0</v>
      </c>
    </row>
    <row r="5200" spans="1:6" x14ac:dyDescent="0.25">
      <c r="A5200" s="105">
        <f t="shared" si="81"/>
        <v>8888034</v>
      </c>
      <c r="B5200" s="105" t="s">
        <v>9481</v>
      </c>
      <c r="C5200" s="105" t="s">
        <v>9482</v>
      </c>
      <c r="D5200" s="105">
        <v>0</v>
      </c>
      <c r="E5200" s="105">
        <v>0</v>
      </c>
      <c r="F5200" s="105">
        <v>0</v>
      </c>
    </row>
    <row r="5201" spans="1:6" x14ac:dyDescent="0.25">
      <c r="A5201" s="105" t="str">
        <f t="shared" si="81"/>
        <v/>
      </c>
      <c r="B5201" s="105" t="s">
        <v>8677</v>
      </c>
      <c r="C5201" s="105" t="s">
        <v>8</v>
      </c>
      <c r="D5201" s="105">
        <v>0</v>
      </c>
      <c r="E5201" s="105">
        <v>0</v>
      </c>
      <c r="F5201" s="105">
        <v>0</v>
      </c>
    </row>
    <row r="5202" spans="1:6" x14ac:dyDescent="0.25">
      <c r="A5202" s="105">
        <f t="shared" si="81"/>
        <v>8899006</v>
      </c>
      <c r="B5202" s="105" t="s">
        <v>8678</v>
      </c>
      <c r="C5202" s="105" t="s">
        <v>6866</v>
      </c>
      <c r="D5202" s="105">
        <v>0</v>
      </c>
      <c r="E5202" s="105">
        <v>0</v>
      </c>
      <c r="F5202" s="105">
        <v>0</v>
      </c>
    </row>
    <row r="5203" spans="1:6" x14ac:dyDescent="0.25">
      <c r="A5203" s="105">
        <f t="shared" si="81"/>
        <v>9000001</v>
      </c>
      <c r="B5203" s="105" t="s">
        <v>8679</v>
      </c>
      <c r="C5203" s="105" t="s">
        <v>8680</v>
      </c>
      <c r="D5203" s="105">
        <v>0</v>
      </c>
      <c r="E5203" s="105">
        <v>0</v>
      </c>
      <c r="F5203" s="105">
        <v>0</v>
      </c>
    </row>
    <row r="5204" spans="1:6" x14ac:dyDescent="0.25">
      <c r="A5204" s="105">
        <f t="shared" si="81"/>
        <v>9000002</v>
      </c>
      <c r="B5204" s="105" t="s">
        <v>8681</v>
      </c>
      <c r="C5204" s="105" t="s">
        <v>8682</v>
      </c>
      <c r="D5204" s="105">
        <v>265</v>
      </c>
      <c r="E5204" s="105">
        <v>159</v>
      </c>
      <c r="F5204" s="105">
        <v>0</v>
      </c>
    </row>
    <row r="5205" spans="1:6" x14ac:dyDescent="0.25">
      <c r="A5205" s="105">
        <f t="shared" si="81"/>
        <v>9000003</v>
      </c>
      <c r="B5205" s="105" t="s">
        <v>8683</v>
      </c>
      <c r="C5205" s="105" t="s">
        <v>8684</v>
      </c>
      <c r="D5205" s="105">
        <v>265</v>
      </c>
      <c r="E5205" s="105">
        <v>159</v>
      </c>
      <c r="F5205" s="105">
        <v>0</v>
      </c>
    </row>
    <row r="5206" spans="1:6" x14ac:dyDescent="0.25">
      <c r="A5206" s="105" t="str">
        <f t="shared" si="81"/>
        <v/>
      </c>
      <c r="B5206" s="105" t="s">
        <v>8685</v>
      </c>
      <c r="C5206" s="105" t="s">
        <v>8</v>
      </c>
      <c r="D5206" s="105">
        <v>0</v>
      </c>
      <c r="E5206" s="105">
        <v>0</v>
      </c>
      <c r="F5206" s="105">
        <v>0</v>
      </c>
    </row>
    <row r="5207" spans="1:6" x14ac:dyDescent="0.25">
      <c r="A5207" s="105">
        <f t="shared" si="81"/>
        <v>9000004</v>
      </c>
      <c r="B5207" s="105" t="s">
        <v>8686</v>
      </c>
      <c r="C5207" s="105" t="s">
        <v>8687</v>
      </c>
      <c r="D5207" s="105">
        <v>0</v>
      </c>
      <c r="E5207" s="105">
        <v>0</v>
      </c>
      <c r="F5207" s="105">
        <v>0</v>
      </c>
    </row>
    <row r="5208" spans="1:6" x14ac:dyDescent="0.25">
      <c r="A5208" s="105" t="str">
        <f t="shared" si="81"/>
        <v/>
      </c>
      <c r="B5208" s="105" t="s">
        <v>8688</v>
      </c>
      <c r="C5208" s="105" t="s">
        <v>8</v>
      </c>
      <c r="D5208" s="105">
        <v>0</v>
      </c>
      <c r="E5208" s="105">
        <v>0</v>
      </c>
      <c r="F5208" s="105">
        <v>0</v>
      </c>
    </row>
    <row r="5209" spans="1:6" x14ac:dyDescent="0.25">
      <c r="A5209" s="105">
        <f t="shared" si="81"/>
        <v>9000005</v>
      </c>
      <c r="B5209" s="105" t="s">
        <v>8689</v>
      </c>
      <c r="C5209" s="105" t="s">
        <v>8690</v>
      </c>
      <c r="D5209" s="105">
        <v>0</v>
      </c>
      <c r="E5209" s="105">
        <v>0</v>
      </c>
      <c r="F5209" s="105">
        <v>0</v>
      </c>
    </row>
    <row r="5210" spans="1:6" x14ac:dyDescent="0.25">
      <c r="A5210" s="105" t="str">
        <f t="shared" si="81"/>
        <v/>
      </c>
      <c r="B5210" s="105" t="s">
        <v>8691</v>
      </c>
      <c r="C5210" s="105" t="s">
        <v>8</v>
      </c>
      <c r="D5210" s="105">
        <v>0</v>
      </c>
      <c r="E5210" s="105">
        <v>0</v>
      </c>
      <c r="F5210" s="105">
        <v>0</v>
      </c>
    </row>
    <row r="5211" spans="1:6" x14ac:dyDescent="0.25">
      <c r="A5211" s="105">
        <f t="shared" si="81"/>
        <v>9000006</v>
      </c>
      <c r="B5211" s="105" t="s">
        <v>8692</v>
      </c>
      <c r="C5211" s="105" t="s">
        <v>8693</v>
      </c>
      <c r="D5211" s="105">
        <v>0</v>
      </c>
      <c r="E5211" s="105">
        <v>0</v>
      </c>
      <c r="F5211" s="105">
        <v>0</v>
      </c>
    </row>
    <row r="5212" spans="1:6" x14ac:dyDescent="0.25">
      <c r="A5212" s="105">
        <f t="shared" si="81"/>
        <v>9003001</v>
      </c>
      <c r="B5212" s="105" t="s">
        <v>8694</v>
      </c>
      <c r="C5212" s="105" t="s">
        <v>8695</v>
      </c>
      <c r="D5212" s="105">
        <v>881.92</v>
      </c>
      <c r="E5212" s="105">
        <v>529.15</v>
      </c>
      <c r="F5212" s="105">
        <v>0</v>
      </c>
    </row>
    <row r="5213" spans="1:6" x14ac:dyDescent="0.25">
      <c r="A5213" s="105">
        <f t="shared" si="81"/>
        <v>9003002</v>
      </c>
      <c r="B5213" s="105" t="s">
        <v>8696</v>
      </c>
      <c r="C5213" s="105" t="s">
        <v>8697</v>
      </c>
      <c r="D5213" s="105">
        <v>881.92</v>
      </c>
      <c r="E5213" s="105">
        <v>529.15</v>
      </c>
      <c r="F5213" s="105">
        <v>1</v>
      </c>
    </row>
    <row r="5214" spans="1:6" x14ac:dyDescent="0.25">
      <c r="A5214" s="105">
        <f t="shared" si="81"/>
        <v>9003003</v>
      </c>
      <c r="B5214" s="105" t="s">
        <v>8698</v>
      </c>
      <c r="C5214" s="105" t="s">
        <v>8699</v>
      </c>
      <c r="D5214" s="105">
        <v>992.16</v>
      </c>
      <c r="E5214" s="105">
        <v>595.29999999999995</v>
      </c>
      <c r="F5214" s="105">
        <v>0</v>
      </c>
    </row>
    <row r="5215" spans="1:6" x14ac:dyDescent="0.25">
      <c r="A5215" s="105" t="str">
        <f t="shared" si="81"/>
        <v/>
      </c>
      <c r="B5215" s="105" t="s">
        <v>8700</v>
      </c>
      <c r="C5215" s="105" t="s">
        <v>8</v>
      </c>
      <c r="D5215" s="105">
        <v>0</v>
      </c>
      <c r="E5215" s="105">
        <v>0</v>
      </c>
      <c r="F5215" s="105">
        <v>0</v>
      </c>
    </row>
    <row r="5216" spans="1:6" x14ac:dyDescent="0.25">
      <c r="A5216" s="105">
        <f t="shared" si="81"/>
        <v>9003004</v>
      </c>
      <c r="B5216" s="105" t="s">
        <v>8701</v>
      </c>
      <c r="C5216" s="105" t="s">
        <v>8702</v>
      </c>
      <c r="D5216" s="105">
        <v>330.72</v>
      </c>
      <c r="E5216" s="105">
        <v>198.43</v>
      </c>
      <c r="F5216" s="105">
        <v>0</v>
      </c>
    </row>
    <row r="5217" spans="1:6" x14ac:dyDescent="0.25">
      <c r="A5217" s="105" t="str">
        <f t="shared" si="81"/>
        <v/>
      </c>
      <c r="B5217" s="105" t="s">
        <v>8703</v>
      </c>
      <c r="C5217" s="105" t="s">
        <v>8</v>
      </c>
      <c r="D5217" s="105">
        <v>0</v>
      </c>
      <c r="E5217" s="105">
        <v>0</v>
      </c>
      <c r="F5217" s="105">
        <v>0</v>
      </c>
    </row>
    <row r="5218" spans="1:6" x14ac:dyDescent="0.25">
      <c r="A5218" s="105">
        <f t="shared" si="81"/>
        <v>9003005</v>
      </c>
      <c r="B5218" s="105" t="s">
        <v>8704</v>
      </c>
      <c r="C5218" s="105" t="s">
        <v>8705</v>
      </c>
      <c r="D5218" s="105">
        <v>1322.88</v>
      </c>
      <c r="E5218" s="105">
        <v>793.73</v>
      </c>
      <c r="F5218" s="105">
        <v>0</v>
      </c>
    </row>
    <row r="5219" spans="1:6" x14ac:dyDescent="0.25">
      <c r="A5219" s="105">
        <f t="shared" si="81"/>
        <v>9003006</v>
      </c>
      <c r="B5219" s="105" t="s">
        <v>8706</v>
      </c>
      <c r="C5219" s="105" t="s">
        <v>8707</v>
      </c>
      <c r="D5219" s="105">
        <v>334.68</v>
      </c>
      <c r="E5219" s="105">
        <v>200.81</v>
      </c>
      <c r="F5219" s="105">
        <v>62</v>
      </c>
    </row>
    <row r="5220" spans="1:6" x14ac:dyDescent="0.25">
      <c r="A5220" s="105">
        <f t="shared" si="81"/>
        <v>9003007</v>
      </c>
      <c r="B5220" s="105" t="s">
        <v>8708</v>
      </c>
      <c r="C5220" s="105" t="s">
        <v>8709</v>
      </c>
      <c r="D5220" s="105">
        <v>1763.84</v>
      </c>
      <c r="E5220" s="105">
        <v>1058.3</v>
      </c>
      <c r="F5220" s="105">
        <v>0</v>
      </c>
    </row>
    <row r="5221" spans="1:6" x14ac:dyDescent="0.25">
      <c r="A5221" s="105">
        <f t="shared" si="81"/>
        <v>9003008</v>
      </c>
      <c r="B5221" s="105" t="s">
        <v>8710</v>
      </c>
      <c r="C5221" s="105" t="s">
        <v>8711</v>
      </c>
      <c r="D5221" s="105">
        <v>1874.08</v>
      </c>
      <c r="E5221" s="105">
        <v>1124.45</v>
      </c>
      <c r="F5221" s="105">
        <v>0</v>
      </c>
    </row>
    <row r="5222" spans="1:6" x14ac:dyDescent="0.25">
      <c r="A5222" s="105">
        <f t="shared" si="81"/>
        <v>9003009</v>
      </c>
      <c r="B5222" s="105" t="s">
        <v>8712</v>
      </c>
      <c r="C5222" s="105" t="s">
        <v>8713</v>
      </c>
      <c r="D5222" s="105">
        <v>1874.08</v>
      </c>
      <c r="E5222" s="105">
        <v>1124.45</v>
      </c>
      <c r="F5222" s="105">
        <v>0</v>
      </c>
    </row>
    <row r="5223" spans="1:6" x14ac:dyDescent="0.25">
      <c r="A5223" s="105">
        <f t="shared" si="81"/>
        <v>9003010</v>
      </c>
      <c r="B5223" s="105" t="s">
        <v>8714</v>
      </c>
      <c r="C5223" s="105" t="s">
        <v>8715</v>
      </c>
      <c r="D5223" s="105">
        <v>1653.6</v>
      </c>
      <c r="E5223" s="105">
        <v>992.16</v>
      </c>
      <c r="F5223" s="105">
        <v>0</v>
      </c>
    </row>
    <row r="5224" spans="1:6" x14ac:dyDescent="0.25">
      <c r="A5224" s="105">
        <f t="shared" si="81"/>
        <v>9003011</v>
      </c>
      <c r="B5224" s="105" t="s">
        <v>8716</v>
      </c>
      <c r="C5224" s="105" t="s">
        <v>8717</v>
      </c>
      <c r="D5224" s="105">
        <v>1322.88</v>
      </c>
      <c r="E5224" s="105">
        <v>793.73</v>
      </c>
      <c r="F5224" s="105">
        <v>0</v>
      </c>
    </row>
    <row r="5225" spans="1:6" x14ac:dyDescent="0.25">
      <c r="A5225" s="105">
        <f t="shared" si="81"/>
        <v>9003012</v>
      </c>
      <c r="B5225" s="105" t="s">
        <v>8718</v>
      </c>
      <c r="C5225" s="105" t="s">
        <v>8719</v>
      </c>
      <c r="D5225" s="105">
        <v>1984.32</v>
      </c>
      <c r="E5225" s="105">
        <v>1190.5899999999999</v>
      </c>
      <c r="F5225" s="105">
        <v>0</v>
      </c>
    </row>
    <row r="5226" spans="1:6" x14ac:dyDescent="0.25">
      <c r="A5226" s="105" t="str">
        <f t="shared" si="81"/>
        <v/>
      </c>
      <c r="B5226" s="105" t="s">
        <v>8720</v>
      </c>
      <c r="C5226" s="105" t="s">
        <v>8</v>
      </c>
      <c r="D5226" s="105">
        <v>0</v>
      </c>
      <c r="E5226" s="105">
        <v>0</v>
      </c>
      <c r="F5226" s="105">
        <v>0</v>
      </c>
    </row>
    <row r="5227" spans="1:6" x14ac:dyDescent="0.25">
      <c r="A5227" s="105">
        <f t="shared" si="81"/>
        <v>9003013</v>
      </c>
      <c r="B5227" s="105" t="s">
        <v>8721</v>
      </c>
      <c r="C5227" s="105" t="s">
        <v>8722</v>
      </c>
      <c r="D5227" s="105">
        <v>0</v>
      </c>
      <c r="E5227" s="105">
        <v>0</v>
      </c>
      <c r="F5227" s="105">
        <v>0</v>
      </c>
    </row>
    <row r="5228" spans="1:6" x14ac:dyDescent="0.25">
      <c r="A5228" s="105">
        <f t="shared" si="81"/>
        <v>9003014</v>
      </c>
      <c r="B5228" s="105" t="s">
        <v>8723</v>
      </c>
      <c r="C5228" s="105" t="s">
        <v>8724</v>
      </c>
      <c r="D5228" s="105">
        <v>1763.84</v>
      </c>
      <c r="E5228" s="105">
        <v>1058.3</v>
      </c>
      <c r="F5228" s="105">
        <v>0</v>
      </c>
    </row>
    <row r="5229" spans="1:6" x14ac:dyDescent="0.25">
      <c r="A5229" s="105" t="str">
        <f t="shared" si="81"/>
        <v/>
      </c>
      <c r="B5229" s="105" t="s">
        <v>8725</v>
      </c>
      <c r="C5229" s="105" t="s">
        <v>8</v>
      </c>
      <c r="D5229" s="105">
        <v>0</v>
      </c>
      <c r="E5229" s="105">
        <v>0</v>
      </c>
      <c r="F5229" s="105">
        <v>0</v>
      </c>
    </row>
    <row r="5230" spans="1:6" x14ac:dyDescent="0.25">
      <c r="A5230" s="105">
        <f t="shared" si="81"/>
        <v>9003015</v>
      </c>
      <c r="B5230" s="105" t="s">
        <v>8726</v>
      </c>
      <c r="C5230" s="105" t="s">
        <v>8727</v>
      </c>
      <c r="D5230" s="105">
        <v>0</v>
      </c>
      <c r="E5230" s="105">
        <v>0</v>
      </c>
      <c r="F5230" s="105">
        <v>0</v>
      </c>
    </row>
    <row r="5231" spans="1:6" x14ac:dyDescent="0.25">
      <c r="A5231" s="105">
        <f t="shared" si="81"/>
        <v>9003016</v>
      </c>
      <c r="B5231" s="105" t="s">
        <v>8728</v>
      </c>
      <c r="C5231" s="105" t="s">
        <v>8729</v>
      </c>
      <c r="D5231" s="105">
        <v>0</v>
      </c>
      <c r="E5231" s="105">
        <v>0</v>
      </c>
      <c r="F5231" s="105">
        <v>0</v>
      </c>
    </row>
    <row r="5232" spans="1:6" x14ac:dyDescent="0.25">
      <c r="A5232" s="105">
        <f t="shared" si="81"/>
        <v>9003017</v>
      </c>
      <c r="B5232" s="105" t="s">
        <v>8730</v>
      </c>
      <c r="C5232" s="105" t="s">
        <v>8731</v>
      </c>
      <c r="D5232" s="105">
        <v>1653.6</v>
      </c>
      <c r="E5232" s="105">
        <v>992.16</v>
      </c>
      <c r="F5232" s="105">
        <v>0</v>
      </c>
    </row>
    <row r="5233" spans="1:6" x14ac:dyDescent="0.25">
      <c r="A5233" s="105">
        <f t="shared" si="81"/>
        <v>9003018</v>
      </c>
      <c r="B5233" s="105" t="s">
        <v>8732</v>
      </c>
      <c r="C5233" s="105" t="s">
        <v>8733</v>
      </c>
      <c r="D5233" s="105">
        <v>1653.6</v>
      </c>
      <c r="E5233" s="105">
        <v>992.16</v>
      </c>
      <c r="F5233" s="105">
        <v>0</v>
      </c>
    </row>
    <row r="5234" spans="1:6" x14ac:dyDescent="0.25">
      <c r="A5234" s="105" t="str">
        <f t="shared" si="81"/>
        <v/>
      </c>
      <c r="B5234" s="105" t="s">
        <v>8734</v>
      </c>
      <c r="C5234" s="105" t="s">
        <v>8</v>
      </c>
      <c r="D5234" s="105">
        <v>0</v>
      </c>
      <c r="E5234" s="105">
        <v>0</v>
      </c>
      <c r="F5234" s="105">
        <v>0</v>
      </c>
    </row>
    <row r="5235" spans="1:6" x14ac:dyDescent="0.25">
      <c r="A5235" s="105">
        <f t="shared" si="81"/>
        <v>9003019</v>
      </c>
      <c r="B5235" s="105" t="s">
        <v>8735</v>
      </c>
      <c r="C5235" s="105" t="s">
        <v>8736</v>
      </c>
      <c r="D5235" s="105">
        <v>0</v>
      </c>
      <c r="E5235" s="105">
        <v>0</v>
      </c>
      <c r="F5235" s="105">
        <v>0</v>
      </c>
    </row>
    <row r="5236" spans="1:6" x14ac:dyDescent="0.25">
      <c r="A5236" s="105">
        <f t="shared" si="81"/>
        <v>9003020</v>
      </c>
      <c r="B5236" s="105" t="s">
        <v>8737</v>
      </c>
      <c r="C5236" s="105" t="s">
        <v>8738</v>
      </c>
      <c r="D5236" s="105">
        <v>1433.12</v>
      </c>
      <c r="E5236" s="105">
        <v>859.87</v>
      </c>
      <c r="F5236" s="105">
        <v>164</v>
      </c>
    </row>
    <row r="5237" spans="1:6" x14ac:dyDescent="0.25">
      <c r="A5237" s="105">
        <f t="shared" si="81"/>
        <v>9003021</v>
      </c>
      <c r="B5237" s="105" t="s">
        <v>8739</v>
      </c>
      <c r="C5237" s="105" t="s">
        <v>8740</v>
      </c>
      <c r="D5237" s="105">
        <v>1433.12</v>
      </c>
      <c r="E5237" s="105">
        <v>859.87</v>
      </c>
      <c r="F5237" s="105">
        <v>0</v>
      </c>
    </row>
    <row r="5238" spans="1:6" x14ac:dyDescent="0.25">
      <c r="A5238" s="105" t="str">
        <f t="shared" si="81"/>
        <v/>
      </c>
      <c r="B5238" s="105" t="s">
        <v>8741</v>
      </c>
      <c r="C5238" s="105" t="s">
        <v>8</v>
      </c>
      <c r="D5238" s="105">
        <v>0</v>
      </c>
      <c r="E5238" s="105">
        <v>0</v>
      </c>
      <c r="F5238" s="105">
        <v>0</v>
      </c>
    </row>
    <row r="5239" spans="1:6" x14ac:dyDescent="0.25">
      <c r="A5239" s="105">
        <f t="shared" si="81"/>
        <v>9003022</v>
      </c>
      <c r="B5239" s="105" t="s">
        <v>8742</v>
      </c>
      <c r="C5239" s="105" t="s">
        <v>8743</v>
      </c>
      <c r="D5239" s="105">
        <v>1763.84</v>
      </c>
      <c r="E5239" s="105">
        <v>1058.3</v>
      </c>
      <c r="F5239" s="105">
        <v>0</v>
      </c>
    </row>
    <row r="5240" spans="1:6" x14ac:dyDescent="0.25">
      <c r="A5240" s="105">
        <f t="shared" si="81"/>
        <v>9003023</v>
      </c>
      <c r="B5240" s="105" t="s">
        <v>8744</v>
      </c>
      <c r="C5240" s="105" t="s">
        <v>8745</v>
      </c>
      <c r="D5240" s="105">
        <v>0</v>
      </c>
      <c r="E5240" s="105">
        <v>0</v>
      </c>
      <c r="F5240" s="105">
        <v>3</v>
      </c>
    </row>
    <row r="5241" spans="1:6" x14ac:dyDescent="0.25">
      <c r="A5241" s="105">
        <f t="shared" si="81"/>
        <v>9003024</v>
      </c>
      <c r="B5241" s="105" t="s">
        <v>8746</v>
      </c>
      <c r="C5241" s="105" t="s">
        <v>8727</v>
      </c>
      <c r="D5241" s="105">
        <v>0</v>
      </c>
      <c r="E5241" s="105">
        <v>0</v>
      </c>
      <c r="F5241" s="105">
        <v>3</v>
      </c>
    </row>
    <row r="5242" spans="1:6" x14ac:dyDescent="0.25">
      <c r="A5242" s="105" t="str">
        <f t="shared" si="81"/>
        <v/>
      </c>
      <c r="B5242" s="105" t="s">
        <v>8747</v>
      </c>
      <c r="C5242" s="105" t="s">
        <v>8</v>
      </c>
      <c r="D5242" s="105">
        <v>0</v>
      </c>
      <c r="E5242" s="105">
        <v>0</v>
      </c>
      <c r="F5242" s="105">
        <v>0</v>
      </c>
    </row>
    <row r="5243" spans="1:6" x14ac:dyDescent="0.25">
      <c r="A5243" s="105">
        <f t="shared" si="81"/>
        <v>9003025</v>
      </c>
      <c r="B5243" s="105" t="s">
        <v>8748</v>
      </c>
      <c r="C5243" s="105" t="s">
        <v>8749</v>
      </c>
      <c r="D5243" s="105">
        <v>0</v>
      </c>
      <c r="E5243" s="105">
        <v>0</v>
      </c>
      <c r="F5243" s="105">
        <v>0</v>
      </c>
    </row>
    <row r="5244" spans="1:6" x14ac:dyDescent="0.25">
      <c r="A5244" s="105">
        <f t="shared" si="81"/>
        <v>9003026</v>
      </c>
      <c r="B5244" s="105" t="s">
        <v>8750</v>
      </c>
      <c r="C5244" s="105" t="s">
        <v>8751</v>
      </c>
      <c r="D5244" s="105">
        <v>1484</v>
      </c>
      <c r="E5244" s="105">
        <v>890.4</v>
      </c>
      <c r="F5244" s="105">
        <v>0</v>
      </c>
    </row>
    <row r="5245" spans="1:6" x14ac:dyDescent="0.25">
      <c r="A5245" s="105">
        <f t="shared" si="81"/>
        <v>9003090</v>
      </c>
      <c r="B5245" s="105" t="s">
        <v>8752</v>
      </c>
      <c r="C5245" s="105" t="s">
        <v>8753</v>
      </c>
      <c r="D5245" s="105">
        <v>1763.84</v>
      </c>
      <c r="E5245" s="105">
        <v>1058.3</v>
      </c>
      <c r="F5245" s="105">
        <v>0</v>
      </c>
    </row>
    <row r="5246" spans="1:6" x14ac:dyDescent="0.25">
      <c r="A5246" s="105">
        <f t="shared" si="81"/>
        <v>9003100</v>
      </c>
      <c r="B5246" s="105" t="s">
        <v>8754</v>
      </c>
      <c r="C5246" s="105" t="s">
        <v>8755</v>
      </c>
      <c r="D5246" s="105">
        <v>1984.32</v>
      </c>
      <c r="E5246" s="105">
        <v>1190.5899999999999</v>
      </c>
      <c r="F5246" s="105">
        <v>6</v>
      </c>
    </row>
    <row r="5247" spans="1:6" x14ac:dyDescent="0.25">
      <c r="A5247" s="105">
        <f t="shared" si="81"/>
        <v>9003101</v>
      </c>
      <c r="B5247" s="105" t="s">
        <v>8756</v>
      </c>
      <c r="C5247" s="105" t="s">
        <v>8757</v>
      </c>
      <c r="D5247" s="105">
        <v>1984.32</v>
      </c>
      <c r="E5247" s="105">
        <v>1190.5899999999999</v>
      </c>
      <c r="F5247" s="105">
        <v>6</v>
      </c>
    </row>
    <row r="5248" spans="1:6" x14ac:dyDescent="0.25">
      <c r="A5248" s="105">
        <f t="shared" si="81"/>
        <v>9003417</v>
      </c>
      <c r="B5248" s="105" t="s">
        <v>8758</v>
      </c>
      <c r="C5248" s="105" t="s">
        <v>8759</v>
      </c>
      <c r="D5248" s="105">
        <v>545.16</v>
      </c>
      <c r="E5248" s="105">
        <v>327.10000000000002</v>
      </c>
      <c r="F5248" s="105">
        <v>20</v>
      </c>
    </row>
    <row r="5249" spans="1:6" x14ac:dyDescent="0.25">
      <c r="A5249" s="105" t="str">
        <f t="shared" si="81"/>
        <v/>
      </c>
      <c r="B5249" s="105" t="s">
        <v>8760</v>
      </c>
      <c r="C5249" s="105" t="s">
        <v>8</v>
      </c>
      <c r="D5249" s="105">
        <v>0</v>
      </c>
      <c r="E5249" s="105">
        <v>0</v>
      </c>
      <c r="F5249" s="105">
        <v>0</v>
      </c>
    </row>
    <row r="5250" spans="1:6" x14ac:dyDescent="0.25">
      <c r="A5250" s="105">
        <f t="shared" si="81"/>
        <v>9003710</v>
      </c>
      <c r="B5250" s="105" t="s">
        <v>8761</v>
      </c>
      <c r="C5250" s="105" t="s">
        <v>8762</v>
      </c>
      <c r="D5250" s="105">
        <v>0</v>
      </c>
      <c r="E5250" s="105">
        <v>0</v>
      </c>
      <c r="F5250" s="105">
        <v>0</v>
      </c>
    </row>
    <row r="5251" spans="1:6" x14ac:dyDescent="0.25">
      <c r="A5251" s="105">
        <f t="shared" ref="A5251:A5314" si="82">IF(B5251&lt;&gt;"",IFERROR(B5251*1,""),"")</f>
        <v>9003976</v>
      </c>
      <c r="B5251" s="105" t="s">
        <v>8763</v>
      </c>
      <c r="C5251" s="105" t="s">
        <v>8764</v>
      </c>
      <c r="D5251" s="105">
        <v>0</v>
      </c>
      <c r="E5251" s="105">
        <v>0</v>
      </c>
      <c r="F5251" s="105">
        <v>0</v>
      </c>
    </row>
    <row r="5252" spans="1:6" x14ac:dyDescent="0.25">
      <c r="A5252" s="105" t="str">
        <f t="shared" si="82"/>
        <v/>
      </c>
      <c r="B5252" s="105" t="s">
        <v>8765</v>
      </c>
      <c r="C5252" s="105" t="s">
        <v>8</v>
      </c>
      <c r="D5252" s="105">
        <v>0</v>
      </c>
      <c r="E5252" s="105">
        <v>0</v>
      </c>
      <c r="F5252" s="105">
        <v>0</v>
      </c>
    </row>
    <row r="5253" spans="1:6" x14ac:dyDescent="0.25">
      <c r="A5253" s="105">
        <f t="shared" si="82"/>
        <v>900397601</v>
      </c>
      <c r="B5253" s="105" t="s">
        <v>8766</v>
      </c>
      <c r="C5253" s="105" t="s">
        <v>8767</v>
      </c>
      <c r="D5253" s="105">
        <v>0</v>
      </c>
      <c r="E5253" s="105">
        <v>0</v>
      </c>
      <c r="F5253" s="105">
        <v>0</v>
      </c>
    </row>
    <row r="5254" spans="1:6" x14ac:dyDescent="0.25">
      <c r="A5254" s="105" t="str">
        <f t="shared" si="82"/>
        <v/>
      </c>
      <c r="B5254" s="105" t="s">
        <v>8768</v>
      </c>
      <c r="C5254" s="105" t="s">
        <v>8</v>
      </c>
      <c r="D5254" s="105">
        <v>0</v>
      </c>
      <c r="E5254" s="105">
        <v>0</v>
      </c>
      <c r="F5254" s="105">
        <v>0</v>
      </c>
    </row>
    <row r="5255" spans="1:6" x14ac:dyDescent="0.25">
      <c r="A5255" s="105">
        <f t="shared" si="82"/>
        <v>900397602</v>
      </c>
      <c r="B5255" s="105" t="s">
        <v>8769</v>
      </c>
      <c r="C5255" s="105" t="s">
        <v>8770</v>
      </c>
      <c r="D5255" s="105">
        <v>0</v>
      </c>
      <c r="E5255" s="105">
        <v>0</v>
      </c>
      <c r="F5255" s="105">
        <v>0</v>
      </c>
    </row>
    <row r="5256" spans="1:6" x14ac:dyDescent="0.25">
      <c r="A5256" s="105">
        <f t="shared" si="82"/>
        <v>9003978</v>
      </c>
      <c r="B5256" s="105" t="s">
        <v>8771</v>
      </c>
      <c r="C5256" s="105" t="s">
        <v>8772</v>
      </c>
      <c r="D5256" s="105">
        <v>0</v>
      </c>
      <c r="E5256" s="105">
        <v>0</v>
      </c>
      <c r="F5256" s="105">
        <v>1</v>
      </c>
    </row>
    <row r="5257" spans="1:6" x14ac:dyDescent="0.25">
      <c r="A5257" s="105" t="str">
        <f t="shared" si="82"/>
        <v/>
      </c>
      <c r="B5257" s="105" t="s">
        <v>8773</v>
      </c>
      <c r="C5257" s="105" t="s">
        <v>8</v>
      </c>
      <c r="D5257" s="105">
        <v>0</v>
      </c>
      <c r="E5257" s="105">
        <v>0</v>
      </c>
      <c r="F5257" s="105">
        <v>0</v>
      </c>
    </row>
    <row r="5258" spans="1:6" x14ac:dyDescent="0.25">
      <c r="A5258" s="105">
        <f t="shared" si="82"/>
        <v>900397801</v>
      </c>
      <c r="B5258" s="105" t="s">
        <v>8774</v>
      </c>
      <c r="C5258" s="105" t="s">
        <v>8775</v>
      </c>
      <c r="D5258" s="105">
        <v>0</v>
      </c>
      <c r="E5258" s="105">
        <v>0</v>
      </c>
      <c r="F5258" s="105">
        <v>0</v>
      </c>
    </row>
    <row r="5259" spans="1:6" x14ac:dyDescent="0.25">
      <c r="A5259" s="105" t="str">
        <f t="shared" si="82"/>
        <v/>
      </c>
      <c r="B5259" s="105" t="s">
        <v>8776</v>
      </c>
      <c r="C5259" s="105" t="s">
        <v>8</v>
      </c>
      <c r="D5259" s="105">
        <v>0</v>
      </c>
      <c r="E5259" s="105">
        <v>0</v>
      </c>
      <c r="F5259" s="105">
        <v>0</v>
      </c>
    </row>
    <row r="5260" spans="1:6" x14ac:dyDescent="0.25">
      <c r="A5260" s="105">
        <f t="shared" si="82"/>
        <v>900397802</v>
      </c>
      <c r="B5260" s="105" t="s">
        <v>8777</v>
      </c>
      <c r="C5260" s="105" t="s">
        <v>8778</v>
      </c>
      <c r="D5260" s="105">
        <v>0</v>
      </c>
      <c r="E5260" s="105">
        <v>0</v>
      </c>
      <c r="F5260" s="105">
        <v>0</v>
      </c>
    </row>
    <row r="5261" spans="1:6" x14ac:dyDescent="0.25">
      <c r="A5261" s="105" t="str">
        <f t="shared" si="82"/>
        <v/>
      </c>
      <c r="B5261" s="105" t="s">
        <v>8779</v>
      </c>
      <c r="C5261" s="105" t="s">
        <v>8</v>
      </c>
      <c r="D5261" s="105">
        <v>0</v>
      </c>
      <c r="E5261" s="105">
        <v>0</v>
      </c>
      <c r="F5261" s="105">
        <v>0</v>
      </c>
    </row>
    <row r="5262" spans="1:6" x14ac:dyDescent="0.25">
      <c r="A5262" s="105">
        <f t="shared" si="82"/>
        <v>9003981</v>
      </c>
      <c r="B5262" s="105" t="s">
        <v>8780</v>
      </c>
      <c r="C5262" s="105" t="s">
        <v>8781</v>
      </c>
      <c r="D5262" s="105">
        <v>0</v>
      </c>
      <c r="E5262" s="105">
        <v>0</v>
      </c>
      <c r="F5262" s="105">
        <v>0</v>
      </c>
    </row>
    <row r="5263" spans="1:6" x14ac:dyDescent="0.25">
      <c r="A5263" s="105" t="str">
        <f t="shared" si="82"/>
        <v/>
      </c>
      <c r="B5263" s="105" t="s">
        <v>8782</v>
      </c>
      <c r="C5263" s="105" t="s">
        <v>8</v>
      </c>
      <c r="D5263" s="105">
        <v>0</v>
      </c>
      <c r="E5263" s="105">
        <v>0</v>
      </c>
      <c r="F5263" s="105">
        <v>0</v>
      </c>
    </row>
    <row r="5264" spans="1:6" x14ac:dyDescent="0.25">
      <c r="A5264" s="105">
        <f t="shared" si="82"/>
        <v>9003985</v>
      </c>
      <c r="B5264" s="105" t="s">
        <v>8783</v>
      </c>
      <c r="C5264" s="105" t="s">
        <v>8784</v>
      </c>
      <c r="D5264" s="105">
        <v>0</v>
      </c>
      <c r="E5264" s="105">
        <v>0</v>
      </c>
      <c r="F5264" s="105">
        <v>0</v>
      </c>
    </row>
    <row r="5265" spans="1:6" x14ac:dyDescent="0.25">
      <c r="A5265" s="105" t="str">
        <f t="shared" si="82"/>
        <v/>
      </c>
      <c r="B5265" s="105" t="s">
        <v>8785</v>
      </c>
      <c r="C5265" s="105" t="s">
        <v>8</v>
      </c>
      <c r="D5265" s="105">
        <v>0</v>
      </c>
      <c r="E5265" s="105">
        <v>0</v>
      </c>
      <c r="F5265" s="105">
        <v>0</v>
      </c>
    </row>
    <row r="5266" spans="1:6" x14ac:dyDescent="0.25">
      <c r="A5266" s="105">
        <f t="shared" si="82"/>
        <v>900398501</v>
      </c>
      <c r="B5266" s="105" t="s">
        <v>8786</v>
      </c>
      <c r="C5266" s="105" t="s">
        <v>8787</v>
      </c>
      <c r="D5266" s="105">
        <v>0</v>
      </c>
      <c r="E5266" s="105">
        <v>0</v>
      </c>
      <c r="F5266" s="105">
        <v>0</v>
      </c>
    </row>
    <row r="5267" spans="1:6" x14ac:dyDescent="0.25">
      <c r="A5267" s="105" t="str">
        <f t="shared" si="82"/>
        <v/>
      </c>
      <c r="B5267" s="105" t="s">
        <v>8788</v>
      </c>
      <c r="C5267" s="105" t="s">
        <v>8</v>
      </c>
      <c r="D5267" s="105">
        <v>0</v>
      </c>
      <c r="E5267" s="105">
        <v>0</v>
      </c>
      <c r="F5267" s="105">
        <v>0</v>
      </c>
    </row>
    <row r="5268" spans="1:6" x14ac:dyDescent="0.25">
      <c r="A5268" s="105">
        <f t="shared" si="82"/>
        <v>900398502</v>
      </c>
      <c r="B5268" s="105" t="s">
        <v>8789</v>
      </c>
      <c r="C5268" s="105" t="s">
        <v>8790</v>
      </c>
      <c r="D5268" s="105">
        <v>0</v>
      </c>
      <c r="E5268" s="105">
        <v>0</v>
      </c>
      <c r="F5268" s="105">
        <v>0</v>
      </c>
    </row>
    <row r="5269" spans="1:6" x14ac:dyDescent="0.25">
      <c r="A5269" s="105" t="str">
        <f t="shared" si="82"/>
        <v/>
      </c>
      <c r="B5269" s="105" t="s">
        <v>8791</v>
      </c>
      <c r="C5269" s="105" t="s">
        <v>8</v>
      </c>
      <c r="D5269" s="105">
        <v>0</v>
      </c>
      <c r="E5269" s="105">
        <v>0</v>
      </c>
      <c r="F5269" s="105">
        <v>0</v>
      </c>
    </row>
    <row r="5270" spans="1:6" x14ac:dyDescent="0.25">
      <c r="A5270" s="105">
        <f t="shared" si="82"/>
        <v>9003986</v>
      </c>
      <c r="B5270" s="105" t="s">
        <v>8792</v>
      </c>
      <c r="C5270" s="105" t="s">
        <v>8793</v>
      </c>
      <c r="D5270" s="105">
        <v>0</v>
      </c>
      <c r="E5270" s="105">
        <v>0</v>
      </c>
      <c r="F5270" s="105">
        <v>0</v>
      </c>
    </row>
    <row r="5271" spans="1:6" x14ac:dyDescent="0.25">
      <c r="A5271" s="105">
        <f t="shared" si="82"/>
        <v>9003988</v>
      </c>
      <c r="B5271" s="105" t="s">
        <v>8794</v>
      </c>
      <c r="C5271" s="105" t="s">
        <v>8795</v>
      </c>
      <c r="D5271" s="105">
        <v>0</v>
      </c>
      <c r="E5271" s="105">
        <v>0</v>
      </c>
      <c r="F5271" s="105">
        <v>1</v>
      </c>
    </row>
    <row r="5272" spans="1:6" x14ac:dyDescent="0.25">
      <c r="A5272" s="105">
        <f t="shared" si="82"/>
        <v>9003993</v>
      </c>
      <c r="B5272" s="105" t="s">
        <v>8796</v>
      </c>
      <c r="C5272" s="105" t="s">
        <v>8797</v>
      </c>
      <c r="D5272" s="105">
        <v>0</v>
      </c>
      <c r="E5272" s="105">
        <v>0</v>
      </c>
      <c r="F5272" s="105">
        <v>0</v>
      </c>
    </row>
    <row r="5273" spans="1:6" x14ac:dyDescent="0.25">
      <c r="A5273" s="105">
        <f t="shared" si="82"/>
        <v>900399301</v>
      </c>
      <c r="B5273" s="105" t="s">
        <v>8798</v>
      </c>
      <c r="C5273" s="105" t="s">
        <v>8799</v>
      </c>
      <c r="D5273" s="105">
        <v>704.83</v>
      </c>
      <c r="E5273" s="105">
        <v>422.9</v>
      </c>
      <c r="F5273" s="105">
        <v>0</v>
      </c>
    </row>
    <row r="5274" spans="1:6" x14ac:dyDescent="0.25">
      <c r="A5274" s="105">
        <f t="shared" si="82"/>
        <v>900399302</v>
      </c>
      <c r="B5274" s="105" t="s">
        <v>8800</v>
      </c>
      <c r="C5274" s="105" t="s">
        <v>8801</v>
      </c>
      <c r="D5274" s="105">
        <v>0</v>
      </c>
      <c r="E5274" s="105">
        <v>0</v>
      </c>
      <c r="F5274" s="105">
        <v>0</v>
      </c>
    </row>
    <row r="5275" spans="1:6" x14ac:dyDescent="0.25">
      <c r="A5275" s="105" t="str">
        <f t="shared" si="82"/>
        <v/>
      </c>
      <c r="B5275" s="105" t="s">
        <v>8802</v>
      </c>
      <c r="C5275" s="105" t="s">
        <v>8</v>
      </c>
      <c r="D5275" s="105">
        <v>0</v>
      </c>
      <c r="E5275" s="105">
        <v>0</v>
      </c>
      <c r="F5275" s="105">
        <v>0</v>
      </c>
    </row>
    <row r="5276" spans="1:6" x14ac:dyDescent="0.25">
      <c r="A5276" s="105">
        <f t="shared" si="82"/>
        <v>900697601</v>
      </c>
      <c r="B5276" s="105" t="s">
        <v>8803</v>
      </c>
      <c r="C5276" s="105" t="s">
        <v>8767</v>
      </c>
      <c r="D5276" s="105">
        <v>0</v>
      </c>
      <c r="E5276" s="105">
        <v>0</v>
      </c>
      <c r="F5276" s="105">
        <v>0</v>
      </c>
    </row>
    <row r="5277" spans="1:6" x14ac:dyDescent="0.25">
      <c r="A5277" s="105" t="str">
        <f t="shared" si="82"/>
        <v/>
      </c>
      <c r="B5277" s="105" t="s">
        <v>8804</v>
      </c>
      <c r="C5277" s="105" t="s">
        <v>8</v>
      </c>
      <c r="D5277" s="105">
        <v>0</v>
      </c>
      <c r="E5277" s="105">
        <v>0</v>
      </c>
      <c r="F5277" s="105">
        <v>0</v>
      </c>
    </row>
    <row r="5278" spans="1:6" x14ac:dyDescent="0.25">
      <c r="A5278" s="105">
        <f t="shared" si="82"/>
        <v>9010000</v>
      </c>
      <c r="B5278" s="105" t="s">
        <v>8805</v>
      </c>
      <c r="C5278" s="105" t="s">
        <v>8806</v>
      </c>
      <c r="D5278" s="105">
        <v>0</v>
      </c>
      <c r="E5278" s="105">
        <v>0</v>
      </c>
      <c r="F5278" s="105">
        <v>0</v>
      </c>
    </row>
    <row r="5279" spans="1:6" x14ac:dyDescent="0.25">
      <c r="A5279" s="105" t="str">
        <f t="shared" si="82"/>
        <v/>
      </c>
      <c r="B5279" s="105" t="s">
        <v>8807</v>
      </c>
      <c r="C5279" s="105" t="s">
        <v>8</v>
      </c>
      <c r="D5279" s="105">
        <v>0</v>
      </c>
      <c r="E5279" s="105">
        <v>0</v>
      </c>
      <c r="F5279" s="105">
        <v>0</v>
      </c>
    </row>
    <row r="5280" spans="1:6" x14ac:dyDescent="0.25">
      <c r="A5280" s="105">
        <f t="shared" si="82"/>
        <v>9010001</v>
      </c>
      <c r="B5280" s="105" t="s">
        <v>8808</v>
      </c>
      <c r="C5280" s="105" t="s">
        <v>8809</v>
      </c>
      <c r="D5280" s="105">
        <v>0</v>
      </c>
      <c r="E5280" s="105">
        <v>0</v>
      </c>
      <c r="F5280" s="105">
        <v>0</v>
      </c>
    </row>
    <row r="5281" spans="1:6" x14ac:dyDescent="0.25">
      <c r="A5281" s="105" t="str">
        <f t="shared" si="82"/>
        <v/>
      </c>
      <c r="B5281" s="105" t="s">
        <v>8810</v>
      </c>
      <c r="C5281" s="105" t="s">
        <v>8</v>
      </c>
      <c r="D5281" s="105">
        <v>0</v>
      </c>
      <c r="E5281" s="105">
        <v>0</v>
      </c>
      <c r="F5281" s="105">
        <v>0</v>
      </c>
    </row>
    <row r="5282" spans="1:6" x14ac:dyDescent="0.25">
      <c r="A5282" s="105">
        <f t="shared" si="82"/>
        <v>9010002</v>
      </c>
      <c r="B5282" s="105" t="s">
        <v>8811</v>
      </c>
      <c r="C5282" s="105" t="s">
        <v>8812</v>
      </c>
      <c r="D5282" s="105">
        <v>0</v>
      </c>
      <c r="E5282" s="105">
        <v>0</v>
      </c>
      <c r="F5282" s="105">
        <v>0</v>
      </c>
    </row>
    <row r="5283" spans="1:6" x14ac:dyDescent="0.25">
      <c r="A5283" s="105" t="str">
        <f t="shared" si="82"/>
        <v/>
      </c>
      <c r="B5283" s="105" t="s">
        <v>8813</v>
      </c>
      <c r="C5283" s="105" t="s">
        <v>8</v>
      </c>
      <c r="D5283" s="105">
        <v>0</v>
      </c>
      <c r="E5283" s="105">
        <v>0</v>
      </c>
      <c r="F5283" s="105">
        <v>0</v>
      </c>
    </row>
    <row r="5284" spans="1:6" x14ac:dyDescent="0.25">
      <c r="A5284" s="105">
        <f t="shared" si="82"/>
        <v>9010003</v>
      </c>
      <c r="B5284" s="105" t="s">
        <v>8814</v>
      </c>
      <c r="C5284" s="105" t="s">
        <v>8815</v>
      </c>
      <c r="D5284" s="105">
        <v>0</v>
      </c>
      <c r="E5284" s="105">
        <v>0</v>
      </c>
      <c r="F5284" s="105">
        <v>0</v>
      </c>
    </row>
    <row r="5285" spans="1:6" x14ac:dyDescent="0.25">
      <c r="A5285" s="105" t="str">
        <f t="shared" si="82"/>
        <v/>
      </c>
      <c r="B5285" s="105" t="s">
        <v>8816</v>
      </c>
      <c r="C5285" s="105" t="s">
        <v>8</v>
      </c>
      <c r="D5285" s="105">
        <v>0</v>
      </c>
      <c r="E5285" s="105">
        <v>0</v>
      </c>
      <c r="F5285" s="105">
        <v>0</v>
      </c>
    </row>
    <row r="5286" spans="1:6" x14ac:dyDescent="0.25">
      <c r="A5286" s="105">
        <f t="shared" si="82"/>
        <v>9010004</v>
      </c>
      <c r="B5286" s="105" t="s">
        <v>8817</v>
      </c>
      <c r="C5286" s="105" t="s">
        <v>8818</v>
      </c>
      <c r="D5286" s="105">
        <v>0</v>
      </c>
      <c r="E5286" s="105">
        <v>0</v>
      </c>
      <c r="F5286" s="105">
        <v>0</v>
      </c>
    </row>
    <row r="5287" spans="1:6" x14ac:dyDescent="0.25">
      <c r="A5287" s="105" t="str">
        <f t="shared" si="82"/>
        <v/>
      </c>
      <c r="B5287" s="105" t="s">
        <v>8819</v>
      </c>
      <c r="C5287" s="105" t="s">
        <v>8</v>
      </c>
      <c r="D5287" s="105">
        <v>0</v>
      </c>
      <c r="E5287" s="105">
        <v>0</v>
      </c>
      <c r="F5287" s="105">
        <v>0</v>
      </c>
    </row>
    <row r="5288" spans="1:6" x14ac:dyDescent="0.25">
      <c r="A5288" s="105">
        <f t="shared" si="82"/>
        <v>9010005</v>
      </c>
      <c r="B5288" s="105" t="s">
        <v>8820</v>
      </c>
      <c r="C5288" s="105" t="s">
        <v>8821</v>
      </c>
      <c r="D5288" s="105">
        <v>0</v>
      </c>
      <c r="E5288" s="105">
        <v>0</v>
      </c>
      <c r="F5288" s="105">
        <v>0</v>
      </c>
    </row>
    <row r="5289" spans="1:6" x14ac:dyDescent="0.25">
      <c r="A5289" s="105" t="str">
        <f t="shared" si="82"/>
        <v/>
      </c>
      <c r="B5289" s="105" t="s">
        <v>8822</v>
      </c>
      <c r="C5289" s="105" t="s">
        <v>8</v>
      </c>
      <c r="D5289" s="105">
        <v>0</v>
      </c>
      <c r="E5289" s="105">
        <v>0</v>
      </c>
      <c r="F5289" s="105">
        <v>0</v>
      </c>
    </row>
    <row r="5290" spans="1:6" x14ac:dyDescent="0.25">
      <c r="A5290" s="105">
        <f t="shared" si="82"/>
        <v>9010840</v>
      </c>
      <c r="B5290" s="105" t="s">
        <v>8823</v>
      </c>
      <c r="C5290" s="105" t="s">
        <v>8824</v>
      </c>
      <c r="D5290" s="105">
        <v>0</v>
      </c>
      <c r="E5290" s="105">
        <v>0</v>
      </c>
      <c r="F5290" s="105">
        <v>0</v>
      </c>
    </row>
    <row r="5291" spans="1:6" x14ac:dyDescent="0.25">
      <c r="A5291" s="105" t="str">
        <f t="shared" si="82"/>
        <v/>
      </c>
      <c r="B5291" s="105" t="s">
        <v>8825</v>
      </c>
      <c r="C5291" s="105" t="s">
        <v>8</v>
      </c>
      <c r="D5291" s="105">
        <v>0</v>
      </c>
      <c r="E5291" s="105">
        <v>0</v>
      </c>
      <c r="F5291" s="105">
        <v>0</v>
      </c>
    </row>
    <row r="5292" spans="1:6" x14ac:dyDescent="0.25">
      <c r="A5292" s="105">
        <f t="shared" si="82"/>
        <v>9010841</v>
      </c>
      <c r="B5292" s="105" t="s">
        <v>8826</v>
      </c>
      <c r="C5292" s="105" t="s">
        <v>8827</v>
      </c>
      <c r="D5292" s="105">
        <v>0</v>
      </c>
      <c r="E5292" s="105">
        <v>0</v>
      </c>
      <c r="F5292" s="105">
        <v>0</v>
      </c>
    </row>
    <row r="5293" spans="1:6" x14ac:dyDescent="0.25">
      <c r="A5293" s="105" t="str">
        <f t="shared" si="82"/>
        <v/>
      </c>
      <c r="B5293" s="105" t="s">
        <v>8828</v>
      </c>
      <c r="C5293" s="105" t="s">
        <v>8</v>
      </c>
      <c r="D5293" s="105">
        <v>0</v>
      </c>
      <c r="E5293" s="105">
        <v>0</v>
      </c>
      <c r="F5293" s="105">
        <v>0</v>
      </c>
    </row>
    <row r="5294" spans="1:6" x14ac:dyDescent="0.25">
      <c r="A5294" s="105">
        <f t="shared" si="82"/>
        <v>9709018</v>
      </c>
      <c r="B5294" s="105" t="s">
        <v>8829</v>
      </c>
      <c r="C5294" s="105" t="s">
        <v>6866</v>
      </c>
      <c r="D5294" s="105">
        <v>0</v>
      </c>
      <c r="E5294" s="105">
        <v>0</v>
      </c>
      <c r="F5294" s="105">
        <v>0</v>
      </c>
    </row>
    <row r="5295" spans="1:6" x14ac:dyDescent="0.25">
      <c r="A5295" s="105" t="str">
        <f t="shared" si="82"/>
        <v/>
      </c>
      <c r="B5295" s="105" t="s">
        <v>8830</v>
      </c>
      <c r="C5295" s="105" t="s">
        <v>8</v>
      </c>
      <c r="D5295" s="105">
        <v>0</v>
      </c>
      <c r="E5295" s="105">
        <v>0</v>
      </c>
      <c r="F5295" s="105">
        <v>0</v>
      </c>
    </row>
    <row r="5296" spans="1:6" x14ac:dyDescent="0.25">
      <c r="A5296" s="105">
        <f t="shared" si="82"/>
        <v>9716020</v>
      </c>
      <c r="B5296" s="105" t="s">
        <v>8831</v>
      </c>
      <c r="C5296" s="105" t="s">
        <v>7344</v>
      </c>
      <c r="D5296" s="105">
        <v>0</v>
      </c>
      <c r="E5296" s="105">
        <v>0</v>
      </c>
      <c r="F5296" s="105">
        <v>0</v>
      </c>
    </row>
    <row r="5297" spans="1:6" x14ac:dyDescent="0.25">
      <c r="A5297" s="105" t="str">
        <f t="shared" si="82"/>
        <v/>
      </c>
      <c r="B5297" s="105" t="s">
        <v>8832</v>
      </c>
      <c r="C5297" s="105" t="s">
        <v>8</v>
      </c>
      <c r="D5297" s="105">
        <v>0</v>
      </c>
      <c r="E5297" s="105">
        <v>0</v>
      </c>
      <c r="F5297" s="105">
        <v>0</v>
      </c>
    </row>
    <row r="5298" spans="1:6" x14ac:dyDescent="0.25">
      <c r="A5298" s="105">
        <f t="shared" si="82"/>
        <v>9716021</v>
      </c>
      <c r="B5298" s="105" t="s">
        <v>8833</v>
      </c>
      <c r="C5298" s="105" t="s">
        <v>7347</v>
      </c>
      <c r="D5298" s="105">
        <v>0</v>
      </c>
      <c r="E5298" s="105">
        <v>0</v>
      </c>
      <c r="F5298" s="105">
        <v>0</v>
      </c>
    </row>
    <row r="5299" spans="1:6" x14ac:dyDescent="0.25">
      <c r="A5299" s="105" t="str">
        <f t="shared" si="82"/>
        <v/>
      </c>
      <c r="B5299" s="105" t="s">
        <v>8834</v>
      </c>
      <c r="C5299" s="105" t="s">
        <v>8</v>
      </c>
      <c r="D5299" s="105">
        <v>0</v>
      </c>
      <c r="E5299" s="105">
        <v>0</v>
      </c>
      <c r="F5299" s="105">
        <v>0</v>
      </c>
    </row>
    <row r="5300" spans="1:6" x14ac:dyDescent="0.25">
      <c r="A5300" s="105">
        <f t="shared" si="82"/>
        <v>9859017</v>
      </c>
      <c r="B5300" s="105" t="s">
        <v>8835</v>
      </c>
      <c r="C5300" s="105" t="s">
        <v>8836</v>
      </c>
      <c r="D5300" s="105">
        <v>0</v>
      </c>
      <c r="E5300" s="105">
        <v>0</v>
      </c>
      <c r="F5300" s="105">
        <v>0</v>
      </c>
    </row>
    <row r="5301" spans="1:6" x14ac:dyDescent="0.25">
      <c r="A5301" s="105">
        <f t="shared" si="82"/>
        <v>999</v>
      </c>
      <c r="B5301" s="105" t="s">
        <v>8837</v>
      </c>
      <c r="C5301" s="105" t="s">
        <v>8838</v>
      </c>
      <c r="D5301" s="105">
        <v>1.53</v>
      </c>
      <c r="E5301" s="105">
        <v>0.92</v>
      </c>
      <c r="F5301" s="105">
        <v>0</v>
      </c>
    </row>
    <row r="5302" spans="1:6" x14ac:dyDescent="0.25">
      <c r="A5302" s="105" t="str">
        <f t="shared" si="82"/>
        <v/>
      </c>
      <c r="B5302" s="105" t="s">
        <v>8839</v>
      </c>
      <c r="C5302" s="105" t="s">
        <v>8</v>
      </c>
      <c r="D5302" s="105">
        <v>0</v>
      </c>
      <c r="E5302" s="105">
        <v>0</v>
      </c>
      <c r="F5302" s="105">
        <v>0</v>
      </c>
    </row>
    <row r="5303" spans="1:6" x14ac:dyDescent="0.25">
      <c r="A5303" s="105">
        <f t="shared" si="82"/>
        <v>9999022</v>
      </c>
      <c r="B5303" s="105" t="s">
        <v>8840</v>
      </c>
      <c r="C5303" s="105" t="s">
        <v>8841</v>
      </c>
      <c r="D5303" s="105">
        <v>0</v>
      </c>
      <c r="E5303" s="105">
        <v>0</v>
      </c>
      <c r="F5303" s="105">
        <v>0</v>
      </c>
    </row>
    <row r="5304" spans="1:6" x14ac:dyDescent="0.25">
      <c r="A5304" s="105">
        <f t="shared" si="82"/>
        <v>9999025</v>
      </c>
      <c r="B5304" s="105" t="s">
        <v>8842</v>
      </c>
      <c r="C5304" s="105" t="s">
        <v>8843</v>
      </c>
      <c r="D5304" s="105">
        <v>55.01</v>
      </c>
      <c r="E5304" s="105">
        <v>33.01</v>
      </c>
      <c r="F5304" s="105">
        <v>0</v>
      </c>
    </row>
    <row r="5305" spans="1:6" x14ac:dyDescent="0.25">
      <c r="A5305" s="105" t="str">
        <f t="shared" si="82"/>
        <v/>
      </c>
      <c r="B5305" s="105" t="s">
        <v>8844</v>
      </c>
      <c r="C5305" s="105" t="s">
        <v>8</v>
      </c>
      <c r="D5305" s="105">
        <v>0</v>
      </c>
      <c r="E5305" s="105">
        <v>0</v>
      </c>
      <c r="F5305" s="105">
        <v>0</v>
      </c>
    </row>
    <row r="5306" spans="1:6" x14ac:dyDescent="0.25">
      <c r="A5306" s="105">
        <f t="shared" si="82"/>
        <v>9999026</v>
      </c>
      <c r="B5306" s="105" t="s">
        <v>8845</v>
      </c>
      <c r="C5306" s="105" t="s">
        <v>8846</v>
      </c>
      <c r="D5306" s="105">
        <v>0</v>
      </c>
      <c r="E5306" s="105">
        <v>0</v>
      </c>
      <c r="F5306" s="105">
        <v>0</v>
      </c>
    </row>
    <row r="5307" spans="1:6" x14ac:dyDescent="0.25">
      <c r="A5307" s="105" t="str">
        <f t="shared" si="82"/>
        <v/>
      </c>
      <c r="B5307" s="105" t="s">
        <v>8847</v>
      </c>
      <c r="C5307" s="105" t="s">
        <v>8</v>
      </c>
      <c r="D5307" s="105">
        <v>0</v>
      </c>
      <c r="E5307" s="105">
        <v>0</v>
      </c>
      <c r="F5307" s="105">
        <v>0</v>
      </c>
    </row>
    <row r="5308" spans="1:6" x14ac:dyDescent="0.25">
      <c r="A5308" s="105">
        <f t="shared" si="82"/>
        <v>9999050</v>
      </c>
      <c r="B5308" s="105" t="s">
        <v>8848</v>
      </c>
      <c r="C5308" s="105" t="s">
        <v>8849</v>
      </c>
      <c r="D5308" s="105">
        <v>0</v>
      </c>
      <c r="E5308" s="105">
        <v>0</v>
      </c>
      <c r="F5308" s="105">
        <v>0</v>
      </c>
    </row>
    <row r="5309" spans="1:6" x14ac:dyDescent="0.25">
      <c r="A5309" s="105" t="str">
        <f t="shared" si="82"/>
        <v/>
      </c>
      <c r="B5309" s="105" t="s">
        <v>8850</v>
      </c>
      <c r="C5309" s="105" t="s">
        <v>8</v>
      </c>
      <c r="D5309" s="105">
        <v>0</v>
      </c>
      <c r="E5309" s="105">
        <v>0</v>
      </c>
      <c r="F5309" s="105">
        <v>0</v>
      </c>
    </row>
    <row r="5310" spans="1:6" x14ac:dyDescent="0.25">
      <c r="A5310" s="105">
        <f t="shared" si="82"/>
        <v>9999075</v>
      </c>
      <c r="B5310" s="105" t="s">
        <v>8851</v>
      </c>
      <c r="C5310" s="105" t="s">
        <v>8852</v>
      </c>
      <c r="D5310" s="105">
        <v>0</v>
      </c>
      <c r="E5310" s="105">
        <v>0</v>
      </c>
      <c r="F5310" s="105">
        <v>0</v>
      </c>
    </row>
    <row r="5311" spans="1:6" x14ac:dyDescent="0.25">
      <c r="A5311" s="105" t="str">
        <f t="shared" si="82"/>
        <v/>
      </c>
      <c r="B5311" s="105" t="s">
        <v>8853</v>
      </c>
      <c r="C5311" s="105" t="s">
        <v>8854</v>
      </c>
      <c r="D5311" s="105">
        <v>0</v>
      </c>
      <c r="E5311" s="105">
        <v>0</v>
      </c>
      <c r="F5311" s="105">
        <v>0</v>
      </c>
    </row>
    <row r="5312" spans="1:6" x14ac:dyDescent="0.25">
      <c r="A5312" s="105" t="str">
        <f t="shared" si="82"/>
        <v/>
      </c>
      <c r="B5312" s="105" t="s">
        <v>8855</v>
      </c>
      <c r="C5312" s="105" t="s">
        <v>8856</v>
      </c>
      <c r="D5312" s="105">
        <v>0</v>
      </c>
      <c r="E5312" s="105">
        <v>0</v>
      </c>
      <c r="F5312" s="105">
        <v>0</v>
      </c>
    </row>
    <row r="5313" spans="1:6" x14ac:dyDescent="0.25">
      <c r="A5313" s="105" t="str">
        <f t="shared" si="82"/>
        <v/>
      </c>
      <c r="B5313" s="105" t="s">
        <v>8857</v>
      </c>
      <c r="C5313" s="105" t="s">
        <v>8858</v>
      </c>
      <c r="D5313" s="105">
        <v>0</v>
      </c>
      <c r="E5313" s="105">
        <v>0</v>
      </c>
      <c r="F5313" s="105">
        <v>0</v>
      </c>
    </row>
    <row r="5314" spans="1:6" x14ac:dyDescent="0.25">
      <c r="A5314" s="105" t="str">
        <f t="shared" si="82"/>
        <v/>
      </c>
      <c r="B5314" s="105" t="s">
        <v>8859</v>
      </c>
      <c r="C5314" s="105" t="s">
        <v>8860</v>
      </c>
      <c r="D5314" s="105">
        <v>0</v>
      </c>
      <c r="E5314" s="105">
        <v>0</v>
      </c>
      <c r="F5314" s="105">
        <v>0</v>
      </c>
    </row>
    <row r="5315" spans="1:6" x14ac:dyDescent="0.25">
      <c r="A5315" s="105" t="str">
        <f t="shared" ref="A5315:A5378" si="83">IF(B5315&lt;&gt;"",IFERROR(B5315*1,""),"")</f>
        <v/>
      </c>
      <c r="B5315" s="105" t="s">
        <v>8861</v>
      </c>
      <c r="C5315" s="105" t="s">
        <v>8862</v>
      </c>
      <c r="D5315" s="105">
        <v>0</v>
      </c>
      <c r="E5315" s="105">
        <v>0</v>
      </c>
      <c r="F5315" s="105">
        <v>0</v>
      </c>
    </row>
    <row r="5316" spans="1:6" x14ac:dyDescent="0.25">
      <c r="A5316" s="105" t="str">
        <f t="shared" si="83"/>
        <v/>
      </c>
      <c r="B5316" s="105" t="s">
        <v>8863</v>
      </c>
      <c r="C5316" s="105" t="s">
        <v>8864</v>
      </c>
      <c r="D5316" s="105">
        <v>0</v>
      </c>
      <c r="E5316" s="105">
        <v>0</v>
      </c>
      <c r="F5316" s="105">
        <v>0</v>
      </c>
    </row>
    <row r="5317" spans="1:6" x14ac:dyDescent="0.25">
      <c r="A5317" s="105" t="str">
        <f t="shared" si="83"/>
        <v/>
      </c>
      <c r="B5317" s="105" t="s">
        <v>8865</v>
      </c>
      <c r="C5317" s="105" t="s">
        <v>8866</v>
      </c>
      <c r="D5317" s="105">
        <v>0</v>
      </c>
      <c r="E5317" s="105">
        <v>0</v>
      </c>
      <c r="F5317" s="105">
        <v>0</v>
      </c>
    </row>
    <row r="5318" spans="1:6" x14ac:dyDescent="0.25">
      <c r="A5318" s="105" t="str">
        <f t="shared" si="83"/>
        <v/>
      </c>
      <c r="B5318" s="105" t="s">
        <v>8867</v>
      </c>
      <c r="C5318" s="105" t="s">
        <v>8868</v>
      </c>
      <c r="D5318" s="105">
        <v>0</v>
      </c>
      <c r="E5318" s="105">
        <v>0</v>
      </c>
      <c r="F5318" s="105">
        <v>0</v>
      </c>
    </row>
    <row r="5319" spans="1:6" x14ac:dyDescent="0.25">
      <c r="A5319" s="105" t="str">
        <f t="shared" si="83"/>
        <v/>
      </c>
      <c r="B5319" s="105" t="s">
        <v>8869</v>
      </c>
      <c r="C5319" s="105" t="s">
        <v>8870</v>
      </c>
      <c r="D5319" s="105">
        <v>0</v>
      </c>
      <c r="E5319" s="105">
        <v>0</v>
      </c>
      <c r="F5319" s="105">
        <v>0</v>
      </c>
    </row>
    <row r="5320" spans="1:6" x14ac:dyDescent="0.25">
      <c r="A5320" s="105" t="str">
        <f t="shared" si="83"/>
        <v/>
      </c>
      <c r="B5320" s="105" t="s">
        <v>8871</v>
      </c>
      <c r="C5320" s="105" t="s">
        <v>8872</v>
      </c>
      <c r="D5320" s="105">
        <v>0</v>
      </c>
      <c r="E5320" s="105">
        <v>0</v>
      </c>
      <c r="F5320" s="105">
        <v>0</v>
      </c>
    </row>
    <row r="5321" spans="1:6" x14ac:dyDescent="0.25">
      <c r="A5321" s="105" t="str">
        <f t="shared" si="83"/>
        <v/>
      </c>
      <c r="B5321" s="105" t="s">
        <v>8873</v>
      </c>
      <c r="C5321" s="105" t="s">
        <v>8874</v>
      </c>
      <c r="D5321" s="105">
        <v>0</v>
      </c>
      <c r="E5321" s="105">
        <v>0</v>
      </c>
      <c r="F5321" s="105">
        <v>0</v>
      </c>
    </row>
    <row r="5322" spans="1:6" x14ac:dyDescent="0.25">
      <c r="A5322" s="105" t="str">
        <f t="shared" si="83"/>
        <v/>
      </c>
      <c r="B5322" s="105" t="s">
        <v>8875</v>
      </c>
      <c r="C5322" s="105" t="s">
        <v>8</v>
      </c>
      <c r="D5322" s="105">
        <v>0</v>
      </c>
      <c r="E5322" s="105">
        <v>0</v>
      </c>
      <c r="F5322" s="105">
        <v>0</v>
      </c>
    </row>
    <row r="5323" spans="1:6" x14ac:dyDescent="0.25">
      <c r="A5323" s="105" t="str">
        <f t="shared" si="83"/>
        <v/>
      </c>
      <c r="B5323" s="105" t="s">
        <v>8876</v>
      </c>
      <c r="C5323" s="105" t="s">
        <v>8877</v>
      </c>
      <c r="D5323" s="105">
        <v>0</v>
      </c>
      <c r="E5323" s="105">
        <v>0</v>
      </c>
      <c r="F5323" s="105">
        <v>0</v>
      </c>
    </row>
    <row r="5324" spans="1:6" x14ac:dyDescent="0.25">
      <c r="A5324" s="105" t="str">
        <f t="shared" si="83"/>
        <v/>
      </c>
      <c r="B5324" s="105" t="s">
        <v>8878</v>
      </c>
      <c r="C5324" s="105" t="s">
        <v>8879</v>
      </c>
      <c r="D5324" s="105">
        <v>0</v>
      </c>
      <c r="E5324" s="105">
        <v>0</v>
      </c>
      <c r="F5324" s="105">
        <v>0</v>
      </c>
    </row>
    <row r="5325" spans="1:6" x14ac:dyDescent="0.25">
      <c r="A5325" s="105" t="str">
        <f t="shared" si="83"/>
        <v/>
      </c>
      <c r="B5325" s="105" t="s">
        <v>8880</v>
      </c>
      <c r="C5325" s="105" t="s">
        <v>8881</v>
      </c>
      <c r="D5325" s="105">
        <v>0</v>
      </c>
      <c r="E5325" s="105">
        <v>0</v>
      </c>
      <c r="F5325" s="105">
        <v>0</v>
      </c>
    </row>
    <row r="5326" spans="1:6" x14ac:dyDescent="0.25">
      <c r="A5326" s="105" t="str">
        <f t="shared" si="83"/>
        <v/>
      </c>
      <c r="B5326" s="105" t="s">
        <v>8883</v>
      </c>
      <c r="C5326" s="105" t="s">
        <v>8884</v>
      </c>
      <c r="D5326" s="105">
        <v>0</v>
      </c>
      <c r="E5326" s="105">
        <v>0</v>
      </c>
      <c r="F5326" s="105">
        <v>0</v>
      </c>
    </row>
    <row r="5327" spans="1:6" x14ac:dyDescent="0.25">
      <c r="A5327" s="105" t="str">
        <f t="shared" si="83"/>
        <v/>
      </c>
      <c r="B5327" s="105" t="s">
        <v>8885</v>
      </c>
      <c r="C5327" s="105" t="s">
        <v>8886</v>
      </c>
      <c r="D5327" s="105">
        <v>0</v>
      </c>
      <c r="E5327" s="105">
        <v>0</v>
      </c>
      <c r="F5327" s="105">
        <v>0</v>
      </c>
    </row>
    <row r="5328" spans="1:6" x14ac:dyDescent="0.25">
      <c r="A5328" s="105" t="str">
        <f t="shared" si="83"/>
        <v/>
      </c>
      <c r="B5328" s="105" t="s">
        <v>8887</v>
      </c>
      <c r="C5328" s="105" t="s">
        <v>8888</v>
      </c>
      <c r="D5328" s="105">
        <v>0</v>
      </c>
      <c r="E5328" s="105">
        <v>0</v>
      </c>
      <c r="F5328" s="105">
        <v>0</v>
      </c>
    </row>
    <row r="5329" spans="1:6" x14ac:dyDescent="0.25">
      <c r="A5329" s="105" t="str">
        <f t="shared" si="83"/>
        <v/>
      </c>
      <c r="B5329" s="105" t="s">
        <v>8889</v>
      </c>
      <c r="C5329" s="105" t="s">
        <v>8890</v>
      </c>
      <c r="D5329" s="105">
        <v>0</v>
      </c>
      <c r="E5329" s="105">
        <v>0</v>
      </c>
      <c r="F5329" s="105">
        <v>0</v>
      </c>
    </row>
    <row r="5330" spans="1:6" x14ac:dyDescent="0.25">
      <c r="A5330" s="105" t="str">
        <f t="shared" si="83"/>
        <v/>
      </c>
      <c r="B5330" s="105" t="s">
        <v>8891</v>
      </c>
      <c r="C5330" s="105" t="s">
        <v>8892</v>
      </c>
      <c r="D5330" s="105">
        <v>0</v>
      </c>
      <c r="E5330" s="105">
        <v>0</v>
      </c>
      <c r="F5330" s="105">
        <v>0</v>
      </c>
    </row>
    <row r="5331" spans="1:6" x14ac:dyDescent="0.25">
      <c r="A5331" s="105" t="str">
        <f t="shared" si="83"/>
        <v/>
      </c>
      <c r="B5331" s="105" t="s">
        <v>8893</v>
      </c>
      <c r="C5331" s="105" t="s">
        <v>8894</v>
      </c>
      <c r="D5331" s="105">
        <v>0</v>
      </c>
      <c r="E5331" s="105">
        <v>0</v>
      </c>
      <c r="F5331" s="105">
        <v>0</v>
      </c>
    </row>
    <row r="5332" spans="1:6" x14ac:dyDescent="0.25">
      <c r="A5332" s="105" t="str">
        <f t="shared" si="83"/>
        <v/>
      </c>
      <c r="B5332" s="105" t="s">
        <v>8895</v>
      </c>
      <c r="C5332" s="105" t="s">
        <v>8896</v>
      </c>
      <c r="D5332" s="105">
        <v>0</v>
      </c>
      <c r="E5332" s="105">
        <v>0</v>
      </c>
      <c r="F5332" s="105">
        <v>0</v>
      </c>
    </row>
    <row r="5333" spans="1:6" x14ac:dyDescent="0.25">
      <c r="A5333" s="105" t="str">
        <f t="shared" si="83"/>
        <v/>
      </c>
      <c r="B5333" s="105" t="s">
        <v>8897</v>
      </c>
      <c r="C5333" s="105" t="s">
        <v>8898</v>
      </c>
      <c r="D5333" s="105">
        <v>0</v>
      </c>
      <c r="E5333" s="105">
        <v>0</v>
      </c>
      <c r="F5333" s="105">
        <v>0</v>
      </c>
    </row>
    <row r="5334" spans="1:6" x14ac:dyDescent="0.25">
      <c r="A5334" s="105" t="str">
        <f t="shared" si="83"/>
        <v/>
      </c>
      <c r="B5334" s="105" t="s">
        <v>8899</v>
      </c>
      <c r="C5334" s="105" t="s">
        <v>8900</v>
      </c>
      <c r="D5334" s="105">
        <v>0</v>
      </c>
      <c r="E5334" s="105">
        <v>0</v>
      </c>
      <c r="F5334" s="105">
        <v>0</v>
      </c>
    </row>
    <row r="5335" spans="1:6" x14ac:dyDescent="0.25">
      <c r="A5335" s="105" t="str">
        <f t="shared" si="83"/>
        <v/>
      </c>
      <c r="B5335" s="105" t="s">
        <v>8901</v>
      </c>
      <c r="C5335" s="105" t="s">
        <v>8902</v>
      </c>
      <c r="D5335" s="105">
        <v>0</v>
      </c>
      <c r="E5335" s="105">
        <v>0</v>
      </c>
      <c r="F5335" s="105">
        <v>0</v>
      </c>
    </row>
    <row r="5336" spans="1:6" x14ac:dyDescent="0.25">
      <c r="A5336" s="105" t="str">
        <f t="shared" si="83"/>
        <v/>
      </c>
      <c r="B5336" s="105" t="s">
        <v>8903</v>
      </c>
      <c r="C5336" s="105" t="s">
        <v>8904</v>
      </c>
      <c r="D5336" s="105">
        <v>0</v>
      </c>
      <c r="E5336" s="105">
        <v>0</v>
      </c>
      <c r="F5336" s="105">
        <v>0</v>
      </c>
    </row>
    <row r="5337" spans="1:6" x14ac:dyDescent="0.25">
      <c r="A5337" s="105" t="str">
        <f t="shared" si="83"/>
        <v/>
      </c>
      <c r="B5337" s="105" t="s">
        <v>8905</v>
      </c>
      <c r="C5337" s="105" t="s">
        <v>8906</v>
      </c>
      <c r="D5337" s="105">
        <v>0</v>
      </c>
      <c r="E5337" s="105">
        <v>0</v>
      </c>
      <c r="F5337" s="105">
        <v>0</v>
      </c>
    </row>
    <row r="5338" spans="1:6" x14ac:dyDescent="0.25">
      <c r="A5338" s="105" t="str">
        <f t="shared" si="83"/>
        <v/>
      </c>
      <c r="B5338" s="105" t="s">
        <v>8907</v>
      </c>
      <c r="C5338" s="105" t="s">
        <v>8908</v>
      </c>
      <c r="D5338" s="105">
        <v>0</v>
      </c>
      <c r="E5338" s="105">
        <v>0</v>
      </c>
      <c r="F5338" s="105">
        <v>0</v>
      </c>
    </row>
    <row r="5339" spans="1:6" x14ac:dyDescent="0.25">
      <c r="A5339" s="105" t="str">
        <f t="shared" si="83"/>
        <v/>
      </c>
      <c r="B5339" s="105" t="s">
        <v>8909</v>
      </c>
      <c r="C5339" s="105" t="s">
        <v>8910</v>
      </c>
      <c r="D5339" s="105">
        <v>0</v>
      </c>
      <c r="E5339" s="105">
        <v>0</v>
      </c>
      <c r="F5339" s="105">
        <v>0</v>
      </c>
    </row>
    <row r="5340" spans="1:6" x14ac:dyDescent="0.25">
      <c r="A5340" s="105" t="str">
        <f t="shared" si="83"/>
        <v/>
      </c>
      <c r="B5340" s="105" t="s">
        <v>8911</v>
      </c>
      <c r="C5340" s="105" t="s">
        <v>8912</v>
      </c>
      <c r="D5340" s="105">
        <v>0</v>
      </c>
      <c r="E5340" s="105">
        <v>0</v>
      </c>
      <c r="F5340" s="105">
        <v>0</v>
      </c>
    </row>
    <row r="5341" spans="1:6" x14ac:dyDescent="0.25">
      <c r="A5341" s="105" t="str">
        <f t="shared" si="83"/>
        <v/>
      </c>
      <c r="B5341" s="105" t="s">
        <v>8913</v>
      </c>
      <c r="C5341" s="105" t="s">
        <v>8914</v>
      </c>
      <c r="D5341" s="105">
        <v>0</v>
      </c>
      <c r="E5341" s="105">
        <v>0</v>
      </c>
      <c r="F5341" s="105">
        <v>0</v>
      </c>
    </row>
    <row r="5342" spans="1:6" x14ac:dyDescent="0.25">
      <c r="A5342" s="105" t="str">
        <f t="shared" si="83"/>
        <v/>
      </c>
      <c r="B5342" s="105" t="s">
        <v>8915</v>
      </c>
      <c r="C5342" s="105" t="s">
        <v>8916</v>
      </c>
      <c r="D5342" s="105">
        <v>0</v>
      </c>
      <c r="E5342" s="105">
        <v>0</v>
      </c>
      <c r="F5342" s="105">
        <v>0</v>
      </c>
    </row>
    <row r="5343" spans="1:6" x14ac:dyDescent="0.25">
      <c r="A5343" s="105" t="str">
        <f t="shared" si="83"/>
        <v/>
      </c>
      <c r="B5343" s="105" t="s">
        <v>8917</v>
      </c>
      <c r="C5343" s="105" t="s">
        <v>8918</v>
      </c>
      <c r="D5343" s="105">
        <v>0</v>
      </c>
      <c r="E5343" s="105">
        <v>0</v>
      </c>
      <c r="F5343" s="105">
        <v>0</v>
      </c>
    </row>
    <row r="5344" spans="1:6" x14ac:dyDescent="0.25">
      <c r="A5344" s="105" t="str">
        <f t="shared" si="83"/>
        <v/>
      </c>
      <c r="B5344" s="105" t="s">
        <v>8919</v>
      </c>
      <c r="C5344" s="105" t="s">
        <v>8920</v>
      </c>
      <c r="D5344" s="105">
        <v>0</v>
      </c>
      <c r="E5344" s="105">
        <v>0</v>
      </c>
      <c r="F5344" s="105">
        <v>0</v>
      </c>
    </row>
    <row r="5345" spans="1:6" x14ac:dyDescent="0.25">
      <c r="A5345" s="105" t="str">
        <f t="shared" si="83"/>
        <v/>
      </c>
      <c r="B5345" s="105" t="s">
        <v>8921</v>
      </c>
      <c r="C5345" s="105" t="s">
        <v>8922</v>
      </c>
      <c r="D5345" s="105">
        <v>0</v>
      </c>
      <c r="E5345" s="105">
        <v>0</v>
      </c>
      <c r="F5345" s="105">
        <v>0</v>
      </c>
    </row>
    <row r="5346" spans="1:6" x14ac:dyDescent="0.25">
      <c r="A5346" s="105" t="str">
        <f t="shared" si="83"/>
        <v/>
      </c>
      <c r="B5346" s="105" t="s">
        <v>8923</v>
      </c>
      <c r="C5346" s="105" t="s">
        <v>8</v>
      </c>
      <c r="D5346" s="105">
        <v>0</v>
      </c>
      <c r="E5346" s="105">
        <v>0</v>
      </c>
      <c r="F5346" s="105">
        <v>0</v>
      </c>
    </row>
    <row r="5347" spans="1:6" x14ac:dyDescent="0.25">
      <c r="A5347" s="105" t="str">
        <f t="shared" si="83"/>
        <v/>
      </c>
      <c r="B5347" s="105" t="s">
        <v>8924</v>
      </c>
      <c r="C5347" s="105" t="s">
        <v>8925</v>
      </c>
      <c r="D5347" s="105">
        <v>0</v>
      </c>
      <c r="E5347" s="105">
        <v>0</v>
      </c>
      <c r="F5347" s="105">
        <v>0</v>
      </c>
    </row>
    <row r="5348" spans="1:6" x14ac:dyDescent="0.25">
      <c r="A5348" s="105" t="str">
        <f t="shared" si="83"/>
        <v/>
      </c>
      <c r="B5348" s="105" t="s">
        <v>8926</v>
      </c>
      <c r="C5348" s="105" t="s">
        <v>8927</v>
      </c>
      <c r="D5348" s="105">
        <v>0</v>
      </c>
      <c r="E5348" s="105">
        <v>0</v>
      </c>
      <c r="F5348" s="105">
        <v>0</v>
      </c>
    </row>
    <row r="5349" spans="1:6" x14ac:dyDescent="0.25">
      <c r="A5349" s="105" t="str">
        <f t="shared" si="83"/>
        <v/>
      </c>
      <c r="B5349" s="105" t="s">
        <v>8928</v>
      </c>
      <c r="C5349" s="105" t="s">
        <v>8929</v>
      </c>
      <c r="D5349" s="105">
        <v>0</v>
      </c>
      <c r="E5349" s="105">
        <v>0</v>
      </c>
      <c r="F5349" s="105">
        <v>0</v>
      </c>
    </row>
    <row r="5350" spans="1:6" x14ac:dyDescent="0.25">
      <c r="A5350" s="105" t="str">
        <f t="shared" si="83"/>
        <v/>
      </c>
      <c r="B5350" s="105" t="s">
        <v>8930</v>
      </c>
      <c r="C5350" s="105" t="s">
        <v>8931</v>
      </c>
      <c r="D5350" s="105">
        <v>0</v>
      </c>
      <c r="E5350" s="105">
        <v>0</v>
      </c>
      <c r="F5350" s="105">
        <v>0</v>
      </c>
    </row>
    <row r="5351" spans="1:6" x14ac:dyDescent="0.25">
      <c r="A5351" s="105" t="str">
        <f t="shared" si="83"/>
        <v/>
      </c>
      <c r="B5351" s="105" t="s">
        <v>8932</v>
      </c>
      <c r="C5351" s="105" t="s">
        <v>8933</v>
      </c>
      <c r="D5351" s="105">
        <v>0</v>
      </c>
      <c r="E5351" s="105">
        <v>0</v>
      </c>
      <c r="F5351" s="105">
        <v>0</v>
      </c>
    </row>
    <row r="5352" spans="1:6" x14ac:dyDescent="0.25">
      <c r="A5352" s="105" t="str">
        <f t="shared" si="83"/>
        <v/>
      </c>
      <c r="B5352" s="105" t="s">
        <v>8934</v>
      </c>
      <c r="C5352" s="105" t="s">
        <v>8935</v>
      </c>
      <c r="D5352" s="105">
        <v>0</v>
      </c>
      <c r="E5352" s="105">
        <v>0</v>
      </c>
      <c r="F5352" s="105">
        <v>0</v>
      </c>
    </row>
    <row r="5353" spans="1:6" x14ac:dyDescent="0.25">
      <c r="A5353" s="105" t="str">
        <f t="shared" si="83"/>
        <v/>
      </c>
      <c r="B5353" s="105" t="s">
        <v>8936</v>
      </c>
      <c r="C5353" s="105" t="s">
        <v>8937</v>
      </c>
      <c r="D5353" s="105">
        <v>0</v>
      </c>
      <c r="E5353" s="105">
        <v>0</v>
      </c>
      <c r="F5353" s="105">
        <v>0</v>
      </c>
    </row>
    <row r="5354" spans="1:6" x14ac:dyDescent="0.25">
      <c r="A5354" s="105" t="str">
        <f t="shared" si="83"/>
        <v/>
      </c>
      <c r="B5354" s="105" t="s">
        <v>8938</v>
      </c>
      <c r="C5354" s="105" t="s">
        <v>8939</v>
      </c>
      <c r="D5354" s="105">
        <v>0</v>
      </c>
      <c r="E5354" s="105">
        <v>0</v>
      </c>
      <c r="F5354" s="105">
        <v>0</v>
      </c>
    </row>
    <row r="5355" spans="1:6" x14ac:dyDescent="0.25">
      <c r="A5355" s="105" t="str">
        <f t="shared" si="83"/>
        <v/>
      </c>
      <c r="B5355" s="105" t="s">
        <v>8941</v>
      </c>
      <c r="C5355" s="105" t="s">
        <v>8942</v>
      </c>
      <c r="D5355" s="105">
        <v>0</v>
      </c>
      <c r="E5355" s="105">
        <v>0</v>
      </c>
      <c r="F5355" s="105">
        <v>0</v>
      </c>
    </row>
    <row r="5356" spans="1:6" x14ac:dyDescent="0.25">
      <c r="A5356" s="105" t="str">
        <f t="shared" si="83"/>
        <v/>
      </c>
      <c r="B5356" s="105" t="s">
        <v>8943</v>
      </c>
      <c r="C5356" s="105" t="s">
        <v>8944</v>
      </c>
      <c r="D5356" s="105">
        <v>0</v>
      </c>
      <c r="E5356" s="105">
        <v>0</v>
      </c>
      <c r="F5356" s="105">
        <v>0</v>
      </c>
    </row>
    <row r="5357" spans="1:6" x14ac:dyDescent="0.25">
      <c r="A5357" s="105" t="str">
        <f t="shared" si="83"/>
        <v/>
      </c>
      <c r="B5357" s="105" t="s">
        <v>8945</v>
      </c>
      <c r="C5357" s="105" t="s">
        <v>8946</v>
      </c>
      <c r="D5357" s="105">
        <v>0</v>
      </c>
      <c r="E5357" s="105">
        <v>0</v>
      </c>
      <c r="F5357" s="105">
        <v>0</v>
      </c>
    </row>
    <row r="5358" spans="1:6" x14ac:dyDescent="0.25">
      <c r="A5358" s="105" t="str">
        <f t="shared" si="83"/>
        <v/>
      </c>
      <c r="B5358" s="105" t="s">
        <v>8947</v>
      </c>
      <c r="C5358" s="105" t="s">
        <v>8948</v>
      </c>
      <c r="D5358" s="105">
        <v>0</v>
      </c>
      <c r="E5358" s="105">
        <v>0</v>
      </c>
      <c r="F5358" s="105">
        <v>0</v>
      </c>
    </row>
    <row r="5359" spans="1:6" x14ac:dyDescent="0.25">
      <c r="A5359" s="105" t="str">
        <f t="shared" si="83"/>
        <v/>
      </c>
      <c r="B5359" s="105" t="s">
        <v>8949</v>
      </c>
      <c r="C5359" s="105" t="s">
        <v>8950</v>
      </c>
      <c r="D5359" s="105">
        <v>0</v>
      </c>
      <c r="E5359" s="105">
        <v>0</v>
      </c>
      <c r="F5359" s="105">
        <v>0</v>
      </c>
    </row>
    <row r="5360" spans="1:6" x14ac:dyDescent="0.25">
      <c r="A5360" s="105" t="str">
        <f t="shared" si="83"/>
        <v/>
      </c>
      <c r="B5360" s="105" t="s">
        <v>8951</v>
      </c>
      <c r="C5360" s="105" t="s">
        <v>8952</v>
      </c>
      <c r="D5360" s="105">
        <v>0</v>
      </c>
      <c r="E5360" s="105">
        <v>0</v>
      </c>
      <c r="F5360" s="105">
        <v>0</v>
      </c>
    </row>
    <row r="5361" spans="1:6" x14ac:dyDescent="0.25">
      <c r="A5361" s="105" t="str">
        <f t="shared" si="83"/>
        <v/>
      </c>
      <c r="B5361" s="105" t="s">
        <v>8953</v>
      </c>
      <c r="C5361" s="105" t="s">
        <v>8954</v>
      </c>
      <c r="D5361" s="105">
        <v>0</v>
      </c>
      <c r="E5361" s="105">
        <v>0</v>
      </c>
      <c r="F5361" s="105">
        <v>0</v>
      </c>
    </row>
    <row r="5362" spans="1:6" x14ac:dyDescent="0.25">
      <c r="A5362" s="105" t="str">
        <f t="shared" si="83"/>
        <v/>
      </c>
      <c r="B5362" s="105" t="s">
        <v>8955</v>
      </c>
      <c r="C5362" s="105" t="s">
        <v>8956</v>
      </c>
      <c r="D5362" s="105">
        <v>0</v>
      </c>
      <c r="E5362" s="105">
        <v>0</v>
      </c>
      <c r="F5362" s="105">
        <v>0</v>
      </c>
    </row>
    <row r="5363" spans="1:6" x14ac:dyDescent="0.25">
      <c r="A5363" s="105" t="str">
        <f t="shared" si="83"/>
        <v/>
      </c>
      <c r="B5363" s="105" t="s">
        <v>8957</v>
      </c>
      <c r="C5363" s="105" t="s">
        <v>8956</v>
      </c>
      <c r="D5363" s="105">
        <v>0</v>
      </c>
      <c r="E5363" s="105">
        <v>0</v>
      </c>
      <c r="F5363" s="105">
        <v>0</v>
      </c>
    </row>
    <row r="5364" spans="1:6" x14ac:dyDescent="0.25">
      <c r="A5364" s="105" t="str">
        <f t="shared" si="83"/>
        <v/>
      </c>
      <c r="B5364" s="105" t="s">
        <v>8958</v>
      </c>
      <c r="C5364" s="105" t="s">
        <v>8959</v>
      </c>
      <c r="D5364" s="105">
        <v>0</v>
      </c>
      <c r="E5364" s="105">
        <v>0</v>
      </c>
      <c r="F5364" s="105">
        <v>0</v>
      </c>
    </row>
    <row r="5365" spans="1:6" x14ac:dyDescent="0.25">
      <c r="A5365" s="105" t="str">
        <f t="shared" si="83"/>
        <v/>
      </c>
      <c r="B5365" s="105" t="s">
        <v>8960</v>
      </c>
      <c r="C5365" s="105" t="s">
        <v>8961</v>
      </c>
      <c r="D5365" s="105">
        <v>0</v>
      </c>
      <c r="E5365" s="105">
        <v>0</v>
      </c>
      <c r="F5365" s="105">
        <v>0</v>
      </c>
    </row>
    <row r="5366" spans="1:6" x14ac:dyDescent="0.25">
      <c r="A5366" s="105" t="str">
        <f t="shared" si="83"/>
        <v/>
      </c>
      <c r="B5366" s="105" t="s">
        <v>8962</v>
      </c>
      <c r="C5366" s="105" t="s">
        <v>8963</v>
      </c>
      <c r="D5366" s="105">
        <v>0</v>
      </c>
      <c r="E5366" s="105">
        <v>0</v>
      </c>
      <c r="F5366" s="105">
        <v>0</v>
      </c>
    </row>
    <row r="5367" spans="1:6" x14ac:dyDescent="0.25">
      <c r="A5367" s="105" t="str">
        <f t="shared" si="83"/>
        <v/>
      </c>
      <c r="B5367" s="105" t="s">
        <v>8964</v>
      </c>
      <c r="C5367" s="105" t="s">
        <v>8965</v>
      </c>
      <c r="D5367" s="105">
        <v>0</v>
      </c>
      <c r="E5367" s="105">
        <v>0</v>
      </c>
      <c r="F5367" s="105">
        <v>0</v>
      </c>
    </row>
    <row r="5368" spans="1:6" x14ac:dyDescent="0.25">
      <c r="A5368" s="105" t="str">
        <f t="shared" si="83"/>
        <v/>
      </c>
      <c r="B5368" s="105" t="s">
        <v>8966</v>
      </c>
      <c r="C5368" s="105" t="s">
        <v>8967</v>
      </c>
      <c r="D5368" s="105">
        <v>0</v>
      </c>
      <c r="E5368" s="105">
        <v>0</v>
      </c>
      <c r="F5368" s="105">
        <v>0</v>
      </c>
    </row>
    <row r="5369" spans="1:6" x14ac:dyDescent="0.25">
      <c r="A5369" s="105" t="str">
        <f t="shared" si="83"/>
        <v/>
      </c>
      <c r="B5369" s="105" t="s">
        <v>8968</v>
      </c>
      <c r="C5369" s="105" t="s">
        <v>8969</v>
      </c>
      <c r="D5369" s="105">
        <v>0</v>
      </c>
      <c r="E5369" s="105">
        <v>0</v>
      </c>
      <c r="F5369" s="105">
        <v>0</v>
      </c>
    </row>
    <row r="5370" spans="1:6" x14ac:dyDescent="0.25">
      <c r="A5370" s="105" t="str">
        <f t="shared" si="83"/>
        <v/>
      </c>
      <c r="B5370" s="105" t="s">
        <v>8970</v>
      </c>
      <c r="C5370" s="105" t="s">
        <v>8971</v>
      </c>
      <c r="D5370" s="105">
        <v>0</v>
      </c>
      <c r="E5370" s="105">
        <v>0</v>
      </c>
      <c r="F5370" s="105">
        <v>0</v>
      </c>
    </row>
    <row r="5371" spans="1:6" x14ac:dyDescent="0.25">
      <c r="A5371" s="105" t="str">
        <f t="shared" si="83"/>
        <v/>
      </c>
      <c r="B5371" s="105" t="s">
        <v>8972</v>
      </c>
      <c r="C5371" s="105" t="s">
        <v>8973</v>
      </c>
      <c r="D5371" s="105">
        <v>0</v>
      </c>
      <c r="E5371" s="105">
        <v>0</v>
      </c>
      <c r="F5371" s="105">
        <v>0</v>
      </c>
    </row>
    <row r="5372" spans="1:6" x14ac:dyDescent="0.25">
      <c r="A5372" s="105" t="str">
        <f t="shared" si="83"/>
        <v/>
      </c>
      <c r="B5372" s="105" t="s">
        <v>8974</v>
      </c>
      <c r="C5372" s="105" t="s">
        <v>8975</v>
      </c>
      <c r="D5372" s="105">
        <v>0</v>
      </c>
      <c r="E5372" s="105">
        <v>0</v>
      </c>
      <c r="F5372" s="105">
        <v>0</v>
      </c>
    </row>
    <row r="5373" spans="1:6" x14ac:dyDescent="0.25">
      <c r="A5373" s="105" t="str">
        <f t="shared" si="83"/>
        <v/>
      </c>
      <c r="B5373" s="105" t="s">
        <v>8976</v>
      </c>
      <c r="C5373" s="105" t="s">
        <v>8977</v>
      </c>
      <c r="D5373" s="105">
        <v>0</v>
      </c>
      <c r="E5373" s="105">
        <v>0</v>
      </c>
      <c r="F5373" s="105">
        <v>0</v>
      </c>
    </row>
    <row r="5374" spans="1:6" x14ac:dyDescent="0.25">
      <c r="A5374" s="105" t="str">
        <f t="shared" si="83"/>
        <v/>
      </c>
      <c r="B5374" s="105" t="s">
        <v>8978</v>
      </c>
      <c r="C5374" s="105" t="s">
        <v>8979</v>
      </c>
      <c r="D5374" s="105">
        <v>0</v>
      </c>
      <c r="E5374" s="105">
        <v>0</v>
      </c>
      <c r="F5374" s="105">
        <v>0</v>
      </c>
    </row>
    <row r="5375" spans="1:6" x14ac:dyDescent="0.25">
      <c r="A5375" s="105" t="str">
        <f t="shared" si="83"/>
        <v/>
      </c>
      <c r="B5375" s="105" t="s">
        <v>8980</v>
      </c>
      <c r="C5375" s="105" t="s">
        <v>8981</v>
      </c>
      <c r="D5375" s="105">
        <v>0</v>
      </c>
      <c r="E5375" s="105">
        <v>0</v>
      </c>
      <c r="F5375" s="105">
        <v>0</v>
      </c>
    </row>
    <row r="5376" spans="1:6" x14ac:dyDescent="0.25">
      <c r="A5376" s="105" t="str">
        <f t="shared" si="83"/>
        <v/>
      </c>
      <c r="B5376" s="105" t="s">
        <v>8982</v>
      </c>
      <c r="C5376" s="105" t="s">
        <v>8983</v>
      </c>
      <c r="D5376" s="105">
        <v>0</v>
      </c>
      <c r="E5376" s="105">
        <v>0</v>
      </c>
      <c r="F5376" s="105">
        <v>0</v>
      </c>
    </row>
    <row r="5377" spans="1:6" x14ac:dyDescent="0.25">
      <c r="A5377" s="105" t="str">
        <f t="shared" si="83"/>
        <v/>
      </c>
      <c r="B5377" s="105" t="s">
        <v>8984</v>
      </c>
      <c r="C5377" s="105" t="s">
        <v>8985</v>
      </c>
      <c r="D5377" s="105">
        <v>0</v>
      </c>
      <c r="E5377" s="105">
        <v>0</v>
      </c>
      <c r="F5377" s="105">
        <v>0</v>
      </c>
    </row>
    <row r="5378" spans="1:6" x14ac:dyDescent="0.25">
      <c r="A5378" s="105" t="str">
        <f t="shared" si="83"/>
        <v/>
      </c>
      <c r="B5378" s="105" t="s">
        <v>8986</v>
      </c>
      <c r="C5378" s="105" t="s">
        <v>8987</v>
      </c>
      <c r="D5378" s="105">
        <v>0</v>
      </c>
      <c r="E5378" s="105">
        <v>0</v>
      </c>
      <c r="F5378" s="105">
        <v>0</v>
      </c>
    </row>
    <row r="5379" spans="1:6" x14ac:dyDescent="0.25">
      <c r="A5379" s="105" t="str">
        <f t="shared" ref="A5379:A5442" si="84">IF(B5379&lt;&gt;"",IFERROR(B5379*1,""),"")</f>
        <v/>
      </c>
      <c r="B5379" s="105" t="s">
        <v>8988</v>
      </c>
      <c r="C5379" s="105" t="s">
        <v>8989</v>
      </c>
      <c r="D5379" s="105">
        <v>0</v>
      </c>
      <c r="E5379" s="105">
        <v>0</v>
      </c>
      <c r="F5379" s="105">
        <v>0</v>
      </c>
    </row>
    <row r="5380" spans="1:6" x14ac:dyDescent="0.25">
      <c r="A5380" s="105" t="str">
        <f t="shared" si="84"/>
        <v/>
      </c>
      <c r="B5380" s="105" t="s">
        <v>8990</v>
      </c>
      <c r="C5380" s="105" t="s">
        <v>8991</v>
      </c>
      <c r="D5380" s="105">
        <v>0</v>
      </c>
      <c r="E5380" s="105">
        <v>0</v>
      </c>
      <c r="F5380" s="105">
        <v>0</v>
      </c>
    </row>
    <row r="5381" spans="1:6" x14ac:dyDescent="0.25">
      <c r="A5381" s="105" t="str">
        <f t="shared" si="84"/>
        <v/>
      </c>
      <c r="B5381" s="105" t="s">
        <v>8992</v>
      </c>
      <c r="C5381" s="105" t="s">
        <v>8993</v>
      </c>
      <c r="D5381" s="105">
        <v>0</v>
      </c>
      <c r="E5381" s="105">
        <v>0</v>
      </c>
      <c r="F5381" s="105">
        <v>0</v>
      </c>
    </row>
    <row r="5382" spans="1:6" x14ac:dyDescent="0.25">
      <c r="A5382" s="105" t="str">
        <f t="shared" si="84"/>
        <v/>
      </c>
      <c r="B5382" s="105" t="s">
        <v>8994</v>
      </c>
      <c r="C5382" s="105" t="s">
        <v>8993</v>
      </c>
      <c r="D5382" s="105">
        <v>0</v>
      </c>
      <c r="E5382" s="105">
        <v>0</v>
      </c>
      <c r="F5382" s="105">
        <v>0</v>
      </c>
    </row>
    <row r="5383" spans="1:6" x14ac:dyDescent="0.25">
      <c r="A5383" s="105" t="str">
        <f t="shared" si="84"/>
        <v/>
      </c>
      <c r="B5383" s="105" t="s">
        <v>8995</v>
      </c>
      <c r="C5383" s="105" t="s">
        <v>8996</v>
      </c>
      <c r="D5383" s="105">
        <v>630.13</v>
      </c>
      <c r="E5383" s="105">
        <v>378.08</v>
      </c>
      <c r="F5383" s="105">
        <v>0</v>
      </c>
    </row>
    <row r="5384" spans="1:6" x14ac:dyDescent="0.25">
      <c r="A5384" s="105" t="str">
        <f t="shared" si="84"/>
        <v/>
      </c>
      <c r="B5384" s="105" t="s">
        <v>8997</v>
      </c>
      <c r="C5384" s="105" t="s">
        <v>8998</v>
      </c>
      <c r="D5384" s="105">
        <v>678.62</v>
      </c>
      <c r="E5384" s="105">
        <v>407.17</v>
      </c>
      <c r="F5384" s="105">
        <v>0</v>
      </c>
    </row>
    <row r="5385" spans="1:6" x14ac:dyDescent="0.25">
      <c r="A5385" s="105" t="str">
        <f t="shared" si="84"/>
        <v/>
      </c>
      <c r="B5385" s="105" t="s">
        <v>8999</v>
      </c>
      <c r="C5385" s="105" t="s">
        <v>9000</v>
      </c>
      <c r="D5385" s="105">
        <v>0</v>
      </c>
      <c r="E5385" s="105">
        <v>0</v>
      </c>
      <c r="F5385" s="105">
        <v>0</v>
      </c>
    </row>
    <row r="5386" spans="1:6" x14ac:dyDescent="0.25">
      <c r="A5386" s="105" t="str">
        <f t="shared" si="84"/>
        <v/>
      </c>
      <c r="B5386" s="105" t="s">
        <v>9001</v>
      </c>
      <c r="C5386" s="105" t="s">
        <v>9002</v>
      </c>
      <c r="D5386" s="105">
        <v>366.9</v>
      </c>
      <c r="E5386" s="105">
        <v>220.14</v>
      </c>
      <c r="F5386" s="105">
        <v>0</v>
      </c>
    </row>
    <row r="5387" spans="1:6" x14ac:dyDescent="0.25">
      <c r="A5387" s="105" t="str">
        <f t="shared" si="84"/>
        <v/>
      </c>
      <c r="B5387" s="105" t="s">
        <v>9003</v>
      </c>
      <c r="C5387" s="105" t="s">
        <v>8</v>
      </c>
      <c r="D5387" s="105">
        <v>0</v>
      </c>
      <c r="E5387" s="105">
        <v>0</v>
      </c>
      <c r="F5387" s="105">
        <v>0</v>
      </c>
    </row>
    <row r="5388" spans="1:6" x14ac:dyDescent="0.25">
      <c r="A5388" s="105" t="str">
        <f t="shared" si="84"/>
        <v/>
      </c>
      <c r="B5388" s="105" t="s">
        <v>9004</v>
      </c>
      <c r="C5388" s="105" t="s">
        <v>8</v>
      </c>
      <c r="D5388" s="105">
        <v>0</v>
      </c>
      <c r="E5388" s="105">
        <v>0</v>
      </c>
      <c r="F5388" s="105">
        <v>0</v>
      </c>
    </row>
    <row r="5389" spans="1:6" x14ac:dyDescent="0.25">
      <c r="A5389" s="105" t="str">
        <f t="shared" si="84"/>
        <v/>
      </c>
      <c r="B5389" s="105" t="s">
        <v>9005</v>
      </c>
      <c r="C5389" s="105" t="s">
        <v>8</v>
      </c>
      <c r="D5389" s="105">
        <v>0</v>
      </c>
      <c r="E5389" s="105">
        <v>0</v>
      </c>
      <c r="F5389" s="105">
        <v>0</v>
      </c>
    </row>
    <row r="5390" spans="1:6" x14ac:dyDescent="0.25">
      <c r="A5390" s="105" t="str">
        <f t="shared" si="84"/>
        <v/>
      </c>
      <c r="B5390" s="105" t="s">
        <v>9006</v>
      </c>
      <c r="C5390" s="105" t="s">
        <v>8</v>
      </c>
      <c r="D5390" s="105">
        <v>0</v>
      </c>
      <c r="E5390" s="105">
        <v>0</v>
      </c>
      <c r="F5390" s="105">
        <v>0</v>
      </c>
    </row>
    <row r="5391" spans="1:6" x14ac:dyDescent="0.25">
      <c r="A5391" s="105" t="str">
        <f t="shared" si="84"/>
        <v/>
      </c>
      <c r="B5391" s="105" t="s">
        <v>9007</v>
      </c>
      <c r="C5391" s="105" t="s">
        <v>8</v>
      </c>
      <c r="D5391" s="105">
        <v>0</v>
      </c>
      <c r="E5391" s="105">
        <v>0</v>
      </c>
      <c r="F5391" s="105">
        <v>0</v>
      </c>
    </row>
    <row r="5392" spans="1:6" x14ac:dyDescent="0.25">
      <c r="A5392" s="105" t="str">
        <f t="shared" si="84"/>
        <v/>
      </c>
      <c r="B5392" s="105" t="s">
        <v>9008</v>
      </c>
      <c r="C5392" s="105" t="s">
        <v>1849</v>
      </c>
      <c r="D5392" s="105">
        <v>0</v>
      </c>
      <c r="E5392" s="105">
        <v>0</v>
      </c>
      <c r="F5392" s="105">
        <v>1649</v>
      </c>
    </row>
    <row r="5393" spans="1:6" x14ac:dyDescent="0.25">
      <c r="A5393" s="105" t="str">
        <f t="shared" si="84"/>
        <v/>
      </c>
      <c r="B5393" s="105" t="s">
        <v>9009</v>
      </c>
      <c r="C5393" s="105" t="s">
        <v>9010</v>
      </c>
      <c r="D5393" s="105">
        <v>0</v>
      </c>
      <c r="E5393" s="105">
        <v>0</v>
      </c>
      <c r="F5393" s="105">
        <v>0</v>
      </c>
    </row>
    <row r="5394" spans="1:6" x14ac:dyDescent="0.25">
      <c r="A5394" s="105" t="str">
        <f t="shared" si="84"/>
        <v/>
      </c>
      <c r="B5394" s="105" t="s">
        <v>9011</v>
      </c>
      <c r="C5394" s="105" t="s">
        <v>9012</v>
      </c>
      <c r="D5394" s="105">
        <v>0</v>
      </c>
      <c r="E5394" s="105">
        <v>0</v>
      </c>
      <c r="F5394" s="105">
        <v>0</v>
      </c>
    </row>
    <row r="5395" spans="1:6" x14ac:dyDescent="0.25">
      <c r="A5395" s="105" t="str">
        <f t="shared" si="84"/>
        <v/>
      </c>
      <c r="B5395" s="105" t="s">
        <v>9013</v>
      </c>
      <c r="C5395" s="105" t="s">
        <v>9013</v>
      </c>
      <c r="D5395" s="105">
        <v>0</v>
      </c>
      <c r="E5395" s="105">
        <v>0</v>
      </c>
      <c r="F5395" s="105">
        <v>0</v>
      </c>
    </row>
    <row r="5396" spans="1:6" x14ac:dyDescent="0.25">
      <c r="A5396" s="105" t="str">
        <f t="shared" si="84"/>
        <v/>
      </c>
      <c r="B5396" s="105" t="s">
        <v>9014</v>
      </c>
      <c r="C5396" s="105" t="s">
        <v>9015</v>
      </c>
      <c r="D5396" s="105">
        <v>0</v>
      </c>
      <c r="E5396" s="105">
        <v>0</v>
      </c>
      <c r="F5396" s="105">
        <v>0</v>
      </c>
    </row>
    <row r="5397" spans="1:6" x14ac:dyDescent="0.25">
      <c r="A5397" s="105" t="str">
        <f t="shared" si="84"/>
        <v/>
      </c>
      <c r="B5397" s="105" t="s">
        <v>9016</v>
      </c>
      <c r="C5397" s="105" t="s">
        <v>9017</v>
      </c>
      <c r="D5397" s="105">
        <v>0</v>
      </c>
      <c r="E5397" s="105">
        <v>0</v>
      </c>
      <c r="F5397" s="105">
        <v>0</v>
      </c>
    </row>
    <row r="5398" spans="1:6" x14ac:dyDescent="0.25">
      <c r="A5398" s="105" t="str">
        <f t="shared" si="84"/>
        <v/>
      </c>
      <c r="B5398" s="105" t="s">
        <v>9018</v>
      </c>
      <c r="C5398" s="105" t="s">
        <v>9019</v>
      </c>
      <c r="D5398" s="105">
        <v>0</v>
      </c>
      <c r="E5398" s="105">
        <v>0</v>
      </c>
      <c r="F5398" s="105">
        <v>0</v>
      </c>
    </row>
    <row r="5399" spans="1:6" x14ac:dyDescent="0.25">
      <c r="A5399" s="105" t="str">
        <f t="shared" si="84"/>
        <v/>
      </c>
      <c r="B5399" s="105" t="s">
        <v>7382</v>
      </c>
      <c r="C5399" s="105" t="s">
        <v>8</v>
      </c>
      <c r="D5399" s="105">
        <v>0</v>
      </c>
      <c r="E5399" s="105">
        <v>0</v>
      </c>
      <c r="F5399" s="105">
        <v>0</v>
      </c>
    </row>
    <row r="5400" spans="1:6" x14ac:dyDescent="0.25">
      <c r="A5400" s="105" t="str">
        <f t="shared" si="84"/>
        <v/>
      </c>
      <c r="B5400" s="105" t="s">
        <v>9020</v>
      </c>
      <c r="C5400" s="105" t="s">
        <v>8</v>
      </c>
      <c r="D5400" s="105">
        <v>0</v>
      </c>
      <c r="E5400" s="105">
        <v>0</v>
      </c>
      <c r="F5400" s="105">
        <v>0</v>
      </c>
    </row>
    <row r="5401" spans="1:6" x14ac:dyDescent="0.25">
      <c r="A5401" s="105" t="str">
        <f t="shared" si="84"/>
        <v/>
      </c>
      <c r="B5401" s="105" t="s">
        <v>9021</v>
      </c>
      <c r="C5401" s="105" t="s">
        <v>8</v>
      </c>
      <c r="D5401" s="105">
        <v>0</v>
      </c>
      <c r="E5401" s="105">
        <v>0</v>
      </c>
      <c r="F5401" s="105">
        <v>0</v>
      </c>
    </row>
    <row r="5402" spans="1:6" x14ac:dyDescent="0.25">
      <c r="A5402" s="105" t="str">
        <f t="shared" si="84"/>
        <v/>
      </c>
      <c r="B5402" s="105" t="s">
        <v>9022</v>
      </c>
      <c r="C5402" s="105" t="s">
        <v>9023</v>
      </c>
      <c r="D5402" s="105">
        <v>0</v>
      </c>
      <c r="E5402" s="105">
        <v>0</v>
      </c>
      <c r="F5402" s="105">
        <v>0</v>
      </c>
    </row>
    <row r="5403" spans="1:6" x14ac:dyDescent="0.25">
      <c r="A5403" s="105" t="str">
        <f t="shared" si="84"/>
        <v/>
      </c>
      <c r="B5403" s="105" t="s">
        <v>9024</v>
      </c>
      <c r="C5403" s="105" t="s">
        <v>8</v>
      </c>
      <c r="D5403" s="105">
        <v>0</v>
      </c>
      <c r="E5403" s="105">
        <v>0</v>
      </c>
      <c r="F5403" s="105">
        <v>0</v>
      </c>
    </row>
    <row r="5404" spans="1:6" x14ac:dyDescent="0.25">
      <c r="A5404" s="105" t="str">
        <f t="shared" si="84"/>
        <v/>
      </c>
      <c r="B5404" s="105" t="s">
        <v>9025</v>
      </c>
      <c r="C5404" s="105" t="s">
        <v>9026</v>
      </c>
      <c r="D5404" s="105">
        <v>0</v>
      </c>
      <c r="E5404" s="105">
        <v>0</v>
      </c>
      <c r="F5404" s="105">
        <v>0</v>
      </c>
    </row>
    <row r="5405" spans="1:6" x14ac:dyDescent="0.25">
      <c r="A5405" s="105" t="str">
        <f t="shared" si="84"/>
        <v/>
      </c>
      <c r="B5405" s="105" t="s">
        <v>9027</v>
      </c>
      <c r="C5405" s="105" t="s">
        <v>9028</v>
      </c>
      <c r="D5405" s="105">
        <v>0</v>
      </c>
      <c r="E5405" s="105">
        <v>0</v>
      </c>
      <c r="F5405" s="105">
        <v>0</v>
      </c>
    </row>
    <row r="5406" spans="1:6" x14ac:dyDescent="0.25">
      <c r="A5406" s="105" t="str">
        <f t="shared" si="84"/>
        <v/>
      </c>
      <c r="B5406" s="105" t="s">
        <v>9029</v>
      </c>
      <c r="C5406" s="105" t="s">
        <v>9030</v>
      </c>
      <c r="D5406" s="105">
        <v>0</v>
      </c>
      <c r="E5406" s="105">
        <v>0</v>
      </c>
      <c r="F5406" s="105">
        <v>0</v>
      </c>
    </row>
    <row r="5407" spans="1:6" x14ac:dyDescent="0.25">
      <c r="A5407" s="105" t="str">
        <f t="shared" si="84"/>
        <v/>
      </c>
      <c r="B5407" s="105" t="s">
        <v>9031</v>
      </c>
      <c r="C5407" s="105" t="s">
        <v>9032</v>
      </c>
      <c r="D5407" s="105">
        <v>0</v>
      </c>
      <c r="E5407" s="105">
        <v>0</v>
      </c>
      <c r="F5407" s="105">
        <v>0</v>
      </c>
    </row>
    <row r="5408" spans="1:6" x14ac:dyDescent="0.25">
      <c r="A5408" s="105" t="str">
        <f t="shared" si="84"/>
        <v/>
      </c>
      <c r="B5408" s="105" t="s">
        <v>9033</v>
      </c>
      <c r="C5408" s="105" t="s">
        <v>9034</v>
      </c>
      <c r="D5408" s="105">
        <v>0</v>
      </c>
      <c r="E5408" s="105">
        <v>0</v>
      </c>
      <c r="F5408" s="105">
        <v>0</v>
      </c>
    </row>
    <row r="5409" spans="1:6" x14ac:dyDescent="0.25">
      <c r="A5409" s="105" t="str">
        <f t="shared" si="84"/>
        <v/>
      </c>
      <c r="B5409" s="105" t="s">
        <v>9035</v>
      </c>
      <c r="C5409" s="105" t="s">
        <v>9036</v>
      </c>
      <c r="D5409" s="105">
        <v>0</v>
      </c>
      <c r="E5409" s="105">
        <v>0</v>
      </c>
      <c r="F5409" s="105">
        <v>0</v>
      </c>
    </row>
    <row r="5410" spans="1:6" x14ac:dyDescent="0.25">
      <c r="A5410" s="105" t="str">
        <f t="shared" si="84"/>
        <v/>
      </c>
      <c r="B5410" s="105" t="s">
        <v>9037</v>
      </c>
      <c r="C5410" s="105" t="s">
        <v>9038</v>
      </c>
      <c r="D5410" s="105">
        <v>0</v>
      </c>
      <c r="E5410" s="105">
        <v>0</v>
      </c>
      <c r="F5410" s="105">
        <v>0</v>
      </c>
    </row>
    <row r="5411" spans="1:6" x14ac:dyDescent="0.25">
      <c r="A5411" s="105" t="str">
        <f t="shared" si="84"/>
        <v/>
      </c>
      <c r="B5411" s="105" t="s">
        <v>9039</v>
      </c>
      <c r="C5411" s="105" t="s">
        <v>9040</v>
      </c>
      <c r="D5411" s="105">
        <v>0</v>
      </c>
      <c r="E5411" s="105">
        <v>0</v>
      </c>
      <c r="F5411" s="105">
        <v>0</v>
      </c>
    </row>
    <row r="5412" spans="1:6" x14ac:dyDescent="0.25">
      <c r="A5412" s="105" t="str">
        <f t="shared" si="84"/>
        <v/>
      </c>
      <c r="B5412" s="105" t="s">
        <v>9041</v>
      </c>
      <c r="C5412" s="105" t="s">
        <v>9042</v>
      </c>
      <c r="D5412" s="105">
        <v>0</v>
      </c>
      <c r="E5412" s="105">
        <v>0</v>
      </c>
      <c r="F5412" s="105">
        <v>0</v>
      </c>
    </row>
    <row r="5413" spans="1:6" x14ac:dyDescent="0.25">
      <c r="A5413" s="105" t="str">
        <f t="shared" si="84"/>
        <v/>
      </c>
      <c r="B5413" s="105" t="s">
        <v>9043</v>
      </c>
      <c r="C5413" s="105" t="s">
        <v>9044</v>
      </c>
      <c r="D5413" s="105">
        <v>0</v>
      </c>
      <c r="E5413" s="105">
        <v>0</v>
      </c>
      <c r="F5413" s="105">
        <v>0</v>
      </c>
    </row>
    <row r="5414" spans="1:6" x14ac:dyDescent="0.25">
      <c r="A5414" s="105" t="str">
        <f t="shared" si="84"/>
        <v/>
      </c>
      <c r="B5414" s="105" t="s">
        <v>9045</v>
      </c>
      <c r="C5414" s="105" t="s">
        <v>9046</v>
      </c>
      <c r="D5414" s="105">
        <v>0</v>
      </c>
      <c r="E5414" s="105">
        <v>0</v>
      </c>
      <c r="F5414" s="105">
        <v>0</v>
      </c>
    </row>
    <row r="5415" spans="1:6" x14ac:dyDescent="0.25">
      <c r="A5415" s="105" t="str">
        <f t="shared" si="84"/>
        <v/>
      </c>
      <c r="B5415" s="105" t="s">
        <v>9047</v>
      </c>
      <c r="C5415" s="105" t="s">
        <v>132</v>
      </c>
      <c r="D5415" s="105">
        <v>0</v>
      </c>
      <c r="E5415" s="105">
        <v>0</v>
      </c>
      <c r="F5415" s="105">
        <v>0</v>
      </c>
    </row>
    <row r="5416" spans="1:6" x14ac:dyDescent="0.25">
      <c r="A5416" s="105" t="str">
        <f t="shared" si="84"/>
        <v/>
      </c>
      <c r="B5416" s="105" t="s">
        <v>9048</v>
      </c>
      <c r="C5416" s="105" t="s">
        <v>132</v>
      </c>
      <c r="D5416" s="105">
        <v>0</v>
      </c>
      <c r="E5416" s="105">
        <v>0</v>
      </c>
      <c r="F5416" s="105">
        <v>0</v>
      </c>
    </row>
    <row r="5417" spans="1:6" x14ac:dyDescent="0.25">
      <c r="A5417" s="105" t="str">
        <f t="shared" si="84"/>
        <v/>
      </c>
      <c r="B5417" s="105" t="s">
        <v>9049</v>
      </c>
      <c r="C5417" s="105" t="s">
        <v>132</v>
      </c>
      <c r="D5417" s="105">
        <v>0</v>
      </c>
      <c r="E5417" s="105">
        <v>0</v>
      </c>
      <c r="F5417" s="105">
        <v>0</v>
      </c>
    </row>
    <row r="5418" spans="1:6" x14ac:dyDescent="0.25">
      <c r="A5418" s="105" t="str">
        <f t="shared" si="84"/>
        <v/>
      </c>
      <c r="B5418" s="105" t="s">
        <v>9050</v>
      </c>
      <c r="C5418" s="105" t="s">
        <v>9051</v>
      </c>
      <c r="D5418" s="105">
        <v>637.46</v>
      </c>
      <c r="E5418" s="105">
        <v>382.48</v>
      </c>
      <c r="F5418" s="105">
        <v>0</v>
      </c>
    </row>
    <row r="5419" spans="1:6" x14ac:dyDescent="0.25">
      <c r="A5419" s="105" t="str">
        <f t="shared" si="84"/>
        <v/>
      </c>
      <c r="B5419" s="105" t="s">
        <v>9052</v>
      </c>
      <c r="C5419" s="105" t="s">
        <v>9053</v>
      </c>
      <c r="D5419" s="105">
        <v>703.87</v>
      </c>
      <c r="E5419" s="105">
        <v>422.32</v>
      </c>
      <c r="F5419" s="105">
        <v>0</v>
      </c>
    </row>
    <row r="5420" spans="1:6" x14ac:dyDescent="0.25">
      <c r="A5420" s="105" t="str">
        <f t="shared" si="84"/>
        <v/>
      </c>
      <c r="B5420" s="105" t="s">
        <v>9054</v>
      </c>
      <c r="C5420" s="105" t="s">
        <v>9053</v>
      </c>
      <c r="D5420" s="105">
        <v>743.71</v>
      </c>
      <c r="E5420" s="105">
        <v>446.23</v>
      </c>
      <c r="F5420" s="105">
        <v>0</v>
      </c>
    </row>
    <row r="5421" spans="1:6" x14ac:dyDescent="0.25">
      <c r="A5421" s="105" t="str">
        <f t="shared" si="84"/>
        <v/>
      </c>
      <c r="B5421" s="105" t="s">
        <v>9055</v>
      </c>
      <c r="C5421" s="105" t="s">
        <v>9056</v>
      </c>
      <c r="D5421" s="105">
        <v>0</v>
      </c>
      <c r="E5421" s="105">
        <v>0</v>
      </c>
      <c r="F5421" s="105">
        <v>0</v>
      </c>
    </row>
    <row r="5422" spans="1:6" x14ac:dyDescent="0.25">
      <c r="A5422" s="105" t="str">
        <f t="shared" si="84"/>
        <v/>
      </c>
      <c r="B5422" s="105" t="s">
        <v>9057</v>
      </c>
      <c r="C5422" s="105" t="s">
        <v>9058</v>
      </c>
      <c r="D5422" s="105">
        <v>0</v>
      </c>
      <c r="E5422" s="105">
        <v>0</v>
      </c>
      <c r="F5422" s="105">
        <v>0</v>
      </c>
    </row>
    <row r="5423" spans="1:6" x14ac:dyDescent="0.25">
      <c r="A5423" s="105" t="str">
        <f t="shared" si="84"/>
        <v/>
      </c>
      <c r="B5423" s="105" t="s">
        <v>9059</v>
      </c>
      <c r="C5423" s="105" t="s">
        <v>9058</v>
      </c>
      <c r="D5423" s="105">
        <v>0</v>
      </c>
      <c r="E5423" s="105">
        <v>0</v>
      </c>
      <c r="F5423" s="105">
        <v>0</v>
      </c>
    </row>
    <row r="5424" spans="1:6" x14ac:dyDescent="0.25">
      <c r="A5424" s="105" t="str">
        <f t="shared" si="84"/>
        <v/>
      </c>
      <c r="B5424" s="105" t="s">
        <v>9060</v>
      </c>
      <c r="C5424" s="105" t="s">
        <v>9061</v>
      </c>
      <c r="D5424" s="105">
        <v>0</v>
      </c>
      <c r="E5424" s="105">
        <v>0</v>
      </c>
      <c r="F5424" s="105">
        <v>0</v>
      </c>
    </row>
    <row r="5425" spans="1:6" x14ac:dyDescent="0.25">
      <c r="A5425" s="105" t="str">
        <f t="shared" si="84"/>
        <v/>
      </c>
      <c r="B5425" s="105" t="s">
        <v>9062</v>
      </c>
      <c r="C5425" s="105" t="s">
        <v>132</v>
      </c>
      <c r="D5425" s="105">
        <v>0</v>
      </c>
      <c r="E5425" s="105">
        <v>0</v>
      </c>
      <c r="F5425" s="105">
        <v>0</v>
      </c>
    </row>
    <row r="5426" spans="1:6" x14ac:dyDescent="0.25">
      <c r="A5426" s="105" t="str">
        <f t="shared" si="84"/>
        <v/>
      </c>
      <c r="B5426" s="105" t="s">
        <v>9063</v>
      </c>
      <c r="C5426" s="105" t="s">
        <v>132</v>
      </c>
      <c r="D5426" s="105">
        <v>0</v>
      </c>
      <c r="E5426" s="105">
        <v>0</v>
      </c>
      <c r="F5426" s="105">
        <v>0</v>
      </c>
    </row>
    <row r="5427" spans="1:6" x14ac:dyDescent="0.25">
      <c r="A5427" s="105" t="str">
        <f t="shared" si="84"/>
        <v/>
      </c>
      <c r="B5427" s="105" t="s">
        <v>9064</v>
      </c>
      <c r="C5427" s="105" t="s">
        <v>9065</v>
      </c>
      <c r="D5427" s="105">
        <v>0</v>
      </c>
      <c r="E5427" s="105">
        <v>0</v>
      </c>
      <c r="F5427" s="105">
        <v>0</v>
      </c>
    </row>
    <row r="5428" spans="1:6" x14ac:dyDescent="0.25">
      <c r="A5428" s="105" t="str">
        <f t="shared" si="84"/>
        <v/>
      </c>
      <c r="B5428" s="105" t="s">
        <v>9066</v>
      </c>
      <c r="C5428" s="105" t="s">
        <v>9067</v>
      </c>
      <c r="D5428" s="105">
        <v>0</v>
      </c>
      <c r="E5428" s="105">
        <v>0</v>
      </c>
      <c r="F5428" s="105">
        <v>0</v>
      </c>
    </row>
    <row r="5429" spans="1:6" x14ac:dyDescent="0.25">
      <c r="A5429" s="105" t="str">
        <f t="shared" si="84"/>
        <v/>
      </c>
      <c r="B5429" s="105" t="s">
        <v>9068</v>
      </c>
      <c r="C5429" s="105" t="s">
        <v>9069</v>
      </c>
      <c r="D5429" s="105">
        <v>0</v>
      </c>
      <c r="E5429" s="105">
        <v>0</v>
      </c>
      <c r="F5429" s="105">
        <v>0</v>
      </c>
    </row>
    <row r="5430" spans="1:6" x14ac:dyDescent="0.25">
      <c r="A5430" s="105" t="str">
        <f t="shared" si="84"/>
        <v/>
      </c>
      <c r="B5430" s="105" t="s">
        <v>9070</v>
      </c>
      <c r="C5430" s="105" t="s">
        <v>9071</v>
      </c>
      <c r="D5430" s="105">
        <v>0</v>
      </c>
      <c r="E5430" s="105">
        <v>0</v>
      </c>
      <c r="F5430" s="105">
        <v>0</v>
      </c>
    </row>
    <row r="5431" spans="1:6" x14ac:dyDescent="0.25">
      <c r="A5431" s="105" t="str">
        <f t="shared" si="84"/>
        <v/>
      </c>
      <c r="B5431" s="105" t="s">
        <v>9071</v>
      </c>
      <c r="C5431" s="105" t="s">
        <v>8</v>
      </c>
      <c r="D5431" s="105">
        <v>0</v>
      </c>
      <c r="E5431" s="105">
        <v>0</v>
      </c>
      <c r="F5431" s="105">
        <v>0</v>
      </c>
    </row>
    <row r="5432" spans="1:6" x14ac:dyDescent="0.25">
      <c r="A5432" s="105" t="str">
        <f t="shared" si="84"/>
        <v/>
      </c>
      <c r="B5432" s="105" t="s">
        <v>9072</v>
      </c>
      <c r="C5432" s="105" t="s">
        <v>9073</v>
      </c>
      <c r="D5432" s="105">
        <v>0</v>
      </c>
      <c r="E5432" s="105">
        <v>0</v>
      </c>
      <c r="F5432" s="105">
        <v>0</v>
      </c>
    </row>
    <row r="5433" spans="1:6" x14ac:dyDescent="0.25">
      <c r="A5433" s="105" t="str">
        <f t="shared" si="84"/>
        <v/>
      </c>
      <c r="B5433" s="105" t="s">
        <v>9074</v>
      </c>
      <c r="C5433" s="105" t="s">
        <v>9075</v>
      </c>
      <c r="D5433" s="105">
        <v>398.42</v>
      </c>
      <c r="E5433" s="105">
        <v>239.05</v>
      </c>
      <c r="F5433" s="105">
        <v>0</v>
      </c>
    </row>
    <row r="5434" spans="1:6" x14ac:dyDescent="0.25">
      <c r="A5434" s="105" t="str">
        <f t="shared" si="84"/>
        <v/>
      </c>
      <c r="B5434" s="105" t="s">
        <v>8882</v>
      </c>
      <c r="C5434" s="105" t="s">
        <v>8</v>
      </c>
      <c r="D5434" s="105">
        <v>0</v>
      </c>
      <c r="E5434" s="105">
        <v>0</v>
      </c>
      <c r="F5434" s="105">
        <v>0</v>
      </c>
    </row>
    <row r="5435" spans="1:6" x14ac:dyDescent="0.25">
      <c r="A5435" s="105" t="str">
        <f t="shared" si="84"/>
        <v/>
      </c>
      <c r="B5435" s="105" t="s">
        <v>9076</v>
      </c>
      <c r="C5435" s="105" t="s">
        <v>9077</v>
      </c>
      <c r="D5435" s="105">
        <v>0</v>
      </c>
      <c r="E5435" s="105">
        <v>0</v>
      </c>
      <c r="F5435" s="105">
        <v>0</v>
      </c>
    </row>
    <row r="5436" spans="1:6" x14ac:dyDescent="0.25">
      <c r="A5436" s="105" t="str">
        <f t="shared" si="84"/>
        <v/>
      </c>
      <c r="B5436" s="105" t="s">
        <v>9078</v>
      </c>
      <c r="C5436" s="105" t="s">
        <v>8925</v>
      </c>
      <c r="D5436" s="105">
        <v>0</v>
      </c>
      <c r="E5436" s="105">
        <v>0</v>
      </c>
      <c r="F5436" s="105">
        <v>0</v>
      </c>
    </row>
    <row r="5437" spans="1:6" x14ac:dyDescent="0.25">
      <c r="A5437" s="105" t="str">
        <f t="shared" si="84"/>
        <v/>
      </c>
      <c r="B5437" s="105" t="s">
        <v>9079</v>
      </c>
      <c r="C5437" s="105" t="s">
        <v>9080</v>
      </c>
      <c r="D5437" s="105">
        <v>0</v>
      </c>
      <c r="E5437" s="105">
        <v>0</v>
      </c>
      <c r="F5437" s="105">
        <v>0</v>
      </c>
    </row>
    <row r="5438" spans="1:6" x14ac:dyDescent="0.25">
      <c r="A5438" s="105" t="str">
        <f t="shared" si="84"/>
        <v/>
      </c>
      <c r="B5438" s="105" t="s">
        <v>9081</v>
      </c>
      <c r="C5438" s="105" t="s">
        <v>9082</v>
      </c>
      <c r="D5438" s="105">
        <v>0</v>
      </c>
      <c r="E5438" s="105">
        <v>0</v>
      </c>
      <c r="F5438" s="105">
        <v>0</v>
      </c>
    </row>
    <row r="5439" spans="1:6" x14ac:dyDescent="0.25">
      <c r="A5439" s="105" t="str">
        <f t="shared" si="84"/>
        <v/>
      </c>
      <c r="B5439" s="105" t="s">
        <v>9083</v>
      </c>
      <c r="C5439" s="105" t="s">
        <v>9084</v>
      </c>
      <c r="D5439" s="105">
        <v>0</v>
      </c>
      <c r="E5439" s="105">
        <v>0</v>
      </c>
      <c r="F5439" s="105">
        <v>0</v>
      </c>
    </row>
    <row r="5440" spans="1:6" x14ac:dyDescent="0.25">
      <c r="A5440" s="105" t="str">
        <f t="shared" si="84"/>
        <v/>
      </c>
      <c r="B5440" s="105" t="s">
        <v>9085</v>
      </c>
      <c r="C5440" s="105" t="s">
        <v>9086</v>
      </c>
      <c r="D5440" s="105">
        <v>160.69</v>
      </c>
      <c r="E5440" s="105">
        <v>96.41</v>
      </c>
      <c r="F5440" s="105">
        <v>0</v>
      </c>
    </row>
    <row r="5441" spans="1:6" x14ac:dyDescent="0.25">
      <c r="A5441" s="105" t="str">
        <f t="shared" si="84"/>
        <v/>
      </c>
      <c r="B5441" s="105" t="s">
        <v>8940</v>
      </c>
      <c r="C5441" s="105" t="s">
        <v>8</v>
      </c>
      <c r="D5441" s="105">
        <v>0</v>
      </c>
      <c r="E5441" s="105">
        <v>0</v>
      </c>
      <c r="F5441" s="105">
        <v>0</v>
      </c>
    </row>
    <row r="5442" spans="1:6" x14ac:dyDescent="0.25">
      <c r="A5442" s="105" t="str">
        <f t="shared" si="84"/>
        <v/>
      </c>
      <c r="B5442" s="105" t="s">
        <v>9087</v>
      </c>
      <c r="C5442" s="105" t="s">
        <v>9088</v>
      </c>
      <c r="D5442" s="105">
        <v>0</v>
      </c>
      <c r="E5442" s="105">
        <v>0</v>
      </c>
      <c r="F5442" s="105">
        <v>0</v>
      </c>
    </row>
    <row r="5443" spans="1:6" x14ac:dyDescent="0.25">
      <c r="A5443" s="105" t="str">
        <f t="shared" ref="A5443:A5506" si="85">IF(B5443&lt;&gt;"",IFERROR(B5443*1,""),"")</f>
        <v/>
      </c>
      <c r="B5443" s="105" t="s">
        <v>9089</v>
      </c>
      <c r="C5443" s="105" t="s">
        <v>9090</v>
      </c>
      <c r="D5443" s="105">
        <v>0</v>
      </c>
      <c r="E5443" s="105">
        <v>0</v>
      </c>
      <c r="F5443" s="105">
        <v>0</v>
      </c>
    </row>
    <row r="5444" spans="1:6" x14ac:dyDescent="0.25">
      <c r="A5444" s="105" t="str">
        <f t="shared" si="85"/>
        <v/>
      </c>
      <c r="B5444" s="105" t="s">
        <v>9091</v>
      </c>
      <c r="C5444" s="105" t="s">
        <v>9092</v>
      </c>
      <c r="D5444" s="105">
        <v>530</v>
      </c>
      <c r="E5444" s="105">
        <v>318</v>
      </c>
      <c r="F5444" s="105">
        <v>0</v>
      </c>
    </row>
    <row r="5445" spans="1:6" x14ac:dyDescent="0.25">
      <c r="A5445" s="105" t="str">
        <f t="shared" si="85"/>
        <v/>
      </c>
      <c r="B5445" s="105" t="s">
        <v>9093</v>
      </c>
      <c r="C5445" s="105" t="s">
        <v>9094</v>
      </c>
      <c r="D5445" s="105">
        <v>0</v>
      </c>
      <c r="E5445" s="105">
        <v>0</v>
      </c>
      <c r="F5445" s="105">
        <v>0</v>
      </c>
    </row>
    <row r="5446" spans="1:6" x14ac:dyDescent="0.25">
      <c r="A5446" s="105" t="str">
        <f t="shared" si="85"/>
        <v/>
      </c>
      <c r="B5446" s="105" t="s">
        <v>9095</v>
      </c>
      <c r="C5446" s="105" t="s">
        <v>8</v>
      </c>
      <c r="D5446" s="105">
        <v>0</v>
      </c>
      <c r="E5446" s="105">
        <v>0</v>
      </c>
      <c r="F5446" s="105">
        <v>0</v>
      </c>
    </row>
    <row r="5447" spans="1:6" x14ac:dyDescent="0.25">
      <c r="A5447" s="105" t="str">
        <f t="shared" si="85"/>
        <v/>
      </c>
      <c r="B5447" s="105" t="s">
        <v>9096</v>
      </c>
      <c r="C5447" s="105" t="s">
        <v>8</v>
      </c>
      <c r="D5447" s="105">
        <v>0</v>
      </c>
      <c r="E5447" s="105">
        <v>0</v>
      </c>
      <c r="F5447" s="105">
        <v>0</v>
      </c>
    </row>
    <row r="5448" spans="1:6" x14ac:dyDescent="0.25">
      <c r="A5448" s="105" t="str">
        <f t="shared" si="85"/>
        <v/>
      </c>
      <c r="B5448" s="105" t="s">
        <v>9097</v>
      </c>
      <c r="C5448" s="105" t="s">
        <v>9098</v>
      </c>
      <c r="D5448" s="105">
        <v>0</v>
      </c>
      <c r="E5448" s="105">
        <v>0</v>
      </c>
      <c r="F5448" s="105">
        <v>0</v>
      </c>
    </row>
    <row r="5449" spans="1:6" x14ac:dyDescent="0.25">
      <c r="A5449" s="105" t="str">
        <f t="shared" si="85"/>
        <v/>
      </c>
      <c r="B5449" s="105" t="s">
        <v>9099</v>
      </c>
      <c r="C5449" s="105" t="s">
        <v>8944</v>
      </c>
      <c r="D5449" s="105">
        <v>0</v>
      </c>
      <c r="E5449" s="105">
        <v>0</v>
      </c>
      <c r="F5449" s="105">
        <v>0</v>
      </c>
    </row>
    <row r="5450" spans="1:6" x14ac:dyDescent="0.25">
      <c r="A5450" s="105" t="str">
        <f t="shared" si="85"/>
        <v/>
      </c>
      <c r="B5450" s="105" t="s">
        <v>9100</v>
      </c>
      <c r="C5450" s="105" t="s">
        <v>9100</v>
      </c>
      <c r="D5450" s="105">
        <v>0</v>
      </c>
      <c r="E5450" s="105">
        <v>0</v>
      </c>
      <c r="F5450" s="105">
        <v>0</v>
      </c>
    </row>
    <row r="5451" spans="1:6" x14ac:dyDescent="0.25">
      <c r="A5451" s="105" t="str">
        <f t="shared" si="85"/>
        <v/>
      </c>
      <c r="B5451" s="105" t="s">
        <v>150</v>
      </c>
      <c r="C5451" s="105" t="s">
        <v>9101</v>
      </c>
      <c r="D5451" s="105">
        <v>0</v>
      </c>
      <c r="E5451" s="105">
        <v>0</v>
      </c>
      <c r="F5451" s="105">
        <v>0</v>
      </c>
    </row>
    <row r="5452" spans="1:6" x14ac:dyDescent="0.25">
      <c r="A5452" s="105" t="str">
        <f t="shared" si="85"/>
        <v/>
      </c>
      <c r="B5452" s="105" t="s">
        <v>9102</v>
      </c>
      <c r="C5452" s="105" t="s">
        <v>9103</v>
      </c>
      <c r="D5452" s="105">
        <v>0</v>
      </c>
      <c r="E5452" s="105">
        <v>0</v>
      </c>
      <c r="F5452" s="105">
        <v>0</v>
      </c>
    </row>
    <row r="5453" spans="1:6" x14ac:dyDescent="0.25">
      <c r="A5453" s="105" t="str">
        <f t="shared" si="85"/>
        <v/>
      </c>
      <c r="B5453" s="105" t="s">
        <v>9104</v>
      </c>
      <c r="C5453" s="105" t="s">
        <v>9105</v>
      </c>
      <c r="D5453" s="105">
        <v>0</v>
      </c>
      <c r="E5453" s="105">
        <v>0</v>
      </c>
      <c r="F5453" s="105">
        <v>0</v>
      </c>
    </row>
    <row r="5454" spans="1:6" x14ac:dyDescent="0.25">
      <c r="A5454" s="105" t="str">
        <f t="shared" si="85"/>
        <v/>
      </c>
      <c r="B5454" s="105" t="s">
        <v>9106</v>
      </c>
      <c r="C5454" s="105" t="s">
        <v>9107</v>
      </c>
      <c r="D5454" s="105">
        <v>0</v>
      </c>
      <c r="E5454" s="105">
        <v>0</v>
      </c>
      <c r="F5454" s="105">
        <v>0</v>
      </c>
    </row>
    <row r="5455" spans="1:6" x14ac:dyDescent="0.25">
      <c r="A5455" s="105" t="str">
        <f t="shared" si="85"/>
        <v/>
      </c>
      <c r="B5455" s="105" t="s">
        <v>9108</v>
      </c>
      <c r="C5455" s="105" t="s">
        <v>9109</v>
      </c>
      <c r="D5455" s="105">
        <v>0</v>
      </c>
      <c r="E5455" s="105">
        <v>0</v>
      </c>
      <c r="F5455" s="105">
        <v>0</v>
      </c>
    </row>
    <row r="5456" spans="1:6" x14ac:dyDescent="0.25">
      <c r="A5456" s="105" t="str">
        <f t="shared" si="85"/>
        <v/>
      </c>
      <c r="B5456" s="105" t="s">
        <v>9110</v>
      </c>
      <c r="C5456" s="105" t="s">
        <v>9111</v>
      </c>
      <c r="D5456" s="105">
        <v>0</v>
      </c>
      <c r="E5456" s="105">
        <v>0</v>
      </c>
      <c r="F5456" s="105">
        <v>0</v>
      </c>
    </row>
    <row r="5457" spans="1:6" x14ac:dyDescent="0.25">
      <c r="A5457" s="105" t="str">
        <f t="shared" si="85"/>
        <v/>
      </c>
      <c r="B5457" s="105" t="s">
        <v>9112</v>
      </c>
      <c r="C5457" s="105" t="s">
        <v>9112</v>
      </c>
      <c r="D5457" s="105">
        <v>0</v>
      </c>
      <c r="E5457" s="105">
        <v>0</v>
      </c>
      <c r="F5457" s="105">
        <v>0</v>
      </c>
    </row>
    <row r="5458" spans="1:6" x14ac:dyDescent="0.25">
      <c r="A5458" s="105" t="str">
        <f t="shared" si="85"/>
        <v/>
      </c>
      <c r="B5458" s="105" t="s">
        <v>5321</v>
      </c>
      <c r="C5458" s="105" t="s">
        <v>8</v>
      </c>
      <c r="D5458" s="105">
        <v>0</v>
      </c>
      <c r="E5458" s="105">
        <v>0</v>
      </c>
      <c r="F5458" s="105">
        <v>0</v>
      </c>
    </row>
    <row r="5459" spans="1:6" x14ac:dyDescent="0.25">
      <c r="A5459" s="105" t="str">
        <f t="shared" si="85"/>
        <v/>
      </c>
      <c r="B5459" s="105" t="s">
        <v>9113</v>
      </c>
      <c r="C5459" s="105" t="s">
        <v>9114</v>
      </c>
      <c r="D5459" s="105">
        <v>0</v>
      </c>
      <c r="E5459" s="105">
        <v>0</v>
      </c>
      <c r="F5459" s="105">
        <v>0</v>
      </c>
    </row>
    <row r="5460" spans="1:6" x14ac:dyDescent="0.25">
      <c r="A5460" s="105" t="str">
        <f t="shared" si="85"/>
        <v/>
      </c>
      <c r="B5460" s="105" t="s">
        <v>9115</v>
      </c>
      <c r="C5460" s="105" t="s">
        <v>9116</v>
      </c>
      <c r="D5460" s="105">
        <v>0</v>
      </c>
      <c r="E5460" s="105">
        <v>0</v>
      </c>
      <c r="F5460" s="105">
        <v>0</v>
      </c>
    </row>
    <row r="5461" spans="1:6" x14ac:dyDescent="0.25">
      <c r="A5461" s="105" t="str">
        <f t="shared" si="85"/>
        <v/>
      </c>
      <c r="B5461" s="105" t="s">
        <v>9117</v>
      </c>
      <c r="C5461" s="105" t="s">
        <v>9118</v>
      </c>
      <c r="D5461" s="105">
        <v>0</v>
      </c>
      <c r="E5461" s="105">
        <v>0</v>
      </c>
      <c r="F5461" s="105">
        <v>0</v>
      </c>
    </row>
    <row r="5462" spans="1:6" x14ac:dyDescent="0.25">
      <c r="A5462" s="105" t="str">
        <f t="shared" si="85"/>
        <v/>
      </c>
      <c r="B5462" s="105" t="s">
        <v>9119</v>
      </c>
      <c r="C5462" s="105" t="s">
        <v>9120</v>
      </c>
      <c r="D5462" s="105">
        <v>0</v>
      </c>
      <c r="E5462" s="105">
        <v>0</v>
      </c>
      <c r="F5462" s="105">
        <v>0</v>
      </c>
    </row>
    <row r="5463" spans="1:6" x14ac:dyDescent="0.25">
      <c r="A5463" s="105" t="str">
        <f t="shared" si="85"/>
        <v/>
      </c>
      <c r="B5463" s="105" t="s">
        <v>9121</v>
      </c>
      <c r="C5463" s="105" t="s">
        <v>9122</v>
      </c>
      <c r="D5463" s="105">
        <v>0</v>
      </c>
      <c r="E5463" s="105">
        <v>0</v>
      </c>
      <c r="F5463" s="105">
        <v>0</v>
      </c>
    </row>
    <row r="5464" spans="1:6" x14ac:dyDescent="0.25">
      <c r="A5464" s="105" t="str">
        <f t="shared" si="85"/>
        <v/>
      </c>
      <c r="B5464" s="105" t="s">
        <v>9123</v>
      </c>
      <c r="C5464" s="105" t="s">
        <v>132</v>
      </c>
      <c r="D5464" s="105">
        <v>0</v>
      </c>
      <c r="E5464" s="105">
        <v>0</v>
      </c>
      <c r="F5464" s="105">
        <v>0</v>
      </c>
    </row>
    <row r="5465" spans="1:6" x14ac:dyDescent="0.25">
      <c r="A5465" s="105" t="str">
        <f t="shared" si="85"/>
        <v/>
      </c>
      <c r="B5465" s="105" t="s">
        <v>9124</v>
      </c>
      <c r="C5465" s="105" t="s">
        <v>9125</v>
      </c>
      <c r="D5465" s="105">
        <v>0</v>
      </c>
      <c r="E5465" s="105">
        <v>0</v>
      </c>
      <c r="F5465" s="105">
        <v>0</v>
      </c>
    </row>
    <row r="5466" spans="1:6" x14ac:dyDescent="0.25">
      <c r="A5466" s="105" t="str">
        <f t="shared" si="85"/>
        <v/>
      </c>
      <c r="B5466" s="105" t="s">
        <v>9126</v>
      </c>
      <c r="C5466" s="105" t="s">
        <v>150</v>
      </c>
      <c r="D5466" s="105">
        <v>0</v>
      </c>
      <c r="E5466" s="105">
        <v>0</v>
      </c>
      <c r="F5466" s="105">
        <v>0</v>
      </c>
    </row>
    <row r="5467" spans="1:6" x14ac:dyDescent="0.25">
      <c r="A5467" s="105" t="str">
        <f t="shared" si="85"/>
        <v/>
      </c>
      <c r="B5467" s="105" t="s">
        <v>9127</v>
      </c>
      <c r="C5467" s="105" t="s">
        <v>9128</v>
      </c>
      <c r="D5467" s="105">
        <v>0</v>
      </c>
      <c r="E5467" s="105">
        <v>0</v>
      </c>
      <c r="F5467" s="105">
        <v>0</v>
      </c>
    </row>
    <row r="5468" spans="1:6" x14ac:dyDescent="0.25">
      <c r="A5468" s="105" t="str">
        <f t="shared" si="85"/>
        <v/>
      </c>
      <c r="B5468" s="105" t="s">
        <v>9129</v>
      </c>
      <c r="C5468" s="105" t="s">
        <v>9130</v>
      </c>
      <c r="D5468" s="105">
        <v>0</v>
      </c>
      <c r="E5468" s="105">
        <v>0</v>
      </c>
      <c r="F5468" s="105">
        <v>0</v>
      </c>
    </row>
    <row r="5469" spans="1:6" x14ac:dyDescent="0.25">
      <c r="A5469" s="105" t="str">
        <f t="shared" si="85"/>
        <v/>
      </c>
      <c r="B5469" s="105" t="s">
        <v>9131</v>
      </c>
      <c r="C5469" s="105" t="s">
        <v>9132</v>
      </c>
      <c r="D5469" s="105">
        <v>0</v>
      </c>
      <c r="E5469" s="105">
        <v>0</v>
      </c>
      <c r="F5469" s="105">
        <v>0</v>
      </c>
    </row>
    <row r="5470" spans="1:6" x14ac:dyDescent="0.25">
      <c r="A5470" s="105" t="str">
        <f t="shared" si="85"/>
        <v/>
      </c>
      <c r="B5470" s="105" t="s">
        <v>9133</v>
      </c>
      <c r="C5470" s="105" t="s">
        <v>9134</v>
      </c>
      <c r="D5470" s="105">
        <v>0</v>
      </c>
      <c r="E5470" s="105">
        <v>0</v>
      </c>
      <c r="F5470" s="105">
        <v>0</v>
      </c>
    </row>
    <row r="5471" spans="1:6" x14ac:dyDescent="0.25">
      <c r="A5471" s="105" t="str">
        <f t="shared" si="85"/>
        <v/>
      </c>
      <c r="B5471" s="105" t="s">
        <v>9135</v>
      </c>
      <c r="C5471" s="105" t="s">
        <v>9136</v>
      </c>
      <c r="D5471" s="105">
        <v>0</v>
      </c>
      <c r="E5471" s="105">
        <v>0</v>
      </c>
      <c r="F5471" s="105">
        <v>0</v>
      </c>
    </row>
    <row r="5472" spans="1:6" x14ac:dyDescent="0.25">
      <c r="A5472" s="105" t="str">
        <f t="shared" si="85"/>
        <v/>
      </c>
      <c r="B5472" s="105" t="s">
        <v>6317</v>
      </c>
      <c r="C5472" s="105" t="s">
        <v>9137</v>
      </c>
      <c r="D5472" s="105">
        <v>0</v>
      </c>
      <c r="E5472" s="105">
        <v>0</v>
      </c>
      <c r="F5472" s="105">
        <v>0</v>
      </c>
    </row>
    <row r="5473" spans="1:6" x14ac:dyDescent="0.25">
      <c r="A5473" s="105" t="str">
        <f t="shared" si="85"/>
        <v/>
      </c>
      <c r="B5473" s="105" t="s">
        <v>9138</v>
      </c>
      <c r="C5473" s="105" t="s">
        <v>8</v>
      </c>
      <c r="D5473" s="105">
        <v>0</v>
      </c>
      <c r="E5473" s="105">
        <v>0</v>
      </c>
      <c r="F5473" s="105">
        <v>0</v>
      </c>
    </row>
    <row r="5474" spans="1:6" x14ac:dyDescent="0.25">
      <c r="A5474" s="105" t="str">
        <f t="shared" si="85"/>
        <v/>
      </c>
      <c r="B5474" s="105" t="s">
        <v>9139</v>
      </c>
      <c r="C5474" s="105" t="s">
        <v>9140</v>
      </c>
      <c r="D5474" s="105">
        <v>0</v>
      </c>
      <c r="E5474" s="105">
        <v>0</v>
      </c>
      <c r="F5474" s="105">
        <v>0</v>
      </c>
    </row>
    <row r="5475" spans="1:6" x14ac:dyDescent="0.25">
      <c r="A5475" s="105" t="str">
        <f t="shared" si="85"/>
        <v/>
      </c>
      <c r="B5475" s="105" t="s">
        <v>9141</v>
      </c>
      <c r="C5475" s="105" t="s">
        <v>9142</v>
      </c>
      <c r="D5475" s="105">
        <v>0</v>
      </c>
      <c r="E5475" s="105">
        <v>0</v>
      </c>
      <c r="F5475" s="105">
        <v>0</v>
      </c>
    </row>
    <row r="5476" spans="1:6" x14ac:dyDescent="0.25">
      <c r="A5476" s="105" t="str">
        <f t="shared" si="85"/>
        <v/>
      </c>
      <c r="B5476" s="105" t="s">
        <v>1805</v>
      </c>
      <c r="C5476" s="105" t="s">
        <v>1805</v>
      </c>
      <c r="D5476" s="105">
        <v>0</v>
      </c>
      <c r="E5476" s="105">
        <v>0</v>
      </c>
      <c r="F5476" s="105">
        <v>0</v>
      </c>
    </row>
    <row r="5477" spans="1:6" x14ac:dyDescent="0.25">
      <c r="A5477" s="105" t="str">
        <f t="shared" si="85"/>
        <v/>
      </c>
      <c r="B5477" s="105" t="s">
        <v>9143</v>
      </c>
      <c r="C5477" s="105" t="s">
        <v>9144</v>
      </c>
      <c r="D5477" s="105">
        <v>0</v>
      </c>
      <c r="E5477" s="105">
        <v>0</v>
      </c>
      <c r="F5477" s="105">
        <v>0</v>
      </c>
    </row>
    <row r="5478" spans="1:6" x14ac:dyDescent="0.25">
      <c r="A5478" s="105" t="str">
        <f t="shared" si="85"/>
        <v/>
      </c>
      <c r="B5478" s="105" t="s">
        <v>9145</v>
      </c>
      <c r="C5478" s="105" t="s">
        <v>9146</v>
      </c>
      <c r="D5478" s="105">
        <v>0</v>
      </c>
      <c r="E5478" s="105">
        <v>0</v>
      </c>
      <c r="F5478" s="105">
        <v>0</v>
      </c>
    </row>
    <row r="5479" spans="1:6" x14ac:dyDescent="0.25">
      <c r="A5479" s="105" t="str">
        <f t="shared" si="85"/>
        <v/>
      </c>
      <c r="B5479" s="105" t="s">
        <v>9147</v>
      </c>
      <c r="C5479" s="105" t="s">
        <v>9148</v>
      </c>
      <c r="D5479" s="105">
        <v>0</v>
      </c>
      <c r="E5479" s="105">
        <v>0</v>
      </c>
      <c r="F5479" s="105">
        <v>0</v>
      </c>
    </row>
    <row r="5480" spans="1:6" x14ac:dyDescent="0.25">
      <c r="A5480" s="105" t="str">
        <f t="shared" si="85"/>
        <v/>
      </c>
      <c r="B5480" s="105" t="s">
        <v>9149</v>
      </c>
      <c r="C5480" s="105" t="s">
        <v>9149</v>
      </c>
      <c r="D5480" s="105">
        <v>0</v>
      </c>
      <c r="E5480" s="105">
        <v>0</v>
      </c>
      <c r="F5480" s="105">
        <v>0</v>
      </c>
    </row>
    <row r="5481" spans="1:6" x14ac:dyDescent="0.25">
      <c r="A5481" s="105" t="str">
        <f t="shared" si="85"/>
        <v/>
      </c>
      <c r="B5481" s="105" t="s">
        <v>9150</v>
      </c>
      <c r="C5481" s="105" t="s">
        <v>9150</v>
      </c>
      <c r="D5481" s="105">
        <v>0</v>
      </c>
      <c r="E5481" s="105">
        <v>0</v>
      </c>
      <c r="F5481" s="105">
        <v>0</v>
      </c>
    </row>
    <row r="5482" spans="1:6" x14ac:dyDescent="0.25">
      <c r="A5482" s="105" t="str">
        <f t="shared" si="85"/>
        <v/>
      </c>
      <c r="B5482" s="105" t="s">
        <v>9151</v>
      </c>
      <c r="C5482" s="105" t="s">
        <v>9152</v>
      </c>
      <c r="D5482" s="105">
        <v>0</v>
      </c>
      <c r="E5482" s="105">
        <v>0</v>
      </c>
      <c r="F5482" s="105">
        <v>0</v>
      </c>
    </row>
    <row r="5483" spans="1:6" x14ac:dyDescent="0.25">
      <c r="A5483" s="105" t="str">
        <f t="shared" si="85"/>
        <v/>
      </c>
      <c r="B5483" s="105" t="s">
        <v>9153</v>
      </c>
      <c r="C5483" s="105" t="s">
        <v>8</v>
      </c>
      <c r="D5483" s="105">
        <v>0</v>
      </c>
      <c r="E5483" s="105">
        <v>0</v>
      </c>
      <c r="F5483" s="105">
        <v>0</v>
      </c>
    </row>
    <row r="5484" spans="1:6" x14ac:dyDescent="0.25">
      <c r="A5484" s="105" t="str">
        <f t="shared" si="85"/>
        <v/>
      </c>
      <c r="B5484" s="105" t="s">
        <v>9154</v>
      </c>
      <c r="C5484" s="105" t="s">
        <v>9155</v>
      </c>
      <c r="D5484" s="105">
        <v>0</v>
      </c>
      <c r="E5484" s="105">
        <v>0</v>
      </c>
      <c r="F5484" s="105">
        <v>0</v>
      </c>
    </row>
    <row r="5485" spans="1:6" x14ac:dyDescent="0.25">
      <c r="A5485" s="105" t="str">
        <f t="shared" si="85"/>
        <v/>
      </c>
      <c r="B5485" s="105" t="s">
        <v>9156</v>
      </c>
      <c r="C5485" s="105" t="s">
        <v>8</v>
      </c>
      <c r="D5485" s="105">
        <v>0</v>
      </c>
      <c r="E5485" s="105">
        <v>0</v>
      </c>
      <c r="F5485" s="105">
        <v>0</v>
      </c>
    </row>
    <row r="5486" spans="1:6" x14ac:dyDescent="0.25">
      <c r="A5486" s="105" t="str">
        <f t="shared" si="85"/>
        <v/>
      </c>
      <c r="B5486" s="105" t="s">
        <v>9157</v>
      </c>
      <c r="C5486" s="105" t="s">
        <v>8</v>
      </c>
      <c r="D5486" s="105">
        <v>0</v>
      </c>
      <c r="E5486" s="105">
        <v>0</v>
      </c>
      <c r="F5486" s="105">
        <v>0</v>
      </c>
    </row>
    <row r="5487" spans="1:6" x14ac:dyDescent="0.25">
      <c r="A5487" s="105" t="str">
        <f t="shared" si="85"/>
        <v/>
      </c>
      <c r="B5487" s="105" t="s">
        <v>9158</v>
      </c>
      <c r="C5487" s="105" t="s">
        <v>8</v>
      </c>
      <c r="D5487" s="105">
        <v>0</v>
      </c>
      <c r="E5487" s="105">
        <v>0</v>
      </c>
      <c r="F5487" s="105">
        <v>0</v>
      </c>
    </row>
    <row r="5488" spans="1:6" x14ac:dyDescent="0.25">
      <c r="A5488" s="105" t="str">
        <f t="shared" si="85"/>
        <v/>
      </c>
      <c r="B5488" s="105" t="s">
        <v>9159</v>
      </c>
      <c r="C5488" s="105" t="s">
        <v>8</v>
      </c>
      <c r="D5488" s="105">
        <v>0</v>
      </c>
      <c r="E5488" s="105">
        <v>0</v>
      </c>
      <c r="F5488" s="105">
        <v>0</v>
      </c>
    </row>
    <row r="5489" spans="1:6" x14ac:dyDescent="0.25">
      <c r="A5489" s="105" t="str">
        <f t="shared" si="85"/>
        <v/>
      </c>
      <c r="B5489" s="105" t="s">
        <v>9160</v>
      </c>
      <c r="C5489" s="105" t="s">
        <v>9161</v>
      </c>
      <c r="D5489" s="105">
        <v>0</v>
      </c>
      <c r="E5489" s="105">
        <v>0</v>
      </c>
      <c r="F5489" s="105">
        <v>0</v>
      </c>
    </row>
    <row r="5490" spans="1:6" x14ac:dyDescent="0.25">
      <c r="A5490" s="105" t="str">
        <f t="shared" si="85"/>
        <v/>
      </c>
      <c r="B5490" s="105" t="s">
        <v>9162</v>
      </c>
      <c r="C5490" s="105" t="s">
        <v>9163</v>
      </c>
      <c r="D5490" s="105">
        <v>0</v>
      </c>
      <c r="E5490" s="105">
        <v>0</v>
      </c>
      <c r="F5490" s="105">
        <v>0</v>
      </c>
    </row>
    <row r="5491" spans="1:6" x14ac:dyDescent="0.25">
      <c r="A5491" s="105" t="str">
        <f t="shared" si="85"/>
        <v/>
      </c>
      <c r="B5491" s="105" t="s">
        <v>9164</v>
      </c>
      <c r="C5491" s="105" t="s">
        <v>9165</v>
      </c>
      <c r="D5491" s="105">
        <v>0</v>
      </c>
      <c r="E5491" s="105">
        <v>0</v>
      </c>
      <c r="F5491" s="105">
        <v>0</v>
      </c>
    </row>
    <row r="5492" spans="1:6" x14ac:dyDescent="0.25">
      <c r="A5492" s="105" t="str">
        <f t="shared" si="85"/>
        <v/>
      </c>
      <c r="B5492" s="105"/>
      <c r="C5492" s="105"/>
      <c r="D5492" s="105"/>
      <c r="E5492" s="105"/>
      <c r="F5492" s="105"/>
    </row>
    <row r="5493" spans="1:6" x14ac:dyDescent="0.25">
      <c r="A5493" s="105" t="str">
        <f t="shared" si="85"/>
        <v/>
      </c>
      <c r="B5493" s="105"/>
      <c r="C5493" s="105"/>
      <c r="D5493" s="105"/>
      <c r="E5493" s="105"/>
      <c r="F5493" s="105"/>
    </row>
    <row r="5494" spans="1:6" x14ac:dyDescent="0.25">
      <c r="A5494" s="105" t="str">
        <f t="shared" si="85"/>
        <v/>
      </c>
      <c r="B5494" s="105"/>
      <c r="C5494" s="105"/>
      <c r="D5494" s="105"/>
      <c r="E5494" s="105"/>
      <c r="F5494" s="105"/>
    </row>
    <row r="5495" spans="1:6" x14ac:dyDescent="0.25">
      <c r="A5495" s="105" t="str">
        <f t="shared" si="85"/>
        <v/>
      </c>
      <c r="B5495" s="105"/>
      <c r="C5495" s="105"/>
      <c r="D5495" s="105"/>
      <c r="E5495" s="105"/>
      <c r="F5495" s="105"/>
    </row>
    <row r="5496" spans="1:6" x14ac:dyDescent="0.25">
      <c r="A5496" s="105" t="str">
        <f t="shared" si="85"/>
        <v/>
      </c>
      <c r="B5496" s="105"/>
      <c r="C5496" s="105"/>
      <c r="D5496" s="105"/>
      <c r="E5496" s="105"/>
      <c r="F5496" s="105"/>
    </row>
    <row r="5497" spans="1:6" x14ac:dyDescent="0.25">
      <c r="A5497" s="105" t="str">
        <f t="shared" si="85"/>
        <v/>
      </c>
      <c r="B5497" s="105"/>
      <c r="C5497" s="105"/>
      <c r="D5497" s="105"/>
      <c r="E5497" s="105"/>
      <c r="F5497" s="105"/>
    </row>
    <row r="5498" spans="1:6" x14ac:dyDescent="0.25">
      <c r="A5498" s="105" t="str">
        <f t="shared" si="85"/>
        <v/>
      </c>
      <c r="B5498" s="105"/>
      <c r="C5498" s="105"/>
      <c r="D5498" s="105"/>
      <c r="E5498" s="105"/>
      <c r="F5498" s="105"/>
    </row>
    <row r="5499" spans="1:6" x14ac:dyDescent="0.25">
      <c r="A5499" s="105" t="str">
        <f t="shared" si="85"/>
        <v/>
      </c>
      <c r="B5499" s="105"/>
      <c r="C5499" s="105"/>
      <c r="D5499" s="105"/>
      <c r="E5499" s="105"/>
      <c r="F5499" s="105"/>
    </row>
    <row r="5500" spans="1:6" x14ac:dyDescent="0.25">
      <c r="A5500" s="105" t="str">
        <f t="shared" si="85"/>
        <v/>
      </c>
      <c r="B5500" s="105"/>
      <c r="C5500" s="105"/>
      <c r="D5500" s="105"/>
      <c r="E5500" s="105"/>
      <c r="F5500" s="105"/>
    </row>
    <row r="5501" spans="1:6" x14ac:dyDescent="0.25">
      <c r="A5501" s="105" t="str">
        <f t="shared" si="85"/>
        <v/>
      </c>
      <c r="B5501" s="105"/>
      <c r="C5501" s="105"/>
      <c r="D5501" s="105"/>
      <c r="E5501" s="105"/>
      <c r="F5501" s="105"/>
    </row>
    <row r="5502" spans="1:6" x14ac:dyDescent="0.25">
      <c r="A5502" s="105" t="str">
        <f t="shared" si="85"/>
        <v/>
      </c>
      <c r="B5502" s="105"/>
      <c r="C5502" s="105"/>
      <c r="D5502" s="105"/>
      <c r="E5502" s="105"/>
      <c r="F5502" s="105"/>
    </row>
    <row r="5503" spans="1:6" x14ac:dyDescent="0.25">
      <c r="A5503" s="105" t="str">
        <f t="shared" si="85"/>
        <v/>
      </c>
      <c r="B5503" s="105"/>
      <c r="C5503" s="105"/>
      <c r="D5503" s="105"/>
      <c r="E5503" s="105"/>
      <c r="F5503" s="105"/>
    </row>
    <row r="5504" spans="1:6" x14ac:dyDescent="0.25">
      <c r="A5504" s="105" t="str">
        <f t="shared" si="85"/>
        <v/>
      </c>
      <c r="B5504" s="105"/>
      <c r="C5504" s="105"/>
      <c r="D5504" s="105"/>
      <c r="E5504" s="105"/>
      <c r="F5504" s="105"/>
    </row>
    <row r="5505" spans="1:6" x14ac:dyDescent="0.25">
      <c r="A5505" s="105" t="str">
        <f t="shared" si="85"/>
        <v/>
      </c>
      <c r="B5505" s="105"/>
      <c r="C5505" s="105"/>
      <c r="D5505" s="105"/>
      <c r="E5505" s="105"/>
      <c r="F5505" s="105"/>
    </row>
    <row r="5506" spans="1:6" x14ac:dyDescent="0.25">
      <c r="A5506" s="105" t="str">
        <f t="shared" si="85"/>
        <v/>
      </c>
      <c r="B5506" s="105"/>
      <c r="C5506" s="105"/>
      <c r="D5506" s="105"/>
      <c r="E5506" s="105"/>
      <c r="F5506" s="105"/>
    </row>
    <row r="5507" spans="1:6" x14ac:dyDescent="0.25">
      <c r="A5507" s="105" t="str">
        <f t="shared" ref="A5507:A5570" si="86">IF(B5507&lt;&gt;"",IFERROR(B5507*1,""),"")</f>
        <v/>
      </c>
      <c r="B5507" s="105"/>
      <c r="C5507" s="105"/>
      <c r="D5507" s="105"/>
      <c r="E5507" s="105"/>
      <c r="F5507" s="105"/>
    </row>
    <row r="5508" spans="1:6" x14ac:dyDescent="0.25">
      <c r="A5508" s="105" t="str">
        <f t="shared" si="86"/>
        <v/>
      </c>
      <c r="B5508" s="105"/>
      <c r="C5508" s="105"/>
      <c r="D5508" s="105"/>
      <c r="E5508" s="105"/>
      <c r="F5508" s="105"/>
    </row>
    <row r="5509" spans="1:6" x14ac:dyDescent="0.25">
      <c r="A5509" s="105" t="str">
        <f t="shared" si="86"/>
        <v/>
      </c>
      <c r="B5509" s="105"/>
      <c r="C5509" s="105"/>
      <c r="D5509" s="105"/>
      <c r="E5509" s="105"/>
      <c r="F5509" s="105"/>
    </row>
    <row r="5510" spans="1:6" x14ac:dyDescent="0.25">
      <c r="A5510" s="105" t="str">
        <f t="shared" si="86"/>
        <v/>
      </c>
      <c r="B5510" s="105"/>
      <c r="C5510" s="105"/>
      <c r="D5510" s="105"/>
      <c r="E5510" s="105"/>
      <c r="F5510" s="105"/>
    </row>
    <row r="5511" spans="1:6" x14ac:dyDescent="0.25">
      <c r="A5511" s="105" t="str">
        <f t="shared" si="86"/>
        <v/>
      </c>
      <c r="B5511" s="105"/>
      <c r="C5511" s="105"/>
      <c r="D5511" s="105"/>
      <c r="E5511" s="105"/>
      <c r="F5511" s="105"/>
    </row>
    <row r="5512" spans="1:6" x14ac:dyDescent="0.25">
      <c r="A5512" s="105" t="str">
        <f t="shared" si="86"/>
        <v/>
      </c>
      <c r="B5512" s="105"/>
      <c r="C5512" s="105"/>
      <c r="D5512" s="105"/>
      <c r="E5512" s="105"/>
      <c r="F5512" s="105"/>
    </row>
    <row r="5513" spans="1:6" x14ac:dyDescent="0.25">
      <c r="A5513" s="105" t="str">
        <f t="shared" si="86"/>
        <v/>
      </c>
      <c r="B5513" s="105"/>
      <c r="C5513" s="105"/>
      <c r="D5513" s="105"/>
      <c r="E5513" s="105"/>
      <c r="F5513" s="105"/>
    </row>
    <row r="5514" spans="1:6" x14ac:dyDescent="0.25">
      <c r="A5514" s="105" t="str">
        <f t="shared" si="86"/>
        <v/>
      </c>
      <c r="B5514" s="105"/>
      <c r="C5514" s="105"/>
      <c r="D5514" s="105"/>
      <c r="E5514" s="105"/>
      <c r="F5514" s="105"/>
    </row>
    <row r="5515" spans="1:6" x14ac:dyDescent="0.25">
      <c r="A5515" s="105" t="str">
        <f t="shared" si="86"/>
        <v/>
      </c>
      <c r="B5515" s="105"/>
      <c r="C5515" s="105"/>
      <c r="D5515" s="105"/>
      <c r="E5515" s="105"/>
      <c r="F5515" s="105"/>
    </row>
    <row r="5516" spans="1:6" x14ac:dyDescent="0.25">
      <c r="A5516" s="105" t="str">
        <f t="shared" si="86"/>
        <v/>
      </c>
      <c r="B5516" s="105"/>
      <c r="C5516" s="105"/>
      <c r="D5516" s="105"/>
      <c r="E5516" s="105"/>
      <c r="F5516" s="105"/>
    </row>
    <row r="5517" spans="1:6" x14ac:dyDescent="0.25">
      <c r="A5517" s="105" t="str">
        <f t="shared" si="86"/>
        <v/>
      </c>
      <c r="B5517" s="105"/>
      <c r="C5517" s="105"/>
      <c r="D5517" s="105"/>
      <c r="E5517" s="105"/>
      <c r="F5517" s="105"/>
    </row>
    <row r="5518" spans="1:6" x14ac:dyDescent="0.25">
      <c r="A5518" s="105" t="str">
        <f t="shared" si="86"/>
        <v/>
      </c>
      <c r="B5518" s="105"/>
      <c r="C5518" s="105"/>
      <c r="D5518" s="105"/>
      <c r="E5518" s="105"/>
      <c r="F5518" s="105"/>
    </row>
    <row r="5519" spans="1:6" x14ac:dyDescent="0.25">
      <c r="A5519" s="105" t="str">
        <f t="shared" si="86"/>
        <v/>
      </c>
      <c r="B5519" s="105"/>
      <c r="C5519" s="105"/>
      <c r="D5519" s="105"/>
      <c r="E5519" s="105"/>
      <c r="F5519" s="105"/>
    </row>
    <row r="5520" spans="1:6" x14ac:dyDescent="0.25">
      <c r="A5520" s="105" t="str">
        <f t="shared" si="86"/>
        <v/>
      </c>
      <c r="B5520" s="105"/>
      <c r="C5520" s="105"/>
      <c r="D5520" s="105"/>
      <c r="E5520" s="105"/>
      <c r="F5520" s="105"/>
    </row>
    <row r="5521" spans="1:6" x14ac:dyDescent="0.25">
      <c r="A5521" s="105" t="str">
        <f t="shared" si="86"/>
        <v/>
      </c>
      <c r="B5521" s="105"/>
      <c r="C5521" s="105"/>
      <c r="D5521" s="105"/>
      <c r="E5521" s="105"/>
      <c r="F5521" s="105"/>
    </row>
    <row r="5522" spans="1:6" x14ac:dyDescent="0.25">
      <c r="A5522" s="105" t="str">
        <f t="shared" si="86"/>
        <v/>
      </c>
      <c r="B5522" s="105"/>
      <c r="C5522" s="105"/>
      <c r="D5522" s="105"/>
      <c r="E5522" s="105"/>
      <c r="F5522" s="105"/>
    </row>
    <row r="5523" spans="1:6" x14ac:dyDescent="0.25">
      <c r="A5523" s="105" t="str">
        <f t="shared" si="86"/>
        <v/>
      </c>
      <c r="B5523" s="105"/>
      <c r="C5523" s="105"/>
      <c r="D5523" s="105"/>
      <c r="E5523" s="105"/>
      <c r="F5523" s="105"/>
    </row>
    <row r="5524" spans="1:6" x14ac:dyDescent="0.25">
      <c r="A5524" s="105" t="str">
        <f t="shared" si="86"/>
        <v/>
      </c>
      <c r="B5524" s="105"/>
      <c r="C5524" s="105"/>
      <c r="D5524" s="105"/>
      <c r="E5524" s="105"/>
      <c r="F5524" s="105"/>
    </row>
    <row r="5525" spans="1:6" x14ac:dyDescent="0.25">
      <c r="A5525" s="105" t="str">
        <f t="shared" si="86"/>
        <v/>
      </c>
      <c r="B5525" s="105"/>
      <c r="C5525" s="105"/>
      <c r="D5525" s="105"/>
      <c r="E5525" s="105"/>
      <c r="F5525" s="105"/>
    </row>
    <row r="5526" spans="1:6" x14ac:dyDescent="0.25">
      <c r="A5526" s="105" t="str">
        <f t="shared" si="86"/>
        <v/>
      </c>
      <c r="B5526" s="105"/>
      <c r="C5526" s="105"/>
      <c r="D5526" s="105"/>
      <c r="E5526" s="105"/>
      <c r="F5526" s="105"/>
    </row>
    <row r="5527" spans="1:6" x14ac:dyDescent="0.25">
      <c r="A5527" s="105" t="str">
        <f t="shared" si="86"/>
        <v/>
      </c>
      <c r="B5527" s="105"/>
      <c r="C5527" s="105"/>
      <c r="D5527" s="105"/>
      <c r="E5527" s="105"/>
      <c r="F5527" s="105"/>
    </row>
    <row r="5528" spans="1:6" x14ac:dyDescent="0.25">
      <c r="A5528" s="105" t="str">
        <f t="shared" si="86"/>
        <v/>
      </c>
      <c r="B5528" s="105"/>
      <c r="C5528" s="105"/>
      <c r="D5528" s="105"/>
      <c r="E5528" s="105"/>
      <c r="F5528" s="105"/>
    </row>
    <row r="5529" spans="1:6" x14ac:dyDescent="0.25">
      <c r="A5529" s="105" t="str">
        <f t="shared" si="86"/>
        <v/>
      </c>
      <c r="B5529" s="105"/>
      <c r="C5529" s="105"/>
      <c r="D5529" s="105"/>
      <c r="E5529" s="105"/>
      <c r="F5529" s="105"/>
    </row>
    <row r="5530" spans="1:6" x14ac:dyDescent="0.25">
      <c r="A5530" s="105" t="str">
        <f t="shared" si="86"/>
        <v/>
      </c>
      <c r="B5530" s="105"/>
      <c r="C5530" s="105"/>
      <c r="D5530" s="105"/>
      <c r="E5530" s="105"/>
      <c r="F5530" s="105"/>
    </row>
    <row r="5531" spans="1:6" x14ac:dyDescent="0.25">
      <c r="A5531" s="105" t="str">
        <f t="shared" si="86"/>
        <v/>
      </c>
      <c r="B5531" s="105"/>
      <c r="C5531" s="105"/>
      <c r="D5531" s="105"/>
      <c r="E5531" s="105"/>
      <c r="F5531" s="105"/>
    </row>
    <row r="5532" spans="1:6" x14ac:dyDescent="0.25">
      <c r="A5532" s="105" t="str">
        <f t="shared" si="86"/>
        <v/>
      </c>
      <c r="B5532" s="105"/>
      <c r="C5532" s="105"/>
      <c r="D5532" s="105"/>
      <c r="E5532" s="105"/>
      <c r="F5532" s="105"/>
    </row>
    <row r="5533" spans="1:6" x14ac:dyDescent="0.25">
      <c r="A5533" s="105" t="str">
        <f t="shared" si="86"/>
        <v/>
      </c>
      <c r="B5533" s="105"/>
      <c r="C5533" s="105"/>
      <c r="D5533" s="105"/>
      <c r="E5533" s="105"/>
      <c r="F5533" s="105"/>
    </row>
    <row r="5534" spans="1:6" x14ac:dyDescent="0.25">
      <c r="A5534" s="105" t="str">
        <f t="shared" si="86"/>
        <v/>
      </c>
      <c r="B5534" s="105"/>
      <c r="C5534" s="105"/>
      <c r="D5534" s="105"/>
      <c r="E5534" s="105"/>
      <c r="F5534" s="105"/>
    </row>
    <row r="5535" spans="1:6" x14ac:dyDescent="0.25">
      <c r="A5535" s="105" t="str">
        <f t="shared" si="86"/>
        <v/>
      </c>
      <c r="B5535" s="105"/>
      <c r="C5535" s="105"/>
      <c r="D5535" s="105"/>
      <c r="E5535" s="105"/>
      <c r="F5535" s="105"/>
    </row>
    <row r="5536" spans="1:6" x14ac:dyDescent="0.25">
      <c r="A5536" s="105" t="str">
        <f t="shared" si="86"/>
        <v/>
      </c>
      <c r="B5536" s="105"/>
      <c r="C5536" s="105"/>
      <c r="D5536" s="105"/>
      <c r="E5536" s="105"/>
      <c r="F5536" s="105"/>
    </row>
    <row r="5537" spans="1:6" x14ac:dyDescent="0.25">
      <c r="A5537" s="105" t="str">
        <f t="shared" si="86"/>
        <v/>
      </c>
      <c r="B5537" s="105"/>
      <c r="C5537" s="105"/>
      <c r="D5537" s="105"/>
      <c r="E5537" s="105"/>
      <c r="F5537" s="105"/>
    </row>
    <row r="5538" spans="1:6" x14ac:dyDescent="0.25">
      <c r="A5538" s="105" t="str">
        <f t="shared" si="86"/>
        <v/>
      </c>
      <c r="B5538" s="105"/>
      <c r="C5538" s="105"/>
      <c r="D5538" s="105"/>
      <c r="E5538" s="105"/>
      <c r="F5538" s="105"/>
    </row>
    <row r="5539" spans="1:6" x14ac:dyDescent="0.25">
      <c r="A5539" s="105" t="str">
        <f t="shared" si="86"/>
        <v/>
      </c>
      <c r="B5539" s="105"/>
      <c r="C5539" s="105"/>
      <c r="D5539" s="105"/>
      <c r="E5539" s="105"/>
      <c r="F5539" s="105"/>
    </row>
    <row r="5540" spans="1:6" x14ac:dyDescent="0.25">
      <c r="A5540" s="105" t="str">
        <f t="shared" si="86"/>
        <v/>
      </c>
      <c r="B5540" s="105"/>
      <c r="C5540" s="105"/>
      <c r="D5540" s="105"/>
      <c r="E5540" s="105"/>
      <c r="F5540" s="105"/>
    </row>
    <row r="5541" spans="1:6" x14ac:dyDescent="0.25">
      <c r="A5541" s="105" t="str">
        <f t="shared" si="86"/>
        <v/>
      </c>
      <c r="B5541" s="105"/>
      <c r="C5541" s="105"/>
      <c r="D5541" s="105"/>
      <c r="E5541" s="105"/>
      <c r="F5541" s="105"/>
    </row>
    <row r="5542" spans="1:6" x14ac:dyDescent="0.25">
      <c r="A5542" s="105" t="str">
        <f t="shared" si="86"/>
        <v/>
      </c>
      <c r="B5542" s="105"/>
      <c r="C5542" s="105"/>
      <c r="D5542" s="105"/>
      <c r="E5542" s="105"/>
      <c r="F5542" s="105"/>
    </row>
    <row r="5543" spans="1:6" x14ac:dyDescent="0.25">
      <c r="A5543" s="105" t="str">
        <f t="shared" si="86"/>
        <v/>
      </c>
      <c r="B5543" s="105"/>
      <c r="C5543" s="105"/>
      <c r="D5543" s="105"/>
      <c r="E5543" s="105"/>
      <c r="F5543" s="105"/>
    </row>
    <row r="5544" spans="1:6" x14ac:dyDescent="0.25">
      <c r="A5544" s="105" t="str">
        <f t="shared" si="86"/>
        <v/>
      </c>
      <c r="B5544" s="105"/>
      <c r="C5544" s="105"/>
      <c r="D5544" s="105"/>
      <c r="E5544" s="105"/>
      <c r="F5544" s="105"/>
    </row>
    <row r="5545" spans="1:6" x14ac:dyDescent="0.25">
      <c r="A5545" s="105" t="str">
        <f t="shared" si="86"/>
        <v/>
      </c>
      <c r="B5545" s="105"/>
      <c r="C5545" s="105"/>
      <c r="D5545" s="105"/>
      <c r="E5545" s="105"/>
      <c r="F5545" s="105"/>
    </row>
    <row r="5546" spans="1:6" x14ac:dyDescent="0.25">
      <c r="A5546" s="105" t="str">
        <f t="shared" si="86"/>
        <v/>
      </c>
      <c r="B5546" s="105"/>
      <c r="C5546" s="105"/>
      <c r="D5546" s="105"/>
      <c r="E5546" s="105"/>
      <c r="F5546" s="105"/>
    </row>
    <row r="5547" spans="1:6" x14ac:dyDescent="0.25">
      <c r="A5547" s="105" t="str">
        <f t="shared" si="86"/>
        <v/>
      </c>
      <c r="B5547" s="105"/>
      <c r="C5547" s="105"/>
      <c r="D5547" s="105"/>
      <c r="E5547" s="105"/>
      <c r="F5547" s="105"/>
    </row>
    <row r="5548" spans="1:6" x14ac:dyDescent="0.25">
      <c r="A5548" s="105" t="str">
        <f t="shared" si="86"/>
        <v/>
      </c>
      <c r="B5548" s="105"/>
      <c r="C5548" s="105"/>
      <c r="D5548" s="105"/>
      <c r="E5548" s="105"/>
      <c r="F5548" s="105"/>
    </row>
    <row r="5549" spans="1:6" x14ac:dyDescent="0.25">
      <c r="A5549" s="105" t="str">
        <f t="shared" si="86"/>
        <v/>
      </c>
      <c r="B5549" s="105"/>
      <c r="C5549" s="105"/>
      <c r="D5549" s="105"/>
      <c r="E5549" s="105"/>
      <c r="F5549" s="105"/>
    </row>
    <row r="5550" spans="1:6" x14ac:dyDescent="0.25">
      <c r="A5550" s="105" t="str">
        <f t="shared" si="86"/>
        <v/>
      </c>
      <c r="B5550" s="105"/>
      <c r="C5550" s="105"/>
      <c r="D5550" s="105"/>
      <c r="E5550" s="105"/>
      <c r="F5550" s="105"/>
    </row>
    <row r="5551" spans="1:6" x14ac:dyDescent="0.25">
      <c r="A5551" s="105" t="str">
        <f t="shared" si="86"/>
        <v/>
      </c>
      <c r="B5551" s="105"/>
      <c r="C5551" s="105"/>
      <c r="D5551" s="105"/>
      <c r="E5551" s="105"/>
      <c r="F5551" s="105"/>
    </row>
    <row r="5552" spans="1:6" x14ac:dyDescent="0.25">
      <c r="A5552" s="105" t="str">
        <f t="shared" si="86"/>
        <v/>
      </c>
      <c r="B5552" s="105"/>
      <c r="C5552" s="105"/>
      <c r="D5552" s="105"/>
      <c r="E5552" s="105"/>
      <c r="F5552" s="105"/>
    </row>
    <row r="5553" spans="1:6" x14ac:dyDescent="0.25">
      <c r="A5553" s="105" t="str">
        <f t="shared" si="86"/>
        <v/>
      </c>
      <c r="B5553" s="105"/>
      <c r="C5553" s="105"/>
      <c r="D5553" s="105"/>
      <c r="E5553" s="105"/>
      <c r="F5553" s="105"/>
    </row>
    <row r="5554" spans="1:6" x14ac:dyDescent="0.25">
      <c r="A5554" s="105" t="str">
        <f t="shared" si="86"/>
        <v/>
      </c>
      <c r="B5554" s="105"/>
      <c r="C5554" s="105"/>
      <c r="D5554" s="105"/>
      <c r="E5554" s="105"/>
      <c r="F5554" s="105"/>
    </row>
    <row r="5555" spans="1:6" x14ac:dyDescent="0.25">
      <c r="A5555" s="105" t="str">
        <f t="shared" si="86"/>
        <v/>
      </c>
      <c r="B5555" s="105"/>
      <c r="C5555" s="105"/>
      <c r="D5555" s="105"/>
      <c r="E5555" s="105"/>
      <c r="F5555" s="105"/>
    </row>
    <row r="5556" spans="1:6" x14ac:dyDescent="0.25">
      <c r="A5556" s="105" t="str">
        <f t="shared" si="86"/>
        <v/>
      </c>
      <c r="B5556" s="105"/>
      <c r="C5556" s="105"/>
      <c r="D5556" s="105"/>
      <c r="E5556" s="105"/>
      <c r="F5556" s="105"/>
    </row>
    <row r="5557" spans="1:6" x14ac:dyDescent="0.25">
      <c r="A5557" s="105" t="str">
        <f t="shared" si="86"/>
        <v/>
      </c>
      <c r="B5557" s="105"/>
      <c r="C5557" s="105"/>
      <c r="D5557" s="105"/>
      <c r="E5557" s="105"/>
      <c r="F5557" s="105"/>
    </row>
    <row r="5558" spans="1:6" x14ac:dyDescent="0.25">
      <c r="A5558" s="105" t="str">
        <f t="shared" si="86"/>
        <v/>
      </c>
      <c r="B5558" s="105"/>
      <c r="C5558" s="105"/>
      <c r="D5558" s="105"/>
      <c r="E5558" s="105"/>
      <c r="F5558" s="105"/>
    </row>
    <row r="5559" spans="1:6" x14ac:dyDescent="0.25">
      <c r="A5559" s="105" t="str">
        <f t="shared" si="86"/>
        <v/>
      </c>
      <c r="B5559" s="105"/>
      <c r="C5559" s="105"/>
      <c r="D5559" s="105"/>
      <c r="E5559" s="105"/>
      <c r="F5559" s="105"/>
    </row>
    <row r="5560" spans="1:6" x14ac:dyDescent="0.25">
      <c r="A5560" s="105" t="str">
        <f t="shared" si="86"/>
        <v/>
      </c>
      <c r="B5560" s="105"/>
      <c r="C5560" s="105"/>
      <c r="D5560" s="105"/>
      <c r="E5560" s="105"/>
      <c r="F5560" s="105"/>
    </row>
    <row r="5561" spans="1:6" x14ac:dyDescent="0.25">
      <c r="A5561" s="105" t="str">
        <f t="shared" si="86"/>
        <v/>
      </c>
      <c r="B5561" s="105"/>
      <c r="C5561" s="105"/>
      <c r="D5561" s="105"/>
      <c r="E5561" s="105"/>
      <c r="F5561" s="105"/>
    </row>
    <row r="5562" spans="1:6" x14ac:dyDescent="0.25">
      <c r="A5562" s="105" t="str">
        <f t="shared" si="86"/>
        <v/>
      </c>
      <c r="B5562" s="105"/>
      <c r="C5562" s="105"/>
      <c r="D5562" s="105"/>
      <c r="E5562" s="105"/>
      <c r="F5562" s="105"/>
    </row>
    <row r="5563" spans="1:6" x14ac:dyDescent="0.25">
      <c r="A5563" s="105" t="str">
        <f t="shared" si="86"/>
        <v/>
      </c>
      <c r="B5563" s="105"/>
      <c r="C5563" s="105"/>
      <c r="D5563" s="105"/>
      <c r="E5563" s="105"/>
      <c r="F5563" s="105"/>
    </row>
    <row r="5564" spans="1:6" x14ac:dyDescent="0.25">
      <c r="A5564" s="105" t="str">
        <f t="shared" si="86"/>
        <v/>
      </c>
      <c r="B5564" s="105"/>
      <c r="C5564" s="105"/>
      <c r="D5564" s="105"/>
      <c r="E5564" s="105"/>
      <c r="F5564" s="105"/>
    </row>
    <row r="5565" spans="1:6" x14ac:dyDescent="0.25">
      <c r="A5565" s="105" t="str">
        <f t="shared" si="86"/>
        <v/>
      </c>
      <c r="B5565" s="105"/>
      <c r="C5565" s="105"/>
      <c r="D5565" s="105"/>
      <c r="E5565" s="105"/>
      <c r="F5565" s="105"/>
    </row>
    <row r="5566" spans="1:6" x14ac:dyDescent="0.25">
      <c r="A5566" s="105" t="str">
        <f t="shared" si="86"/>
        <v/>
      </c>
      <c r="B5566" s="105"/>
      <c r="C5566" s="105"/>
      <c r="D5566" s="105"/>
      <c r="E5566" s="105"/>
      <c r="F5566" s="105"/>
    </row>
    <row r="5567" spans="1:6" x14ac:dyDescent="0.25">
      <c r="A5567" s="105" t="str">
        <f t="shared" si="86"/>
        <v/>
      </c>
      <c r="B5567" s="105"/>
      <c r="C5567" s="105"/>
      <c r="D5567" s="105"/>
      <c r="E5567" s="105"/>
      <c r="F5567" s="105"/>
    </row>
    <row r="5568" spans="1:6" x14ac:dyDescent="0.25">
      <c r="A5568" s="105" t="str">
        <f t="shared" si="86"/>
        <v/>
      </c>
      <c r="B5568" s="105"/>
      <c r="C5568" s="105"/>
      <c r="D5568" s="105"/>
      <c r="E5568" s="105"/>
      <c r="F5568" s="105"/>
    </row>
    <row r="5569" spans="1:6" x14ac:dyDescent="0.25">
      <c r="A5569" s="105" t="str">
        <f t="shared" si="86"/>
        <v/>
      </c>
      <c r="B5569" s="105"/>
      <c r="C5569" s="105"/>
      <c r="D5569" s="105"/>
      <c r="E5569" s="105"/>
      <c r="F5569" s="105"/>
    </row>
    <row r="5570" spans="1:6" x14ac:dyDescent="0.25">
      <c r="A5570" s="105" t="str">
        <f t="shared" si="86"/>
        <v/>
      </c>
      <c r="B5570" s="105"/>
      <c r="C5570" s="105"/>
      <c r="D5570" s="105"/>
      <c r="E5570" s="105"/>
      <c r="F5570" s="105"/>
    </row>
    <row r="5571" spans="1:6" x14ac:dyDescent="0.25">
      <c r="A5571" s="105" t="str">
        <f t="shared" ref="A5571:A5634" si="87">IF(B5571&lt;&gt;"",IFERROR(B5571*1,""),"")</f>
        <v/>
      </c>
      <c r="B5571" s="105"/>
      <c r="C5571" s="105"/>
      <c r="D5571" s="105"/>
      <c r="E5571" s="105"/>
      <c r="F5571" s="105"/>
    </row>
    <row r="5572" spans="1:6" x14ac:dyDescent="0.25">
      <c r="A5572" s="105" t="str">
        <f t="shared" si="87"/>
        <v/>
      </c>
      <c r="B5572" s="105"/>
      <c r="C5572" s="105"/>
      <c r="D5572" s="105"/>
      <c r="E5572" s="105"/>
      <c r="F5572" s="105"/>
    </row>
    <row r="5573" spans="1:6" x14ac:dyDescent="0.25">
      <c r="A5573" s="105" t="str">
        <f t="shared" si="87"/>
        <v/>
      </c>
      <c r="B5573" s="105"/>
      <c r="C5573" s="105"/>
      <c r="D5573" s="105"/>
      <c r="E5573" s="105"/>
      <c r="F5573" s="105"/>
    </row>
    <row r="5574" spans="1:6" x14ac:dyDescent="0.25">
      <c r="A5574" s="105" t="str">
        <f t="shared" si="87"/>
        <v/>
      </c>
      <c r="B5574" s="105"/>
      <c r="C5574" s="105"/>
      <c r="D5574" s="105"/>
      <c r="E5574" s="105"/>
      <c r="F5574" s="105"/>
    </row>
    <row r="5575" spans="1:6" x14ac:dyDescent="0.25">
      <c r="A5575" s="105" t="str">
        <f t="shared" si="87"/>
        <v/>
      </c>
      <c r="B5575" s="105"/>
      <c r="C5575" s="105"/>
      <c r="D5575" s="105"/>
      <c r="E5575" s="105"/>
      <c r="F5575" s="105"/>
    </row>
    <row r="5576" spans="1:6" x14ac:dyDescent="0.25">
      <c r="A5576" s="105" t="str">
        <f t="shared" si="87"/>
        <v/>
      </c>
      <c r="B5576" s="105"/>
      <c r="C5576" s="105"/>
      <c r="D5576" s="105"/>
      <c r="E5576" s="105"/>
      <c r="F5576" s="105"/>
    </row>
    <row r="5577" spans="1:6" x14ac:dyDescent="0.25">
      <c r="A5577" s="105" t="str">
        <f t="shared" si="87"/>
        <v/>
      </c>
      <c r="B5577" s="105"/>
      <c r="C5577" s="105"/>
      <c r="D5577" s="105"/>
      <c r="E5577" s="105"/>
      <c r="F5577" s="105"/>
    </row>
    <row r="5578" spans="1:6" x14ac:dyDescent="0.25">
      <c r="A5578" s="105" t="str">
        <f t="shared" si="87"/>
        <v/>
      </c>
      <c r="B5578" s="105"/>
      <c r="C5578" s="105"/>
      <c r="D5578" s="105"/>
      <c r="E5578" s="105"/>
      <c r="F5578" s="105"/>
    </row>
    <row r="5579" spans="1:6" x14ac:dyDescent="0.25">
      <c r="A5579" s="105" t="str">
        <f t="shared" si="87"/>
        <v/>
      </c>
      <c r="B5579" s="105"/>
      <c r="C5579" s="105"/>
      <c r="D5579" s="105"/>
      <c r="E5579" s="105"/>
      <c r="F5579" s="105"/>
    </row>
    <row r="5580" spans="1:6" x14ac:dyDescent="0.25">
      <c r="A5580" s="105" t="str">
        <f t="shared" si="87"/>
        <v/>
      </c>
      <c r="B5580" s="105"/>
      <c r="C5580" s="105"/>
      <c r="D5580" s="105"/>
      <c r="E5580" s="105"/>
      <c r="F5580" s="105"/>
    </row>
    <row r="5581" spans="1:6" x14ac:dyDescent="0.25">
      <c r="A5581" s="105" t="str">
        <f t="shared" si="87"/>
        <v/>
      </c>
      <c r="B5581" s="105"/>
      <c r="C5581" s="105"/>
      <c r="D5581" s="105"/>
      <c r="E5581" s="105"/>
      <c r="F5581" s="105"/>
    </row>
    <row r="5582" spans="1:6" x14ac:dyDescent="0.25">
      <c r="A5582" s="105" t="str">
        <f t="shared" si="87"/>
        <v/>
      </c>
      <c r="B5582" s="105"/>
      <c r="C5582" s="105"/>
      <c r="D5582" s="105"/>
      <c r="E5582" s="105"/>
      <c r="F5582" s="105"/>
    </row>
    <row r="5583" spans="1:6" x14ac:dyDescent="0.25">
      <c r="A5583" s="105" t="str">
        <f t="shared" si="87"/>
        <v/>
      </c>
      <c r="B5583" s="105"/>
      <c r="C5583" s="105"/>
      <c r="D5583" s="105"/>
      <c r="E5583" s="105"/>
      <c r="F5583" s="105"/>
    </row>
    <row r="5584" spans="1:6" x14ac:dyDescent="0.25">
      <c r="A5584" s="105" t="str">
        <f t="shared" si="87"/>
        <v/>
      </c>
      <c r="B5584" s="105"/>
      <c r="C5584" s="105"/>
      <c r="D5584" s="105"/>
      <c r="E5584" s="105"/>
      <c r="F5584" s="105"/>
    </row>
    <row r="5585" spans="1:6" x14ac:dyDescent="0.25">
      <c r="A5585" s="105" t="str">
        <f t="shared" si="87"/>
        <v/>
      </c>
      <c r="B5585" s="105"/>
      <c r="C5585" s="105"/>
      <c r="D5585" s="105"/>
      <c r="E5585" s="105"/>
      <c r="F5585" s="105"/>
    </row>
    <row r="5586" spans="1:6" x14ac:dyDescent="0.25">
      <c r="A5586" s="105" t="str">
        <f t="shared" si="87"/>
        <v/>
      </c>
      <c r="B5586" s="105"/>
      <c r="C5586" s="105"/>
      <c r="D5586" s="105"/>
      <c r="E5586" s="105"/>
      <c r="F5586" s="105"/>
    </row>
    <row r="5587" spans="1:6" x14ac:dyDescent="0.25">
      <c r="A5587" s="105" t="str">
        <f t="shared" si="87"/>
        <v/>
      </c>
      <c r="B5587" s="105"/>
      <c r="C5587" s="105"/>
      <c r="D5587" s="105"/>
      <c r="E5587" s="105"/>
      <c r="F5587" s="105"/>
    </row>
    <row r="5588" spans="1:6" x14ac:dyDescent="0.25">
      <c r="A5588" s="105" t="str">
        <f t="shared" si="87"/>
        <v/>
      </c>
      <c r="B5588" s="105"/>
      <c r="C5588" s="105"/>
      <c r="D5588" s="105"/>
      <c r="E5588" s="105"/>
      <c r="F5588" s="105"/>
    </row>
    <row r="5589" spans="1:6" x14ac:dyDescent="0.25">
      <c r="A5589" s="105" t="str">
        <f t="shared" si="87"/>
        <v/>
      </c>
      <c r="B5589" s="105"/>
      <c r="C5589" s="105"/>
      <c r="D5589" s="105"/>
      <c r="E5589" s="105"/>
      <c r="F5589" s="105"/>
    </row>
    <row r="5590" spans="1:6" x14ac:dyDescent="0.25">
      <c r="A5590" s="105" t="str">
        <f t="shared" si="87"/>
        <v/>
      </c>
      <c r="B5590" s="105"/>
      <c r="C5590" s="105"/>
      <c r="D5590" s="105"/>
      <c r="E5590" s="105"/>
      <c r="F5590" s="105"/>
    </row>
    <row r="5591" spans="1:6" x14ac:dyDescent="0.25">
      <c r="A5591" s="105" t="str">
        <f t="shared" si="87"/>
        <v/>
      </c>
      <c r="B5591" s="105"/>
      <c r="C5591" s="105"/>
      <c r="D5591" s="105"/>
      <c r="E5591" s="105"/>
      <c r="F5591" s="105"/>
    </row>
    <row r="5592" spans="1:6" x14ac:dyDescent="0.25">
      <c r="A5592" s="105" t="str">
        <f t="shared" si="87"/>
        <v/>
      </c>
      <c r="B5592" s="105"/>
      <c r="C5592" s="105"/>
      <c r="D5592" s="105"/>
      <c r="E5592" s="105"/>
      <c r="F5592" s="105"/>
    </row>
    <row r="5593" spans="1:6" x14ac:dyDescent="0.25">
      <c r="A5593" s="105" t="str">
        <f t="shared" si="87"/>
        <v/>
      </c>
      <c r="B5593" s="105"/>
      <c r="C5593" s="105"/>
      <c r="D5593" s="105"/>
      <c r="E5593" s="105"/>
      <c r="F5593" s="105"/>
    </row>
    <row r="5594" spans="1:6" x14ac:dyDescent="0.25">
      <c r="A5594" s="105" t="str">
        <f t="shared" si="87"/>
        <v/>
      </c>
      <c r="B5594" s="105"/>
      <c r="C5594" s="105"/>
      <c r="D5594" s="105"/>
      <c r="E5594" s="105"/>
      <c r="F5594" s="105"/>
    </row>
    <row r="5595" spans="1:6" x14ac:dyDescent="0.25">
      <c r="A5595" s="105" t="str">
        <f t="shared" si="87"/>
        <v/>
      </c>
      <c r="B5595" s="105"/>
      <c r="C5595" s="105"/>
      <c r="D5595" s="105"/>
      <c r="E5595" s="105"/>
      <c r="F5595" s="105"/>
    </row>
    <row r="5596" spans="1:6" x14ac:dyDescent="0.25">
      <c r="A5596" s="105" t="str">
        <f t="shared" si="87"/>
        <v/>
      </c>
      <c r="B5596" s="105"/>
      <c r="C5596" s="105"/>
      <c r="D5596" s="105"/>
      <c r="E5596" s="105"/>
      <c r="F5596" s="105"/>
    </row>
    <row r="5597" spans="1:6" x14ac:dyDescent="0.25">
      <c r="A5597" s="105" t="str">
        <f t="shared" si="87"/>
        <v/>
      </c>
      <c r="B5597" s="105"/>
      <c r="C5597" s="105"/>
      <c r="D5597" s="105"/>
      <c r="E5597" s="105"/>
      <c r="F5597" s="105"/>
    </row>
    <row r="5598" spans="1:6" x14ac:dyDescent="0.25">
      <c r="A5598" s="105" t="str">
        <f t="shared" si="87"/>
        <v/>
      </c>
      <c r="B5598" s="105"/>
      <c r="C5598" s="105"/>
      <c r="D5598" s="105"/>
      <c r="E5598" s="105"/>
      <c r="F5598" s="105"/>
    </row>
    <row r="5599" spans="1:6" x14ac:dyDescent="0.25">
      <c r="A5599" s="105" t="str">
        <f t="shared" si="87"/>
        <v/>
      </c>
      <c r="B5599" s="105"/>
      <c r="C5599" s="105"/>
      <c r="D5599" s="105"/>
      <c r="E5599" s="105"/>
      <c r="F5599" s="105"/>
    </row>
    <row r="5600" spans="1:6" x14ac:dyDescent="0.25">
      <c r="A5600" s="105" t="str">
        <f t="shared" si="87"/>
        <v/>
      </c>
      <c r="B5600" s="105"/>
      <c r="C5600" s="105"/>
      <c r="D5600" s="105"/>
      <c r="E5600" s="105"/>
      <c r="F5600" s="105"/>
    </row>
    <row r="5601" spans="1:6" x14ac:dyDescent="0.25">
      <c r="A5601" s="105" t="str">
        <f t="shared" si="87"/>
        <v/>
      </c>
      <c r="B5601" s="105"/>
      <c r="C5601" s="105"/>
      <c r="D5601" s="105"/>
      <c r="E5601" s="105"/>
      <c r="F5601" s="105"/>
    </row>
    <row r="5602" spans="1:6" x14ac:dyDescent="0.25">
      <c r="A5602" s="105" t="str">
        <f t="shared" si="87"/>
        <v/>
      </c>
      <c r="B5602" s="105"/>
      <c r="C5602" s="105"/>
      <c r="D5602" s="105"/>
      <c r="E5602" s="105"/>
      <c r="F5602" s="105"/>
    </row>
    <row r="5603" spans="1:6" x14ac:dyDescent="0.25">
      <c r="A5603" s="105" t="str">
        <f t="shared" si="87"/>
        <v/>
      </c>
      <c r="B5603" s="105"/>
      <c r="C5603" s="105"/>
      <c r="D5603" s="105"/>
      <c r="E5603" s="105"/>
      <c r="F5603" s="105"/>
    </row>
    <row r="5604" spans="1:6" x14ac:dyDescent="0.25">
      <c r="A5604" s="105" t="str">
        <f t="shared" si="87"/>
        <v/>
      </c>
      <c r="B5604" s="105"/>
      <c r="C5604" s="105"/>
      <c r="D5604" s="105"/>
      <c r="E5604" s="105"/>
      <c r="F5604" s="105"/>
    </row>
    <row r="5605" spans="1:6" x14ac:dyDescent="0.25">
      <c r="A5605" s="105" t="str">
        <f t="shared" si="87"/>
        <v/>
      </c>
      <c r="B5605" s="105"/>
      <c r="C5605" s="105"/>
      <c r="D5605" s="105"/>
      <c r="E5605" s="105"/>
      <c r="F5605" s="105"/>
    </row>
    <row r="5606" spans="1:6" x14ac:dyDescent="0.25">
      <c r="A5606" s="105" t="str">
        <f t="shared" si="87"/>
        <v/>
      </c>
      <c r="B5606" s="105"/>
      <c r="C5606" s="105"/>
      <c r="D5606" s="105"/>
      <c r="E5606" s="105"/>
      <c r="F5606" s="105"/>
    </row>
    <row r="5607" spans="1:6" x14ac:dyDescent="0.25">
      <c r="A5607" s="105" t="str">
        <f t="shared" si="87"/>
        <v/>
      </c>
      <c r="B5607" s="105"/>
      <c r="C5607" s="105"/>
      <c r="D5607" s="105"/>
      <c r="E5607" s="105"/>
      <c r="F5607" s="105"/>
    </row>
    <row r="5608" spans="1:6" x14ac:dyDescent="0.25">
      <c r="A5608" s="105" t="str">
        <f t="shared" si="87"/>
        <v/>
      </c>
      <c r="B5608" s="105"/>
      <c r="C5608" s="105"/>
      <c r="D5608" s="105"/>
      <c r="E5608" s="105"/>
      <c r="F5608" s="105"/>
    </row>
    <row r="5609" spans="1:6" x14ac:dyDescent="0.25">
      <c r="A5609" s="105" t="str">
        <f t="shared" si="87"/>
        <v/>
      </c>
      <c r="B5609" s="105"/>
      <c r="C5609" s="105"/>
      <c r="D5609" s="105"/>
      <c r="E5609" s="105"/>
      <c r="F5609" s="105"/>
    </row>
    <row r="5610" spans="1:6" x14ac:dyDescent="0.25">
      <c r="A5610" s="105" t="str">
        <f t="shared" si="87"/>
        <v/>
      </c>
      <c r="B5610" s="105"/>
      <c r="C5610" s="105"/>
      <c r="D5610" s="105"/>
      <c r="E5610" s="105"/>
      <c r="F5610" s="105"/>
    </row>
    <row r="5611" spans="1:6" x14ac:dyDescent="0.25">
      <c r="A5611" s="105" t="str">
        <f t="shared" si="87"/>
        <v/>
      </c>
      <c r="B5611" s="105"/>
      <c r="C5611" s="105"/>
      <c r="D5611" s="105"/>
      <c r="E5611" s="105"/>
      <c r="F5611" s="105"/>
    </row>
    <row r="5612" spans="1:6" x14ac:dyDescent="0.25">
      <c r="A5612" s="105" t="str">
        <f t="shared" si="87"/>
        <v/>
      </c>
      <c r="B5612" s="105"/>
      <c r="C5612" s="105"/>
      <c r="D5612" s="105"/>
      <c r="E5612" s="105"/>
      <c r="F5612" s="105"/>
    </row>
    <row r="5613" spans="1:6" x14ac:dyDescent="0.25">
      <c r="A5613" s="105" t="str">
        <f t="shared" si="87"/>
        <v/>
      </c>
      <c r="B5613" s="105"/>
      <c r="C5613" s="105"/>
      <c r="D5613" s="105"/>
      <c r="E5613" s="105"/>
      <c r="F5613" s="105"/>
    </row>
    <row r="5614" spans="1:6" x14ac:dyDescent="0.25">
      <c r="A5614" s="105" t="str">
        <f t="shared" si="87"/>
        <v/>
      </c>
      <c r="B5614" s="105"/>
      <c r="C5614" s="105"/>
      <c r="D5614" s="105"/>
      <c r="E5614" s="105"/>
      <c r="F5614" s="105"/>
    </row>
    <row r="5615" spans="1:6" x14ac:dyDescent="0.25">
      <c r="A5615" s="105" t="str">
        <f t="shared" si="87"/>
        <v/>
      </c>
      <c r="B5615" s="105"/>
      <c r="C5615" s="105"/>
      <c r="D5615" s="105"/>
      <c r="E5615" s="105"/>
      <c r="F5615" s="105"/>
    </row>
    <row r="5616" spans="1:6" x14ac:dyDescent="0.25">
      <c r="A5616" s="105" t="str">
        <f t="shared" si="87"/>
        <v/>
      </c>
      <c r="B5616" s="105"/>
      <c r="C5616" s="105"/>
      <c r="D5616" s="105"/>
      <c r="E5616" s="105"/>
      <c r="F5616" s="105"/>
    </row>
    <row r="5617" spans="1:6" x14ac:dyDescent="0.25">
      <c r="A5617" s="105" t="str">
        <f t="shared" si="87"/>
        <v/>
      </c>
      <c r="B5617" s="105"/>
      <c r="C5617" s="105"/>
      <c r="D5617" s="105"/>
      <c r="E5617" s="105"/>
      <c r="F5617" s="105"/>
    </row>
    <row r="5618" spans="1:6" x14ac:dyDescent="0.25">
      <c r="A5618" s="105" t="str">
        <f t="shared" si="87"/>
        <v/>
      </c>
      <c r="B5618" s="105"/>
      <c r="C5618" s="105"/>
      <c r="D5618" s="105"/>
      <c r="E5618" s="105"/>
      <c r="F5618" s="105"/>
    </row>
    <row r="5619" spans="1:6" x14ac:dyDescent="0.25">
      <c r="A5619" s="105" t="str">
        <f t="shared" si="87"/>
        <v/>
      </c>
      <c r="B5619" s="105"/>
      <c r="C5619" s="105"/>
      <c r="D5619" s="105"/>
      <c r="E5619" s="105"/>
      <c r="F5619" s="105"/>
    </row>
    <row r="5620" spans="1:6" x14ac:dyDescent="0.25">
      <c r="A5620" s="105" t="str">
        <f t="shared" si="87"/>
        <v/>
      </c>
      <c r="B5620" s="105"/>
      <c r="C5620" s="105"/>
      <c r="D5620" s="105"/>
      <c r="E5620" s="105"/>
      <c r="F5620" s="105"/>
    </row>
    <row r="5621" spans="1:6" x14ac:dyDescent="0.25">
      <c r="A5621" s="105" t="str">
        <f t="shared" si="87"/>
        <v/>
      </c>
      <c r="B5621" s="105"/>
      <c r="C5621" s="105"/>
      <c r="D5621" s="105"/>
      <c r="E5621" s="105"/>
      <c r="F5621" s="105"/>
    </row>
    <row r="5622" spans="1:6" x14ac:dyDescent="0.25">
      <c r="A5622" s="105" t="str">
        <f t="shared" si="87"/>
        <v/>
      </c>
      <c r="B5622" s="105"/>
      <c r="C5622" s="105"/>
      <c r="D5622" s="105"/>
      <c r="E5622" s="105"/>
      <c r="F5622" s="105"/>
    </row>
    <row r="5623" spans="1:6" x14ac:dyDescent="0.25">
      <c r="A5623" s="105" t="str">
        <f t="shared" si="87"/>
        <v/>
      </c>
      <c r="B5623" s="105"/>
      <c r="C5623" s="105"/>
      <c r="D5623" s="105"/>
      <c r="E5623" s="105"/>
      <c r="F5623" s="105"/>
    </row>
    <row r="5624" spans="1:6" x14ac:dyDescent="0.25">
      <c r="A5624" s="105" t="str">
        <f t="shared" si="87"/>
        <v/>
      </c>
      <c r="B5624" s="105"/>
      <c r="C5624" s="105"/>
      <c r="D5624" s="105"/>
      <c r="E5624" s="105"/>
      <c r="F5624" s="105"/>
    </row>
    <row r="5625" spans="1:6" x14ac:dyDescent="0.25">
      <c r="A5625" s="105" t="str">
        <f t="shared" si="87"/>
        <v/>
      </c>
      <c r="B5625" s="105"/>
      <c r="C5625" s="105"/>
      <c r="D5625" s="105"/>
      <c r="E5625" s="105"/>
      <c r="F5625" s="105"/>
    </row>
    <row r="5626" spans="1:6" x14ac:dyDescent="0.25">
      <c r="A5626" s="105" t="str">
        <f t="shared" si="87"/>
        <v/>
      </c>
      <c r="B5626" s="105"/>
      <c r="C5626" s="105"/>
      <c r="D5626" s="105"/>
      <c r="E5626" s="105"/>
      <c r="F5626" s="105"/>
    </row>
    <row r="5627" spans="1:6" x14ac:dyDescent="0.25">
      <c r="A5627" s="105" t="str">
        <f t="shared" si="87"/>
        <v/>
      </c>
      <c r="B5627" s="105"/>
      <c r="C5627" s="105"/>
      <c r="D5627" s="105"/>
      <c r="E5627" s="105"/>
      <c r="F5627" s="105"/>
    </row>
    <row r="5628" spans="1:6" x14ac:dyDescent="0.25">
      <c r="A5628" s="105" t="str">
        <f t="shared" si="87"/>
        <v/>
      </c>
      <c r="B5628" s="105"/>
      <c r="C5628" s="105"/>
      <c r="D5628" s="105"/>
      <c r="E5628" s="105"/>
      <c r="F5628" s="105"/>
    </row>
    <row r="5629" spans="1:6" x14ac:dyDescent="0.25">
      <c r="A5629" s="105" t="str">
        <f t="shared" si="87"/>
        <v/>
      </c>
      <c r="B5629" s="105"/>
      <c r="C5629" s="105"/>
      <c r="D5629" s="105"/>
      <c r="E5629" s="105"/>
      <c r="F5629" s="105"/>
    </row>
    <row r="5630" spans="1:6" x14ac:dyDescent="0.25">
      <c r="A5630" s="105" t="str">
        <f t="shared" si="87"/>
        <v/>
      </c>
      <c r="B5630" s="105"/>
      <c r="C5630" s="105"/>
      <c r="D5630" s="105"/>
      <c r="E5630" s="105"/>
      <c r="F5630" s="105"/>
    </row>
    <row r="5631" spans="1:6" x14ac:dyDescent="0.25">
      <c r="A5631" s="105" t="str">
        <f t="shared" si="87"/>
        <v/>
      </c>
      <c r="B5631" s="105"/>
      <c r="C5631" s="105"/>
      <c r="D5631" s="105"/>
      <c r="E5631" s="105"/>
      <c r="F5631" s="105"/>
    </row>
    <row r="5632" spans="1:6" x14ac:dyDescent="0.25">
      <c r="A5632" s="105" t="str">
        <f t="shared" si="87"/>
        <v/>
      </c>
      <c r="B5632" s="105"/>
      <c r="C5632" s="105"/>
      <c r="D5632" s="105"/>
      <c r="E5632" s="105"/>
      <c r="F5632" s="105"/>
    </row>
    <row r="5633" spans="1:6" x14ac:dyDescent="0.25">
      <c r="A5633" s="105" t="str">
        <f t="shared" si="87"/>
        <v/>
      </c>
      <c r="B5633" s="105"/>
      <c r="C5633" s="105"/>
      <c r="D5633" s="105"/>
      <c r="E5633" s="105"/>
      <c r="F5633" s="105"/>
    </row>
    <row r="5634" spans="1:6" x14ac:dyDescent="0.25">
      <c r="A5634" s="105" t="str">
        <f t="shared" si="87"/>
        <v/>
      </c>
      <c r="B5634" s="105"/>
      <c r="C5634" s="105"/>
      <c r="D5634" s="105"/>
      <c r="E5634" s="105"/>
      <c r="F5634" s="105"/>
    </row>
    <row r="5635" spans="1:6" x14ac:dyDescent="0.25">
      <c r="A5635" s="105" t="str">
        <f t="shared" ref="A5635:A5698" si="88">IF(B5635&lt;&gt;"",IFERROR(B5635*1,""),"")</f>
        <v/>
      </c>
      <c r="B5635" s="105"/>
      <c r="C5635" s="105"/>
      <c r="D5635" s="105"/>
      <c r="E5635" s="105"/>
      <c r="F5635" s="105"/>
    </row>
    <row r="5636" spans="1:6" x14ac:dyDescent="0.25">
      <c r="A5636" s="105" t="str">
        <f t="shared" si="88"/>
        <v/>
      </c>
      <c r="B5636" s="105"/>
      <c r="C5636" s="105"/>
      <c r="D5636" s="105"/>
      <c r="E5636" s="105"/>
      <c r="F5636" s="105"/>
    </row>
    <row r="5637" spans="1:6" x14ac:dyDescent="0.25">
      <c r="A5637" s="105" t="str">
        <f t="shared" si="88"/>
        <v/>
      </c>
      <c r="B5637" s="105"/>
      <c r="C5637" s="105"/>
      <c r="D5637" s="105"/>
      <c r="E5637" s="105"/>
      <c r="F5637" s="105"/>
    </row>
    <row r="5638" spans="1:6" x14ac:dyDescent="0.25">
      <c r="A5638" s="105" t="str">
        <f t="shared" si="88"/>
        <v/>
      </c>
      <c r="B5638" s="105"/>
      <c r="C5638" s="105"/>
      <c r="D5638" s="105"/>
      <c r="E5638" s="105"/>
      <c r="F5638" s="105"/>
    </row>
    <row r="5639" spans="1:6" x14ac:dyDescent="0.25">
      <c r="A5639" s="105" t="str">
        <f t="shared" si="88"/>
        <v/>
      </c>
      <c r="B5639" s="105"/>
      <c r="C5639" s="105"/>
      <c r="D5639" s="105"/>
      <c r="E5639" s="105"/>
      <c r="F5639" s="105"/>
    </row>
    <row r="5640" spans="1:6" x14ac:dyDescent="0.25">
      <c r="A5640" s="105" t="str">
        <f t="shared" si="88"/>
        <v/>
      </c>
      <c r="B5640" s="105"/>
      <c r="C5640" s="105"/>
      <c r="D5640" s="105"/>
      <c r="E5640" s="105"/>
      <c r="F5640" s="105"/>
    </row>
    <row r="5641" spans="1:6" x14ac:dyDescent="0.25">
      <c r="A5641" s="105" t="str">
        <f t="shared" si="88"/>
        <v/>
      </c>
      <c r="B5641" s="105"/>
      <c r="C5641" s="105"/>
      <c r="D5641" s="105"/>
      <c r="E5641" s="105"/>
      <c r="F5641" s="105"/>
    </row>
    <row r="5642" spans="1:6" x14ac:dyDescent="0.25">
      <c r="A5642" s="105" t="str">
        <f t="shared" si="88"/>
        <v/>
      </c>
      <c r="B5642" s="105"/>
      <c r="C5642" s="105"/>
      <c r="D5642" s="105"/>
      <c r="E5642" s="105"/>
      <c r="F5642" s="105"/>
    </row>
    <row r="5643" spans="1:6" x14ac:dyDescent="0.25">
      <c r="A5643" s="105" t="str">
        <f t="shared" si="88"/>
        <v/>
      </c>
      <c r="B5643" s="105"/>
      <c r="C5643" s="105"/>
      <c r="D5643" s="105"/>
      <c r="E5643" s="105"/>
      <c r="F5643" s="105"/>
    </row>
    <row r="5644" spans="1:6" x14ac:dyDescent="0.25">
      <c r="A5644" s="105" t="str">
        <f t="shared" si="88"/>
        <v/>
      </c>
      <c r="B5644" s="105"/>
      <c r="C5644" s="105"/>
      <c r="D5644" s="105"/>
      <c r="E5644" s="105"/>
      <c r="F5644" s="105"/>
    </row>
    <row r="5645" spans="1:6" x14ac:dyDescent="0.25">
      <c r="A5645" s="105" t="str">
        <f t="shared" si="88"/>
        <v/>
      </c>
      <c r="B5645" s="105"/>
      <c r="C5645" s="105"/>
      <c r="D5645" s="105"/>
      <c r="E5645" s="105"/>
      <c r="F5645" s="105"/>
    </row>
    <row r="5646" spans="1:6" x14ac:dyDescent="0.25">
      <c r="A5646" s="105" t="str">
        <f t="shared" si="88"/>
        <v/>
      </c>
      <c r="B5646" s="105"/>
      <c r="C5646" s="105"/>
      <c r="D5646" s="105"/>
      <c r="E5646" s="105"/>
      <c r="F5646" s="105"/>
    </row>
    <row r="5647" spans="1:6" x14ac:dyDescent="0.25">
      <c r="A5647" s="105" t="str">
        <f t="shared" si="88"/>
        <v/>
      </c>
      <c r="B5647" s="105"/>
      <c r="C5647" s="105"/>
      <c r="D5647" s="105"/>
      <c r="E5647" s="105"/>
      <c r="F5647" s="105"/>
    </row>
    <row r="5648" spans="1:6" x14ac:dyDescent="0.25">
      <c r="A5648" s="105" t="str">
        <f t="shared" si="88"/>
        <v/>
      </c>
      <c r="B5648" s="105"/>
      <c r="C5648" s="105"/>
      <c r="D5648" s="105"/>
      <c r="E5648" s="105"/>
      <c r="F5648" s="105"/>
    </row>
    <row r="5649" spans="1:6" x14ac:dyDescent="0.25">
      <c r="A5649" s="105" t="str">
        <f t="shared" si="88"/>
        <v/>
      </c>
      <c r="B5649" s="105"/>
      <c r="C5649" s="105"/>
      <c r="D5649" s="105"/>
      <c r="E5649" s="105"/>
      <c r="F5649" s="105"/>
    </row>
    <row r="5650" spans="1:6" x14ac:dyDescent="0.25">
      <c r="A5650" s="105" t="str">
        <f t="shared" si="88"/>
        <v/>
      </c>
      <c r="B5650" s="105"/>
      <c r="C5650" s="105"/>
      <c r="D5650" s="105"/>
      <c r="E5650" s="105"/>
      <c r="F5650" s="105"/>
    </row>
    <row r="5651" spans="1:6" x14ac:dyDescent="0.25">
      <c r="A5651" s="105" t="str">
        <f t="shared" si="88"/>
        <v/>
      </c>
      <c r="B5651" s="105"/>
      <c r="C5651" s="105"/>
      <c r="D5651" s="105"/>
      <c r="E5651" s="105"/>
      <c r="F5651" s="105"/>
    </row>
    <row r="5652" spans="1:6" x14ac:dyDescent="0.25">
      <c r="A5652" s="105" t="str">
        <f t="shared" si="88"/>
        <v/>
      </c>
      <c r="B5652" s="105"/>
      <c r="C5652" s="105"/>
      <c r="D5652" s="105"/>
      <c r="E5652" s="105"/>
      <c r="F5652" s="105"/>
    </row>
    <row r="5653" spans="1:6" x14ac:dyDescent="0.25">
      <c r="A5653" s="105" t="str">
        <f t="shared" si="88"/>
        <v/>
      </c>
      <c r="B5653" s="105"/>
      <c r="C5653" s="105"/>
      <c r="D5653" s="105"/>
      <c r="E5653" s="105"/>
      <c r="F5653" s="105"/>
    </row>
    <row r="5654" spans="1:6" x14ac:dyDescent="0.25">
      <c r="A5654" s="105" t="str">
        <f t="shared" si="88"/>
        <v/>
      </c>
      <c r="B5654" s="105"/>
      <c r="C5654" s="105"/>
      <c r="D5654" s="105"/>
      <c r="E5654" s="105"/>
      <c r="F5654" s="105"/>
    </row>
    <row r="5655" spans="1:6" x14ac:dyDescent="0.25">
      <c r="A5655" s="105" t="str">
        <f t="shared" si="88"/>
        <v/>
      </c>
      <c r="B5655" s="105"/>
      <c r="C5655" s="105"/>
      <c r="D5655" s="105"/>
      <c r="E5655" s="105"/>
      <c r="F5655" s="105"/>
    </row>
    <row r="5656" spans="1:6" x14ac:dyDescent="0.25">
      <c r="A5656" s="105" t="str">
        <f t="shared" si="88"/>
        <v/>
      </c>
      <c r="B5656" s="105"/>
      <c r="C5656" s="105"/>
      <c r="D5656" s="105"/>
      <c r="E5656" s="105"/>
      <c r="F5656" s="105"/>
    </row>
    <row r="5657" spans="1:6" x14ac:dyDescent="0.25">
      <c r="A5657" s="105" t="str">
        <f t="shared" si="88"/>
        <v/>
      </c>
      <c r="B5657" s="105"/>
      <c r="C5657" s="105"/>
      <c r="D5657" s="105"/>
      <c r="E5657" s="105"/>
      <c r="F5657" s="105"/>
    </row>
    <row r="5658" spans="1:6" x14ac:dyDescent="0.25">
      <c r="A5658" s="105" t="str">
        <f t="shared" si="88"/>
        <v/>
      </c>
      <c r="B5658" s="105"/>
      <c r="C5658" s="105"/>
      <c r="D5658" s="105"/>
      <c r="E5658" s="105"/>
      <c r="F5658" s="105"/>
    </row>
    <row r="5659" spans="1:6" x14ac:dyDescent="0.25">
      <c r="A5659" s="105" t="str">
        <f t="shared" si="88"/>
        <v/>
      </c>
      <c r="B5659" s="105"/>
      <c r="C5659" s="105"/>
      <c r="D5659" s="105"/>
      <c r="E5659" s="105"/>
      <c r="F5659" s="105"/>
    </row>
    <row r="5660" spans="1:6" x14ac:dyDescent="0.25">
      <c r="A5660" s="105" t="str">
        <f t="shared" si="88"/>
        <v/>
      </c>
      <c r="B5660" s="105"/>
      <c r="C5660" s="105"/>
      <c r="D5660" s="105"/>
      <c r="E5660" s="105"/>
      <c r="F5660" s="105"/>
    </row>
    <row r="5661" spans="1:6" x14ac:dyDescent="0.25">
      <c r="A5661" s="105" t="str">
        <f t="shared" si="88"/>
        <v/>
      </c>
      <c r="B5661" s="105"/>
      <c r="C5661" s="105"/>
      <c r="D5661" s="105"/>
      <c r="E5661" s="105"/>
      <c r="F5661" s="105"/>
    </row>
    <row r="5662" spans="1:6" x14ac:dyDescent="0.25">
      <c r="A5662" s="105" t="str">
        <f t="shared" si="88"/>
        <v/>
      </c>
      <c r="B5662" s="105"/>
      <c r="C5662" s="105"/>
      <c r="D5662" s="105"/>
      <c r="E5662" s="105"/>
      <c r="F5662" s="105"/>
    </row>
    <row r="5663" spans="1:6" x14ac:dyDescent="0.25">
      <c r="A5663" s="105" t="str">
        <f t="shared" si="88"/>
        <v/>
      </c>
      <c r="B5663" s="105"/>
      <c r="C5663" s="105"/>
      <c r="D5663" s="105"/>
      <c r="E5663" s="105"/>
      <c r="F5663" s="105"/>
    </row>
    <row r="5664" spans="1:6" x14ac:dyDescent="0.25">
      <c r="A5664" s="105" t="str">
        <f t="shared" si="88"/>
        <v/>
      </c>
      <c r="B5664" s="105"/>
      <c r="C5664" s="105"/>
      <c r="D5664" s="105"/>
      <c r="E5664" s="105"/>
      <c r="F5664" s="105"/>
    </row>
    <row r="5665" spans="1:6" x14ac:dyDescent="0.25">
      <c r="A5665" s="105" t="str">
        <f t="shared" si="88"/>
        <v/>
      </c>
      <c r="B5665" s="105"/>
      <c r="C5665" s="105"/>
      <c r="D5665" s="105"/>
      <c r="E5665" s="105"/>
      <c r="F5665" s="105"/>
    </row>
    <row r="5666" spans="1:6" x14ac:dyDescent="0.25">
      <c r="A5666" s="105" t="str">
        <f t="shared" si="88"/>
        <v/>
      </c>
      <c r="B5666" s="105"/>
      <c r="C5666" s="105"/>
      <c r="D5666" s="105"/>
      <c r="E5666" s="105"/>
      <c r="F5666" s="105"/>
    </row>
    <row r="5667" spans="1:6" x14ac:dyDescent="0.25">
      <c r="A5667" s="105" t="str">
        <f t="shared" si="88"/>
        <v/>
      </c>
      <c r="B5667" s="105"/>
      <c r="C5667" s="105"/>
      <c r="D5667" s="105"/>
      <c r="E5667" s="105"/>
      <c r="F5667" s="105"/>
    </row>
    <row r="5668" spans="1:6" x14ac:dyDescent="0.25">
      <c r="A5668" s="105" t="str">
        <f t="shared" si="88"/>
        <v/>
      </c>
      <c r="B5668" s="105"/>
      <c r="C5668" s="105"/>
      <c r="D5668" s="105"/>
      <c r="E5668" s="105"/>
      <c r="F5668" s="105"/>
    </row>
    <row r="5669" spans="1:6" x14ac:dyDescent="0.25">
      <c r="A5669" s="105" t="str">
        <f t="shared" si="88"/>
        <v/>
      </c>
      <c r="B5669" s="105"/>
      <c r="C5669" s="105"/>
      <c r="D5669" s="105"/>
      <c r="E5669" s="105"/>
      <c r="F5669" s="105"/>
    </row>
    <row r="5670" spans="1:6" x14ac:dyDescent="0.25">
      <c r="A5670" s="105" t="str">
        <f t="shared" si="88"/>
        <v/>
      </c>
      <c r="B5670" s="105"/>
      <c r="C5670" s="105"/>
      <c r="D5670" s="105"/>
      <c r="E5670" s="105"/>
      <c r="F5670" s="105"/>
    </row>
    <row r="5671" spans="1:6" x14ac:dyDescent="0.25">
      <c r="A5671" s="105" t="str">
        <f t="shared" si="88"/>
        <v/>
      </c>
      <c r="B5671" s="105"/>
      <c r="C5671" s="105"/>
      <c r="D5671" s="105"/>
      <c r="E5671" s="105"/>
      <c r="F5671" s="105"/>
    </row>
    <row r="5672" spans="1:6" x14ac:dyDescent="0.25">
      <c r="A5672" s="105" t="str">
        <f t="shared" si="88"/>
        <v/>
      </c>
      <c r="B5672" s="105"/>
      <c r="C5672" s="105"/>
      <c r="D5672" s="105"/>
      <c r="E5672" s="105"/>
      <c r="F5672" s="105"/>
    </row>
    <row r="5673" spans="1:6" x14ac:dyDescent="0.25">
      <c r="A5673" s="105" t="str">
        <f t="shared" si="88"/>
        <v/>
      </c>
      <c r="B5673" s="105"/>
      <c r="C5673" s="105"/>
      <c r="D5673" s="105"/>
      <c r="E5673" s="105"/>
      <c r="F5673" s="105"/>
    </row>
    <row r="5674" spans="1:6" x14ac:dyDescent="0.25">
      <c r="A5674" s="105" t="str">
        <f t="shared" si="88"/>
        <v/>
      </c>
      <c r="B5674" s="105"/>
      <c r="C5674" s="105"/>
      <c r="D5674" s="105"/>
      <c r="E5674" s="105"/>
      <c r="F5674" s="105"/>
    </row>
    <row r="5675" spans="1:6" x14ac:dyDescent="0.25">
      <c r="A5675" s="105" t="str">
        <f t="shared" si="88"/>
        <v/>
      </c>
      <c r="B5675" s="105"/>
      <c r="C5675" s="105"/>
      <c r="D5675" s="105"/>
      <c r="E5675" s="105"/>
      <c r="F5675" s="105"/>
    </row>
    <row r="5676" spans="1:6" x14ac:dyDescent="0.25">
      <c r="A5676" s="105" t="str">
        <f t="shared" si="88"/>
        <v/>
      </c>
      <c r="B5676" s="105"/>
      <c r="C5676" s="105"/>
      <c r="D5676" s="105"/>
      <c r="E5676" s="105"/>
      <c r="F5676" s="105"/>
    </row>
    <row r="5677" spans="1:6" x14ac:dyDescent="0.25">
      <c r="A5677" s="105" t="str">
        <f t="shared" si="88"/>
        <v/>
      </c>
      <c r="B5677" s="105"/>
      <c r="C5677" s="105"/>
      <c r="D5677" s="105"/>
      <c r="E5677" s="105"/>
      <c r="F5677" s="105"/>
    </row>
    <row r="5678" spans="1:6" x14ac:dyDescent="0.25">
      <c r="A5678" s="105" t="str">
        <f t="shared" si="88"/>
        <v/>
      </c>
      <c r="B5678" s="105"/>
      <c r="C5678" s="105"/>
      <c r="D5678" s="105"/>
      <c r="E5678" s="105"/>
      <c r="F5678" s="105"/>
    </row>
    <row r="5679" spans="1:6" x14ac:dyDescent="0.25">
      <c r="A5679" s="105" t="str">
        <f t="shared" si="88"/>
        <v/>
      </c>
      <c r="B5679" s="105"/>
      <c r="C5679" s="105"/>
      <c r="D5679" s="105"/>
      <c r="E5679" s="105"/>
      <c r="F5679" s="105"/>
    </row>
    <row r="5680" spans="1:6" x14ac:dyDescent="0.25">
      <c r="A5680" s="105" t="str">
        <f t="shared" si="88"/>
        <v/>
      </c>
      <c r="B5680" s="105"/>
      <c r="C5680" s="105"/>
      <c r="D5680" s="105"/>
      <c r="E5680" s="105"/>
      <c r="F5680" s="105"/>
    </row>
    <row r="5681" spans="1:6" x14ac:dyDescent="0.25">
      <c r="A5681" s="105" t="str">
        <f t="shared" si="88"/>
        <v/>
      </c>
      <c r="B5681" s="105"/>
      <c r="C5681" s="105"/>
      <c r="D5681" s="105"/>
      <c r="E5681" s="105"/>
      <c r="F5681" s="105"/>
    </row>
    <row r="5682" spans="1:6" x14ac:dyDescent="0.25">
      <c r="A5682" s="105" t="str">
        <f t="shared" si="88"/>
        <v/>
      </c>
      <c r="B5682" s="105"/>
      <c r="C5682" s="105"/>
      <c r="D5682" s="105"/>
      <c r="E5682" s="105"/>
      <c r="F5682" s="105"/>
    </row>
    <row r="5683" spans="1:6" x14ac:dyDescent="0.25">
      <c r="A5683" s="105" t="str">
        <f t="shared" si="88"/>
        <v/>
      </c>
      <c r="B5683" s="105"/>
      <c r="C5683" s="105"/>
      <c r="D5683" s="105"/>
      <c r="E5683" s="105"/>
      <c r="F5683" s="105"/>
    </row>
    <row r="5684" spans="1:6" x14ac:dyDescent="0.25">
      <c r="A5684" s="105" t="str">
        <f t="shared" si="88"/>
        <v/>
      </c>
      <c r="B5684" s="105"/>
      <c r="C5684" s="105"/>
      <c r="D5684" s="105"/>
      <c r="E5684" s="105"/>
      <c r="F5684" s="105"/>
    </row>
    <row r="5685" spans="1:6" x14ac:dyDescent="0.25">
      <c r="A5685" s="105" t="str">
        <f t="shared" si="88"/>
        <v/>
      </c>
      <c r="B5685" s="105"/>
      <c r="C5685" s="105"/>
      <c r="D5685" s="105"/>
      <c r="E5685" s="105"/>
      <c r="F5685" s="105"/>
    </row>
    <row r="5686" spans="1:6" x14ac:dyDescent="0.25">
      <c r="A5686" s="105" t="str">
        <f t="shared" si="88"/>
        <v/>
      </c>
      <c r="B5686" s="105"/>
      <c r="C5686" s="105"/>
      <c r="D5686" s="105"/>
      <c r="E5686" s="105"/>
      <c r="F5686" s="105"/>
    </row>
    <row r="5687" spans="1:6" x14ac:dyDescent="0.25">
      <c r="A5687" s="105" t="str">
        <f t="shared" si="88"/>
        <v/>
      </c>
      <c r="B5687" s="105"/>
      <c r="C5687" s="105"/>
      <c r="D5687" s="105"/>
      <c r="E5687" s="105"/>
      <c r="F5687" s="105"/>
    </row>
    <row r="5688" spans="1:6" x14ac:dyDescent="0.25">
      <c r="A5688" s="105" t="str">
        <f t="shared" si="88"/>
        <v/>
      </c>
      <c r="B5688" s="105"/>
      <c r="C5688" s="105"/>
      <c r="D5688" s="105"/>
      <c r="E5688" s="105"/>
      <c r="F5688" s="105"/>
    </row>
    <row r="5689" spans="1:6" x14ac:dyDescent="0.25">
      <c r="A5689" s="105" t="str">
        <f t="shared" si="88"/>
        <v/>
      </c>
      <c r="B5689" s="105"/>
      <c r="C5689" s="105"/>
      <c r="D5689" s="105"/>
      <c r="E5689" s="105"/>
      <c r="F5689" s="105"/>
    </row>
    <row r="5690" spans="1:6" x14ac:dyDescent="0.25">
      <c r="A5690" s="105" t="str">
        <f t="shared" si="88"/>
        <v/>
      </c>
      <c r="B5690" s="105"/>
      <c r="C5690" s="105"/>
      <c r="D5690" s="105"/>
      <c r="E5690" s="105"/>
      <c r="F5690" s="105"/>
    </row>
    <row r="5691" spans="1:6" x14ac:dyDescent="0.25">
      <c r="A5691" s="105" t="str">
        <f t="shared" si="88"/>
        <v/>
      </c>
      <c r="B5691" s="105"/>
      <c r="C5691" s="105"/>
      <c r="D5691" s="105"/>
      <c r="E5691" s="105"/>
      <c r="F5691" s="105"/>
    </row>
    <row r="5692" spans="1:6" x14ac:dyDescent="0.25">
      <c r="A5692" s="105" t="str">
        <f t="shared" si="88"/>
        <v/>
      </c>
      <c r="B5692" s="105"/>
      <c r="C5692" s="105"/>
      <c r="D5692" s="105"/>
      <c r="E5692" s="105"/>
      <c r="F5692" s="105"/>
    </row>
    <row r="5693" spans="1:6" x14ac:dyDescent="0.25">
      <c r="A5693" s="105" t="str">
        <f t="shared" si="88"/>
        <v/>
      </c>
      <c r="B5693" s="105"/>
      <c r="C5693" s="105"/>
      <c r="D5693" s="105"/>
      <c r="E5693" s="105"/>
      <c r="F5693" s="105"/>
    </row>
    <row r="5694" spans="1:6" x14ac:dyDescent="0.25">
      <c r="A5694" s="105" t="str">
        <f t="shared" si="88"/>
        <v/>
      </c>
      <c r="B5694" s="105"/>
      <c r="C5694" s="105"/>
      <c r="D5694" s="105"/>
      <c r="E5694" s="105"/>
      <c r="F5694" s="105"/>
    </row>
    <row r="5695" spans="1:6" x14ac:dyDescent="0.25">
      <c r="A5695" s="105" t="str">
        <f t="shared" si="88"/>
        <v/>
      </c>
      <c r="B5695" s="105"/>
      <c r="C5695" s="105"/>
      <c r="D5695" s="105"/>
      <c r="E5695" s="105"/>
      <c r="F5695" s="105"/>
    </row>
    <row r="5696" spans="1:6" x14ac:dyDescent="0.25">
      <c r="A5696" s="105" t="str">
        <f t="shared" si="88"/>
        <v/>
      </c>
      <c r="B5696" s="105"/>
      <c r="C5696" s="105"/>
      <c r="D5696" s="105"/>
      <c r="E5696" s="105"/>
      <c r="F5696" s="105"/>
    </row>
    <row r="5697" spans="1:6" x14ac:dyDescent="0.25">
      <c r="A5697" s="105" t="str">
        <f t="shared" si="88"/>
        <v/>
      </c>
      <c r="B5697" s="105"/>
      <c r="C5697" s="105"/>
      <c r="D5697" s="105"/>
      <c r="E5697" s="105"/>
      <c r="F5697" s="105"/>
    </row>
    <row r="5698" spans="1:6" x14ac:dyDescent="0.25">
      <c r="A5698" s="105" t="str">
        <f t="shared" si="88"/>
        <v/>
      </c>
      <c r="B5698" s="105"/>
      <c r="C5698" s="105"/>
      <c r="D5698" s="105"/>
      <c r="E5698" s="105"/>
      <c r="F5698" s="105"/>
    </row>
    <row r="5699" spans="1:6" x14ac:dyDescent="0.25">
      <c r="A5699" s="105" t="str">
        <f t="shared" ref="A5699:A5762" si="89">IF(B5699&lt;&gt;"",IFERROR(B5699*1,""),"")</f>
        <v/>
      </c>
      <c r="B5699" s="105"/>
      <c r="C5699" s="105"/>
      <c r="D5699" s="105"/>
      <c r="E5699" s="105"/>
      <c r="F5699" s="105"/>
    </row>
    <row r="5700" spans="1:6" x14ac:dyDescent="0.25">
      <c r="A5700" s="105" t="str">
        <f t="shared" si="89"/>
        <v/>
      </c>
      <c r="B5700" s="105"/>
      <c r="C5700" s="105"/>
      <c r="D5700" s="105"/>
      <c r="E5700" s="105"/>
      <c r="F5700" s="105"/>
    </row>
    <row r="5701" spans="1:6" x14ac:dyDescent="0.25">
      <c r="A5701" s="105" t="str">
        <f t="shared" si="89"/>
        <v/>
      </c>
      <c r="B5701" s="105"/>
      <c r="C5701" s="105"/>
      <c r="D5701" s="105"/>
      <c r="E5701" s="105"/>
      <c r="F5701" s="105"/>
    </row>
    <row r="5702" spans="1:6" x14ac:dyDescent="0.25">
      <c r="A5702" s="105" t="str">
        <f t="shared" si="89"/>
        <v/>
      </c>
      <c r="B5702" s="105"/>
      <c r="C5702" s="105"/>
      <c r="D5702" s="105"/>
      <c r="E5702" s="105"/>
      <c r="F5702" s="105"/>
    </row>
    <row r="5703" spans="1:6" x14ac:dyDescent="0.25">
      <c r="A5703" s="105" t="str">
        <f t="shared" si="89"/>
        <v/>
      </c>
      <c r="B5703" s="105"/>
      <c r="C5703" s="105"/>
      <c r="D5703" s="105"/>
      <c r="E5703" s="105"/>
      <c r="F5703" s="105"/>
    </row>
    <row r="5704" spans="1:6" x14ac:dyDescent="0.25">
      <c r="A5704" s="105" t="str">
        <f t="shared" si="89"/>
        <v/>
      </c>
      <c r="B5704" s="105"/>
      <c r="C5704" s="105"/>
      <c r="D5704" s="105"/>
      <c r="E5704" s="105"/>
      <c r="F5704" s="105"/>
    </row>
    <row r="5705" spans="1:6" x14ac:dyDescent="0.25">
      <c r="A5705" s="105" t="str">
        <f t="shared" si="89"/>
        <v/>
      </c>
      <c r="B5705" s="105"/>
      <c r="C5705" s="105"/>
      <c r="D5705" s="105"/>
      <c r="E5705" s="105"/>
      <c r="F5705" s="105"/>
    </row>
    <row r="5706" spans="1:6" x14ac:dyDescent="0.25">
      <c r="A5706" s="105" t="str">
        <f t="shared" si="89"/>
        <v/>
      </c>
      <c r="B5706" s="105"/>
      <c r="C5706" s="105"/>
      <c r="D5706" s="105"/>
      <c r="E5706" s="105"/>
      <c r="F5706" s="105"/>
    </row>
    <row r="5707" spans="1:6" x14ac:dyDescent="0.25">
      <c r="A5707" s="105" t="str">
        <f t="shared" si="89"/>
        <v/>
      </c>
      <c r="B5707" s="105"/>
      <c r="C5707" s="105"/>
      <c r="D5707" s="105"/>
      <c r="E5707" s="105"/>
      <c r="F5707" s="105"/>
    </row>
    <row r="5708" spans="1:6" x14ac:dyDescent="0.25">
      <c r="A5708" s="105" t="str">
        <f t="shared" si="89"/>
        <v/>
      </c>
      <c r="B5708" s="105"/>
      <c r="C5708" s="105"/>
      <c r="D5708" s="105"/>
      <c r="E5708" s="105"/>
      <c r="F5708" s="105"/>
    </row>
    <row r="5709" spans="1:6" x14ac:dyDescent="0.25">
      <c r="A5709" s="105" t="str">
        <f t="shared" si="89"/>
        <v/>
      </c>
      <c r="B5709" s="105"/>
      <c r="C5709" s="105"/>
      <c r="D5709" s="105"/>
      <c r="E5709" s="105"/>
      <c r="F5709" s="105"/>
    </row>
    <row r="5710" spans="1:6" x14ac:dyDescent="0.25">
      <c r="A5710" s="105" t="str">
        <f t="shared" si="89"/>
        <v/>
      </c>
      <c r="B5710" s="105"/>
      <c r="C5710" s="105"/>
      <c r="D5710" s="105"/>
      <c r="E5710" s="105"/>
      <c r="F5710" s="105"/>
    </row>
    <row r="5711" spans="1:6" x14ac:dyDescent="0.25">
      <c r="A5711" s="105" t="str">
        <f t="shared" si="89"/>
        <v/>
      </c>
      <c r="B5711" s="105"/>
      <c r="C5711" s="105"/>
      <c r="D5711" s="105"/>
      <c r="E5711" s="105"/>
      <c r="F5711" s="105"/>
    </row>
    <row r="5712" spans="1:6" x14ac:dyDescent="0.25">
      <c r="A5712" s="105" t="str">
        <f t="shared" si="89"/>
        <v/>
      </c>
      <c r="B5712" s="105"/>
      <c r="C5712" s="105"/>
      <c r="D5712" s="105"/>
      <c r="E5712" s="105"/>
      <c r="F5712" s="105"/>
    </row>
    <row r="5713" spans="1:6" x14ac:dyDescent="0.25">
      <c r="A5713" s="105" t="str">
        <f t="shared" si="89"/>
        <v/>
      </c>
      <c r="B5713" s="105"/>
      <c r="C5713" s="105"/>
      <c r="D5713" s="105"/>
      <c r="E5713" s="105"/>
      <c r="F5713" s="105"/>
    </row>
    <row r="5714" spans="1:6" x14ac:dyDescent="0.25">
      <c r="A5714" s="105" t="str">
        <f t="shared" si="89"/>
        <v/>
      </c>
      <c r="B5714" s="105"/>
      <c r="C5714" s="105"/>
      <c r="D5714" s="105"/>
      <c r="E5714" s="105"/>
      <c r="F5714" s="105"/>
    </row>
    <row r="5715" spans="1:6" x14ac:dyDescent="0.25">
      <c r="A5715" s="105" t="str">
        <f t="shared" si="89"/>
        <v/>
      </c>
      <c r="B5715" s="105"/>
      <c r="C5715" s="105"/>
      <c r="D5715" s="105"/>
      <c r="E5715" s="105"/>
      <c r="F5715" s="105"/>
    </row>
    <row r="5716" spans="1:6" x14ac:dyDescent="0.25">
      <c r="A5716" s="105" t="str">
        <f t="shared" si="89"/>
        <v/>
      </c>
      <c r="B5716" s="105"/>
      <c r="C5716" s="105"/>
      <c r="D5716" s="105"/>
      <c r="E5716" s="105"/>
      <c r="F5716" s="105"/>
    </row>
    <row r="5717" spans="1:6" x14ac:dyDescent="0.25">
      <c r="A5717" s="105" t="str">
        <f t="shared" si="89"/>
        <v/>
      </c>
      <c r="B5717" s="105"/>
      <c r="C5717" s="105"/>
      <c r="D5717" s="105"/>
      <c r="E5717" s="105"/>
      <c r="F5717" s="105"/>
    </row>
    <row r="5718" spans="1:6" x14ac:dyDescent="0.25">
      <c r="A5718" s="105" t="str">
        <f t="shared" si="89"/>
        <v/>
      </c>
      <c r="B5718" s="105"/>
      <c r="C5718" s="105"/>
      <c r="D5718" s="105"/>
      <c r="E5718" s="105"/>
      <c r="F5718" s="105"/>
    </row>
    <row r="5719" spans="1:6" x14ac:dyDescent="0.25">
      <c r="A5719" s="105" t="str">
        <f t="shared" si="89"/>
        <v/>
      </c>
      <c r="B5719" s="105"/>
      <c r="C5719" s="105"/>
      <c r="D5719" s="105"/>
      <c r="E5719" s="105"/>
      <c r="F5719" s="105"/>
    </row>
    <row r="5720" spans="1:6" x14ac:dyDescent="0.25">
      <c r="A5720" s="105" t="str">
        <f t="shared" si="89"/>
        <v/>
      </c>
      <c r="B5720" s="105"/>
      <c r="C5720" s="105"/>
      <c r="D5720" s="105"/>
      <c r="E5720" s="105"/>
      <c r="F5720" s="105"/>
    </row>
    <row r="5721" spans="1:6" x14ac:dyDescent="0.25">
      <c r="A5721" s="105" t="str">
        <f t="shared" si="89"/>
        <v/>
      </c>
      <c r="B5721" s="105"/>
      <c r="C5721" s="105"/>
      <c r="D5721" s="105"/>
      <c r="E5721" s="105"/>
      <c r="F5721" s="105"/>
    </row>
    <row r="5722" spans="1:6" x14ac:dyDescent="0.25">
      <c r="A5722" s="105" t="str">
        <f t="shared" si="89"/>
        <v/>
      </c>
      <c r="B5722" s="105"/>
      <c r="C5722" s="105"/>
      <c r="D5722" s="105"/>
      <c r="E5722" s="105"/>
      <c r="F5722" s="105"/>
    </row>
    <row r="5723" spans="1:6" x14ac:dyDescent="0.25">
      <c r="A5723" s="105" t="str">
        <f t="shared" si="89"/>
        <v/>
      </c>
      <c r="B5723" s="105"/>
      <c r="C5723" s="105"/>
      <c r="D5723" s="105"/>
      <c r="E5723" s="105"/>
      <c r="F5723" s="105"/>
    </row>
    <row r="5724" spans="1:6" x14ac:dyDescent="0.25">
      <c r="A5724" s="105" t="str">
        <f t="shared" si="89"/>
        <v/>
      </c>
      <c r="B5724" s="105"/>
      <c r="C5724" s="105"/>
      <c r="D5724" s="105"/>
      <c r="E5724" s="105"/>
      <c r="F5724" s="105"/>
    </row>
    <row r="5725" spans="1:6" x14ac:dyDescent="0.25">
      <c r="A5725" s="105" t="str">
        <f t="shared" si="89"/>
        <v/>
      </c>
      <c r="B5725" s="105"/>
      <c r="C5725" s="105"/>
      <c r="D5725" s="105"/>
      <c r="E5725" s="105"/>
      <c r="F5725" s="105"/>
    </row>
    <row r="5726" spans="1:6" x14ac:dyDescent="0.25">
      <c r="A5726" s="105" t="str">
        <f t="shared" si="89"/>
        <v/>
      </c>
      <c r="B5726" s="105"/>
      <c r="C5726" s="105"/>
      <c r="D5726" s="105"/>
      <c r="E5726" s="105"/>
      <c r="F5726" s="105"/>
    </row>
    <row r="5727" spans="1:6" x14ac:dyDescent="0.25">
      <c r="A5727" s="105" t="str">
        <f t="shared" si="89"/>
        <v/>
      </c>
      <c r="B5727" s="105"/>
      <c r="C5727" s="105"/>
      <c r="D5727" s="105"/>
      <c r="E5727" s="105"/>
      <c r="F5727" s="105"/>
    </row>
    <row r="5728" spans="1:6" x14ac:dyDescent="0.25">
      <c r="A5728" s="105" t="str">
        <f t="shared" si="89"/>
        <v/>
      </c>
      <c r="B5728" s="105"/>
      <c r="C5728" s="105"/>
      <c r="D5728" s="105"/>
      <c r="E5728" s="105"/>
      <c r="F5728" s="105"/>
    </row>
    <row r="5729" spans="1:6" x14ac:dyDescent="0.25">
      <c r="A5729" s="105" t="str">
        <f t="shared" si="89"/>
        <v/>
      </c>
      <c r="B5729" s="105"/>
      <c r="C5729" s="105"/>
      <c r="D5729" s="105"/>
      <c r="E5729" s="105"/>
      <c r="F5729" s="105"/>
    </row>
    <row r="5730" spans="1:6" x14ac:dyDescent="0.25">
      <c r="A5730" s="105" t="str">
        <f t="shared" si="89"/>
        <v/>
      </c>
      <c r="B5730" s="105"/>
      <c r="C5730" s="105"/>
      <c r="D5730" s="105"/>
      <c r="E5730" s="105"/>
      <c r="F5730" s="105"/>
    </row>
    <row r="5731" spans="1:6" x14ac:dyDescent="0.25">
      <c r="A5731" s="105" t="str">
        <f t="shared" si="89"/>
        <v/>
      </c>
      <c r="B5731" s="105"/>
      <c r="C5731" s="105"/>
      <c r="D5731" s="105"/>
      <c r="E5731" s="105"/>
      <c r="F5731" s="105"/>
    </row>
    <row r="5732" spans="1:6" x14ac:dyDescent="0.25">
      <c r="A5732" s="105" t="str">
        <f t="shared" si="89"/>
        <v/>
      </c>
      <c r="B5732" s="105"/>
      <c r="C5732" s="105"/>
      <c r="D5732" s="105"/>
      <c r="E5732" s="105"/>
      <c r="F5732" s="105"/>
    </row>
    <row r="5733" spans="1:6" x14ac:dyDescent="0.25">
      <c r="A5733" s="105" t="str">
        <f t="shared" si="89"/>
        <v/>
      </c>
      <c r="B5733" s="105"/>
      <c r="C5733" s="105"/>
      <c r="D5733" s="105"/>
      <c r="E5733" s="105"/>
      <c r="F5733" s="105"/>
    </row>
    <row r="5734" spans="1:6" x14ac:dyDescent="0.25">
      <c r="A5734" s="105" t="str">
        <f t="shared" si="89"/>
        <v/>
      </c>
      <c r="B5734" s="105"/>
      <c r="C5734" s="105"/>
      <c r="D5734" s="105"/>
      <c r="E5734" s="105"/>
      <c r="F5734" s="105"/>
    </row>
    <row r="5735" spans="1:6" x14ac:dyDescent="0.25">
      <c r="A5735" s="105" t="str">
        <f t="shared" si="89"/>
        <v/>
      </c>
      <c r="B5735" s="105"/>
      <c r="C5735" s="105"/>
      <c r="D5735" s="105"/>
      <c r="E5735" s="105"/>
      <c r="F5735" s="105"/>
    </row>
    <row r="5736" spans="1:6" x14ac:dyDescent="0.25">
      <c r="A5736" s="105" t="str">
        <f t="shared" si="89"/>
        <v/>
      </c>
      <c r="B5736" s="105"/>
      <c r="C5736" s="105"/>
      <c r="D5736" s="105"/>
      <c r="E5736" s="105"/>
      <c r="F5736" s="105"/>
    </row>
    <row r="5737" spans="1:6" x14ac:dyDescent="0.25">
      <c r="A5737" s="105" t="str">
        <f t="shared" si="89"/>
        <v/>
      </c>
      <c r="B5737" s="105"/>
      <c r="C5737" s="105"/>
      <c r="D5737" s="105"/>
      <c r="E5737" s="105"/>
      <c r="F5737" s="105"/>
    </row>
    <row r="5738" spans="1:6" x14ac:dyDescent="0.25">
      <c r="A5738" s="105" t="str">
        <f t="shared" si="89"/>
        <v/>
      </c>
      <c r="B5738" s="105"/>
      <c r="C5738" s="105"/>
      <c r="D5738" s="105"/>
      <c r="E5738" s="105"/>
      <c r="F5738" s="105"/>
    </row>
    <row r="5739" spans="1:6" x14ac:dyDescent="0.25">
      <c r="A5739" s="105" t="str">
        <f t="shared" si="89"/>
        <v/>
      </c>
      <c r="B5739" s="105"/>
      <c r="C5739" s="105"/>
      <c r="D5739" s="105"/>
      <c r="E5739" s="105"/>
      <c r="F5739" s="105"/>
    </row>
    <row r="5740" spans="1:6" x14ac:dyDescent="0.25">
      <c r="A5740" s="105" t="str">
        <f t="shared" si="89"/>
        <v/>
      </c>
      <c r="B5740" s="105"/>
      <c r="C5740" s="105"/>
      <c r="D5740" s="105"/>
      <c r="E5740" s="105"/>
      <c r="F5740" s="105"/>
    </row>
    <row r="5741" spans="1:6" x14ac:dyDescent="0.25">
      <c r="A5741" s="105" t="str">
        <f t="shared" si="89"/>
        <v/>
      </c>
      <c r="B5741" s="105"/>
      <c r="C5741" s="105"/>
      <c r="D5741" s="105"/>
      <c r="E5741" s="105"/>
      <c r="F5741" s="105"/>
    </row>
    <row r="5742" spans="1:6" x14ac:dyDescent="0.25">
      <c r="A5742" s="105" t="str">
        <f t="shared" si="89"/>
        <v/>
      </c>
      <c r="B5742" s="105"/>
      <c r="C5742" s="105"/>
      <c r="D5742" s="105"/>
      <c r="E5742" s="105"/>
      <c r="F5742" s="105"/>
    </row>
    <row r="5743" spans="1:6" x14ac:dyDescent="0.25">
      <c r="A5743" s="105" t="str">
        <f t="shared" si="89"/>
        <v/>
      </c>
      <c r="B5743" s="105"/>
      <c r="C5743" s="105"/>
      <c r="D5743" s="105"/>
      <c r="E5743" s="105"/>
      <c r="F5743" s="105"/>
    </row>
    <row r="5744" spans="1:6" x14ac:dyDescent="0.25">
      <c r="A5744" s="105" t="str">
        <f t="shared" si="89"/>
        <v/>
      </c>
      <c r="B5744" s="105"/>
      <c r="C5744" s="105"/>
      <c r="D5744" s="105"/>
      <c r="E5744" s="105"/>
      <c r="F5744" s="105"/>
    </row>
    <row r="5745" spans="1:6" x14ac:dyDescent="0.25">
      <c r="A5745" s="105" t="str">
        <f t="shared" si="89"/>
        <v/>
      </c>
      <c r="B5745" s="105"/>
      <c r="C5745" s="105"/>
      <c r="D5745" s="105"/>
      <c r="E5745" s="105"/>
      <c r="F5745" s="105"/>
    </row>
    <row r="5746" spans="1:6" x14ac:dyDescent="0.25">
      <c r="A5746" s="105" t="str">
        <f t="shared" si="89"/>
        <v/>
      </c>
      <c r="B5746" s="105"/>
      <c r="C5746" s="105"/>
      <c r="D5746" s="105"/>
      <c r="E5746" s="105"/>
      <c r="F5746" s="105"/>
    </row>
    <row r="5747" spans="1:6" x14ac:dyDescent="0.25">
      <c r="A5747" s="105" t="str">
        <f t="shared" si="89"/>
        <v/>
      </c>
      <c r="B5747" s="105"/>
      <c r="C5747" s="105"/>
      <c r="D5747" s="105"/>
      <c r="E5747" s="105"/>
      <c r="F5747" s="105"/>
    </row>
    <row r="5748" spans="1:6" x14ac:dyDescent="0.25">
      <c r="A5748" s="105" t="str">
        <f t="shared" si="89"/>
        <v/>
      </c>
      <c r="B5748" s="105"/>
      <c r="C5748" s="105"/>
      <c r="D5748" s="105"/>
      <c r="E5748" s="105"/>
      <c r="F5748" s="105"/>
    </row>
    <row r="5749" spans="1:6" x14ac:dyDescent="0.25">
      <c r="A5749" s="105" t="str">
        <f t="shared" si="89"/>
        <v/>
      </c>
      <c r="B5749" s="105"/>
      <c r="C5749" s="105"/>
      <c r="D5749" s="105"/>
      <c r="E5749" s="105"/>
      <c r="F5749" s="105"/>
    </row>
    <row r="5750" spans="1:6" x14ac:dyDescent="0.25">
      <c r="A5750" s="105" t="str">
        <f t="shared" si="89"/>
        <v/>
      </c>
      <c r="B5750" s="105"/>
      <c r="C5750" s="105"/>
      <c r="D5750" s="105"/>
      <c r="E5750" s="105"/>
      <c r="F5750" s="105"/>
    </row>
    <row r="5751" spans="1:6" x14ac:dyDescent="0.25">
      <c r="A5751" s="105" t="str">
        <f t="shared" si="89"/>
        <v/>
      </c>
      <c r="B5751" s="105"/>
      <c r="C5751" s="105"/>
      <c r="D5751" s="105"/>
      <c r="E5751" s="105"/>
      <c r="F5751" s="105"/>
    </row>
    <row r="5752" spans="1:6" x14ac:dyDescent="0.25">
      <c r="A5752" s="105" t="str">
        <f t="shared" si="89"/>
        <v/>
      </c>
      <c r="B5752" s="105"/>
      <c r="C5752" s="105"/>
      <c r="D5752" s="105"/>
      <c r="E5752" s="105"/>
      <c r="F5752" s="105"/>
    </row>
    <row r="5753" spans="1:6" x14ac:dyDescent="0.25">
      <c r="A5753" s="105" t="str">
        <f t="shared" si="89"/>
        <v/>
      </c>
      <c r="B5753" s="105"/>
      <c r="C5753" s="105"/>
      <c r="D5753" s="105"/>
      <c r="E5753" s="105"/>
      <c r="F5753" s="105"/>
    </row>
    <row r="5754" spans="1:6" x14ac:dyDescent="0.25">
      <c r="A5754" s="105" t="str">
        <f t="shared" si="89"/>
        <v/>
      </c>
      <c r="B5754" s="105"/>
      <c r="C5754" s="105"/>
      <c r="D5754" s="105"/>
      <c r="E5754" s="105"/>
      <c r="F5754" s="105"/>
    </row>
    <row r="5755" spans="1:6" x14ac:dyDescent="0.25">
      <c r="A5755" s="105" t="str">
        <f t="shared" si="89"/>
        <v/>
      </c>
      <c r="B5755" s="105"/>
      <c r="C5755" s="105"/>
      <c r="D5755" s="105"/>
      <c r="E5755" s="105"/>
      <c r="F5755" s="105"/>
    </row>
    <row r="5756" spans="1:6" x14ac:dyDescent="0.25">
      <c r="A5756" s="105" t="str">
        <f t="shared" si="89"/>
        <v/>
      </c>
      <c r="B5756" s="105"/>
      <c r="C5756" s="105"/>
      <c r="D5756" s="105"/>
      <c r="E5756" s="105"/>
      <c r="F5756" s="105"/>
    </row>
    <row r="5757" spans="1:6" x14ac:dyDescent="0.25">
      <c r="A5757" s="105" t="str">
        <f t="shared" si="89"/>
        <v/>
      </c>
      <c r="B5757" s="105"/>
      <c r="C5757" s="105"/>
      <c r="D5757" s="105"/>
      <c r="E5757" s="105"/>
      <c r="F5757" s="105"/>
    </row>
    <row r="5758" spans="1:6" x14ac:dyDescent="0.25">
      <c r="A5758" s="105" t="str">
        <f t="shared" si="89"/>
        <v/>
      </c>
      <c r="B5758" s="105"/>
      <c r="C5758" s="105"/>
      <c r="D5758" s="105"/>
      <c r="E5758" s="105"/>
      <c r="F5758" s="105"/>
    </row>
    <row r="5759" spans="1:6" x14ac:dyDescent="0.25">
      <c r="A5759" s="105" t="str">
        <f t="shared" si="89"/>
        <v/>
      </c>
      <c r="B5759" s="105"/>
      <c r="C5759" s="105"/>
      <c r="D5759" s="105"/>
      <c r="E5759" s="105"/>
      <c r="F5759" s="105"/>
    </row>
    <row r="5760" spans="1:6" x14ac:dyDescent="0.25">
      <c r="A5760" s="105" t="str">
        <f t="shared" si="89"/>
        <v/>
      </c>
      <c r="B5760" s="105"/>
      <c r="C5760" s="105"/>
      <c r="D5760" s="105"/>
      <c r="E5760" s="105"/>
      <c r="F5760" s="105"/>
    </row>
    <row r="5761" spans="1:6" x14ac:dyDescent="0.25">
      <c r="A5761" s="105" t="str">
        <f t="shared" si="89"/>
        <v/>
      </c>
      <c r="B5761" s="105"/>
      <c r="C5761" s="105"/>
      <c r="D5761" s="105"/>
      <c r="E5761" s="105"/>
      <c r="F5761" s="105"/>
    </row>
    <row r="5762" spans="1:6" x14ac:dyDescent="0.25">
      <c r="A5762" s="105" t="str">
        <f t="shared" si="89"/>
        <v/>
      </c>
      <c r="B5762" s="105"/>
      <c r="C5762" s="105"/>
      <c r="D5762" s="105"/>
      <c r="E5762" s="105"/>
      <c r="F5762" s="105"/>
    </row>
    <row r="5763" spans="1:6" x14ac:dyDescent="0.25">
      <c r="A5763" s="105" t="str">
        <f t="shared" ref="A5763:A5826" si="90">IF(B5763&lt;&gt;"",IFERROR(B5763*1,""),"")</f>
        <v/>
      </c>
      <c r="B5763" s="105"/>
      <c r="C5763" s="105"/>
      <c r="D5763" s="105"/>
      <c r="E5763" s="105"/>
      <c r="F5763" s="105"/>
    </row>
    <row r="5764" spans="1:6" x14ac:dyDescent="0.25">
      <c r="A5764" s="105" t="str">
        <f t="shared" si="90"/>
        <v/>
      </c>
      <c r="B5764" s="105"/>
      <c r="C5764" s="105"/>
      <c r="D5764" s="105"/>
      <c r="E5764" s="105"/>
      <c r="F5764" s="105"/>
    </row>
    <row r="5765" spans="1:6" x14ac:dyDescent="0.25">
      <c r="A5765" s="105" t="str">
        <f t="shared" si="90"/>
        <v/>
      </c>
      <c r="B5765" s="105"/>
      <c r="C5765" s="105"/>
      <c r="D5765" s="105"/>
      <c r="E5765" s="105"/>
      <c r="F5765" s="105"/>
    </row>
    <row r="5766" spans="1:6" x14ac:dyDescent="0.25">
      <c r="A5766" s="105" t="str">
        <f t="shared" si="90"/>
        <v/>
      </c>
      <c r="B5766" s="105"/>
      <c r="C5766" s="105"/>
      <c r="D5766" s="105"/>
      <c r="E5766" s="105"/>
      <c r="F5766" s="105"/>
    </row>
    <row r="5767" spans="1:6" x14ac:dyDescent="0.25">
      <c r="A5767" s="105" t="str">
        <f t="shared" si="90"/>
        <v/>
      </c>
      <c r="B5767" s="105"/>
      <c r="C5767" s="105"/>
      <c r="D5767" s="105"/>
      <c r="E5767" s="105"/>
      <c r="F5767" s="105"/>
    </row>
    <row r="5768" spans="1:6" x14ac:dyDescent="0.25">
      <c r="A5768" s="105" t="str">
        <f t="shared" si="90"/>
        <v/>
      </c>
      <c r="B5768" s="105"/>
      <c r="C5768" s="105"/>
      <c r="D5768" s="105"/>
      <c r="E5768" s="105"/>
      <c r="F5768" s="105"/>
    </row>
    <row r="5769" spans="1:6" x14ac:dyDescent="0.25">
      <c r="A5769" s="105" t="str">
        <f t="shared" si="90"/>
        <v/>
      </c>
      <c r="B5769" s="105"/>
      <c r="C5769" s="105"/>
      <c r="D5769" s="105"/>
      <c r="E5769" s="105"/>
      <c r="F5769" s="105"/>
    </row>
    <row r="5770" spans="1:6" x14ac:dyDescent="0.25">
      <c r="A5770" s="105" t="str">
        <f t="shared" si="90"/>
        <v/>
      </c>
      <c r="B5770" s="105"/>
      <c r="C5770" s="105"/>
      <c r="D5770" s="105"/>
      <c r="E5770" s="105"/>
      <c r="F5770" s="105"/>
    </row>
    <row r="5771" spans="1:6" x14ac:dyDescent="0.25">
      <c r="A5771" s="105" t="str">
        <f t="shared" si="90"/>
        <v/>
      </c>
      <c r="B5771" s="105"/>
      <c r="C5771" s="105"/>
      <c r="D5771" s="105"/>
      <c r="E5771" s="105"/>
      <c r="F5771" s="105"/>
    </row>
    <row r="5772" spans="1:6" x14ac:dyDescent="0.25">
      <c r="A5772" s="105" t="str">
        <f t="shared" si="90"/>
        <v/>
      </c>
      <c r="B5772" s="105"/>
      <c r="C5772" s="105"/>
      <c r="D5772" s="105"/>
      <c r="E5772" s="105"/>
      <c r="F5772" s="105"/>
    </row>
    <row r="5773" spans="1:6" x14ac:dyDescent="0.25">
      <c r="A5773" s="105" t="str">
        <f t="shared" si="90"/>
        <v/>
      </c>
      <c r="B5773" s="105"/>
      <c r="C5773" s="105"/>
      <c r="D5773" s="105"/>
      <c r="E5773" s="105"/>
      <c r="F5773" s="105"/>
    </row>
    <row r="5774" spans="1:6" x14ac:dyDescent="0.25">
      <c r="A5774" s="105" t="str">
        <f t="shared" si="90"/>
        <v/>
      </c>
      <c r="B5774" s="105"/>
      <c r="C5774" s="105"/>
      <c r="D5774" s="105"/>
      <c r="E5774" s="105"/>
      <c r="F5774" s="105"/>
    </row>
    <row r="5775" spans="1:6" x14ac:dyDescent="0.25">
      <c r="A5775" s="105" t="str">
        <f t="shared" si="90"/>
        <v/>
      </c>
      <c r="B5775" s="105"/>
      <c r="C5775" s="105"/>
      <c r="D5775" s="105"/>
      <c r="E5775" s="105"/>
      <c r="F5775" s="105"/>
    </row>
    <row r="5776" spans="1:6" x14ac:dyDescent="0.25">
      <c r="A5776" s="105" t="str">
        <f t="shared" si="90"/>
        <v/>
      </c>
      <c r="B5776" s="105"/>
      <c r="C5776" s="105"/>
      <c r="D5776" s="105"/>
      <c r="E5776" s="105"/>
      <c r="F5776" s="105"/>
    </row>
    <row r="5777" spans="1:6" x14ac:dyDescent="0.25">
      <c r="A5777" s="105" t="str">
        <f t="shared" si="90"/>
        <v/>
      </c>
      <c r="B5777" s="105"/>
      <c r="C5777" s="105"/>
      <c r="D5777" s="105"/>
      <c r="E5777" s="105"/>
      <c r="F5777" s="105"/>
    </row>
    <row r="5778" spans="1:6" x14ac:dyDescent="0.25">
      <c r="A5778" s="105" t="str">
        <f t="shared" si="90"/>
        <v/>
      </c>
      <c r="B5778" s="105"/>
      <c r="C5778" s="105"/>
      <c r="D5778" s="105"/>
      <c r="E5778" s="105"/>
      <c r="F5778" s="105"/>
    </row>
    <row r="5779" spans="1:6" x14ac:dyDescent="0.25">
      <c r="A5779" s="105" t="str">
        <f t="shared" si="90"/>
        <v/>
      </c>
      <c r="B5779" s="105"/>
      <c r="C5779" s="105"/>
      <c r="D5779" s="105"/>
      <c r="E5779" s="105"/>
      <c r="F5779" s="105"/>
    </row>
    <row r="5780" spans="1:6" x14ac:dyDescent="0.25">
      <c r="A5780" s="105" t="str">
        <f t="shared" si="90"/>
        <v/>
      </c>
      <c r="B5780" s="105"/>
      <c r="C5780" s="105"/>
      <c r="D5780" s="105"/>
      <c r="E5780" s="105"/>
      <c r="F5780" s="105"/>
    </row>
    <row r="5781" spans="1:6" x14ac:dyDescent="0.25">
      <c r="A5781" s="105" t="str">
        <f t="shared" si="90"/>
        <v/>
      </c>
      <c r="B5781" s="105"/>
      <c r="C5781" s="105"/>
      <c r="D5781" s="105"/>
      <c r="E5781" s="105"/>
      <c r="F5781" s="105"/>
    </row>
    <row r="5782" spans="1:6" x14ac:dyDescent="0.25">
      <c r="A5782" s="105" t="str">
        <f t="shared" si="90"/>
        <v/>
      </c>
      <c r="B5782" s="105"/>
      <c r="C5782" s="105"/>
      <c r="D5782" s="105"/>
      <c r="E5782" s="105"/>
      <c r="F5782" s="105"/>
    </row>
    <row r="5783" spans="1:6" x14ac:dyDescent="0.25">
      <c r="A5783" s="105" t="str">
        <f t="shared" si="90"/>
        <v/>
      </c>
      <c r="B5783" s="105"/>
      <c r="C5783" s="105"/>
      <c r="D5783" s="105"/>
      <c r="E5783" s="105"/>
      <c r="F5783" s="105"/>
    </row>
    <row r="5784" spans="1:6" x14ac:dyDescent="0.25">
      <c r="A5784" s="105" t="str">
        <f t="shared" si="90"/>
        <v/>
      </c>
      <c r="B5784" s="105"/>
      <c r="C5784" s="105"/>
      <c r="D5784" s="105"/>
      <c r="E5784" s="105"/>
      <c r="F5784" s="105"/>
    </row>
    <row r="5785" spans="1:6" x14ac:dyDescent="0.25">
      <c r="A5785" s="105" t="str">
        <f t="shared" si="90"/>
        <v/>
      </c>
      <c r="B5785" s="105"/>
      <c r="C5785" s="105"/>
      <c r="D5785" s="105"/>
      <c r="E5785" s="105"/>
      <c r="F5785" s="105"/>
    </row>
    <row r="5786" spans="1:6" x14ac:dyDescent="0.25">
      <c r="A5786" s="105" t="str">
        <f t="shared" si="90"/>
        <v/>
      </c>
      <c r="B5786" s="105"/>
      <c r="C5786" s="105"/>
      <c r="D5786" s="105"/>
      <c r="E5786" s="105"/>
      <c r="F5786" s="105"/>
    </row>
    <row r="5787" spans="1:6" x14ac:dyDescent="0.25">
      <c r="A5787" s="105" t="str">
        <f t="shared" si="90"/>
        <v/>
      </c>
      <c r="B5787" s="105"/>
      <c r="C5787" s="105"/>
      <c r="D5787" s="105"/>
      <c r="E5787" s="105"/>
      <c r="F5787" s="105"/>
    </row>
    <row r="5788" spans="1:6" x14ac:dyDescent="0.25">
      <c r="A5788" s="105" t="str">
        <f t="shared" si="90"/>
        <v/>
      </c>
      <c r="B5788" s="105"/>
      <c r="C5788" s="105"/>
      <c r="D5788" s="105"/>
      <c r="E5788" s="105"/>
      <c r="F5788" s="105"/>
    </row>
    <row r="5789" spans="1:6" x14ac:dyDescent="0.25">
      <c r="A5789" s="105" t="str">
        <f t="shared" si="90"/>
        <v/>
      </c>
      <c r="B5789" s="105"/>
      <c r="C5789" s="105"/>
      <c r="D5789" s="105"/>
      <c r="E5789" s="105"/>
      <c r="F5789" s="105"/>
    </row>
    <row r="5790" spans="1:6" x14ac:dyDescent="0.25">
      <c r="A5790" s="105" t="str">
        <f t="shared" si="90"/>
        <v/>
      </c>
      <c r="B5790" s="105"/>
      <c r="C5790" s="105"/>
      <c r="D5790" s="105"/>
      <c r="E5790" s="105"/>
      <c r="F5790" s="105"/>
    </row>
    <row r="5791" spans="1:6" x14ac:dyDescent="0.25">
      <c r="A5791" s="105" t="str">
        <f t="shared" si="90"/>
        <v/>
      </c>
      <c r="B5791" s="105"/>
      <c r="C5791" s="105"/>
      <c r="D5791" s="105"/>
      <c r="E5791" s="105"/>
      <c r="F5791" s="105"/>
    </row>
    <row r="5792" spans="1:6" x14ac:dyDescent="0.25">
      <c r="A5792" s="105" t="str">
        <f t="shared" si="90"/>
        <v/>
      </c>
      <c r="B5792" s="105"/>
      <c r="C5792" s="105"/>
      <c r="D5792" s="105"/>
      <c r="E5792" s="105"/>
      <c r="F5792" s="105"/>
    </row>
    <row r="5793" spans="1:6" x14ac:dyDescent="0.25">
      <c r="A5793" s="105" t="str">
        <f t="shared" si="90"/>
        <v/>
      </c>
      <c r="B5793" s="105"/>
      <c r="C5793" s="105"/>
      <c r="D5793" s="105"/>
      <c r="E5793" s="105"/>
      <c r="F5793" s="105"/>
    </row>
    <row r="5794" spans="1:6" x14ac:dyDescent="0.25">
      <c r="A5794" s="105" t="str">
        <f t="shared" si="90"/>
        <v/>
      </c>
      <c r="B5794" s="105"/>
      <c r="C5794" s="105"/>
      <c r="D5794" s="105"/>
      <c r="E5794" s="105"/>
      <c r="F5794" s="105"/>
    </row>
    <row r="5795" spans="1:6" x14ac:dyDescent="0.25">
      <c r="A5795" s="105" t="str">
        <f t="shared" si="90"/>
        <v/>
      </c>
      <c r="B5795" s="105"/>
      <c r="C5795" s="105"/>
      <c r="D5795" s="105"/>
      <c r="E5795" s="105"/>
      <c r="F5795" s="105"/>
    </row>
    <row r="5796" spans="1:6" x14ac:dyDescent="0.25">
      <c r="A5796" s="105" t="str">
        <f t="shared" si="90"/>
        <v/>
      </c>
      <c r="B5796" s="105"/>
      <c r="C5796" s="105"/>
      <c r="D5796" s="105"/>
      <c r="E5796" s="105"/>
      <c r="F5796" s="105"/>
    </row>
    <row r="5797" spans="1:6" x14ac:dyDescent="0.25">
      <c r="A5797" s="105" t="str">
        <f t="shared" si="90"/>
        <v/>
      </c>
      <c r="B5797" s="105"/>
      <c r="C5797" s="105"/>
      <c r="D5797" s="105"/>
      <c r="E5797" s="105"/>
      <c r="F5797" s="105"/>
    </row>
    <row r="5798" spans="1:6" x14ac:dyDescent="0.25">
      <c r="A5798" s="105" t="str">
        <f t="shared" si="90"/>
        <v/>
      </c>
      <c r="B5798" s="105"/>
      <c r="C5798" s="105"/>
      <c r="D5798" s="105"/>
      <c r="E5798" s="105"/>
      <c r="F5798" s="105"/>
    </row>
    <row r="5799" spans="1:6" x14ac:dyDescent="0.25">
      <c r="A5799" s="105" t="str">
        <f t="shared" si="90"/>
        <v/>
      </c>
      <c r="B5799" s="105"/>
      <c r="C5799" s="105"/>
      <c r="D5799" s="105"/>
      <c r="E5799" s="105"/>
      <c r="F5799" s="105"/>
    </row>
    <row r="5800" spans="1:6" x14ac:dyDescent="0.25">
      <c r="A5800" s="105" t="str">
        <f t="shared" si="90"/>
        <v/>
      </c>
      <c r="B5800" s="105"/>
      <c r="C5800" s="105"/>
      <c r="D5800" s="105"/>
      <c r="E5800" s="105"/>
      <c r="F5800" s="105"/>
    </row>
    <row r="5801" spans="1:6" x14ac:dyDescent="0.25">
      <c r="A5801" s="105" t="str">
        <f t="shared" si="90"/>
        <v/>
      </c>
      <c r="B5801" s="105"/>
      <c r="C5801" s="105"/>
      <c r="D5801" s="105"/>
      <c r="E5801" s="105"/>
      <c r="F5801" s="105"/>
    </row>
    <row r="5802" spans="1:6" x14ac:dyDescent="0.25">
      <c r="A5802" s="105" t="str">
        <f t="shared" si="90"/>
        <v/>
      </c>
      <c r="B5802" s="105"/>
      <c r="C5802" s="105"/>
      <c r="D5802" s="105"/>
      <c r="E5802" s="105"/>
      <c r="F5802" s="105"/>
    </row>
    <row r="5803" spans="1:6" x14ac:dyDescent="0.25">
      <c r="A5803" s="105" t="str">
        <f t="shared" si="90"/>
        <v/>
      </c>
      <c r="B5803" s="105"/>
      <c r="C5803" s="105"/>
      <c r="D5803" s="105"/>
      <c r="E5803" s="105"/>
      <c r="F5803" s="105"/>
    </row>
    <row r="5804" spans="1:6" x14ac:dyDescent="0.25">
      <c r="A5804" s="105" t="str">
        <f t="shared" si="90"/>
        <v/>
      </c>
      <c r="B5804" s="105"/>
      <c r="C5804" s="105"/>
      <c r="D5804" s="105"/>
      <c r="E5804" s="105"/>
      <c r="F5804" s="105"/>
    </row>
    <row r="5805" spans="1:6" x14ac:dyDescent="0.25">
      <c r="A5805" s="105" t="str">
        <f t="shared" si="90"/>
        <v/>
      </c>
      <c r="B5805" s="105"/>
      <c r="C5805" s="105"/>
      <c r="D5805" s="105"/>
      <c r="E5805" s="105"/>
      <c r="F5805" s="105"/>
    </row>
    <row r="5806" spans="1:6" x14ac:dyDescent="0.25">
      <c r="A5806" s="105" t="str">
        <f t="shared" si="90"/>
        <v/>
      </c>
      <c r="B5806" s="105"/>
      <c r="C5806" s="105"/>
      <c r="D5806" s="105"/>
      <c r="E5806" s="105"/>
      <c r="F5806" s="105"/>
    </row>
    <row r="5807" spans="1:6" x14ac:dyDescent="0.25">
      <c r="A5807" s="105" t="str">
        <f t="shared" si="90"/>
        <v/>
      </c>
      <c r="B5807" s="105"/>
      <c r="C5807" s="105"/>
      <c r="D5807" s="105"/>
      <c r="E5807" s="105"/>
      <c r="F5807" s="105"/>
    </row>
    <row r="5808" spans="1:6" x14ac:dyDescent="0.25">
      <c r="A5808" s="105" t="str">
        <f t="shared" si="90"/>
        <v/>
      </c>
      <c r="B5808" s="105"/>
      <c r="C5808" s="105"/>
      <c r="D5808" s="105"/>
      <c r="E5808" s="105"/>
      <c r="F5808" s="105"/>
    </row>
    <row r="5809" spans="1:6" x14ac:dyDescent="0.25">
      <c r="A5809" s="105" t="str">
        <f t="shared" si="90"/>
        <v/>
      </c>
      <c r="B5809" s="105"/>
      <c r="C5809" s="105"/>
      <c r="D5809" s="105"/>
      <c r="E5809" s="105"/>
      <c r="F5809" s="105"/>
    </row>
    <row r="5810" spans="1:6" x14ac:dyDescent="0.25">
      <c r="A5810" s="105" t="str">
        <f t="shared" si="90"/>
        <v/>
      </c>
      <c r="B5810" s="105"/>
      <c r="C5810" s="105"/>
      <c r="D5810" s="105"/>
      <c r="E5810" s="105"/>
      <c r="F5810" s="105"/>
    </row>
    <row r="5811" spans="1:6" x14ac:dyDescent="0.25">
      <c r="A5811" s="105" t="str">
        <f t="shared" si="90"/>
        <v/>
      </c>
      <c r="B5811" s="105"/>
      <c r="C5811" s="105"/>
      <c r="D5811" s="105"/>
      <c r="E5811" s="105"/>
      <c r="F5811" s="105"/>
    </row>
    <row r="5812" spans="1:6" x14ac:dyDescent="0.25">
      <c r="A5812" s="105" t="str">
        <f t="shared" si="90"/>
        <v/>
      </c>
      <c r="B5812" s="105"/>
      <c r="C5812" s="105"/>
      <c r="D5812" s="105"/>
      <c r="E5812" s="105"/>
      <c r="F5812" s="105"/>
    </row>
    <row r="5813" spans="1:6" x14ac:dyDescent="0.25">
      <c r="A5813" s="105" t="str">
        <f t="shared" si="90"/>
        <v/>
      </c>
      <c r="B5813" s="105"/>
      <c r="C5813" s="105"/>
      <c r="D5813" s="105"/>
      <c r="E5813" s="105"/>
      <c r="F5813" s="105"/>
    </row>
    <row r="5814" spans="1:6" x14ac:dyDescent="0.25">
      <c r="A5814" s="105" t="str">
        <f t="shared" si="90"/>
        <v/>
      </c>
      <c r="B5814" s="105"/>
      <c r="C5814" s="105"/>
      <c r="D5814" s="105"/>
      <c r="E5814" s="105"/>
      <c r="F5814" s="105"/>
    </row>
    <row r="5815" spans="1:6" x14ac:dyDescent="0.25">
      <c r="A5815" s="105" t="str">
        <f t="shared" si="90"/>
        <v/>
      </c>
      <c r="B5815" s="105"/>
      <c r="C5815" s="105"/>
      <c r="D5815" s="105"/>
      <c r="E5815" s="105"/>
      <c r="F5815" s="105"/>
    </row>
    <row r="5816" spans="1:6" x14ac:dyDescent="0.25">
      <c r="A5816" s="105" t="str">
        <f t="shared" si="90"/>
        <v/>
      </c>
      <c r="B5816" s="105"/>
      <c r="C5816" s="105"/>
      <c r="D5816" s="105"/>
      <c r="E5816" s="105"/>
      <c r="F5816" s="105"/>
    </row>
    <row r="5817" spans="1:6" x14ac:dyDescent="0.25">
      <c r="A5817" s="105" t="str">
        <f t="shared" si="90"/>
        <v/>
      </c>
      <c r="B5817" s="105"/>
      <c r="C5817" s="105"/>
      <c r="D5817" s="105"/>
      <c r="E5817" s="105"/>
      <c r="F5817" s="105"/>
    </row>
    <row r="5818" spans="1:6" x14ac:dyDescent="0.25">
      <c r="A5818" s="105" t="str">
        <f t="shared" si="90"/>
        <v/>
      </c>
      <c r="B5818" s="105"/>
      <c r="C5818" s="105"/>
      <c r="D5818" s="105"/>
      <c r="E5818" s="105"/>
      <c r="F5818" s="105"/>
    </row>
    <row r="5819" spans="1:6" x14ac:dyDescent="0.25">
      <c r="A5819" s="105" t="str">
        <f t="shared" si="90"/>
        <v/>
      </c>
      <c r="B5819" s="105"/>
      <c r="C5819" s="105"/>
      <c r="D5819" s="105"/>
      <c r="E5819" s="105"/>
      <c r="F5819" s="105"/>
    </row>
    <row r="5820" spans="1:6" x14ac:dyDescent="0.25">
      <c r="A5820" s="105" t="str">
        <f t="shared" si="90"/>
        <v/>
      </c>
      <c r="B5820" s="105"/>
      <c r="C5820" s="105"/>
      <c r="D5820" s="105"/>
      <c r="E5820" s="105"/>
      <c r="F5820" s="105"/>
    </row>
    <row r="5821" spans="1:6" x14ac:dyDescent="0.25">
      <c r="A5821" s="105" t="str">
        <f t="shared" si="90"/>
        <v/>
      </c>
      <c r="B5821" s="105"/>
      <c r="C5821" s="105"/>
      <c r="D5821" s="105"/>
      <c r="E5821" s="105"/>
      <c r="F5821" s="105"/>
    </row>
    <row r="5822" spans="1:6" x14ac:dyDescent="0.25">
      <c r="A5822" s="105" t="str">
        <f t="shared" si="90"/>
        <v/>
      </c>
      <c r="B5822" s="105"/>
      <c r="C5822" s="105"/>
      <c r="D5822" s="105"/>
      <c r="E5822" s="105"/>
      <c r="F5822" s="105"/>
    </row>
    <row r="5823" spans="1:6" x14ac:dyDescent="0.25">
      <c r="A5823" s="105" t="str">
        <f t="shared" si="90"/>
        <v/>
      </c>
      <c r="B5823" s="105"/>
      <c r="C5823" s="105"/>
      <c r="D5823" s="105"/>
      <c r="E5823" s="105"/>
      <c r="F5823" s="105"/>
    </row>
    <row r="5824" spans="1:6" x14ac:dyDescent="0.25">
      <c r="A5824" s="105" t="str">
        <f t="shared" si="90"/>
        <v/>
      </c>
      <c r="B5824" s="105"/>
      <c r="C5824" s="105"/>
      <c r="D5824" s="105"/>
      <c r="E5824" s="105"/>
      <c r="F5824" s="105"/>
    </row>
    <row r="5825" spans="1:6" x14ac:dyDescent="0.25">
      <c r="A5825" s="105" t="str">
        <f t="shared" si="90"/>
        <v/>
      </c>
      <c r="B5825" s="105"/>
      <c r="C5825" s="105"/>
      <c r="D5825" s="105"/>
      <c r="E5825" s="105"/>
      <c r="F5825" s="105"/>
    </row>
    <row r="5826" spans="1:6" x14ac:dyDescent="0.25">
      <c r="A5826" s="105" t="str">
        <f t="shared" si="90"/>
        <v/>
      </c>
      <c r="B5826" s="105"/>
      <c r="C5826" s="105"/>
      <c r="D5826" s="105"/>
      <c r="E5826" s="105"/>
      <c r="F5826" s="105"/>
    </row>
    <row r="5827" spans="1:6" x14ac:dyDescent="0.25">
      <c r="A5827" s="105" t="str">
        <f t="shared" ref="A5827:A5890" si="91">IF(B5827&lt;&gt;"",IFERROR(B5827*1,""),"")</f>
        <v/>
      </c>
      <c r="B5827" s="105"/>
      <c r="C5827" s="105"/>
      <c r="D5827" s="105"/>
      <c r="E5827" s="105"/>
      <c r="F5827" s="105"/>
    </row>
    <row r="5828" spans="1:6" x14ac:dyDescent="0.25">
      <c r="A5828" s="105" t="str">
        <f t="shared" si="91"/>
        <v/>
      </c>
      <c r="B5828" s="105"/>
      <c r="C5828" s="105"/>
      <c r="D5828" s="105"/>
      <c r="E5828" s="105"/>
      <c r="F5828" s="105"/>
    </row>
    <row r="5829" spans="1:6" x14ac:dyDescent="0.25">
      <c r="A5829" s="105" t="str">
        <f t="shared" si="91"/>
        <v/>
      </c>
      <c r="B5829" s="105"/>
      <c r="C5829" s="105"/>
      <c r="D5829" s="105"/>
      <c r="E5829" s="105"/>
      <c r="F5829" s="105"/>
    </row>
    <row r="5830" spans="1:6" x14ac:dyDescent="0.25">
      <c r="A5830" s="105" t="str">
        <f t="shared" si="91"/>
        <v/>
      </c>
      <c r="B5830" s="105"/>
      <c r="C5830" s="105"/>
      <c r="D5830" s="105"/>
      <c r="E5830" s="105"/>
      <c r="F5830" s="105"/>
    </row>
    <row r="5831" spans="1:6" x14ac:dyDescent="0.25">
      <c r="A5831" s="105" t="str">
        <f t="shared" si="91"/>
        <v/>
      </c>
      <c r="B5831" s="105"/>
      <c r="C5831" s="105"/>
      <c r="D5831" s="105"/>
      <c r="E5831" s="105"/>
      <c r="F5831" s="105"/>
    </row>
    <row r="5832" spans="1:6" x14ac:dyDescent="0.25">
      <c r="A5832" s="105" t="str">
        <f t="shared" si="91"/>
        <v/>
      </c>
      <c r="B5832" s="105"/>
      <c r="C5832" s="105"/>
      <c r="D5832" s="105"/>
      <c r="E5832" s="105"/>
      <c r="F5832" s="105"/>
    </row>
    <row r="5833" spans="1:6" x14ac:dyDescent="0.25">
      <c r="A5833" s="105" t="str">
        <f t="shared" si="91"/>
        <v/>
      </c>
      <c r="B5833" s="105"/>
      <c r="C5833" s="105"/>
      <c r="D5833" s="105"/>
      <c r="E5833" s="105"/>
      <c r="F5833" s="105"/>
    </row>
    <row r="5834" spans="1:6" x14ac:dyDescent="0.25">
      <c r="A5834" s="105" t="str">
        <f t="shared" si="91"/>
        <v/>
      </c>
      <c r="B5834" s="105"/>
      <c r="C5834" s="105"/>
      <c r="D5834" s="105"/>
      <c r="E5834" s="105"/>
      <c r="F5834" s="105"/>
    </row>
    <row r="5835" spans="1:6" x14ac:dyDescent="0.25">
      <c r="A5835" s="105" t="str">
        <f t="shared" si="91"/>
        <v/>
      </c>
      <c r="B5835" s="105"/>
      <c r="C5835" s="105"/>
      <c r="D5835" s="105"/>
      <c r="E5835" s="105"/>
      <c r="F5835" s="105"/>
    </row>
    <row r="5836" spans="1:6" x14ac:dyDescent="0.25">
      <c r="A5836" s="105" t="str">
        <f t="shared" si="91"/>
        <v/>
      </c>
      <c r="B5836" s="105"/>
      <c r="C5836" s="105"/>
      <c r="D5836" s="105"/>
      <c r="E5836" s="105"/>
      <c r="F5836" s="105"/>
    </row>
    <row r="5837" spans="1:6" x14ac:dyDescent="0.25">
      <c r="A5837" s="105" t="str">
        <f t="shared" si="91"/>
        <v/>
      </c>
      <c r="B5837" s="105"/>
      <c r="C5837" s="105"/>
      <c r="D5837" s="105"/>
      <c r="E5837" s="105"/>
      <c r="F5837" s="105"/>
    </row>
    <row r="5838" spans="1:6" x14ac:dyDescent="0.25">
      <c r="A5838" s="105" t="str">
        <f t="shared" si="91"/>
        <v/>
      </c>
      <c r="B5838" s="105"/>
      <c r="C5838" s="105"/>
      <c r="D5838" s="105"/>
      <c r="E5838" s="105"/>
      <c r="F5838" s="105"/>
    </row>
    <row r="5839" spans="1:6" x14ac:dyDescent="0.25">
      <c r="A5839" s="105" t="str">
        <f t="shared" si="91"/>
        <v/>
      </c>
      <c r="B5839" s="105"/>
      <c r="C5839" s="105"/>
      <c r="D5839" s="105"/>
      <c r="E5839" s="105"/>
      <c r="F5839" s="105"/>
    </row>
    <row r="5840" spans="1:6" x14ac:dyDescent="0.25">
      <c r="A5840" s="105" t="str">
        <f t="shared" si="91"/>
        <v/>
      </c>
      <c r="B5840" s="105"/>
      <c r="C5840" s="105"/>
      <c r="D5840" s="105"/>
      <c r="E5840" s="105"/>
      <c r="F5840" s="105"/>
    </row>
    <row r="5841" spans="1:6" x14ac:dyDescent="0.25">
      <c r="A5841" s="105" t="str">
        <f t="shared" si="91"/>
        <v/>
      </c>
      <c r="B5841" s="105"/>
      <c r="C5841" s="105"/>
      <c r="D5841" s="105"/>
      <c r="E5841" s="105"/>
      <c r="F5841" s="105"/>
    </row>
    <row r="5842" spans="1:6" x14ac:dyDescent="0.25">
      <c r="A5842" s="105" t="str">
        <f t="shared" si="91"/>
        <v/>
      </c>
      <c r="B5842" s="105"/>
      <c r="C5842" s="105"/>
      <c r="D5842" s="105"/>
      <c r="E5842" s="105"/>
      <c r="F5842" s="105"/>
    </row>
    <row r="5843" spans="1:6" x14ac:dyDescent="0.25">
      <c r="A5843" s="105" t="str">
        <f t="shared" si="91"/>
        <v/>
      </c>
      <c r="B5843" s="105"/>
      <c r="C5843" s="105"/>
      <c r="D5843" s="105"/>
      <c r="E5843" s="105"/>
      <c r="F5843" s="105"/>
    </row>
    <row r="5844" spans="1:6" x14ac:dyDescent="0.25">
      <c r="A5844" s="105" t="str">
        <f t="shared" si="91"/>
        <v/>
      </c>
      <c r="B5844" s="105"/>
      <c r="C5844" s="105"/>
      <c r="D5844" s="105"/>
      <c r="E5844" s="105"/>
      <c r="F5844" s="105"/>
    </row>
    <row r="5845" spans="1:6" x14ac:dyDescent="0.25">
      <c r="A5845" s="105" t="str">
        <f t="shared" si="91"/>
        <v/>
      </c>
      <c r="B5845" s="105"/>
      <c r="C5845" s="105"/>
      <c r="D5845" s="105"/>
      <c r="E5845" s="105"/>
      <c r="F5845" s="105"/>
    </row>
    <row r="5846" spans="1:6" x14ac:dyDescent="0.25">
      <c r="A5846" s="105" t="str">
        <f t="shared" si="91"/>
        <v/>
      </c>
      <c r="B5846" s="105"/>
      <c r="C5846" s="105"/>
      <c r="D5846" s="105"/>
      <c r="E5846" s="105"/>
      <c r="F5846" s="105"/>
    </row>
    <row r="5847" spans="1:6" x14ac:dyDescent="0.25">
      <c r="A5847" s="105" t="str">
        <f t="shared" si="91"/>
        <v/>
      </c>
      <c r="B5847" s="105"/>
      <c r="C5847" s="105"/>
      <c r="D5847" s="105"/>
      <c r="E5847" s="105"/>
      <c r="F5847" s="105"/>
    </row>
    <row r="5848" spans="1:6" x14ac:dyDescent="0.25">
      <c r="A5848" s="105" t="str">
        <f t="shared" si="91"/>
        <v/>
      </c>
      <c r="B5848" s="105"/>
      <c r="C5848" s="105"/>
      <c r="D5848" s="105"/>
      <c r="E5848" s="105"/>
      <c r="F5848" s="105"/>
    </row>
    <row r="5849" spans="1:6" x14ac:dyDescent="0.25">
      <c r="A5849" s="105" t="str">
        <f t="shared" si="91"/>
        <v/>
      </c>
      <c r="B5849" s="105"/>
      <c r="C5849" s="105"/>
      <c r="D5849" s="105"/>
      <c r="E5849" s="105"/>
      <c r="F5849" s="105"/>
    </row>
    <row r="5850" spans="1:6" x14ac:dyDescent="0.25">
      <c r="A5850" s="105" t="str">
        <f t="shared" si="91"/>
        <v/>
      </c>
      <c r="B5850" s="105"/>
      <c r="C5850" s="105"/>
      <c r="D5850" s="105"/>
      <c r="E5850" s="105"/>
      <c r="F5850" s="105"/>
    </row>
    <row r="5851" spans="1:6" x14ac:dyDescent="0.25">
      <c r="A5851" s="105" t="str">
        <f t="shared" si="91"/>
        <v/>
      </c>
      <c r="B5851" s="105"/>
      <c r="C5851" s="105"/>
      <c r="D5851" s="105"/>
      <c r="E5851" s="105"/>
      <c r="F5851" s="105"/>
    </row>
    <row r="5852" spans="1:6" x14ac:dyDescent="0.25">
      <c r="A5852" s="105" t="str">
        <f t="shared" si="91"/>
        <v/>
      </c>
      <c r="B5852" s="105"/>
      <c r="C5852" s="105"/>
      <c r="D5852" s="105"/>
      <c r="E5852" s="105"/>
      <c r="F5852" s="105"/>
    </row>
    <row r="5853" spans="1:6" x14ac:dyDescent="0.25">
      <c r="A5853" s="105" t="str">
        <f t="shared" si="91"/>
        <v/>
      </c>
      <c r="B5853" s="105"/>
      <c r="C5853" s="105"/>
      <c r="D5853" s="105"/>
      <c r="E5853" s="105"/>
      <c r="F5853" s="105"/>
    </row>
    <row r="5854" spans="1:6" x14ac:dyDescent="0.25">
      <c r="A5854" s="105" t="str">
        <f t="shared" si="91"/>
        <v/>
      </c>
      <c r="B5854" s="105"/>
      <c r="C5854" s="105"/>
      <c r="D5854" s="105"/>
      <c r="E5854" s="105"/>
      <c r="F5854" s="105"/>
    </row>
    <row r="5855" spans="1:6" x14ac:dyDescent="0.25">
      <c r="A5855" s="105" t="str">
        <f t="shared" si="91"/>
        <v/>
      </c>
      <c r="B5855" s="105"/>
      <c r="C5855" s="105"/>
      <c r="D5855" s="105"/>
      <c r="E5855" s="105"/>
      <c r="F5855" s="105"/>
    </row>
    <row r="5856" spans="1:6" x14ac:dyDescent="0.25">
      <c r="A5856" s="105" t="str">
        <f t="shared" si="91"/>
        <v/>
      </c>
      <c r="B5856" s="105"/>
      <c r="C5856" s="105"/>
      <c r="D5856" s="105"/>
      <c r="E5856" s="105"/>
      <c r="F5856" s="105"/>
    </row>
    <row r="5857" spans="1:6" x14ac:dyDescent="0.25">
      <c r="A5857" s="105" t="str">
        <f t="shared" si="91"/>
        <v/>
      </c>
      <c r="B5857" s="105"/>
      <c r="C5857" s="105"/>
      <c r="D5857" s="105"/>
      <c r="E5857" s="105"/>
      <c r="F5857" s="105"/>
    </row>
    <row r="5858" spans="1:6" x14ac:dyDescent="0.25">
      <c r="A5858" s="105" t="str">
        <f t="shared" si="91"/>
        <v/>
      </c>
      <c r="B5858" s="105"/>
      <c r="C5858" s="105"/>
      <c r="D5858" s="105"/>
      <c r="E5858" s="105"/>
      <c r="F5858" s="105"/>
    </row>
    <row r="5859" spans="1:6" x14ac:dyDescent="0.25">
      <c r="A5859" s="105" t="str">
        <f t="shared" si="91"/>
        <v/>
      </c>
      <c r="B5859" s="105"/>
      <c r="C5859" s="105"/>
      <c r="D5859" s="105"/>
      <c r="E5859" s="105"/>
      <c r="F5859" s="105"/>
    </row>
    <row r="5860" spans="1:6" x14ac:dyDescent="0.25">
      <c r="A5860" s="105" t="str">
        <f t="shared" si="91"/>
        <v/>
      </c>
      <c r="B5860" s="105"/>
      <c r="C5860" s="105"/>
      <c r="D5860" s="105"/>
      <c r="E5860" s="105"/>
      <c r="F5860" s="105"/>
    </row>
    <row r="5861" spans="1:6" x14ac:dyDescent="0.25">
      <c r="A5861" s="105" t="str">
        <f t="shared" si="91"/>
        <v/>
      </c>
      <c r="B5861" s="105"/>
      <c r="C5861" s="105"/>
      <c r="D5861" s="105"/>
      <c r="E5861" s="105"/>
      <c r="F5861" s="105"/>
    </row>
    <row r="5862" spans="1:6" x14ac:dyDescent="0.25">
      <c r="A5862" s="105" t="str">
        <f t="shared" si="91"/>
        <v/>
      </c>
      <c r="B5862" s="105"/>
      <c r="C5862" s="105"/>
      <c r="D5862" s="105"/>
      <c r="E5862" s="105"/>
      <c r="F5862" s="105"/>
    </row>
    <row r="5863" spans="1:6" x14ac:dyDescent="0.25">
      <c r="A5863" s="105" t="str">
        <f t="shared" si="91"/>
        <v/>
      </c>
      <c r="B5863" s="105"/>
      <c r="C5863" s="105"/>
      <c r="D5863" s="105"/>
      <c r="E5863" s="105"/>
      <c r="F5863" s="105"/>
    </row>
    <row r="5864" spans="1:6" x14ac:dyDescent="0.25">
      <c r="A5864" s="105" t="str">
        <f t="shared" si="91"/>
        <v/>
      </c>
      <c r="B5864" s="105"/>
      <c r="C5864" s="105"/>
      <c r="D5864" s="105"/>
      <c r="E5864" s="105"/>
      <c r="F5864" s="105"/>
    </row>
    <row r="5865" spans="1:6" x14ac:dyDescent="0.25">
      <c r="A5865" s="105" t="str">
        <f t="shared" si="91"/>
        <v/>
      </c>
      <c r="B5865" s="105"/>
      <c r="C5865" s="105"/>
      <c r="D5865" s="105"/>
      <c r="E5865" s="105"/>
      <c r="F5865" s="105"/>
    </row>
    <row r="5866" spans="1:6" x14ac:dyDescent="0.25">
      <c r="A5866" s="105" t="str">
        <f t="shared" si="91"/>
        <v/>
      </c>
      <c r="B5866" s="105"/>
      <c r="C5866" s="105"/>
      <c r="D5866" s="105"/>
      <c r="E5866" s="105"/>
      <c r="F5866" s="105"/>
    </row>
    <row r="5867" spans="1:6" x14ac:dyDescent="0.25">
      <c r="A5867" s="105" t="str">
        <f t="shared" si="91"/>
        <v/>
      </c>
      <c r="B5867" s="105"/>
      <c r="C5867" s="105"/>
      <c r="D5867" s="105"/>
      <c r="E5867" s="105"/>
      <c r="F5867" s="105"/>
    </row>
    <row r="5868" spans="1:6" x14ac:dyDescent="0.25">
      <c r="A5868" s="105" t="str">
        <f t="shared" si="91"/>
        <v/>
      </c>
      <c r="B5868" s="105"/>
      <c r="C5868" s="105"/>
      <c r="D5868" s="105"/>
      <c r="E5868" s="105"/>
      <c r="F5868" s="105"/>
    </row>
    <row r="5869" spans="1:6" x14ac:dyDescent="0.25">
      <c r="A5869" s="105" t="str">
        <f t="shared" si="91"/>
        <v/>
      </c>
      <c r="B5869" s="105"/>
      <c r="C5869" s="105"/>
      <c r="D5869" s="105"/>
      <c r="E5869" s="105"/>
      <c r="F5869" s="105"/>
    </row>
    <row r="5870" spans="1:6" x14ac:dyDescent="0.25">
      <c r="A5870" s="105" t="str">
        <f t="shared" si="91"/>
        <v/>
      </c>
      <c r="B5870" s="105"/>
      <c r="C5870" s="105"/>
      <c r="D5870" s="105"/>
      <c r="E5870" s="105"/>
      <c r="F5870" s="105"/>
    </row>
    <row r="5871" spans="1:6" x14ac:dyDescent="0.25">
      <c r="A5871" s="105" t="str">
        <f t="shared" si="91"/>
        <v/>
      </c>
      <c r="B5871" s="105"/>
      <c r="C5871" s="105"/>
      <c r="D5871" s="105"/>
      <c r="E5871" s="105"/>
      <c r="F5871" s="105"/>
    </row>
    <row r="5872" spans="1:6" x14ac:dyDescent="0.25">
      <c r="A5872" s="105" t="str">
        <f t="shared" si="91"/>
        <v/>
      </c>
      <c r="B5872" s="105"/>
      <c r="C5872" s="105"/>
      <c r="D5872" s="105"/>
      <c r="E5872" s="105"/>
      <c r="F5872" s="105"/>
    </row>
    <row r="5873" spans="1:6" x14ac:dyDescent="0.25">
      <c r="A5873" s="105" t="str">
        <f t="shared" si="91"/>
        <v/>
      </c>
      <c r="B5873" s="105"/>
      <c r="C5873" s="105"/>
      <c r="D5873" s="105"/>
      <c r="E5873" s="105"/>
      <c r="F5873" s="105"/>
    </row>
    <row r="5874" spans="1:6" x14ac:dyDescent="0.25">
      <c r="A5874" s="105" t="str">
        <f t="shared" si="91"/>
        <v/>
      </c>
      <c r="B5874" s="105"/>
      <c r="C5874" s="105"/>
      <c r="D5874" s="105"/>
      <c r="E5874" s="105"/>
      <c r="F5874" s="105"/>
    </row>
    <row r="5875" spans="1:6" x14ac:dyDescent="0.25">
      <c r="A5875" s="105" t="str">
        <f t="shared" si="91"/>
        <v/>
      </c>
      <c r="B5875" s="105"/>
      <c r="C5875" s="105"/>
      <c r="D5875" s="105"/>
      <c r="E5875" s="105"/>
      <c r="F5875" s="105"/>
    </row>
    <row r="5876" spans="1:6" x14ac:dyDescent="0.25">
      <c r="A5876" s="105" t="str">
        <f t="shared" si="91"/>
        <v/>
      </c>
      <c r="B5876" s="105"/>
      <c r="C5876" s="105"/>
      <c r="D5876" s="105"/>
      <c r="E5876" s="105"/>
      <c r="F5876" s="105"/>
    </row>
    <row r="5877" spans="1:6" x14ac:dyDescent="0.25">
      <c r="A5877" s="105" t="str">
        <f t="shared" si="91"/>
        <v/>
      </c>
      <c r="B5877" s="105"/>
      <c r="C5877" s="105"/>
      <c r="D5877" s="105"/>
      <c r="E5877" s="105"/>
      <c r="F5877" s="105"/>
    </row>
    <row r="5878" spans="1:6" x14ac:dyDescent="0.25">
      <c r="A5878" s="105" t="str">
        <f t="shared" si="91"/>
        <v/>
      </c>
      <c r="B5878" s="105"/>
      <c r="C5878" s="105"/>
      <c r="D5878" s="105"/>
      <c r="E5878" s="105"/>
      <c r="F5878" s="105"/>
    </row>
    <row r="5879" spans="1:6" x14ac:dyDescent="0.25">
      <c r="A5879" s="105" t="str">
        <f t="shared" si="91"/>
        <v/>
      </c>
      <c r="B5879" s="105"/>
      <c r="C5879" s="105"/>
      <c r="D5879" s="105"/>
      <c r="E5879" s="105"/>
      <c r="F5879" s="105"/>
    </row>
    <row r="5880" spans="1:6" x14ac:dyDescent="0.25">
      <c r="A5880" s="105" t="str">
        <f t="shared" si="91"/>
        <v/>
      </c>
      <c r="B5880" s="105"/>
      <c r="C5880" s="105"/>
      <c r="D5880" s="105"/>
      <c r="E5880" s="105"/>
      <c r="F5880" s="105"/>
    </row>
    <row r="5881" spans="1:6" x14ac:dyDescent="0.25">
      <c r="A5881" s="105" t="str">
        <f t="shared" si="91"/>
        <v/>
      </c>
      <c r="B5881" s="105"/>
      <c r="C5881" s="105"/>
      <c r="D5881" s="105"/>
      <c r="E5881" s="105"/>
      <c r="F5881" s="105"/>
    </row>
    <row r="5882" spans="1:6" x14ac:dyDescent="0.25">
      <c r="A5882" s="105" t="str">
        <f t="shared" si="91"/>
        <v/>
      </c>
      <c r="B5882" s="105"/>
      <c r="C5882" s="105"/>
      <c r="D5882" s="105"/>
      <c r="E5882" s="105"/>
      <c r="F5882" s="105"/>
    </row>
    <row r="5883" spans="1:6" x14ac:dyDescent="0.25">
      <c r="A5883" s="105" t="str">
        <f t="shared" si="91"/>
        <v/>
      </c>
      <c r="B5883" s="105"/>
      <c r="C5883" s="105"/>
      <c r="D5883" s="105"/>
      <c r="E5883" s="105"/>
      <c r="F5883" s="105"/>
    </row>
    <row r="5884" spans="1:6" x14ac:dyDescent="0.25">
      <c r="A5884" s="105" t="str">
        <f t="shared" si="91"/>
        <v/>
      </c>
      <c r="B5884" s="105"/>
      <c r="C5884" s="105"/>
      <c r="D5884" s="105"/>
      <c r="E5884" s="105"/>
      <c r="F5884" s="105"/>
    </row>
    <row r="5885" spans="1:6" x14ac:dyDescent="0.25">
      <c r="A5885" s="105" t="str">
        <f t="shared" si="91"/>
        <v/>
      </c>
      <c r="B5885" s="105"/>
      <c r="C5885" s="105"/>
      <c r="D5885" s="105"/>
      <c r="E5885" s="105"/>
      <c r="F5885" s="105"/>
    </row>
    <row r="5886" spans="1:6" x14ac:dyDescent="0.25">
      <c r="A5886" s="105" t="str">
        <f t="shared" si="91"/>
        <v/>
      </c>
      <c r="B5886" s="105"/>
      <c r="C5886" s="105"/>
      <c r="D5886" s="105"/>
      <c r="E5886" s="105"/>
      <c r="F5886" s="105"/>
    </row>
    <row r="5887" spans="1:6" x14ac:dyDescent="0.25">
      <c r="A5887" s="105" t="str">
        <f t="shared" si="91"/>
        <v/>
      </c>
      <c r="B5887" s="105"/>
      <c r="C5887" s="105"/>
      <c r="D5887" s="105"/>
      <c r="E5887" s="105"/>
      <c r="F5887" s="105"/>
    </row>
    <row r="5888" spans="1:6" x14ac:dyDescent="0.25">
      <c r="A5888" s="105" t="str">
        <f t="shared" si="91"/>
        <v/>
      </c>
      <c r="B5888" s="105"/>
      <c r="C5888" s="105"/>
      <c r="D5888" s="105"/>
      <c r="E5888" s="105"/>
      <c r="F5888" s="105"/>
    </row>
    <row r="5889" spans="1:6" x14ac:dyDescent="0.25">
      <c r="A5889" s="105" t="str">
        <f t="shared" si="91"/>
        <v/>
      </c>
      <c r="B5889" s="105"/>
      <c r="C5889" s="105"/>
      <c r="D5889" s="105"/>
      <c r="E5889" s="105"/>
      <c r="F5889" s="105"/>
    </row>
    <row r="5890" spans="1:6" x14ac:dyDescent="0.25">
      <c r="A5890" s="105" t="str">
        <f t="shared" si="91"/>
        <v/>
      </c>
      <c r="B5890" s="105"/>
      <c r="C5890" s="105"/>
      <c r="D5890" s="105"/>
      <c r="E5890" s="105"/>
      <c r="F5890" s="105"/>
    </row>
    <row r="5891" spans="1:6" x14ac:dyDescent="0.25">
      <c r="A5891" s="105" t="str">
        <f t="shared" ref="A5891:A5954" si="92">IF(B5891&lt;&gt;"",IFERROR(B5891*1,""),"")</f>
        <v/>
      </c>
      <c r="B5891" s="105"/>
      <c r="C5891" s="105"/>
      <c r="D5891" s="105"/>
      <c r="E5891" s="105"/>
      <c r="F5891" s="105"/>
    </row>
    <row r="5892" spans="1:6" x14ac:dyDescent="0.25">
      <c r="A5892" s="105" t="str">
        <f t="shared" si="92"/>
        <v/>
      </c>
      <c r="B5892" s="105"/>
      <c r="C5892" s="105"/>
      <c r="D5892" s="105"/>
      <c r="E5892" s="105"/>
      <c r="F5892" s="105"/>
    </row>
    <row r="5893" spans="1:6" x14ac:dyDescent="0.25">
      <c r="A5893" s="105" t="str">
        <f t="shared" si="92"/>
        <v/>
      </c>
      <c r="B5893" s="105"/>
      <c r="C5893" s="105"/>
      <c r="D5893" s="105"/>
      <c r="E5893" s="105"/>
      <c r="F5893" s="105"/>
    </row>
    <row r="5894" spans="1:6" x14ac:dyDescent="0.25">
      <c r="A5894" s="105" t="str">
        <f t="shared" si="92"/>
        <v/>
      </c>
      <c r="B5894" s="105"/>
      <c r="C5894" s="105"/>
      <c r="D5894" s="105"/>
      <c r="E5894" s="105"/>
      <c r="F5894" s="105"/>
    </row>
    <row r="5895" spans="1:6" x14ac:dyDescent="0.25">
      <c r="A5895" s="105" t="str">
        <f t="shared" si="92"/>
        <v/>
      </c>
      <c r="B5895" s="105"/>
      <c r="C5895" s="105"/>
      <c r="D5895" s="105"/>
      <c r="E5895" s="105"/>
      <c r="F5895" s="105"/>
    </row>
    <row r="5896" spans="1:6" x14ac:dyDescent="0.25">
      <c r="A5896" s="105" t="str">
        <f t="shared" si="92"/>
        <v/>
      </c>
      <c r="B5896" s="105"/>
      <c r="C5896" s="105"/>
      <c r="D5896" s="105"/>
      <c r="E5896" s="105"/>
      <c r="F5896" s="105"/>
    </row>
    <row r="5897" spans="1:6" x14ac:dyDescent="0.25">
      <c r="A5897" s="105" t="str">
        <f t="shared" si="92"/>
        <v/>
      </c>
      <c r="B5897" s="105"/>
      <c r="C5897" s="105"/>
      <c r="D5897" s="105"/>
      <c r="E5897" s="105"/>
      <c r="F5897" s="105"/>
    </row>
    <row r="5898" spans="1:6" x14ac:dyDescent="0.25">
      <c r="A5898" s="105" t="str">
        <f t="shared" si="92"/>
        <v/>
      </c>
      <c r="B5898" s="105"/>
      <c r="C5898" s="105"/>
      <c r="D5898" s="105"/>
      <c r="E5898" s="105"/>
      <c r="F5898" s="105"/>
    </row>
    <row r="5899" spans="1:6" x14ac:dyDescent="0.25">
      <c r="A5899" s="105" t="str">
        <f t="shared" si="92"/>
        <v/>
      </c>
      <c r="B5899" s="105"/>
      <c r="C5899" s="105"/>
      <c r="D5899" s="105"/>
      <c r="E5899" s="105"/>
      <c r="F5899" s="105"/>
    </row>
    <row r="5900" spans="1:6" x14ac:dyDescent="0.25">
      <c r="A5900" s="105" t="str">
        <f t="shared" si="92"/>
        <v/>
      </c>
      <c r="B5900" s="105"/>
      <c r="C5900" s="105"/>
      <c r="D5900" s="105"/>
      <c r="E5900" s="105"/>
      <c r="F5900" s="105"/>
    </row>
    <row r="5901" spans="1:6" x14ac:dyDescent="0.25">
      <c r="A5901" s="105" t="str">
        <f t="shared" si="92"/>
        <v/>
      </c>
      <c r="B5901" s="105"/>
      <c r="C5901" s="105"/>
      <c r="D5901" s="105"/>
      <c r="E5901" s="105"/>
      <c r="F5901" s="105"/>
    </row>
    <row r="5902" spans="1:6" x14ac:dyDescent="0.25">
      <c r="A5902" s="105" t="str">
        <f t="shared" si="92"/>
        <v/>
      </c>
      <c r="B5902" s="105"/>
      <c r="C5902" s="105"/>
      <c r="D5902" s="105"/>
      <c r="E5902" s="105"/>
      <c r="F5902" s="105"/>
    </row>
    <row r="5903" spans="1:6" x14ac:dyDescent="0.25">
      <c r="A5903" s="105" t="str">
        <f t="shared" si="92"/>
        <v/>
      </c>
      <c r="B5903" s="105"/>
      <c r="C5903" s="105"/>
      <c r="D5903" s="105"/>
      <c r="E5903" s="105"/>
      <c r="F5903" s="105"/>
    </row>
    <row r="5904" spans="1:6" x14ac:dyDescent="0.25">
      <c r="A5904" s="105" t="str">
        <f t="shared" si="92"/>
        <v/>
      </c>
      <c r="B5904" s="105"/>
      <c r="C5904" s="105"/>
      <c r="D5904" s="105"/>
      <c r="E5904" s="105"/>
      <c r="F5904" s="105"/>
    </row>
    <row r="5905" spans="1:6" x14ac:dyDescent="0.25">
      <c r="A5905" s="105" t="str">
        <f t="shared" si="92"/>
        <v/>
      </c>
      <c r="B5905" s="105"/>
      <c r="C5905" s="105"/>
      <c r="D5905" s="105"/>
      <c r="E5905" s="105"/>
      <c r="F5905" s="105"/>
    </row>
    <row r="5906" spans="1:6" x14ac:dyDescent="0.25">
      <c r="A5906" s="105" t="str">
        <f t="shared" si="92"/>
        <v/>
      </c>
      <c r="B5906" s="105"/>
      <c r="C5906" s="105"/>
      <c r="D5906" s="105"/>
      <c r="E5906" s="105"/>
      <c r="F5906" s="105"/>
    </row>
    <row r="5907" spans="1:6" x14ac:dyDescent="0.25">
      <c r="A5907" s="105" t="str">
        <f t="shared" si="92"/>
        <v/>
      </c>
      <c r="B5907" s="105"/>
      <c r="C5907" s="105"/>
      <c r="D5907" s="105"/>
      <c r="E5907" s="105"/>
      <c r="F5907" s="105"/>
    </row>
    <row r="5908" spans="1:6" x14ac:dyDescent="0.25">
      <c r="A5908" s="105" t="str">
        <f t="shared" si="92"/>
        <v/>
      </c>
      <c r="B5908" s="105"/>
      <c r="C5908" s="105"/>
      <c r="D5908" s="105"/>
      <c r="E5908" s="105"/>
      <c r="F5908" s="105"/>
    </row>
    <row r="5909" spans="1:6" x14ac:dyDescent="0.25">
      <c r="A5909" s="105" t="str">
        <f t="shared" si="92"/>
        <v/>
      </c>
      <c r="B5909" s="105"/>
      <c r="C5909" s="105"/>
      <c r="D5909" s="105"/>
      <c r="E5909" s="105"/>
      <c r="F5909" s="105"/>
    </row>
    <row r="5910" spans="1:6" x14ac:dyDescent="0.25">
      <c r="A5910" s="105" t="str">
        <f t="shared" si="92"/>
        <v/>
      </c>
      <c r="B5910" s="105"/>
      <c r="C5910" s="105"/>
      <c r="D5910" s="105"/>
      <c r="E5910" s="105"/>
      <c r="F5910" s="105"/>
    </row>
    <row r="5911" spans="1:6" x14ac:dyDescent="0.25">
      <c r="A5911" s="105" t="str">
        <f t="shared" si="92"/>
        <v/>
      </c>
      <c r="B5911" s="105"/>
      <c r="C5911" s="105"/>
      <c r="D5911" s="105"/>
      <c r="E5911" s="105"/>
      <c r="F5911" s="105"/>
    </row>
    <row r="5912" spans="1:6" x14ac:dyDescent="0.25">
      <c r="A5912" s="105" t="str">
        <f t="shared" si="92"/>
        <v/>
      </c>
      <c r="B5912" s="105"/>
      <c r="C5912" s="105"/>
      <c r="D5912" s="105"/>
      <c r="E5912" s="105"/>
      <c r="F5912" s="105"/>
    </row>
    <row r="5913" spans="1:6" x14ac:dyDescent="0.25">
      <c r="A5913" s="105" t="str">
        <f t="shared" si="92"/>
        <v/>
      </c>
      <c r="B5913" s="105"/>
      <c r="C5913" s="105"/>
      <c r="D5913" s="105"/>
      <c r="E5913" s="105"/>
      <c r="F5913" s="105"/>
    </row>
    <row r="5914" spans="1:6" x14ac:dyDescent="0.25">
      <c r="A5914" s="105" t="str">
        <f t="shared" si="92"/>
        <v/>
      </c>
      <c r="B5914" s="105"/>
      <c r="C5914" s="105"/>
      <c r="D5914" s="105"/>
      <c r="E5914" s="105"/>
      <c r="F5914" s="105"/>
    </row>
    <row r="5915" spans="1:6" x14ac:dyDescent="0.25">
      <c r="A5915" s="105" t="str">
        <f t="shared" si="92"/>
        <v/>
      </c>
      <c r="B5915" s="105"/>
      <c r="C5915" s="105"/>
      <c r="D5915" s="105"/>
      <c r="E5915" s="105"/>
      <c r="F5915" s="105"/>
    </row>
    <row r="5916" spans="1:6" x14ac:dyDescent="0.25">
      <c r="A5916" s="105" t="str">
        <f t="shared" si="92"/>
        <v/>
      </c>
      <c r="B5916" s="105"/>
      <c r="C5916" s="105"/>
      <c r="D5916" s="105"/>
      <c r="E5916" s="105"/>
      <c r="F5916" s="105"/>
    </row>
    <row r="5917" spans="1:6" x14ac:dyDescent="0.25">
      <c r="A5917" s="105" t="str">
        <f t="shared" si="92"/>
        <v/>
      </c>
      <c r="B5917" s="105"/>
      <c r="C5917" s="105"/>
      <c r="D5917" s="105"/>
      <c r="E5917" s="105"/>
      <c r="F5917" s="105"/>
    </row>
    <row r="5918" spans="1:6" x14ac:dyDescent="0.25">
      <c r="A5918" s="105" t="str">
        <f t="shared" si="92"/>
        <v/>
      </c>
      <c r="B5918" s="105"/>
      <c r="C5918" s="105"/>
      <c r="D5918" s="105"/>
      <c r="E5918" s="105"/>
      <c r="F5918" s="105"/>
    </row>
    <row r="5919" spans="1:6" x14ac:dyDescent="0.25">
      <c r="A5919" s="105" t="str">
        <f t="shared" si="92"/>
        <v/>
      </c>
      <c r="B5919" s="105"/>
      <c r="C5919" s="105"/>
      <c r="D5919" s="105"/>
      <c r="E5919" s="105"/>
      <c r="F5919" s="105"/>
    </row>
    <row r="5920" spans="1:6" x14ac:dyDescent="0.25">
      <c r="A5920" s="105" t="str">
        <f t="shared" si="92"/>
        <v/>
      </c>
      <c r="B5920" s="105"/>
      <c r="C5920" s="105"/>
      <c r="D5920" s="105"/>
      <c r="E5920" s="105"/>
      <c r="F5920" s="105"/>
    </row>
    <row r="5921" spans="1:6" x14ac:dyDescent="0.25">
      <c r="A5921" s="105" t="str">
        <f t="shared" si="92"/>
        <v/>
      </c>
      <c r="B5921" s="105"/>
      <c r="C5921" s="105"/>
      <c r="D5921" s="105"/>
      <c r="E5921" s="105"/>
      <c r="F5921" s="105"/>
    </row>
    <row r="5922" spans="1:6" x14ac:dyDescent="0.25">
      <c r="A5922" s="105" t="str">
        <f t="shared" si="92"/>
        <v/>
      </c>
      <c r="B5922" s="105"/>
      <c r="C5922" s="105"/>
      <c r="D5922" s="105"/>
      <c r="E5922" s="105"/>
      <c r="F5922" s="105"/>
    </row>
    <row r="5923" spans="1:6" x14ac:dyDescent="0.25">
      <c r="A5923" s="105" t="str">
        <f t="shared" si="92"/>
        <v/>
      </c>
      <c r="B5923" s="105"/>
      <c r="C5923" s="105"/>
      <c r="D5923" s="105"/>
      <c r="E5923" s="105"/>
      <c r="F5923" s="105"/>
    </row>
    <row r="5924" spans="1:6" x14ac:dyDescent="0.25">
      <c r="A5924" s="105" t="str">
        <f t="shared" si="92"/>
        <v/>
      </c>
      <c r="B5924" s="105"/>
      <c r="C5924" s="105"/>
      <c r="D5924" s="105"/>
      <c r="E5924" s="105"/>
      <c r="F5924" s="105"/>
    </row>
    <row r="5925" spans="1:6" x14ac:dyDescent="0.25">
      <c r="A5925" s="105" t="str">
        <f t="shared" si="92"/>
        <v/>
      </c>
      <c r="B5925" s="105"/>
      <c r="C5925" s="105"/>
      <c r="D5925" s="105"/>
      <c r="E5925" s="105"/>
      <c r="F5925" s="105"/>
    </row>
    <row r="5926" spans="1:6" x14ac:dyDescent="0.25">
      <c r="A5926" s="105" t="str">
        <f t="shared" si="92"/>
        <v/>
      </c>
      <c r="B5926" s="105"/>
      <c r="C5926" s="105"/>
      <c r="D5926" s="105"/>
      <c r="E5926" s="105"/>
      <c r="F5926" s="105"/>
    </row>
    <row r="5927" spans="1:6" x14ac:dyDescent="0.25">
      <c r="A5927" s="105" t="str">
        <f t="shared" si="92"/>
        <v/>
      </c>
      <c r="B5927" s="105"/>
      <c r="C5927" s="105"/>
      <c r="D5927" s="105"/>
      <c r="E5927" s="105"/>
      <c r="F5927" s="105"/>
    </row>
    <row r="5928" spans="1:6" x14ac:dyDescent="0.25">
      <c r="A5928" s="105" t="str">
        <f t="shared" si="92"/>
        <v/>
      </c>
      <c r="B5928" s="105"/>
      <c r="C5928" s="105"/>
      <c r="D5928" s="105"/>
      <c r="E5928" s="105"/>
      <c r="F5928" s="105"/>
    </row>
    <row r="5929" spans="1:6" x14ac:dyDescent="0.25">
      <c r="A5929" s="105" t="str">
        <f t="shared" si="92"/>
        <v/>
      </c>
      <c r="B5929" s="105"/>
      <c r="C5929" s="105"/>
      <c r="D5929" s="105"/>
      <c r="E5929" s="105"/>
      <c r="F5929" s="105"/>
    </row>
    <row r="5930" spans="1:6" x14ac:dyDescent="0.25">
      <c r="A5930" s="105" t="str">
        <f t="shared" si="92"/>
        <v/>
      </c>
      <c r="B5930" s="105"/>
      <c r="C5930" s="105"/>
      <c r="D5930" s="105"/>
      <c r="E5930" s="105"/>
      <c r="F5930" s="105"/>
    </row>
    <row r="5931" spans="1:6" x14ac:dyDescent="0.25">
      <c r="A5931" s="105" t="str">
        <f t="shared" si="92"/>
        <v/>
      </c>
      <c r="B5931" s="105"/>
      <c r="C5931" s="105"/>
      <c r="D5931" s="105"/>
      <c r="E5931" s="105"/>
      <c r="F5931" s="105"/>
    </row>
    <row r="5932" spans="1:6" x14ac:dyDescent="0.25">
      <c r="A5932" s="105" t="str">
        <f t="shared" si="92"/>
        <v/>
      </c>
      <c r="B5932" s="105"/>
      <c r="C5932" s="105"/>
      <c r="D5932" s="105"/>
      <c r="E5932" s="105"/>
      <c r="F5932" s="105"/>
    </row>
    <row r="5933" spans="1:6" x14ac:dyDescent="0.25">
      <c r="A5933" s="105" t="str">
        <f t="shared" si="92"/>
        <v/>
      </c>
      <c r="B5933" s="105"/>
      <c r="C5933" s="105"/>
      <c r="D5933" s="105"/>
      <c r="E5933" s="105"/>
      <c r="F5933" s="105"/>
    </row>
    <row r="5934" spans="1:6" x14ac:dyDescent="0.25">
      <c r="A5934" s="105" t="str">
        <f t="shared" si="92"/>
        <v/>
      </c>
      <c r="B5934" s="105"/>
      <c r="C5934" s="105"/>
      <c r="D5934" s="105"/>
      <c r="E5934" s="105"/>
      <c r="F5934" s="105"/>
    </row>
    <row r="5935" spans="1:6" x14ac:dyDescent="0.25">
      <c r="A5935" s="105" t="str">
        <f t="shared" si="92"/>
        <v/>
      </c>
      <c r="B5935" s="105"/>
      <c r="C5935" s="105"/>
      <c r="D5935" s="105"/>
      <c r="E5935" s="105"/>
      <c r="F5935" s="105"/>
    </row>
    <row r="5936" spans="1:6" x14ac:dyDescent="0.25">
      <c r="A5936" s="105" t="str">
        <f t="shared" si="92"/>
        <v/>
      </c>
      <c r="B5936" s="105"/>
      <c r="C5936" s="105"/>
      <c r="D5936" s="105"/>
      <c r="E5936" s="105"/>
      <c r="F5936" s="105"/>
    </row>
    <row r="5937" spans="1:6" x14ac:dyDescent="0.25">
      <c r="A5937" s="105" t="str">
        <f t="shared" si="92"/>
        <v/>
      </c>
      <c r="B5937" s="105"/>
      <c r="C5937" s="105"/>
      <c r="D5937" s="105"/>
      <c r="E5937" s="105"/>
      <c r="F5937" s="105"/>
    </row>
    <row r="5938" spans="1:6" x14ac:dyDescent="0.25">
      <c r="A5938" s="105" t="str">
        <f t="shared" si="92"/>
        <v/>
      </c>
      <c r="B5938" s="105"/>
      <c r="C5938" s="105"/>
      <c r="D5938" s="105"/>
      <c r="E5938" s="105"/>
      <c r="F5938" s="105"/>
    </row>
    <row r="5939" spans="1:6" x14ac:dyDescent="0.25">
      <c r="A5939" s="105" t="str">
        <f t="shared" si="92"/>
        <v/>
      </c>
      <c r="B5939" s="105"/>
      <c r="C5939" s="105"/>
      <c r="D5939" s="105"/>
      <c r="E5939" s="105"/>
      <c r="F5939" s="105"/>
    </row>
    <row r="5940" spans="1:6" x14ac:dyDescent="0.25">
      <c r="A5940" s="105" t="str">
        <f t="shared" si="92"/>
        <v/>
      </c>
      <c r="B5940" s="105"/>
      <c r="C5940" s="105"/>
      <c r="D5940" s="105"/>
      <c r="E5940" s="105"/>
      <c r="F5940" s="105"/>
    </row>
    <row r="5941" spans="1:6" x14ac:dyDescent="0.25">
      <c r="A5941" s="105" t="str">
        <f t="shared" si="92"/>
        <v/>
      </c>
      <c r="B5941" s="105"/>
      <c r="C5941" s="105"/>
      <c r="D5941" s="105"/>
      <c r="E5941" s="105"/>
      <c r="F5941" s="105"/>
    </row>
    <row r="5942" spans="1:6" x14ac:dyDescent="0.25">
      <c r="A5942" s="105" t="str">
        <f t="shared" si="92"/>
        <v/>
      </c>
      <c r="B5942" s="105"/>
      <c r="C5942" s="105"/>
      <c r="D5942" s="105"/>
      <c r="E5942" s="105"/>
      <c r="F5942" s="105"/>
    </row>
    <row r="5943" spans="1:6" x14ac:dyDescent="0.25">
      <c r="A5943" s="105" t="str">
        <f t="shared" si="92"/>
        <v/>
      </c>
      <c r="B5943" s="105"/>
      <c r="C5943" s="105"/>
      <c r="D5943" s="105"/>
      <c r="E5943" s="105"/>
      <c r="F5943" s="105"/>
    </row>
    <row r="5944" spans="1:6" x14ac:dyDescent="0.25">
      <c r="A5944" s="105" t="str">
        <f t="shared" si="92"/>
        <v/>
      </c>
      <c r="B5944" s="105"/>
      <c r="C5944" s="105"/>
      <c r="D5944" s="105"/>
      <c r="E5944" s="105"/>
      <c r="F5944" s="105"/>
    </row>
    <row r="5945" spans="1:6" x14ac:dyDescent="0.25">
      <c r="A5945" s="105" t="str">
        <f t="shared" si="92"/>
        <v/>
      </c>
      <c r="B5945" s="105"/>
      <c r="C5945" s="105"/>
      <c r="D5945" s="105"/>
      <c r="E5945" s="105"/>
      <c r="F5945" s="105"/>
    </row>
    <row r="5946" spans="1:6" x14ac:dyDescent="0.25">
      <c r="A5946" s="105" t="str">
        <f t="shared" si="92"/>
        <v/>
      </c>
      <c r="B5946" s="105"/>
      <c r="C5946" s="105"/>
      <c r="D5946" s="105"/>
      <c r="E5946" s="105"/>
      <c r="F5946" s="105"/>
    </row>
    <row r="5947" spans="1:6" x14ac:dyDescent="0.25">
      <c r="A5947" s="105" t="str">
        <f t="shared" si="92"/>
        <v/>
      </c>
      <c r="B5947" s="105"/>
      <c r="C5947" s="105"/>
      <c r="D5947" s="105"/>
      <c r="E5947" s="105"/>
      <c r="F5947" s="105"/>
    </row>
    <row r="5948" spans="1:6" x14ac:dyDescent="0.25">
      <c r="A5948" s="105" t="str">
        <f t="shared" si="92"/>
        <v/>
      </c>
      <c r="B5948" s="105"/>
      <c r="C5948" s="105"/>
      <c r="D5948" s="105"/>
      <c r="E5948" s="105"/>
      <c r="F5948" s="105"/>
    </row>
    <row r="5949" spans="1:6" x14ac:dyDescent="0.25">
      <c r="A5949" s="105" t="str">
        <f t="shared" si="92"/>
        <v/>
      </c>
      <c r="B5949" s="105"/>
      <c r="C5949" s="105"/>
      <c r="D5949" s="105"/>
      <c r="E5949" s="105"/>
      <c r="F5949" s="105"/>
    </row>
    <row r="5950" spans="1:6" x14ac:dyDescent="0.25">
      <c r="A5950" s="105" t="str">
        <f t="shared" si="92"/>
        <v/>
      </c>
      <c r="B5950" s="105"/>
      <c r="C5950" s="105"/>
      <c r="D5950" s="105"/>
      <c r="E5950" s="105"/>
      <c r="F5950" s="105"/>
    </row>
    <row r="5951" spans="1:6" x14ac:dyDescent="0.25">
      <c r="A5951" s="105" t="str">
        <f t="shared" si="92"/>
        <v/>
      </c>
      <c r="B5951" s="105"/>
      <c r="C5951" s="105"/>
      <c r="D5951" s="105"/>
      <c r="E5951" s="105"/>
      <c r="F5951" s="105"/>
    </row>
    <row r="5952" spans="1:6" x14ac:dyDescent="0.25">
      <c r="A5952" s="105" t="str">
        <f t="shared" si="92"/>
        <v/>
      </c>
      <c r="B5952" s="105"/>
      <c r="C5952" s="105"/>
      <c r="D5952" s="105"/>
      <c r="E5952" s="105"/>
      <c r="F5952" s="105"/>
    </row>
    <row r="5953" spans="1:6" x14ac:dyDescent="0.25">
      <c r="A5953" s="105" t="str">
        <f t="shared" si="92"/>
        <v/>
      </c>
      <c r="B5953" s="105"/>
      <c r="C5953" s="105"/>
      <c r="D5953" s="105"/>
      <c r="E5953" s="105"/>
      <c r="F5953" s="105"/>
    </row>
    <row r="5954" spans="1:6" x14ac:dyDescent="0.25">
      <c r="A5954" s="105" t="str">
        <f t="shared" si="92"/>
        <v/>
      </c>
      <c r="B5954" s="105"/>
      <c r="C5954" s="105"/>
      <c r="D5954" s="105"/>
      <c r="E5954" s="105"/>
      <c r="F5954" s="105"/>
    </row>
    <row r="5955" spans="1:6" x14ac:dyDescent="0.25">
      <c r="A5955" s="105" t="str">
        <f t="shared" ref="A5955:A6000" si="93">IF(B5955&lt;&gt;"",IFERROR(B5955*1,""),"")</f>
        <v/>
      </c>
      <c r="B5955" s="105"/>
      <c r="C5955" s="105"/>
      <c r="D5955" s="105"/>
      <c r="E5955" s="105"/>
      <c r="F5955" s="105"/>
    </row>
    <row r="5956" spans="1:6" x14ac:dyDescent="0.25">
      <c r="A5956" s="105" t="str">
        <f t="shared" si="93"/>
        <v/>
      </c>
      <c r="B5956" s="105"/>
      <c r="C5956" s="105"/>
      <c r="D5956" s="105"/>
      <c r="E5956" s="105"/>
      <c r="F5956" s="105"/>
    </row>
    <row r="5957" spans="1:6" x14ac:dyDescent="0.25">
      <c r="A5957" s="105" t="str">
        <f t="shared" si="93"/>
        <v/>
      </c>
      <c r="B5957" s="105"/>
      <c r="C5957" s="105"/>
      <c r="D5957" s="105"/>
      <c r="E5957" s="105"/>
      <c r="F5957" s="105"/>
    </row>
    <row r="5958" spans="1:6" x14ac:dyDescent="0.25">
      <c r="A5958" s="105" t="str">
        <f t="shared" si="93"/>
        <v/>
      </c>
      <c r="B5958" s="105"/>
      <c r="C5958" s="105"/>
      <c r="D5958" s="105"/>
      <c r="E5958" s="105"/>
      <c r="F5958" s="105"/>
    </row>
    <row r="5959" spans="1:6" x14ac:dyDescent="0.25">
      <c r="A5959" s="105" t="str">
        <f t="shared" si="93"/>
        <v/>
      </c>
      <c r="B5959" s="105"/>
      <c r="C5959" s="105"/>
      <c r="D5959" s="105"/>
      <c r="E5959" s="105"/>
      <c r="F5959" s="105"/>
    </row>
    <row r="5960" spans="1:6" x14ac:dyDescent="0.25">
      <c r="A5960" s="105" t="str">
        <f t="shared" si="93"/>
        <v/>
      </c>
      <c r="B5960" s="105"/>
      <c r="C5960" s="105"/>
      <c r="D5960" s="105"/>
      <c r="E5960" s="105"/>
      <c r="F5960" s="105"/>
    </row>
    <row r="5961" spans="1:6" x14ac:dyDescent="0.25">
      <c r="A5961" s="105" t="str">
        <f t="shared" si="93"/>
        <v/>
      </c>
      <c r="B5961" s="105"/>
      <c r="C5961" s="105"/>
      <c r="D5961" s="105"/>
      <c r="E5961" s="105"/>
      <c r="F5961" s="105"/>
    </row>
    <row r="5962" spans="1:6" x14ac:dyDescent="0.25">
      <c r="A5962" s="105" t="str">
        <f t="shared" si="93"/>
        <v/>
      </c>
      <c r="B5962" s="105"/>
      <c r="C5962" s="105"/>
      <c r="D5962" s="105"/>
      <c r="E5962" s="105"/>
      <c r="F5962" s="105"/>
    </row>
    <row r="5963" spans="1:6" x14ac:dyDescent="0.25">
      <c r="A5963" s="105" t="str">
        <f t="shared" si="93"/>
        <v/>
      </c>
      <c r="B5963" s="105"/>
      <c r="C5963" s="105"/>
      <c r="D5963" s="105"/>
      <c r="E5963" s="105"/>
      <c r="F5963" s="105"/>
    </row>
    <row r="5964" spans="1:6" x14ac:dyDescent="0.25">
      <c r="A5964" s="105" t="str">
        <f t="shared" si="93"/>
        <v/>
      </c>
      <c r="B5964" s="105"/>
      <c r="C5964" s="105"/>
      <c r="D5964" s="105"/>
      <c r="E5964" s="105"/>
      <c r="F5964" s="105"/>
    </row>
    <row r="5965" spans="1:6" x14ac:dyDescent="0.25">
      <c r="A5965" s="105" t="str">
        <f t="shared" si="93"/>
        <v/>
      </c>
      <c r="B5965" s="105"/>
      <c r="C5965" s="105"/>
      <c r="D5965" s="105"/>
      <c r="E5965" s="105"/>
      <c r="F5965" s="105"/>
    </row>
    <row r="5966" spans="1:6" x14ac:dyDescent="0.25">
      <c r="A5966" s="105" t="str">
        <f t="shared" si="93"/>
        <v/>
      </c>
      <c r="B5966" s="105"/>
      <c r="C5966" s="105"/>
      <c r="D5966" s="105"/>
      <c r="E5966" s="105"/>
      <c r="F5966" s="105"/>
    </row>
    <row r="5967" spans="1:6" x14ac:dyDescent="0.25">
      <c r="A5967" s="105" t="str">
        <f t="shared" si="93"/>
        <v/>
      </c>
      <c r="B5967" s="105"/>
      <c r="C5967" s="105"/>
      <c r="D5967" s="105"/>
      <c r="E5967" s="105"/>
      <c r="F5967" s="105"/>
    </row>
    <row r="5968" spans="1:6" x14ac:dyDescent="0.25">
      <c r="A5968" s="105" t="str">
        <f t="shared" si="93"/>
        <v/>
      </c>
      <c r="B5968" s="105"/>
      <c r="C5968" s="105"/>
      <c r="D5968" s="105"/>
      <c r="E5968" s="105"/>
      <c r="F5968" s="105"/>
    </row>
    <row r="5969" spans="1:6" x14ac:dyDescent="0.25">
      <c r="A5969" s="105" t="str">
        <f t="shared" si="93"/>
        <v/>
      </c>
      <c r="B5969" s="105"/>
      <c r="C5969" s="105"/>
      <c r="D5969" s="105"/>
      <c r="E5969" s="105"/>
      <c r="F5969" s="105"/>
    </row>
    <row r="5970" spans="1:6" x14ac:dyDescent="0.25">
      <c r="A5970" s="105" t="str">
        <f t="shared" si="93"/>
        <v/>
      </c>
      <c r="B5970" s="105"/>
      <c r="C5970" s="105"/>
      <c r="D5970" s="105"/>
      <c r="E5970" s="105"/>
      <c r="F5970" s="105"/>
    </row>
    <row r="5971" spans="1:6" x14ac:dyDescent="0.25">
      <c r="A5971" s="105" t="str">
        <f t="shared" si="93"/>
        <v/>
      </c>
      <c r="B5971" s="105"/>
      <c r="C5971" s="105"/>
      <c r="D5971" s="105"/>
      <c r="E5971" s="105"/>
      <c r="F5971" s="105"/>
    </row>
    <row r="5972" spans="1:6" x14ac:dyDescent="0.25">
      <c r="A5972" s="105" t="str">
        <f t="shared" si="93"/>
        <v/>
      </c>
      <c r="B5972" s="105"/>
      <c r="C5972" s="105"/>
      <c r="D5972" s="105"/>
      <c r="E5972" s="105"/>
      <c r="F5972" s="105"/>
    </row>
    <row r="5973" spans="1:6" x14ac:dyDescent="0.25">
      <c r="A5973" s="105" t="str">
        <f t="shared" si="93"/>
        <v/>
      </c>
      <c r="B5973" s="105"/>
      <c r="C5973" s="105"/>
      <c r="D5973" s="105"/>
      <c r="E5973" s="105"/>
      <c r="F5973" s="105"/>
    </row>
    <row r="5974" spans="1:6" x14ac:dyDescent="0.25">
      <c r="A5974" s="105" t="str">
        <f t="shared" si="93"/>
        <v/>
      </c>
      <c r="B5974" s="105"/>
      <c r="C5974" s="105"/>
      <c r="D5974" s="105"/>
      <c r="E5974" s="105"/>
      <c r="F5974" s="105"/>
    </row>
    <row r="5975" spans="1:6" x14ac:dyDescent="0.25">
      <c r="A5975" s="105" t="str">
        <f t="shared" si="93"/>
        <v/>
      </c>
      <c r="B5975" s="105"/>
      <c r="C5975" s="105"/>
      <c r="D5975" s="105"/>
      <c r="E5975" s="105"/>
      <c r="F5975" s="105"/>
    </row>
    <row r="5976" spans="1:6" x14ac:dyDescent="0.25">
      <c r="A5976" s="105" t="str">
        <f t="shared" si="93"/>
        <v/>
      </c>
      <c r="B5976" s="105"/>
      <c r="C5976" s="105"/>
      <c r="D5976" s="105"/>
      <c r="E5976" s="105"/>
      <c r="F5976" s="105"/>
    </row>
    <row r="5977" spans="1:6" x14ac:dyDescent="0.25">
      <c r="A5977" s="105" t="str">
        <f t="shared" si="93"/>
        <v/>
      </c>
      <c r="B5977" s="105"/>
      <c r="C5977" s="105"/>
      <c r="D5977" s="105"/>
      <c r="E5977" s="105"/>
      <c r="F5977" s="105"/>
    </row>
    <row r="5978" spans="1:6" x14ac:dyDescent="0.25">
      <c r="A5978" s="105" t="str">
        <f t="shared" si="93"/>
        <v/>
      </c>
      <c r="B5978" s="105"/>
      <c r="C5978" s="105"/>
      <c r="D5978" s="105"/>
      <c r="E5978" s="105"/>
      <c r="F5978" s="105"/>
    </row>
    <row r="5979" spans="1:6" x14ac:dyDescent="0.25">
      <c r="A5979" s="105" t="str">
        <f t="shared" si="93"/>
        <v/>
      </c>
      <c r="B5979" s="105"/>
      <c r="C5979" s="105"/>
      <c r="D5979" s="105"/>
      <c r="E5979" s="105"/>
      <c r="F5979" s="105"/>
    </row>
    <row r="5980" spans="1:6" x14ac:dyDescent="0.25">
      <c r="A5980" s="105" t="str">
        <f t="shared" si="93"/>
        <v/>
      </c>
      <c r="B5980" s="105"/>
      <c r="C5980" s="105"/>
      <c r="D5980" s="105"/>
      <c r="E5980" s="105"/>
      <c r="F5980" s="105"/>
    </row>
    <row r="5981" spans="1:6" x14ac:dyDescent="0.25">
      <c r="A5981" s="105" t="str">
        <f t="shared" si="93"/>
        <v/>
      </c>
      <c r="B5981" s="105"/>
      <c r="C5981" s="105"/>
      <c r="D5981" s="105"/>
      <c r="E5981" s="105"/>
      <c r="F5981" s="105"/>
    </row>
    <row r="5982" spans="1:6" x14ac:dyDescent="0.25">
      <c r="A5982" s="105" t="str">
        <f t="shared" si="93"/>
        <v/>
      </c>
      <c r="B5982" s="105"/>
      <c r="C5982" s="105"/>
      <c r="D5982" s="105"/>
      <c r="E5982" s="105"/>
      <c r="F5982" s="105"/>
    </row>
    <row r="5983" spans="1:6" x14ac:dyDescent="0.25">
      <c r="A5983" s="105" t="str">
        <f t="shared" si="93"/>
        <v/>
      </c>
      <c r="B5983" s="105"/>
      <c r="C5983" s="105"/>
      <c r="D5983" s="105"/>
      <c r="E5983" s="105"/>
      <c r="F5983" s="105"/>
    </row>
    <row r="5984" spans="1:6" x14ac:dyDescent="0.25">
      <c r="A5984" s="105" t="str">
        <f t="shared" si="93"/>
        <v/>
      </c>
      <c r="B5984" s="105"/>
      <c r="C5984" s="105"/>
      <c r="D5984" s="105"/>
      <c r="E5984" s="105"/>
      <c r="F5984" s="105"/>
    </row>
    <row r="5985" spans="1:6" x14ac:dyDescent="0.25">
      <c r="A5985" s="105" t="str">
        <f t="shared" si="93"/>
        <v/>
      </c>
      <c r="B5985" s="105"/>
      <c r="C5985" s="105"/>
      <c r="D5985" s="105"/>
      <c r="E5985" s="105"/>
      <c r="F5985" s="105"/>
    </row>
    <row r="5986" spans="1:6" x14ac:dyDescent="0.25">
      <c r="A5986" s="105" t="str">
        <f t="shared" si="93"/>
        <v/>
      </c>
      <c r="B5986" s="105"/>
      <c r="C5986" s="105"/>
      <c r="D5986" s="105"/>
      <c r="E5986" s="105"/>
      <c r="F5986" s="105"/>
    </row>
    <row r="5987" spans="1:6" x14ac:dyDescent="0.25">
      <c r="A5987" s="105" t="str">
        <f t="shared" si="93"/>
        <v/>
      </c>
      <c r="B5987" s="105"/>
      <c r="C5987" s="105"/>
      <c r="D5987" s="105"/>
      <c r="E5987" s="105"/>
      <c r="F5987" s="105"/>
    </row>
    <row r="5988" spans="1:6" x14ac:dyDescent="0.25">
      <c r="A5988" s="105" t="str">
        <f t="shared" si="93"/>
        <v/>
      </c>
      <c r="B5988" s="105"/>
      <c r="C5988" s="105"/>
      <c r="D5988" s="105"/>
      <c r="E5988" s="105"/>
      <c r="F5988" s="105"/>
    </row>
    <row r="5989" spans="1:6" x14ac:dyDescent="0.25">
      <c r="A5989" s="105" t="str">
        <f t="shared" si="93"/>
        <v/>
      </c>
      <c r="B5989" s="105"/>
      <c r="C5989" s="105"/>
      <c r="D5989" s="105"/>
      <c r="E5989" s="105"/>
      <c r="F5989" s="105"/>
    </row>
    <row r="5990" spans="1:6" x14ac:dyDescent="0.25">
      <c r="A5990" s="105" t="str">
        <f t="shared" si="93"/>
        <v/>
      </c>
      <c r="B5990" s="105"/>
      <c r="C5990" s="105"/>
      <c r="D5990" s="105"/>
      <c r="E5990" s="105"/>
      <c r="F5990" s="105"/>
    </row>
    <row r="5991" spans="1:6" x14ac:dyDescent="0.25">
      <c r="A5991" s="105" t="str">
        <f t="shared" si="93"/>
        <v/>
      </c>
      <c r="B5991" s="105"/>
      <c r="C5991" s="105"/>
      <c r="D5991" s="105"/>
      <c r="E5991" s="105"/>
      <c r="F5991" s="105"/>
    </row>
    <row r="5992" spans="1:6" x14ac:dyDescent="0.25">
      <c r="A5992" s="105" t="str">
        <f t="shared" si="93"/>
        <v/>
      </c>
      <c r="B5992" s="105"/>
      <c r="C5992" s="105"/>
      <c r="D5992" s="105"/>
      <c r="E5992" s="105"/>
      <c r="F5992" s="105"/>
    </row>
    <row r="5993" spans="1:6" x14ac:dyDescent="0.25">
      <c r="A5993" s="105" t="str">
        <f t="shared" si="93"/>
        <v/>
      </c>
      <c r="B5993" s="105"/>
      <c r="C5993" s="105"/>
      <c r="D5993" s="105"/>
      <c r="E5993" s="105"/>
      <c r="F5993" s="105"/>
    </row>
    <row r="5994" spans="1:6" x14ac:dyDescent="0.25">
      <c r="A5994" s="105" t="str">
        <f t="shared" si="93"/>
        <v/>
      </c>
      <c r="B5994" s="105"/>
      <c r="C5994" s="105"/>
      <c r="D5994" s="105"/>
      <c r="E5994" s="105"/>
      <c r="F5994" s="105"/>
    </row>
    <row r="5995" spans="1:6" x14ac:dyDescent="0.25">
      <c r="A5995" s="105" t="str">
        <f t="shared" si="93"/>
        <v/>
      </c>
      <c r="B5995" s="105"/>
      <c r="C5995" s="105"/>
      <c r="D5995" s="105"/>
      <c r="E5995" s="105"/>
      <c r="F5995" s="105"/>
    </row>
    <row r="5996" spans="1:6" x14ac:dyDescent="0.25">
      <c r="A5996" s="105" t="str">
        <f t="shared" si="93"/>
        <v/>
      </c>
      <c r="B5996" s="105"/>
      <c r="C5996" s="105"/>
      <c r="D5996" s="105"/>
      <c r="E5996" s="105"/>
      <c r="F5996" s="105"/>
    </row>
    <row r="5997" spans="1:6" x14ac:dyDescent="0.25">
      <c r="A5997" s="105" t="str">
        <f t="shared" si="93"/>
        <v/>
      </c>
      <c r="B5997" s="105"/>
      <c r="C5997" s="105"/>
      <c r="D5997" s="105"/>
      <c r="E5997" s="105"/>
      <c r="F5997" s="105"/>
    </row>
    <row r="5998" spans="1:6" x14ac:dyDescent="0.25">
      <c r="A5998" s="105" t="str">
        <f t="shared" si="93"/>
        <v/>
      </c>
      <c r="B5998" s="105"/>
      <c r="C5998" s="105"/>
      <c r="D5998" s="105"/>
      <c r="E5998" s="105"/>
      <c r="F5998" s="105"/>
    </row>
    <row r="5999" spans="1:6" x14ac:dyDescent="0.25">
      <c r="A5999" s="105" t="str">
        <f t="shared" si="93"/>
        <v/>
      </c>
      <c r="B5999" s="105"/>
      <c r="C5999" s="105"/>
      <c r="D5999" s="105"/>
      <c r="E5999" s="105"/>
      <c r="F5999" s="105"/>
    </row>
    <row r="6000" spans="1:6" x14ac:dyDescent="0.25">
      <c r="A6000" s="105" t="str">
        <f t="shared" si="93"/>
        <v/>
      </c>
      <c r="B6000" s="105"/>
      <c r="C6000" s="105"/>
      <c r="D6000" s="105"/>
      <c r="E6000" s="105"/>
      <c r="F6000" s="105"/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</vt:i4>
      </vt:variant>
    </vt:vector>
  </HeadingPairs>
  <TitlesOfParts>
    <vt:vector size="12" baseType="lpstr">
      <vt:lpstr>Planilla</vt:lpstr>
      <vt:lpstr>A Domicilio</vt:lpstr>
      <vt:lpstr>A Sucursal</vt:lpstr>
      <vt:lpstr>Pago en Destino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2022-04-01T15:07:18Z</cp:lastPrinted>
  <dcterms:created xsi:type="dcterms:W3CDTF">2020-05-12T14:02:24Z</dcterms:created>
  <dcterms:modified xsi:type="dcterms:W3CDTF">2022-04-01T15:09:56Z</dcterms:modified>
</cp:coreProperties>
</file>