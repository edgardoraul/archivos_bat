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I25" i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<sst xmlns="http://schemas.openxmlformats.org/spreadsheetml/2006/main" count="22482" uniqueCount="14225">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</sst>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  <xf numFmtId="0" fontId="0" fillId="0" borderId="1" xfId="0" quotePrefix="1" applyBorder="1"/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  <cell r="B3"/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  <cell r="B14"/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  <cell r="B21"/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  <cell r="D39"/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  <cell r="D40"/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  <cell r="D41"/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  <cell r="D42"/>
        </row>
        <row r="43">
          <cell r="A43" t="str">
            <v>1000809</v>
          </cell>
          <cell r="B43" t="str">
            <v>AGEN CORBATA SPECIAL SEG</v>
          </cell>
          <cell r="C43"/>
          <cell r="D43"/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  <cell r="B54"/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  <cell r="B59"/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  <cell r="B61"/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  <cell r="B66"/>
          <cell r="C66"/>
          <cell r="D66"/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  <cell r="D68"/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  <cell r="D69"/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  <cell r="D70"/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  <cell r="D71"/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  <cell r="D72"/>
        </row>
        <row r="73">
          <cell r="A73" t="str">
            <v>1120008</v>
          </cell>
          <cell r="B73" t="str">
            <v>BOMB CONDOR RIP AZUL 62/66 RER</v>
          </cell>
          <cell r="C73"/>
          <cell r="D73"/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  <cell r="D76"/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  <cell r="D77"/>
        </row>
        <row r="78">
          <cell r="A78" t="str">
            <v>1120013</v>
          </cell>
          <cell r="B78" t="str">
            <v>BOMB AMER GAB AZUL 68/72 RER</v>
          </cell>
          <cell r="C78"/>
          <cell r="D78"/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  <cell r="C80"/>
          <cell r="D80"/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  <cell r="C90"/>
          <cell r="D90"/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  <cell r="D94"/>
        </row>
        <row r="95">
          <cell r="A95" t="str">
            <v>1120057</v>
          </cell>
          <cell r="B95" t="str">
            <v>BOMB JAZAK RIP BEIGE 56/60 RER</v>
          </cell>
          <cell r="C95"/>
          <cell r="D95"/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  <cell r="D98"/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  <cell r="D99"/>
        </row>
        <row r="100">
          <cell r="A100" t="str">
            <v>1120063</v>
          </cell>
          <cell r="B100" t="str">
            <v>BOMB JAZAK RIP GRIS 62/64 RER</v>
          </cell>
          <cell r="C100"/>
          <cell r="D100"/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  <cell r="D110"/>
        </row>
        <row r="111">
          <cell r="A111" t="str">
            <v>1120074</v>
          </cell>
          <cell r="B111" t="str">
            <v>BOMB JAZAK RIP PITON 56/60</v>
          </cell>
          <cell r="C111"/>
          <cell r="D111"/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  <cell r="D118"/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  <cell r="D119"/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  <cell r="D120"/>
        </row>
        <row r="121">
          <cell r="A121" t="str">
            <v>1120112</v>
          </cell>
          <cell r="B121" t="str">
            <v>BOMB CLAS RIP PETREO DAMA 56/60</v>
          </cell>
          <cell r="C121"/>
          <cell r="D121"/>
        </row>
        <row r="122">
          <cell r="A122" t="str">
            <v>1120112BOMB</v>
          </cell>
          <cell r="B122"/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  <cell r="D124"/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  <cell r="D125"/>
        </row>
        <row r="126">
          <cell r="A126" t="str">
            <v>1120130BOMB</v>
          </cell>
          <cell r="B126"/>
          <cell r="C126"/>
          <cell r="D126"/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  <cell r="C128"/>
          <cell r="D128"/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  <cell r="D131"/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  <cell r="D132"/>
        </row>
        <row r="133">
          <cell r="A133" t="str">
            <v>1120142</v>
          </cell>
          <cell r="B133" t="str">
            <v>BOMB GAB GRIS NEUQUEN 50/54 RER</v>
          </cell>
          <cell r="C133"/>
          <cell r="D133"/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  <cell r="D140"/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  <cell r="D141"/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  <cell r="D142"/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  <cell r="D143"/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  <cell r="D144"/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  <cell r="D145"/>
        </row>
        <row r="146">
          <cell r="A146" t="str">
            <v>1120167</v>
          </cell>
          <cell r="B146" t="str">
            <v>BOMB AMER RIP DIGITAL ACU 56/60 RER</v>
          </cell>
          <cell r="C146"/>
          <cell r="D146"/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  <cell r="D148"/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  <cell r="D149"/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  <cell r="D150"/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  <cell r="D151"/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  <cell r="D152"/>
        </row>
        <row r="153">
          <cell r="A153" t="str">
            <v>1120177</v>
          </cell>
          <cell r="B153" t="str">
            <v>BOMB TERMICA AZUL 62/66 RER</v>
          </cell>
          <cell r="C153"/>
          <cell r="D153"/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  <cell r="D155"/>
        </row>
        <row r="156">
          <cell r="A156" t="str">
            <v>1120182BOMB</v>
          </cell>
          <cell r="B156"/>
          <cell r="C156"/>
          <cell r="D156"/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  <cell r="B158"/>
          <cell r="C158"/>
          <cell r="D158"/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  <cell r="B160"/>
          <cell r="C160"/>
          <cell r="D160"/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  <cell r="B162"/>
          <cell r="C162"/>
          <cell r="D162"/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  <cell r="D164"/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  <cell r="D165"/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  <cell r="D166"/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  <cell r="D167"/>
        </row>
        <row r="168">
          <cell r="A168" t="str">
            <v>1120194</v>
          </cell>
          <cell r="B168" t="str">
            <v>BOMB JAZAK RIP INFANTERIA 62/66 RER</v>
          </cell>
          <cell r="C168"/>
          <cell r="D168"/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  <cell r="D170"/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  <cell r="D171"/>
        </row>
        <row r="172">
          <cell r="A172" t="str">
            <v>1120199</v>
          </cell>
          <cell r="B172" t="str">
            <v>BOMB JAZAK RIP TIGER VERDE 62/66 RER</v>
          </cell>
          <cell r="C172"/>
          <cell r="D172"/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  <cell r="D175"/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  <cell r="D176"/>
        </row>
        <row r="177">
          <cell r="A177" t="str">
            <v>1120204</v>
          </cell>
          <cell r="B177" t="str">
            <v>BOMB JAZAK GAB NEGRA 62/64 RER</v>
          </cell>
          <cell r="C177"/>
          <cell r="D177"/>
        </row>
        <row r="178">
          <cell r="A178" t="str">
            <v>1120204BOMB</v>
          </cell>
          <cell r="B178"/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  <cell r="D180"/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  <cell r="D181"/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  <cell r="D182"/>
        </row>
        <row r="183">
          <cell r="A183" t="str">
            <v>1120210</v>
          </cell>
          <cell r="B183" t="str">
            <v>BOMB JAZAK RIP DIG INFANTERIA 34/48 RER</v>
          </cell>
          <cell r="C183"/>
          <cell r="D183"/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  <cell r="D196"/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  <cell r="D197"/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  <cell r="D198"/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  <cell r="D199"/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  <cell r="D200"/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  <cell r="D201"/>
        </row>
        <row r="202">
          <cell r="A202" t="str">
            <v>1120235</v>
          </cell>
          <cell r="B202" t="str">
            <v>BOMB JAZAK RIP MULTICAM BLACK 56/60</v>
          </cell>
          <cell r="C202"/>
          <cell r="D202"/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  <cell r="C205"/>
          <cell r="D205"/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  <cell r="D208"/>
        </row>
        <row r="209">
          <cell r="A209" t="str">
            <v>1120243</v>
          </cell>
          <cell r="B209" t="str">
            <v>BOMB CLAS GAB BOLS RURAL AZUL 56/60</v>
          </cell>
          <cell r="C209"/>
          <cell r="D209"/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  <cell r="C211"/>
          <cell r="D211"/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  <cell r="C213"/>
          <cell r="D213"/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  <cell r="D215"/>
        </row>
        <row r="216">
          <cell r="A216" t="str">
            <v>1120251</v>
          </cell>
          <cell r="B216" t="str">
            <v>BOMB AMER GAB PETREO 50/54</v>
          </cell>
          <cell r="C216"/>
          <cell r="D216"/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  <cell r="D218"/>
        </row>
        <row r="219">
          <cell r="A219" t="str">
            <v>1120265</v>
          </cell>
          <cell r="B219" t="str">
            <v>BOMB HAGANA RIP MULTICAM EJERC 56/60 RER</v>
          </cell>
          <cell r="C219"/>
          <cell r="D219"/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  <cell r="D222"/>
        </row>
        <row r="223">
          <cell r="A223" t="str">
            <v>1120269</v>
          </cell>
          <cell r="B223" t="str">
            <v>BOMB HAGANA RIP AZUL 56/60 RER</v>
          </cell>
          <cell r="C223"/>
          <cell r="D223"/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  <cell r="D226"/>
        </row>
        <row r="227">
          <cell r="A227" t="str">
            <v>1120273</v>
          </cell>
          <cell r="B227" t="str">
            <v>BOMB HAGANA RIP NEGRA 56/60 RER</v>
          </cell>
          <cell r="C227"/>
          <cell r="D227"/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  <cell r="D230"/>
        </row>
        <row r="231">
          <cell r="A231" t="str">
            <v>1120277</v>
          </cell>
          <cell r="B231" t="str">
            <v>BOMB HAGANA RIP DIGITAL VERDE 56/60 RER</v>
          </cell>
          <cell r="C231"/>
          <cell r="D231"/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  <cell r="D234"/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  <cell r="D235"/>
        </row>
        <row r="236">
          <cell r="A236" t="str">
            <v>1120285B</v>
          </cell>
          <cell r="B236" t="str">
            <v>BOMB CLAS GAB AZUL 36/48</v>
          </cell>
          <cell r="C236"/>
          <cell r="D236"/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  <cell r="C238"/>
          <cell r="D238"/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  <cell r="C240"/>
          <cell r="D240"/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  <cell r="C246"/>
          <cell r="D246"/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  <cell r="B248"/>
          <cell r="C248"/>
          <cell r="D248"/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  <cell r="B250"/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  <cell r="B252"/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  <cell r="D255"/>
        </row>
        <row r="256">
          <cell r="A256" t="str">
            <v>1120307</v>
          </cell>
          <cell r="B256" t="str">
            <v>BOMB CLAS GAB NEGRA DAMA/SPANDE 56/60RER</v>
          </cell>
          <cell r="C256"/>
          <cell r="D256"/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  <cell r="B258"/>
          <cell r="C258"/>
          <cell r="D258"/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  <cell r="B260"/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  <cell r="B262"/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  <cell r="D265"/>
        </row>
        <row r="266">
          <cell r="A266" t="str">
            <v>1120317</v>
          </cell>
          <cell r="B266" t="str">
            <v>BOMB CLAS RIP DESERTICO 56/60 RER</v>
          </cell>
          <cell r="C266"/>
          <cell r="D266"/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  <cell r="C273"/>
          <cell r="D273"/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  <cell r="C275"/>
          <cell r="D275"/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  <cell r="B278"/>
          <cell r="C278"/>
          <cell r="D278"/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  <cell r="B280"/>
          <cell r="C280"/>
          <cell r="D280"/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  <cell r="B282"/>
          <cell r="C282"/>
          <cell r="D282"/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  <cell r="D284"/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  <cell r="D285"/>
        </row>
        <row r="286">
          <cell r="A286" t="str">
            <v>1120336</v>
          </cell>
          <cell r="B286" t="str">
            <v>BOMB CLAS RIP EJERCITO 62/66 RER</v>
          </cell>
          <cell r="C286"/>
          <cell r="D286"/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  <cell r="D289"/>
        </row>
        <row r="290">
          <cell r="A290" t="str">
            <v>1120353</v>
          </cell>
          <cell r="B290" t="str">
            <v>BOMB FARO</v>
          </cell>
          <cell r="C290"/>
          <cell r="D290"/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  <cell r="C293"/>
          <cell r="D293"/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  <cell r="D296"/>
        </row>
        <row r="297">
          <cell r="A297" t="str">
            <v>1120400BOMB</v>
          </cell>
          <cell r="B297"/>
          <cell r="C297"/>
          <cell r="D297"/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  <cell r="B299"/>
          <cell r="C299"/>
          <cell r="D299"/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  <cell r="B301"/>
          <cell r="C301"/>
          <cell r="D301"/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  <cell r="D303"/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  <cell r="D304"/>
        </row>
        <row r="305">
          <cell r="A305" t="str">
            <v>1120417</v>
          </cell>
          <cell r="B305" t="str">
            <v>BOMB TERMICA NEGRA 62/66 RER</v>
          </cell>
          <cell r="C305"/>
          <cell r="D305"/>
        </row>
        <row r="306">
          <cell r="A306" t="str">
            <v>1120417BOMB</v>
          </cell>
          <cell r="B306"/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  <cell r="D308"/>
        </row>
        <row r="309">
          <cell r="A309" t="str">
            <v>1120430</v>
          </cell>
          <cell r="B309" t="str">
            <v>BREECHES AZUL 56/60 RER</v>
          </cell>
          <cell r="C309"/>
          <cell r="D309"/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  <cell r="C312"/>
          <cell r="D312"/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  <cell r="B314"/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  <cell r="B316"/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  <cell r="B318"/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  <cell r="C320"/>
          <cell r="D320"/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  <cell r="D324"/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  <cell r="D325"/>
        </row>
        <row r="326">
          <cell r="A326" t="str">
            <v>1120452</v>
          </cell>
          <cell r="B326" t="str">
            <v>BOMB BOMBER GRIS 50/54 RER</v>
          </cell>
          <cell r="C326"/>
          <cell r="D326"/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  <cell r="C330"/>
          <cell r="D330"/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  <cell r="C332"/>
          <cell r="D332"/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  <cell r="D335"/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  <cell r="D336"/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  <cell r="D337"/>
        </row>
        <row r="338">
          <cell r="A338" t="str">
            <v>1120471</v>
          </cell>
          <cell r="B338" t="str">
            <v>BOMB JAZAK RIP TIGER CELESTE 50/54 RER</v>
          </cell>
          <cell r="C338"/>
          <cell r="D338"/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  <cell r="C345"/>
          <cell r="D345"/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  <cell r="D347"/>
        </row>
        <row r="348">
          <cell r="A348" t="str">
            <v>1120490</v>
          </cell>
          <cell r="B348" t="str">
            <v>BOMB BOMER RIP STOP BEIGE 34/48</v>
          </cell>
          <cell r="C348"/>
          <cell r="D348"/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  <cell r="B353"/>
          <cell r="C353"/>
          <cell r="D353"/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  <cell r="B355"/>
          <cell r="C355"/>
          <cell r="D355"/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  <cell r="B357"/>
          <cell r="C357"/>
          <cell r="D357"/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  <cell r="B359"/>
          <cell r="C359"/>
          <cell r="D359"/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  <cell r="D361"/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  <cell r="D362"/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  <cell r="D363"/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  <cell r="D364"/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  <cell r="D365"/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  <cell r="D366"/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  <cell r="D367"/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  <cell r="D368"/>
        </row>
        <row r="369">
          <cell r="A369" t="str">
            <v>1120513</v>
          </cell>
          <cell r="B369" t="str">
            <v>BOMB CLAS RIP MULTICAM BLACK 50/54</v>
          </cell>
          <cell r="C369"/>
          <cell r="D369"/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  <cell r="D376"/>
        </row>
        <row r="377">
          <cell r="A377" t="str">
            <v>1120595</v>
          </cell>
          <cell r="B377" t="str">
            <v>PANT TERMICOS BLANCO LSP 3XS/XXL</v>
          </cell>
          <cell r="C377"/>
          <cell r="D377"/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  <cell r="C382"/>
          <cell r="D382"/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  <cell r="B392"/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  <cell r="D395"/>
        </row>
        <row r="396">
          <cell r="A396" t="str">
            <v>1120625</v>
          </cell>
          <cell r="B396" t="str">
            <v>BOMB AMER RIP GRIS 56/60 RER</v>
          </cell>
          <cell r="C396"/>
          <cell r="D396"/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  <cell r="C399"/>
          <cell r="D399"/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  <cell r="D402"/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  <cell r="D403"/>
        </row>
        <row r="404">
          <cell r="A404" t="str">
            <v>1120643</v>
          </cell>
          <cell r="B404" t="str">
            <v>BOMB AMER RIP DIGITAL GRIS 62/66 RER</v>
          </cell>
          <cell r="C404"/>
          <cell r="D404"/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  <cell r="C407"/>
          <cell r="D407"/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  <cell r="D410"/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  <cell r="D411"/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  <cell r="D412"/>
        </row>
        <row r="413">
          <cell r="A413" t="str">
            <v>1120680</v>
          </cell>
          <cell r="B413" t="str">
            <v>PANT GABARDINA MARRON C GALON 34/48 RER</v>
          </cell>
          <cell r="C413"/>
          <cell r="D413"/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  <cell r="D417"/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  <cell r="D418"/>
        </row>
        <row r="419">
          <cell r="A419" t="str">
            <v>1120712</v>
          </cell>
          <cell r="B419" t="str">
            <v>BOMB CLAS RIP AZUL DAMA/SPANDE 56/60 RER</v>
          </cell>
          <cell r="C419"/>
          <cell r="D419"/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  <cell r="D421"/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  <cell r="D422"/>
        </row>
        <row r="423">
          <cell r="A423" t="str">
            <v>1120723</v>
          </cell>
          <cell r="B423" t="str">
            <v>BOMB KADIMA GAB AZUL 62/66 RER</v>
          </cell>
          <cell r="C423"/>
          <cell r="D423"/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  <cell r="D425"/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  <cell r="D426"/>
        </row>
        <row r="427">
          <cell r="A427" t="str">
            <v>1120727</v>
          </cell>
          <cell r="B427" t="str">
            <v>BOMB KADIMA GAB NEGRA 62/66 RER</v>
          </cell>
          <cell r="C427"/>
          <cell r="D427"/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  <cell r="D429"/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  <cell r="D430"/>
        </row>
        <row r="431">
          <cell r="A431" t="str">
            <v>1120731</v>
          </cell>
          <cell r="B431" t="str">
            <v>BOMB KADIMA EXPAND GAB NEGRA 62/66 RER</v>
          </cell>
          <cell r="C431"/>
          <cell r="D431"/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  <cell r="D437"/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  <cell r="D438"/>
        </row>
        <row r="439">
          <cell r="A439" t="str">
            <v>1120739</v>
          </cell>
          <cell r="B439" t="str">
            <v>BOMB KADIMA EXPAND GAB AZUL 62/66 RER</v>
          </cell>
          <cell r="C439"/>
          <cell r="D439"/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  <cell r="B441"/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  <cell r="D443"/>
        </row>
        <row r="444">
          <cell r="A444" t="str">
            <v>1120744</v>
          </cell>
          <cell r="B444" t="str">
            <v>BOMB KADIMA GAB AZUL NQN 56/60 RER</v>
          </cell>
          <cell r="C444"/>
          <cell r="D444"/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  <cell r="D447"/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  <cell r="D448"/>
        </row>
        <row r="449">
          <cell r="A449" t="str">
            <v>1120749</v>
          </cell>
          <cell r="B449" t="str">
            <v>BOMB KADIMA EXPAND GAB GRIS 62/66 RER</v>
          </cell>
          <cell r="C449"/>
          <cell r="D449"/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  <cell r="D451"/>
        </row>
        <row r="452">
          <cell r="A452" t="str">
            <v>1120751BOMB</v>
          </cell>
          <cell r="B452"/>
          <cell r="C452"/>
          <cell r="D452"/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  <cell r="B454"/>
          <cell r="C454"/>
          <cell r="D454"/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  <cell r="D456"/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  <cell r="D457"/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  <cell r="D458"/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  <cell r="D459"/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  <cell r="D460"/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  <cell r="D461"/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  <cell r="D462"/>
        </row>
        <row r="463">
          <cell r="A463" t="str">
            <v>1120768</v>
          </cell>
          <cell r="B463" t="str">
            <v>PANT AZUL C/CINTA LAUREA NEGRA 62/66 RER</v>
          </cell>
          <cell r="C463"/>
          <cell r="D463"/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  <cell r="D466"/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  <cell r="D467"/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  <cell r="D468"/>
        </row>
        <row r="469">
          <cell r="A469" t="str">
            <v>1120775</v>
          </cell>
          <cell r="B469" t="str">
            <v>PANT VESTIR NEGRO C VIVO ROJO BOMB</v>
          </cell>
          <cell r="C469"/>
          <cell r="D469"/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  <cell r="D471"/>
        </row>
        <row r="472">
          <cell r="A472" t="str">
            <v>1120778</v>
          </cell>
          <cell r="B472" t="str">
            <v>PANT GRIS C/CINTA NEGRA LMGE 56/60 RER</v>
          </cell>
          <cell r="C472"/>
          <cell r="D472"/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  <cell r="D474"/>
        </row>
        <row r="475">
          <cell r="A475" t="str">
            <v>1120782</v>
          </cell>
          <cell r="B475" t="str">
            <v>PANT NEGRO DE POLICIA DAMA 36/48 RER</v>
          </cell>
          <cell r="C475"/>
          <cell r="D475"/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  <cell r="D479"/>
        </row>
        <row r="480">
          <cell r="A480" t="str">
            <v>1120787</v>
          </cell>
          <cell r="B480" t="str">
            <v>PANT AZUL DAMA S/BOLSILLO TRAS 56/60 RER</v>
          </cell>
          <cell r="C480"/>
          <cell r="D480"/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  <cell r="D482"/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  <cell r="D483"/>
        </row>
        <row r="484">
          <cell r="A484" t="str">
            <v>1120792</v>
          </cell>
          <cell r="B484" t="str">
            <v>BOMB CONDOR RIP NEGRA 62/66 RER</v>
          </cell>
          <cell r="C484"/>
          <cell r="D484"/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  <cell r="D486"/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  <cell r="D487"/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  <cell r="D488"/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  <cell r="D489"/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  <cell r="D490"/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  <cell r="D491"/>
        </row>
        <row r="492">
          <cell r="A492" t="str">
            <v>1120800BOMB</v>
          </cell>
          <cell r="B492"/>
          <cell r="C492"/>
          <cell r="D492"/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  <cell r="B494"/>
          <cell r="C494"/>
          <cell r="D494"/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  <cell r="B496"/>
          <cell r="C496"/>
          <cell r="D496"/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  <cell r="B498"/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  <cell r="D503"/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  <cell r="D504"/>
        </row>
        <row r="505">
          <cell r="A505" t="str">
            <v>1120843</v>
          </cell>
          <cell r="B505" t="str">
            <v>PANT GRIS GABARDINA 62/66 RER</v>
          </cell>
          <cell r="C505"/>
          <cell r="D505"/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  <cell r="D507"/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  <cell r="D508"/>
        </row>
        <row r="509">
          <cell r="A509" t="str">
            <v>1120853</v>
          </cell>
          <cell r="B509" t="str">
            <v>BOMB AMER RIP INFANTERIA 62/66 RER</v>
          </cell>
          <cell r="C509"/>
          <cell r="D509"/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  <cell r="D511"/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  <cell r="D512"/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  <cell r="D513"/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  <cell r="D514"/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  <cell r="D515"/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  <cell r="D516"/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  <cell r="D517"/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  <cell r="D518"/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  <cell r="D519"/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  <cell r="D520"/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  <cell r="D521"/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  <cell r="D522"/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  <cell r="D523"/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  <cell r="D524"/>
        </row>
        <row r="525">
          <cell r="A525" t="str">
            <v>1120881</v>
          </cell>
          <cell r="B525" t="str">
            <v>BOMB CLAS RIP DIGITAL GRIS 50/54 RER</v>
          </cell>
          <cell r="C525"/>
          <cell r="D525"/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  <cell r="D532"/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  <cell r="D533"/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  <cell r="D534"/>
        </row>
        <row r="535">
          <cell r="A535" t="str">
            <v>1120901BOMB</v>
          </cell>
          <cell r="B535"/>
          <cell r="C535"/>
          <cell r="D535"/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  <cell r="B537"/>
          <cell r="C537"/>
          <cell r="D537"/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  <cell r="D539"/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  <cell r="D540"/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  <cell r="D541"/>
        </row>
        <row r="542">
          <cell r="A542" t="str">
            <v>1120920</v>
          </cell>
          <cell r="B542" t="str">
            <v>BOMB CLAS RIP NEGRA SARPOL REFLECTIVA 34/48 RER</v>
          </cell>
          <cell r="C542"/>
          <cell r="D542"/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  <cell r="D546"/>
        </row>
        <row r="547">
          <cell r="A547" t="str">
            <v>112094034</v>
          </cell>
          <cell r="B547" t="str">
            <v>BOMB CLAS RIP REQUISA 34</v>
          </cell>
          <cell r="C547"/>
          <cell r="D547"/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  <cell r="C556"/>
          <cell r="D556"/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  <cell r="B564"/>
          <cell r="C564"/>
          <cell r="D564"/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  <cell r="B566"/>
          <cell r="C566"/>
          <cell r="D566"/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  <cell r="B568"/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  <cell r="D571"/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  <cell r="D572"/>
        </row>
        <row r="573">
          <cell r="A573" t="str">
            <v>1120954</v>
          </cell>
          <cell r="B573" t="str">
            <v>BOMB AMER RIP REQUISA 62/66 RER</v>
          </cell>
          <cell r="C573"/>
          <cell r="D573"/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  <cell r="D576"/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  <cell r="D577"/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  <cell r="D578"/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  <cell r="D579"/>
        </row>
        <row r="580">
          <cell r="A580" t="str">
            <v>1123457</v>
          </cell>
          <cell r="B580" t="str">
            <v>BOMB BOMBER AZUL 56/60 RER</v>
          </cell>
          <cell r="C580"/>
          <cell r="D580"/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  <cell r="C583"/>
          <cell r="D583"/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  <cell r="D585"/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  <cell r="D586"/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  <cell r="D587"/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  <cell r="D588"/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  <cell r="D589"/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  <cell r="D590"/>
        </row>
        <row r="591">
          <cell r="A591" t="str">
            <v>1130284</v>
          </cell>
          <cell r="B591" t="str">
            <v>MAMELUCO TERMICO AZUL S/XL RER</v>
          </cell>
          <cell r="C591"/>
          <cell r="D591"/>
        </row>
        <row r="592">
          <cell r="A592" t="str">
            <v>1130284MAMEL</v>
          </cell>
          <cell r="B592"/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  <cell r="D595"/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  <cell r="D596"/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  <cell r="D597"/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  <cell r="D598"/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  <cell r="D599"/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  <cell r="D600"/>
        </row>
        <row r="601">
          <cell r="A601" t="str">
            <v>1130751</v>
          </cell>
          <cell r="B601" t="str">
            <v>MAMELUCO TERMICO GRIS 2XL/6XL RER</v>
          </cell>
          <cell r="C601"/>
          <cell r="D601"/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  <cell r="D606"/>
        </row>
        <row r="607">
          <cell r="A607" t="str">
            <v>1140001PANT</v>
          </cell>
          <cell r="B607"/>
          <cell r="C607"/>
          <cell r="D607"/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  <cell r="C609"/>
          <cell r="D609"/>
        </row>
        <row r="610">
          <cell r="A610" t="str">
            <v>1200001BBOMB</v>
          </cell>
          <cell r="B610"/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  <cell r="B613"/>
          <cell r="C613"/>
          <cell r="D613"/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  <cell r="B615"/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  <cell r="B617"/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  <cell r="B619"/>
          <cell r="C619"/>
          <cell r="D619"/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  <cell r="B621"/>
          <cell r="C621"/>
          <cell r="D621"/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  <cell r="B623"/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  <cell r="B625"/>
          <cell r="C625"/>
          <cell r="D625"/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  <cell r="B627"/>
          <cell r="C627"/>
          <cell r="D627"/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  <cell r="B629"/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  <cell r="B631"/>
          <cell r="C631"/>
          <cell r="D631"/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  <cell r="B633"/>
          <cell r="C633"/>
          <cell r="D633"/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  <cell r="D637"/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  <cell r="D638"/>
        </row>
        <row r="639">
          <cell r="A639" t="str">
            <v>1524057</v>
          </cell>
          <cell r="B639" t="str">
            <v>CAJA DE REGALO NAVIDAD X3 RER</v>
          </cell>
          <cell r="C639"/>
          <cell r="D639"/>
        </row>
        <row r="640">
          <cell r="A640" t="str">
            <v>1524057CAJA</v>
          </cell>
          <cell r="B640"/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  <cell r="B644"/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  <cell r="D647"/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  <cell r="D648"/>
        </row>
        <row r="649">
          <cell r="A649" t="str">
            <v>2014109</v>
          </cell>
          <cell r="B649" t="str">
            <v>POLAR AZUL C/CIERRE  LMGE RER</v>
          </cell>
          <cell r="C649"/>
          <cell r="D649"/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  <cell r="B651"/>
          <cell r="C651"/>
          <cell r="D651"/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  <cell r="C654"/>
          <cell r="D654"/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  <cell r="C656"/>
          <cell r="D656"/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  <cell r="C658"/>
          <cell r="D658"/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  <cell r="C661"/>
          <cell r="D661"/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  <cell r="D671"/>
        </row>
        <row r="672">
          <cell r="A672" t="str">
            <v>2101102</v>
          </cell>
          <cell r="B672" t="str">
            <v>CHOMBA MC POLO COMBINADA MUNI RER</v>
          </cell>
          <cell r="C672"/>
          <cell r="D672"/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  <cell r="D674"/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  <cell r="D675"/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  <cell r="D676"/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  <cell r="D677"/>
        </row>
        <row r="678">
          <cell r="A678" t="str">
            <v>2101113</v>
          </cell>
          <cell r="B678" t="str">
            <v>CHOMBA MC POLO NEGRA PSA 2XS/2XL RER</v>
          </cell>
          <cell r="C678"/>
          <cell r="D678"/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  <cell r="C681"/>
          <cell r="D681"/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  <cell r="C685"/>
          <cell r="D685"/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  <cell r="D687"/>
        </row>
        <row r="688">
          <cell r="A688" t="str">
            <v>2101210</v>
          </cell>
          <cell r="B688" t="str">
            <v>CHOMBA ML CIERRE AZUL FRA LA RIOJA RER</v>
          </cell>
          <cell r="C688"/>
          <cell r="D688"/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  <cell r="D692"/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  <cell r="D693"/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  <cell r="D694"/>
        </row>
        <row r="695">
          <cell r="A695" t="str">
            <v>2101322</v>
          </cell>
          <cell r="B695" t="str">
            <v>CHOMBA MC POLO ROJA INSTRUCT 3XL/6XL RER</v>
          </cell>
          <cell r="C695"/>
          <cell r="D695"/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  <cell r="D698"/>
        </row>
        <row r="699">
          <cell r="A699" t="str">
            <v>2101369</v>
          </cell>
          <cell r="B699" t="str">
            <v>CHOMBA MC POLO LAS PIRCAS RER</v>
          </cell>
          <cell r="C699"/>
          <cell r="D699"/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  <cell r="C701"/>
          <cell r="D701"/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  <cell r="C704"/>
          <cell r="D704"/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  <cell r="C706"/>
          <cell r="D706"/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  <cell r="D708"/>
        </row>
        <row r="709">
          <cell r="A709" t="str">
            <v>2101497</v>
          </cell>
          <cell r="B709" t="str">
            <v>CHOMBA ML CIERRE AZ + ESTAM 3XS/2XL RER</v>
          </cell>
          <cell r="C709"/>
          <cell r="D709"/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  <cell r="D712"/>
        </row>
        <row r="713">
          <cell r="A713" t="str">
            <v>2101501</v>
          </cell>
          <cell r="B713" t="str">
            <v>CHOMBA MC POLO GRIS MELA SPF 3XL/5XL RER</v>
          </cell>
          <cell r="C713"/>
          <cell r="D713"/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  <cell r="C715"/>
          <cell r="D715"/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  <cell r="D718"/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  <cell r="D719"/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  <cell r="D720"/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  <cell r="D721"/>
        </row>
        <row r="722">
          <cell r="A722" t="str">
            <v>2101553</v>
          </cell>
          <cell r="B722" t="str">
            <v>REMERA MC SIN CIE AZ ESTAM CAT 3XL/6XL</v>
          </cell>
          <cell r="C722"/>
          <cell r="D722"/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  <cell r="D724"/>
        </row>
        <row r="725">
          <cell r="A725" t="str">
            <v>2101557</v>
          </cell>
          <cell r="B725" t="str">
            <v>REMERA MC SIN CIE NE HIDRO R 2XS/2XL RER</v>
          </cell>
          <cell r="C725"/>
          <cell r="D725"/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  <cell r="D730"/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  <cell r="D731"/>
        </row>
        <row r="732">
          <cell r="A732" t="str">
            <v>2101564</v>
          </cell>
          <cell r="B732" t="str">
            <v>REMERA MC SIN CIERRE CINTIFICA 3XL/6XL</v>
          </cell>
          <cell r="C732"/>
          <cell r="D732"/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  <cell r="D734"/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  <cell r="D735"/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  <cell r="D736"/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  <cell r="D737"/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  <cell r="D738"/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  <cell r="D739"/>
        </row>
        <row r="740">
          <cell r="A740" t="str">
            <v>2101590</v>
          </cell>
          <cell r="B740" t="str">
            <v>CHOMBA MC POLO VIAL SAN JUAN BLANCA</v>
          </cell>
          <cell r="C740"/>
          <cell r="D740"/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  <cell r="C746"/>
          <cell r="D746"/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  <cell r="D748"/>
        </row>
        <row r="749">
          <cell r="A749" t="str">
            <v>2101657</v>
          </cell>
          <cell r="B749" t="str">
            <v>CHOMBA MC POLO NEGRA CHUBUT 3XS/2XL</v>
          </cell>
          <cell r="C749"/>
          <cell r="D749"/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  <cell r="D752"/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  <cell r="D753"/>
        </row>
        <row r="754">
          <cell r="A754" t="str">
            <v>2101743</v>
          </cell>
          <cell r="B754" t="str">
            <v>CHOMBA ML POLO NEGRO 3XS/2XL RER</v>
          </cell>
          <cell r="C754"/>
          <cell r="D754"/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  <cell r="D757"/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  <cell r="D758"/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  <cell r="D759"/>
        </row>
        <row r="760">
          <cell r="A760" t="str">
            <v>2101802</v>
          </cell>
          <cell r="B760" t="str">
            <v>CHOMBA MC POLO NEGRA SANTA CRUZ 3XS/2XL</v>
          </cell>
          <cell r="C760"/>
          <cell r="D760"/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  <cell r="D763"/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  <cell r="D764"/>
        </row>
        <row r="765">
          <cell r="A765" t="str">
            <v>2101880</v>
          </cell>
          <cell r="B765" t="str">
            <v>CHOMBA MC POLO BEIGE 3XL/5XL RER</v>
          </cell>
          <cell r="C765"/>
          <cell r="D765"/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  <cell r="C767"/>
          <cell r="D767"/>
        </row>
        <row r="768">
          <cell r="A768" t="str">
            <v>2101889CHOMB</v>
          </cell>
          <cell r="B768"/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  <cell r="C770"/>
          <cell r="D770"/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  <cell r="D772"/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  <cell r="D773"/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  <cell r="D774"/>
        </row>
        <row r="775">
          <cell r="A775" t="str">
            <v>2101904</v>
          </cell>
          <cell r="B775" t="str">
            <v>CHOMBA MC CIERRE NE CHUBUT 3XL/5XL</v>
          </cell>
          <cell r="C775"/>
          <cell r="D775"/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  <cell r="C777"/>
          <cell r="D777"/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  <cell r="C780"/>
          <cell r="D780"/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  <cell r="D782"/>
        </row>
        <row r="783">
          <cell r="A783" t="str">
            <v>2103019</v>
          </cell>
          <cell r="B783" t="str">
            <v>CHOMBA MC POLO AZUL HOMBRE RER</v>
          </cell>
          <cell r="C783"/>
          <cell r="D783"/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  <cell r="D785"/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  <cell r="D786"/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  <cell r="D787"/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  <cell r="D788"/>
        </row>
        <row r="789">
          <cell r="A789" t="str">
            <v>2103070</v>
          </cell>
          <cell r="B789" t="str">
            <v>CHOMBA ML POLO ESCUE POLICIA 3XS/2XL RER</v>
          </cell>
          <cell r="C789"/>
          <cell r="D789"/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  <cell r="D793"/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  <cell r="D794"/>
        </row>
        <row r="795">
          <cell r="A795" t="str">
            <v>2103135</v>
          </cell>
          <cell r="B795" t="str">
            <v>CHOMBA MC POLO BLANCA IUSP RER</v>
          </cell>
          <cell r="C795"/>
          <cell r="D795"/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  <cell r="D797"/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  <cell r="D798"/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  <cell r="D799"/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  <cell r="D800"/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  <cell r="D801"/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  <cell r="D802"/>
        </row>
        <row r="803">
          <cell r="A803" t="str">
            <v>2103221</v>
          </cell>
          <cell r="B803" t="str">
            <v>REMERA ML COMBATE DIGITAL GRIS</v>
          </cell>
          <cell r="C803"/>
          <cell r="D803"/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  <cell r="D806"/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  <cell r="D807"/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  <cell r="D808"/>
        </row>
        <row r="809">
          <cell r="A809" t="str">
            <v>2103785</v>
          </cell>
          <cell r="B809" t="str">
            <v>CHOMBA MC POLO ECO ESC+ BANDER RER</v>
          </cell>
          <cell r="C809"/>
          <cell r="D809"/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  <cell r="C814"/>
          <cell r="D814"/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  <cell r="C816"/>
          <cell r="D816"/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  <cell r="C818"/>
          <cell r="D818"/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  <cell r="C820"/>
          <cell r="D820"/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  <cell r="D822"/>
        </row>
        <row r="823">
          <cell r="A823" t="str">
            <v>2220024</v>
          </cell>
          <cell r="B823" t="str">
            <v>NO USAR</v>
          </cell>
          <cell r="C823"/>
          <cell r="D823"/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  <cell r="D825"/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  <cell r="D826"/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  <cell r="D827"/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  <cell r="D828"/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  <cell r="D829"/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  <cell r="D830"/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  <cell r="D831"/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  <cell r="D832"/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  <cell r="D833"/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  <cell r="D834"/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  <cell r="D835"/>
        </row>
        <row r="836">
          <cell r="A836" t="str">
            <v>2220099</v>
          </cell>
          <cell r="B836" t="str">
            <v>REMERA MC ESTAMPADA PERRO INF. MZA</v>
          </cell>
          <cell r="C836"/>
          <cell r="D836"/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  <cell r="B838"/>
          <cell r="C838"/>
          <cell r="D838"/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  <cell r="C840"/>
          <cell r="D840"/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  <cell r="D842"/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  <cell r="D843"/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  <cell r="D844"/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  <cell r="D845"/>
        </row>
        <row r="846">
          <cell r="A846" t="str">
            <v>2220255</v>
          </cell>
          <cell r="B846" t="str">
            <v>REMERA MC AZUL ESC SUBOF POL TUC 2XS/2XL</v>
          </cell>
          <cell r="C846"/>
          <cell r="D846"/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  <cell r="C849"/>
          <cell r="D849"/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  <cell r="D851"/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  <cell r="D852"/>
        </row>
        <row r="853">
          <cell r="A853" t="str">
            <v>2220336</v>
          </cell>
          <cell r="B853" t="str">
            <v>REMERA MC GRIS BORDADA EJERCITO GEI</v>
          </cell>
          <cell r="C853"/>
          <cell r="D853"/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  <cell r="C855"/>
          <cell r="D855"/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  <cell r="D857"/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  <cell r="D858"/>
        </row>
        <row r="859">
          <cell r="A859" t="str">
            <v>2220450</v>
          </cell>
          <cell r="B859" t="str">
            <v>REMERA MC NEGRA ESC POL STA FE 2XS/2XL</v>
          </cell>
          <cell r="C859"/>
          <cell r="D859"/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  <cell r="D862"/>
        </row>
        <row r="863">
          <cell r="A863" t="str">
            <v>2220555</v>
          </cell>
          <cell r="B863" t="str">
            <v>REMERA MC MIMETICAS GEI</v>
          </cell>
          <cell r="C863"/>
          <cell r="D863"/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  <cell r="D865"/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  <cell r="D866"/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  <cell r="D867"/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  <cell r="D868"/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  <cell r="D869"/>
        </row>
        <row r="870">
          <cell r="A870" t="str">
            <v>2220756</v>
          </cell>
          <cell r="B870" t="str">
            <v>REMERA MC GRIS TOPO PENIT RG 3XL/5XL</v>
          </cell>
          <cell r="C870"/>
          <cell r="D870"/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  <cell r="D873"/>
        </row>
        <row r="874">
          <cell r="A874" t="str">
            <v>2220900</v>
          </cell>
          <cell r="B874" t="str">
            <v>NO USA PROXIMO ELIMINAR</v>
          </cell>
          <cell r="C874"/>
          <cell r="D874"/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  <cell r="D876"/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  <cell r="D877"/>
        </row>
        <row r="878">
          <cell r="A878" t="str">
            <v>2301001</v>
          </cell>
          <cell r="B878" t="str">
            <v>TRICOTA C/POL AZUL NQN</v>
          </cell>
          <cell r="C878"/>
          <cell r="D878"/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  <cell r="D881"/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  <cell r="D882"/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  <cell r="D883"/>
        </row>
        <row r="884">
          <cell r="A884" t="str">
            <v>2301143</v>
          </cell>
          <cell r="B884" t="str">
            <v>PULLOVER COLEGIAL TODO LOS TALLES RER</v>
          </cell>
          <cell r="C884"/>
          <cell r="D884"/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  <cell r="D886"/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  <cell r="D887"/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  <cell r="D888"/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  <cell r="D889"/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  <cell r="D890"/>
        </row>
        <row r="891">
          <cell r="A891" t="str">
            <v>2301601</v>
          </cell>
          <cell r="B891" t="str">
            <v>TRICOPOLAR NEGRO AMERICA SEGURIDAD</v>
          </cell>
          <cell r="C891"/>
          <cell r="D891"/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  <cell r="D893"/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  <cell r="D894"/>
        </row>
        <row r="895">
          <cell r="A895" t="str">
            <v>2301887</v>
          </cell>
          <cell r="B895" t="str">
            <v>TRICOTA C/POLERA FORRADA BEIGE RER</v>
          </cell>
          <cell r="C895"/>
          <cell r="D895"/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  <cell r="D897"/>
        </row>
        <row r="898">
          <cell r="A898" t="str">
            <v>2401012</v>
          </cell>
          <cell r="B898" t="str">
            <v>CHALECO DE TRANSP. GOLANI RER</v>
          </cell>
          <cell r="C898"/>
          <cell r="D898"/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  <cell r="C901"/>
          <cell r="D901"/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  <cell r="D905"/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  <cell r="D906"/>
        </row>
        <row r="907">
          <cell r="A907" t="str">
            <v>2401110</v>
          </cell>
          <cell r="B907" t="str">
            <v>CHALECO FLUOR C/VIVO STAR</v>
          </cell>
          <cell r="C907"/>
          <cell r="D907"/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  <cell r="D913"/>
        </row>
        <row r="914">
          <cell r="A914" t="str">
            <v>2401250</v>
          </cell>
          <cell r="B914" t="str">
            <v>CHALECO DE TRANSP. SURVIVAL RER</v>
          </cell>
          <cell r="C914"/>
          <cell r="D914"/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  <cell r="C916"/>
          <cell r="D916"/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  <cell r="D918"/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  <cell r="D919"/>
        </row>
        <row r="920">
          <cell r="A920" t="str">
            <v>2401555</v>
          </cell>
          <cell r="B920" t="str">
            <v>CHALECO MINI SMALL</v>
          </cell>
          <cell r="C920"/>
          <cell r="D920"/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  <cell r="D922"/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  <cell r="D923"/>
        </row>
        <row r="924">
          <cell r="A924" t="str">
            <v>2401803CHALE</v>
          </cell>
          <cell r="B924"/>
          <cell r="C924"/>
          <cell r="D924"/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  <cell r="D926"/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  <cell r="D927"/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  <cell r="D928"/>
        </row>
        <row r="929">
          <cell r="A929" t="str">
            <v>2601005</v>
          </cell>
          <cell r="B929" t="str">
            <v>TRICOPOLAR MARRON RER</v>
          </cell>
          <cell r="C929"/>
          <cell r="D929"/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  <cell r="C931"/>
          <cell r="D931"/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  <cell r="D933"/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  <cell r="D934"/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  <cell r="D935"/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  <cell r="D936"/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  <cell r="D937"/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  <cell r="D938"/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  <cell r="D939"/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  <cell r="D940"/>
        </row>
        <row r="941">
          <cell r="A941" t="str">
            <v>2727030</v>
          </cell>
          <cell r="B941" t="str">
            <v>CUCHILLO NAVAJA CUCHARA</v>
          </cell>
          <cell r="C941"/>
          <cell r="D941"/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  <cell r="C943"/>
          <cell r="D943"/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  <cell r="C962"/>
          <cell r="D962"/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  <cell r="B970"/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  <cell r="D974"/>
        </row>
        <row r="975">
          <cell r="A975" t="str">
            <v>3101027</v>
          </cell>
          <cell r="B975" t="str">
            <v>PANT FRIZA AZUL IUSP 2XS/2XL</v>
          </cell>
          <cell r="C975"/>
          <cell r="D975"/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  <cell r="D978"/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  <cell r="D979"/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  <cell r="D980"/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  <cell r="D981"/>
        </row>
        <row r="982">
          <cell r="A982" t="str">
            <v>3101485</v>
          </cell>
          <cell r="B982" t="str">
            <v>CONJ DE LIMPIEZA Y JARDINERIA</v>
          </cell>
          <cell r="C982"/>
          <cell r="D982"/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  <cell r="D987"/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  <cell r="D988"/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  <cell r="D989"/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  <cell r="D990"/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  <cell r="D991"/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  <cell r="D992"/>
        </row>
        <row r="993">
          <cell r="A993" t="str">
            <v>3101998</v>
          </cell>
          <cell r="B993" t="str">
            <v>CONJ GRIS\AZUL LISO RER</v>
          </cell>
          <cell r="C993"/>
          <cell r="D993"/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  <cell r="C995"/>
          <cell r="D995"/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  <cell r="B997"/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  <cell r="B999"/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  <cell r="B1001"/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  <cell r="B1003"/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  <cell r="D1007"/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  <cell r="D1008"/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  <cell r="D1009"/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  <cell r="D1010"/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  <cell r="D1011"/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  <cell r="D1012"/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  <cell r="D1013"/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  <cell r="D1014"/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  <cell r="D1015"/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  <cell r="D1016"/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  <cell r="D1017"/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  <cell r="D1018"/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  <cell r="D1019"/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  <cell r="D1020"/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  <cell r="D1021"/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  <cell r="D1022"/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  <cell r="D1023"/>
        </row>
        <row r="1024">
          <cell r="A1024" t="str">
            <v>4120022</v>
          </cell>
          <cell r="B1024" t="str">
            <v>CAMISA ML URB TMAN 58/62 RER</v>
          </cell>
          <cell r="C1024"/>
          <cell r="D1024"/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  <cell r="D1026"/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  <cell r="D1027"/>
        </row>
        <row r="1028">
          <cell r="A1028" t="str">
            <v>4120026</v>
          </cell>
          <cell r="B1028" t="str">
            <v>CAMISA ML BAT CEL FORR 52/56 RER</v>
          </cell>
          <cell r="C1028"/>
          <cell r="D1028"/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  <cell r="D1030"/>
        </row>
        <row r="1031">
          <cell r="A1031" t="str">
            <v>4120029</v>
          </cell>
          <cell r="B1031" t="str">
            <v>CAMISA ML BAT NEG FORR 52/56 RER</v>
          </cell>
          <cell r="C1031"/>
          <cell r="D1031"/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  <cell r="D1040"/>
        </row>
        <row r="1041">
          <cell r="A1041" t="str">
            <v>4120040</v>
          </cell>
          <cell r="B1041" t="str">
            <v>CAMISA MC BAT BLANCA CORBATA 52/56 RER</v>
          </cell>
          <cell r="C1041"/>
          <cell r="D1041"/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  <cell r="D1044"/>
        </row>
        <row r="1045">
          <cell r="A1045" t="str">
            <v>4120044</v>
          </cell>
          <cell r="B1045" t="str">
            <v>CAMISA MC BAT GRIS TORC SOLAPA 52/56 RER</v>
          </cell>
          <cell r="C1045"/>
          <cell r="D1045"/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  <cell r="B1049"/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  <cell r="D1058"/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  <cell r="D1059"/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  <cell r="D1060"/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  <cell r="D1061"/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  <cell r="D1062"/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  <cell r="D1063"/>
        </row>
        <row r="1064">
          <cell r="A1064" t="str">
            <v>4120065</v>
          </cell>
          <cell r="B1064" t="str">
            <v>CAMISA ML BAT BLANCA VIP 58/66</v>
          </cell>
          <cell r="C1064"/>
          <cell r="D1064"/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  <cell r="D1066"/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  <cell r="D1067"/>
        </row>
        <row r="1068">
          <cell r="A1068" t="str">
            <v>4120069</v>
          </cell>
          <cell r="B1068" t="str">
            <v>CAMISA ML BAT GRIS VIP 58/66 RER</v>
          </cell>
          <cell r="C1068"/>
          <cell r="D1068"/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  <cell r="D1071"/>
        </row>
        <row r="1072">
          <cell r="A1072" t="str">
            <v>4120073</v>
          </cell>
          <cell r="B1072" t="str">
            <v>CAMISA MC CEL SOLAPA VIP 58/66</v>
          </cell>
          <cell r="C1072"/>
          <cell r="D1072"/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  <cell r="D1074"/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  <cell r="D1075"/>
        </row>
        <row r="1076">
          <cell r="A1076" t="str">
            <v>4120077</v>
          </cell>
          <cell r="B1076" t="str">
            <v>CAMISA MC BLANCA SOLAPA VIP 58/66</v>
          </cell>
          <cell r="C1076"/>
          <cell r="D1076"/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  <cell r="D1079"/>
        </row>
        <row r="1080">
          <cell r="A1080" t="str">
            <v>4120081</v>
          </cell>
          <cell r="B1080" t="str">
            <v>CAMISA MC GRIS SOLAPA VIP 58/66</v>
          </cell>
          <cell r="C1080"/>
          <cell r="D1080"/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  <cell r="C1083"/>
          <cell r="D1083"/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  <cell r="D1087"/>
        </row>
        <row r="1088">
          <cell r="A1088" t="str">
            <v>4120089</v>
          </cell>
          <cell r="B1088" t="str">
            <v>CAMISA MC AZUL SOLAPA VIP 58/66</v>
          </cell>
          <cell r="C1088"/>
          <cell r="D1088"/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  <cell r="D1090"/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  <cell r="D1091"/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  <cell r="D1092"/>
        </row>
        <row r="1093">
          <cell r="A1093" t="str">
            <v>4120105</v>
          </cell>
          <cell r="B1093" t="str">
            <v>CAMISA MC BAT BLANCA SOLAPA 64/66 RER</v>
          </cell>
          <cell r="C1093"/>
          <cell r="D1093"/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  <cell r="D1095"/>
        </row>
        <row r="1096">
          <cell r="A1096" t="str">
            <v>4120108</v>
          </cell>
          <cell r="B1096" t="str">
            <v>CAMISA ML BAT BLAN CVIVOS NARA ELIMIN</v>
          </cell>
          <cell r="C1096"/>
          <cell r="D1096"/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  <cell r="D1099"/>
        </row>
        <row r="1100">
          <cell r="A1100" t="str">
            <v>4120112</v>
          </cell>
          <cell r="B1100" t="str">
            <v>CAMISA ML BAT BLAN CVIVOS NARA ELIMIN</v>
          </cell>
          <cell r="C1100"/>
          <cell r="D1100"/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  <cell r="D1103"/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  <cell r="D1104"/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  <cell r="D1105"/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  <cell r="D1106"/>
        </row>
        <row r="1107">
          <cell r="A1107" t="str">
            <v>4120124</v>
          </cell>
          <cell r="B1107" t="str">
            <v>CAMISA MC URB TMAN 58/62 RER</v>
          </cell>
          <cell r="C1107"/>
          <cell r="D1107"/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  <cell r="D1109"/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  <cell r="D1110"/>
        </row>
        <row r="1111">
          <cell r="A1111" t="str">
            <v>4120139</v>
          </cell>
          <cell r="B1111" t="str">
            <v>CAMISA MC GAB GR ACEROSPF SOL 46/50 RER</v>
          </cell>
          <cell r="C1111"/>
          <cell r="D1111"/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  <cell r="C1113"/>
          <cell r="D1113"/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  <cell r="C1117"/>
          <cell r="D1117"/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  <cell r="D1121"/>
        </row>
        <row r="1122">
          <cell r="A1122" t="str">
            <v>4120172</v>
          </cell>
          <cell r="B1122" t="str">
            <v>CAMISA ML BAT CELEST CUELLO PALOMA 52/56</v>
          </cell>
          <cell r="C1122"/>
          <cell r="D1122"/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  <cell r="D1127"/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  <cell r="D1128"/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  <cell r="D1129"/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  <cell r="D1130"/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  <cell r="D1131"/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  <cell r="D1132"/>
        </row>
        <row r="1133">
          <cell r="A1133" t="str">
            <v>4120233</v>
          </cell>
          <cell r="B1133" t="str">
            <v>CAMISA ML BAT CEL NQN C/ESC 34/44 RER</v>
          </cell>
          <cell r="C1133"/>
          <cell r="D1133"/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  <cell r="D1137"/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  <cell r="D1138"/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  <cell r="D1139"/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  <cell r="D1140"/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  <cell r="D1141"/>
        </row>
        <row r="1142">
          <cell r="A1142" t="str">
            <v>4120242</v>
          </cell>
          <cell r="B1142" t="str">
            <v>CAMISA MC BAT CEL NQN SOLAP 34/44 RER</v>
          </cell>
          <cell r="C1142"/>
          <cell r="D1142"/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  <cell r="D1144"/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  <cell r="D1145"/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  <cell r="D1146"/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  <cell r="D1147"/>
        </row>
        <row r="1148">
          <cell r="A1148" t="str">
            <v>4120250</v>
          </cell>
          <cell r="B1148" t="str">
            <v>CAMISA MC AMER SEG ELIMINAR</v>
          </cell>
          <cell r="C1148"/>
          <cell r="D1148"/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  <cell r="D1155"/>
        </row>
        <row r="1156">
          <cell r="A1156" t="str">
            <v>4120272</v>
          </cell>
          <cell r="B1156" t="str">
            <v>CAMISA ML BAT AZUL VIP 52/56 RER</v>
          </cell>
          <cell r="C1156"/>
          <cell r="D1156"/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  <cell r="D1163"/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  <cell r="D1164"/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  <cell r="D1165"/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  <cell r="D1166"/>
        </row>
        <row r="1167">
          <cell r="A1167" t="str">
            <v>4120353</v>
          </cell>
          <cell r="B1167" t="str">
            <v>CAMISA ML RIP REQUISA 34/44 RER</v>
          </cell>
          <cell r="C1167"/>
          <cell r="D1167"/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  <cell r="C1175"/>
          <cell r="D1175"/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  <cell r="C1178"/>
          <cell r="D1178"/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  <cell r="C1187"/>
          <cell r="D1187"/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  <cell r="D1193"/>
        </row>
        <row r="1194">
          <cell r="A1194" t="str">
            <v>4120462</v>
          </cell>
          <cell r="B1194" t="str">
            <v>CAMISA ML RIP VERDE 52/56 RER</v>
          </cell>
          <cell r="C1194"/>
          <cell r="D1194"/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  <cell r="B1196"/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  <cell r="D1201"/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  <cell r="D1202"/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  <cell r="D1203"/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  <cell r="D1204"/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  <cell r="D1205"/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  <cell r="D1206"/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  <cell r="D1207"/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  <cell r="D1208"/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  <cell r="D1209"/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  <cell r="D1210"/>
        </row>
        <row r="1211">
          <cell r="A1211" t="str">
            <v>4120546</v>
          </cell>
          <cell r="B1211" t="str">
            <v>CAMISA MC BAT CEL SOLAPA 64/68 RER</v>
          </cell>
          <cell r="C1211"/>
          <cell r="D1211"/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  <cell r="D1214"/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  <cell r="D1215"/>
        </row>
        <row r="1216">
          <cell r="A1216" t="str">
            <v>4120570</v>
          </cell>
          <cell r="B1216" t="str">
            <v>CAMISA MC BAT GRIS 58/62 RER</v>
          </cell>
          <cell r="C1216"/>
          <cell r="D1216"/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  <cell r="D1218"/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  <cell r="D1219"/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  <cell r="D1220"/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  <cell r="D1221"/>
        </row>
        <row r="1222">
          <cell r="A1222" t="str">
            <v>4120628</v>
          </cell>
          <cell r="B1222" t="str">
            <v>CAMISA MC BAT NEGRA SOLAPA 58/62 RER</v>
          </cell>
          <cell r="C1222"/>
          <cell r="D1222"/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  <cell r="D1224"/>
        </row>
        <row r="1225">
          <cell r="A1225" t="str">
            <v>4120674</v>
          </cell>
          <cell r="B1225" t="str">
            <v>CAMISA MC BAT GRIS CORBATA 52/56 RER</v>
          </cell>
          <cell r="C1225"/>
          <cell r="D1225"/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  <cell r="D1227"/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  <cell r="D1228"/>
        </row>
        <row r="1229">
          <cell r="A1229" t="str">
            <v>4120702</v>
          </cell>
          <cell r="B1229" t="str">
            <v>CAMISA MC BAT NEGRA CORBATA 52/56 RER</v>
          </cell>
          <cell r="C1229"/>
          <cell r="D1229"/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  <cell r="D1231"/>
        </row>
        <row r="1232">
          <cell r="A1232" t="str">
            <v>4120752</v>
          </cell>
          <cell r="B1232" t="str">
            <v>CAMISA ML RIP CAMUFLADO 52/56 RER</v>
          </cell>
          <cell r="C1232"/>
          <cell r="D1232"/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  <cell r="D1234"/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  <cell r="D1235"/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  <cell r="D1236"/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  <cell r="D1237"/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  <cell r="D1238"/>
        </row>
        <row r="1239">
          <cell r="A1239" t="str">
            <v>4120773</v>
          </cell>
          <cell r="B1239" t="str">
            <v>CAMISA ML BAT GRIS TORC VIP 58/66</v>
          </cell>
          <cell r="C1239"/>
          <cell r="D1239"/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  <cell r="D1241"/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  <cell r="D1242"/>
        </row>
        <row r="1243">
          <cell r="A1243" t="str">
            <v>4120792</v>
          </cell>
          <cell r="B1243" t="str">
            <v>CAMISA ML BAT GRIS CUELLO PALOMA 52/56</v>
          </cell>
          <cell r="C1243"/>
          <cell r="D1243"/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  <cell r="C1245"/>
          <cell r="D1245"/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  <cell r="C1248"/>
          <cell r="D1248"/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  <cell r="D1250"/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  <cell r="D1251"/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  <cell r="D1252"/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  <cell r="D1253"/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  <cell r="D1254"/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  <cell r="D1255"/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  <cell r="D1256"/>
        </row>
        <row r="1257">
          <cell r="A1257" t="str">
            <v>4120881</v>
          </cell>
          <cell r="B1257" t="str">
            <v>CAMISA MC BAT NEGRA C/ESCUDO 52/56 RER</v>
          </cell>
          <cell r="C1257"/>
          <cell r="D1257"/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  <cell r="D1260"/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  <cell r="D1261"/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  <cell r="D1262"/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  <cell r="D1263"/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  <cell r="D1264"/>
        </row>
        <row r="1265">
          <cell r="A1265" t="str">
            <v>4120910</v>
          </cell>
          <cell r="B1265" t="str">
            <v>CAMISA ML RIP NEGRA 34/44 RER</v>
          </cell>
          <cell r="C1265"/>
          <cell r="D1265"/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  <cell r="D1269"/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  <cell r="D1270"/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  <cell r="D1271"/>
        </row>
        <row r="1272">
          <cell r="A1272" t="str">
            <v>4120917</v>
          </cell>
          <cell r="B1272" t="str">
            <v>CAMISA ML RP GRIS 64/68 RER</v>
          </cell>
          <cell r="C1272"/>
          <cell r="D1272"/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  <cell r="D1275"/>
        </row>
        <row r="1276">
          <cell r="A1276" t="str">
            <v>4120953</v>
          </cell>
          <cell r="B1276" t="str">
            <v>CAMISA ML BAT NEGRO VIP 58/66</v>
          </cell>
          <cell r="C1276"/>
          <cell r="D1276"/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  <cell r="D1279"/>
        </row>
        <row r="1280">
          <cell r="A1280" t="str">
            <v>4120987</v>
          </cell>
          <cell r="B1280" t="str">
            <v>CAMISA ML BAT NEGRA C/FUELLE 34/44 RER</v>
          </cell>
          <cell r="C1280"/>
          <cell r="D1280"/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  <cell r="C1282"/>
          <cell r="D1282"/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  <cell r="D1284"/>
        </row>
        <row r="1285">
          <cell r="A1285" t="str">
            <v>4130123</v>
          </cell>
          <cell r="B1285" t="str">
            <v>CAMISA MC BAT BEIGE CON GALON 34/44</v>
          </cell>
          <cell r="C1285"/>
          <cell r="D1285"/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  <cell r="C1292"/>
          <cell r="D1292"/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  <cell r="C1294"/>
          <cell r="D1294"/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  <cell r="C1296"/>
          <cell r="D1296"/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  <cell r="D1298"/>
        </row>
        <row r="1299">
          <cell r="A1299" t="str">
            <v>4307349</v>
          </cell>
          <cell r="B1299" t="str">
            <v>CAMISA BLANCA ESCOLAR</v>
          </cell>
          <cell r="C1299"/>
          <cell r="D1299"/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  <cell r="B1301"/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  <cell r="D1304"/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  <cell r="D1305"/>
        </row>
        <row r="1306">
          <cell r="A1306" t="str">
            <v>5101004</v>
          </cell>
          <cell r="B1306" t="str">
            <v>AMBO 46/54 RER</v>
          </cell>
          <cell r="C1306"/>
          <cell r="D1306"/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  <cell r="D1308"/>
        </row>
        <row r="1309">
          <cell r="A1309" t="str">
            <v>5101007</v>
          </cell>
          <cell r="B1309" t="str">
            <v>GARIBALDINA MAO RIP DESERT 3XL/5XL RER</v>
          </cell>
          <cell r="C1309"/>
          <cell r="D1309"/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  <cell r="D1311"/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  <cell r="D1312"/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  <cell r="D1313"/>
        </row>
        <row r="1314">
          <cell r="A1314" t="str">
            <v>5101012</v>
          </cell>
          <cell r="B1314" t="str">
            <v>GARIBALDINA MAO RIP DIG SELVA 3XL/5XL</v>
          </cell>
          <cell r="C1314"/>
          <cell r="D1314"/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  <cell r="D1316"/>
        </row>
        <row r="1317">
          <cell r="A1317" t="str">
            <v>5101015</v>
          </cell>
          <cell r="B1317" t="str">
            <v>CAMPERA TRANSITO GUAYMALLEN RER</v>
          </cell>
          <cell r="C1317"/>
          <cell r="D1317"/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  <cell r="B1320"/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  <cell r="D1323"/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  <cell r="D1324"/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  <cell r="D1325"/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  <cell r="D1326"/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  <cell r="D1327"/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  <cell r="D1328"/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  <cell r="D1329"/>
        </row>
        <row r="1330">
          <cell r="A1330" t="str">
            <v>5101032</v>
          </cell>
          <cell r="B1330" t="str">
            <v>GARIBALDINA ARMY GAB GRIS 2XS/2XL RER</v>
          </cell>
          <cell r="C1330"/>
          <cell r="D1330"/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  <cell r="D1332"/>
        </row>
        <row r="1333">
          <cell r="A1333" t="str">
            <v>5101035</v>
          </cell>
          <cell r="B1333" t="str">
            <v>GARIBALDINA JAZAK RIP INFANT 6XL/7XL RER</v>
          </cell>
          <cell r="C1333"/>
          <cell r="D1333"/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  <cell r="D1342"/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  <cell r="D1343"/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  <cell r="D1344"/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  <cell r="D1345"/>
        </row>
        <row r="1346">
          <cell r="A1346" t="str">
            <v>5101051</v>
          </cell>
          <cell r="B1346" t="str">
            <v>GARIBALDINA ARMY RIP NEGRA 3XL/5XL RER</v>
          </cell>
          <cell r="C1346"/>
          <cell r="D1346"/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  <cell r="D1348"/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  <cell r="D1349"/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  <cell r="D1350"/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  <cell r="D1351"/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  <cell r="D1352"/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  <cell r="D1353"/>
        </row>
        <row r="1354">
          <cell r="A1354" t="str">
            <v>5101092</v>
          </cell>
          <cell r="B1354" t="str">
            <v>CAMP PALMAJ SEGURIDAD VIAL SANTA CRUZ</v>
          </cell>
          <cell r="C1354"/>
          <cell r="D1354"/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  <cell r="D1356"/>
        </row>
        <row r="1357">
          <cell r="A1357" t="str">
            <v>5101100</v>
          </cell>
          <cell r="B1357" t="str">
            <v>CAMP SOFT NEGRA RER</v>
          </cell>
          <cell r="C1357"/>
          <cell r="D1357"/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  <cell r="D1359"/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  <cell r="D1360"/>
        </row>
        <row r="1361">
          <cell r="A1361" t="str">
            <v>5101105</v>
          </cell>
          <cell r="B1361" t="str">
            <v>CAMP USPALLATA SOFT NEGRA LB1209 GYG</v>
          </cell>
          <cell r="C1361"/>
          <cell r="D1361"/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  <cell r="D1363"/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  <cell r="D1364"/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  <cell r="D1365"/>
        </row>
        <row r="1366">
          <cell r="A1366" t="str">
            <v>5101113</v>
          </cell>
          <cell r="B1366" t="str">
            <v>CAMP ALPHA MJS113132C1 SUMMIT RER</v>
          </cell>
          <cell r="C1366"/>
          <cell r="D1366"/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  <cell r="D1368"/>
        </row>
        <row r="1369">
          <cell r="A1369" t="str">
            <v>5101116</v>
          </cell>
          <cell r="B1369" t="str">
            <v>CAMP ALPHA MOD B-15 RER</v>
          </cell>
          <cell r="C1369"/>
          <cell r="D1369"/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  <cell r="D1372"/>
        </row>
        <row r="1373">
          <cell r="A1373" t="str">
            <v>5101132</v>
          </cell>
          <cell r="B1373" t="str">
            <v>CAMP ALPHA MJS11132</v>
          </cell>
          <cell r="C1373"/>
          <cell r="D1373"/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  <cell r="D1376"/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  <cell r="D1377"/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  <cell r="D1378"/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  <cell r="D1379"/>
        </row>
        <row r="1380">
          <cell r="A1380" t="str">
            <v>5101142</v>
          </cell>
          <cell r="B1380" t="str">
            <v>CAMP AMERICA SEGURIDAD RER</v>
          </cell>
          <cell r="C1380"/>
          <cell r="D1380"/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  <cell r="C1382"/>
          <cell r="D1382"/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  <cell r="D1384"/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  <cell r="D1385"/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  <cell r="D1386"/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  <cell r="D1387"/>
        </row>
        <row r="1388">
          <cell r="A1388" t="str">
            <v>5101158</v>
          </cell>
          <cell r="B1388" t="str">
            <v>GARIBALDINA ARMY RIP INFANT 2XS/2XL RER</v>
          </cell>
          <cell r="C1388"/>
          <cell r="D1388"/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  <cell r="C1391"/>
          <cell r="D1391"/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  <cell r="D1393"/>
        </row>
        <row r="1394">
          <cell r="A1394" t="str">
            <v>510117100</v>
          </cell>
          <cell r="B1394" t="str">
            <v>CAMP POLAR AMER NEGRA 2XS/3XS RER</v>
          </cell>
          <cell r="C1394"/>
          <cell r="D1394"/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  <cell r="D1397"/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  <cell r="D1398"/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  <cell r="D1399"/>
        </row>
        <row r="1400">
          <cell r="A1400" t="str">
            <v>5101189</v>
          </cell>
          <cell r="B1400" t="str">
            <v>CAMP SOFTSHELL PALMAJ AZUL 2XS/2XL RER</v>
          </cell>
          <cell r="C1400"/>
          <cell r="D1400"/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  <cell r="D1402"/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  <cell r="D1403"/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  <cell r="D1404"/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  <cell r="D1405"/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  <cell r="D1406"/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  <cell r="D1407"/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  <cell r="D1408"/>
        </row>
        <row r="1409">
          <cell r="A1409" t="str">
            <v>5101202</v>
          </cell>
          <cell r="B1409" t="str">
            <v>GARIBALDINA JAZAK RIP DIGINF 2XS/2XL RER</v>
          </cell>
          <cell r="C1409"/>
          <cell r="D1409"/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  <cell r="D1412"/>
        </row>
        <row r="1413">
          <cell r="A1413" t="str">
            <v>5101206</v>
          </cell>
          <cell r="B1413" t="str">
            <v>GARIBALDINA MAO RIP MULTICA 6XL RER</v>
          </cell>
          <cell r="C1413"/>
          <cell r="D1413"/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  <cell r="D1415"/>
        </row>
        <row r="1416">
          <cell r="A1416" t="str">
            <v>5101212</v>
          </cell>
          <cell r="B1416" t="str">
            <v>CAMP ALPHA MJM21000C4 MA-1 3XL RER</v>
          </cell>
          <cell r="C1416"/>
          <cell r="D1416"/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  <cell r="D1418"/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  <cell r="D1419"/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  <cell r="D1420"/>
        </row>
        <row r="1421">
          <cell r="A1421" t="str">
            <v>5101231</v>
          </cell>
          <cell r="B1421" t="str">
            <v>CAMP ALPHA MJB23000CAB-15 RER</v>
          </cell>
          <cell r="C1421"/>
          <cell r="D1421"/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  <cell r="D1423"/>
        </row>
        <row r="1424">
          <cell r="A1424" t="str">
            <v>5101239</v>
          </cell>
          <cell r="B1424" t="str">
            <v>CAMP. AZUL  ESTAMPADA FRIZA DEPORTIVA</v>
          </cell>
          <cell r="C1424"/>
          <cell r="D1424"/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  <cell r="D1430"/>
        </row>
        <row r="1431">
          <cell r="A1431" t="str">
            <v>5101311</v>
          </cell>
          <cell r="B1431" t="str">
            <v>CAMP ALPHA MJN31000 XXXL LUG</v>
          </cell>
          <cell r="C1431"/>
          <cell r="D1431"/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  <cell r="C1434"/>
          <cell r="D1434"/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  <cell r="C1438"/>
          <cell r="D1438"/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  <cell r="C1440"/>
          <cell r="D1440"/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  <cell r="D1446"/>
        </row>
        <row r="1447">
          <cell r="A1447" t="str">
            <v>5101392</v>
          </cell>
          <cell r="B1447" t="str">
            <v>CAMP ALPHA MVF4301C1 FEROCITY 3XL</v>
          </cell>
          <cell r="C1447"/>
          <cell r="D1447"/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  <cell r="C1449"/>
          <cell r="D1449"/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  <cell r="C1454"/>
          <cell r="D1454"/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  <cell r="D1456"/>
        </row>
        <row r="1457">
          <cell r="A1457" t="str">
            <v>5101446</v>
          </cell>
          <cell r="B1457" t="str">
            <v>CAMP ALPHA MJS44507C1 STABILIZER LUG</v>
          </cell>
          <cell r="C1457"/>
          <cell r="D1457"/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  <cell r="C1460"/>
          <cell r="D1460"/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  <cell r="C1464"/>
          <cell r="D1464"/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  <cell r="C1466"/>
          <cell r="D1466"/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  <cell r="D1478"/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  <cell r="D1479"/>
        </row>
        <row r="1480">
          <cell r="A1480" t="str">
            <v>5101558</v>
          </cell>
          <cell r="B1480" t="str">
            <v>CAMP TERMICO VERDE CUELLO 2XS/2XL RER</v>
          </cell>
          <cell r="C1480"/>
          <cell r="D1480"/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  <cell r="C1482"/>
          <cell r="D1482"/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  <cell r="C1484"/>
          <cell r="D1484"/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  <cell r="D1486"/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  <cell r="D1487"/>
        </row>
        <row r="1488">
          <cell r="A1488" t="str">
            <v>5101566</v>
          </cell>
          <cell r="B1488" t="str">
            <v>CAMP TERMICO MULTICAM 3XL/6XL</v>
          </cell>
          <cell r="C1488"/>
          <cell r="D1488"/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  <cell r="C1490"/>
          <cell r="D1490"/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  <cell r="D1492"/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  <cell r="D1493"/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  <cell r="D1494"/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  <cell r="D1495"/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  <cell r="D1496"/>
        </row>
        <row r="1497">
          <cell r="A1497" t="str">
            <v>5101626</v>
          </cell>
          <cell r="B1497" t="str">
            <v>CHALECO FLUOR SARPOL RER</v>
          </cell>
          <cell r="C1497"/>
          <cell r="D1497"/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  <cell r="D1500"/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  <cell r="D1501"/>
        </row>
        <row r="1502">
          <cell r="A1502" t="str">
            <v>5101680</v>
          </cell>
          <cell r="B1502" t="str">
            <v>CAMP GAB MARRON CON GALON 2XS/2XL RER</v>
          </cell>
          <cell r="C1502"/>
          <cell r="D1502"/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  <cell r="C1505"/>
          <cell r="D1505"/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  <cell r="D1510"/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  <cell r="D1511"/>
        </row>
        <row r="1512">
          <cell r="A1512" t="str">
            <v>510177707</v>
          </cell>
          <cell r="B1512" t="str">
            <v>CAMP PALMAJ GRIS 3XL/4XL</v>
          </cell>
          <cell r="C1512"/>
          <cell r="D1512"/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  <cell r="C1514"/>
          <cell r="D1514"/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  <cell r="D1517"/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  <cell r="D1518"/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  <cell r="D1519"/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  <cell r="D1520"/>
        </row>
        <row r="1521">
          <cell r="A1521" t="str">
            <v>5101854</v>
          </cell>
          <cell r="B1521" t="str">
            <v>GARIBALDINA RIP VIAL TUC</v>
          </cell>
          <cell r="C1521"/>
          <cell r="D1521"/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  <cell r="D1523"/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  <cell r="D1524"/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  <cell r="D1525"/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  <cell r="D1526"/>
        </row>
        <row r="1527">
          <cell r="A1527" t="str">
            <v>5101871</v>
          </cell>
          <cell r="B1527" t="str">
            <v>GARIBALDINA MAO RIP MULTICAM BLACK 3XL/5</v>
          </cell>
          <cell r="C1527"/>
          <cell r="D1527"/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  <cell r="D1529"/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  <cell r="D1530"/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  <cell r="D1531"/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  <cell r="D1532"/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  <cell r="D1533"/>
        </row>
        <row r="1534">
          <cell r="A1534" t="str">
            <v>5101879</v>
          </cell>
          <cell r="B1534" t="str">
            <v>GARIBALDINA ARMY RIP MIME INFANT 3XL/5XL</v>
          </cell>
          <cell r="C1534"/>
          <cell r="D1534"/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  <cell r="D1536"/>
        </row>
        <row r="1537">
          <cell r="A1537" t="str">
            <v>5101882</v>
          </cell>
          <cell r="B1537" t="str">
            <v>GARIBALDINA ARMY RIP MIME 2COL GR 3XL/5X</v>
          </cell>
          <cell r="C1537"/>
          <cell r="D1537"/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  <cell r="C1539"/>
          <cell r="D1539"/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  <cell r="D1541"/>
        </row>
        <row r="1542">
          <cell r="A1542" t="str">
            <v>5101887</v>
          </cell>
          <cell r="B1542" t="str">
            <v>GARIBALDINA MAO RIP DIG BEIG 3XL/6XL RER</v>
          </cell>
          <cell r="C1542"/>
          <cell r="D1542"/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  <cell r="D1544"/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  <cell r="D1545"/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  <cell r="D1546"/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  <cell r="D1547"/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  <cell r="D1548"/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  <cell r="D1549"/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  <cell r="D1550"/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  <cell r="D1551"/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  <cell r="D1552"/>
        </row>
        <row r="1553">
          <cell r="A1553" t="str">
            <v>5101913</v>
          </cell>
          <cell r="B1553" t="str">
            <v>CAMP PLUMA SIN CAPU UVA ARD</v>
          </cell>
          <cell r="C1553"/>
          <cell r="D1553"/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  <cell r="C1556"/>
          <cell r="D1556"/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  <cell r="D1558"/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  <cell r="D1559"/>
        </row>
        <row r="1560">
          <cell r="A1560" t="str">
            <v>5101920</v>
          </cell>
          <cell r="B1560" t="str">
            <v>CAMP PLUMA C/CAPU NEGRA ARD</v>
          </cell>
          <cell r="C1560"/>
          <cell r="D1560"/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  <cell r="D1564"/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  <cell r="D1565"/>
        </row>
        <row r="1566">
          <cell r="A1566" t="str">
            <v>5101929</v>
          </cell>
          <cell r="B1566" t="str">
            <v>GARIBALDINA RIP MAO INFANT 2XL/5XL</v>
          </cell>
          <cell r="C1566"/>
          <cell r="D1566"/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  <cell r="C1568"/>
          <cell r="D1568"/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  <cell r="C1571"/>
          <cell r="D1571"/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  <cell r="D1574"/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  <cell r="D1575"/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  <cell r="D1576"/>
        </row>
        <row r="1577">
          <cell r="A1577" t="str">
            <v>5101989</v>
          </cell>
          <cell r="B1577" t="str">
            <v>CAMP UNITED ZIP HOODIE RER</v>
          </cell>
          <cell r="C1577"/>
          <cell r="D1577"/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  <cell r="D1580"/>
        </row>
        <row r="1581">
          <cell r="A1581" t="str">
            <v>5102000</v>
          </cell>
          <cell r="B1581" t="str">
            <v>CONJ. IMPER PREMIUM PANT Y SACO 12526</v>
          </cell>
          <cell r="C1581"/>
          <cell r="D1581"/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  <cell r="D1583"/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  <cell r="D1584"/>
        </row>
        <row r="1585">
          <cell r="A1585" t="str">
            <v>5102249</v>
          </cell>
          <cell r="B1585" t="str">
            <v>CHALECO CARRIER CON PORTA ELEMENTOS</v>
          </cell>
          <cell r="C1585"/>
          <cell r="D1585"/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  <cell r="D1591"/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  <cell r="D1592"/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  <cell r="D1593"/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  <cell r="D1594"/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  <cell r="D1595"/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  <cell r="D1596"/>
        </row>
        <row r="1597">
          <cell r="A1597" t="str">
            <v>5610201</v>
          </cell>
          <cell r="B1597" t="str">
            <v>BICI ELECTRICA OVERTECH B1 561002001</v>
          </cell>
          <cell r="C1597"/>
          <cell r="D1597"/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  <cell r="C1599"/>
          <cell r="D1599"/>
        </row>
        <row r="1600">
          <cell r="A1600" t="str">
            <v>5919026LINTE</v>
          </cell>
          <cell r="B1600"/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  <cell r="C1602"/>
          <cell r="D1602"/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  <cell r="D1650"/>
        </row>
        <row r="1651">
          <cell r="A1651" t="str">
            <v>6001006</v>
          </cell>
          <cell r="B1651" t="str">
            <v>PACK BALDE MOPA X 10</v>
          </cell>
          <cell r="C1651"/>
          <cell r="D1651"/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  <cell r="D1662"/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  <cell r="D1663"/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  <cell r="D1664"/>
        </row>
        <row r="1665">
          <cell r="A1665" t="str">
            <v>6401900</v>
          </cell>
          <cell r="B1665" t="str">
            <v>BERMUDA CARGO GAB NEGRA 34/48 RER</v>
          </cell>
          <cell r="C1665"/>
          <cell r="D1665"/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  <cell r="B1669"/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  <cell r="C1672"/>
          <cell r="D1672"/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  <cell r="C1678"/>
          <cell r="D1678"/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  <cell r="D1680"/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  <cell r="D1681"/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  <cell r="D1682"/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  <cell r="D1683"/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  <cell r="D1684"/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  <cell r="D1685"/>
        </row>
        <row r="1686">
          <cell r="A1686" t="str">
            <v>7700107</v>
          </cell>
          <cell r="B1686" t="str">
            <v>INSIG AZUL SUBOF MAYOR COLGAR</v>
          </cell>
          <cell r="C1686"/>
          <cell r="D1686"/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  <cell r="D1688"/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  <cell r="D1689"/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  <cell r="D1690"/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  <cell r="D1691"/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  <cell r="D1692"/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  <cell r="D1693"/>
        </row>
        <row r="1694">
          <cell r="A1694" t="str">
            <v>7700220</v>
          </cell>
          <cell r="B1694" t="str">
            <v>INSIG BORD AZUL S OFICIAL PPAL CHAQT RER</v>
          </cell>
          <cell r="C1694"/>
          <cell r="D1694"/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  <cell r="B1696"/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  <cell r="D1699"/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  <cell r="D1700"/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  <cell r="D1701"/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  <cell r="D1702"/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  <cell r="D1703"/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  <cell r="D1704"/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  <cell r="D1705"/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  <cell r="D1706"/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  <cell r="D1707"/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  <cell r="D1708"/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  <cell r="D1709"/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  <cell r="D1710"/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  <cell r="D1711"/>
        </row>
        <row r="1712">
          <cell r="A1712" t="str">
            <v>7700500</v>
          </cell>
          <cell r="B1712" t="str">
            <v>INSIG VARIAS COLGAR CABO RER</v>
          </cell>
          <cell r="C1712"/>
          <cell r="D1712"/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  <cell r="D1714"/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  <cell r="D1715"/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  <cell r="D1716"/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  <cell r="D1717"/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  <cell r="D1718"/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  <cell r="D1719"/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  <cell r="D1720"/>
        </row>
        <row r="1721">
          <cell r="A1721" t="str">
            <v>7700509</v>
          </cell>
          <cell r="B1721" t="str">
            <v>INSIG ROJA SUBOF MAY P/COLGAR</v>
          </cell>
          <cell r="C1721"/>
          <cell r="D1721"/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  <cell r="C1733"/>
          <cell r="D1733"/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  <cell r="C1737"/>
          <cell r="D1737"/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  <cell r="D1740"/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  <cell r="D1741"/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  <cell r="D1742"/>
        </row>
        <row r="1743">
          <cell r="A1743" t="str">
            <v>7700701</v>
          </cell>
          <cell r="B1743" t="str">
            <v>INSIG BLANCA SUB OF PPAL P/COLGAR RER</v>
          </cell>
          <cell r="C1743"/>
          <cell r="D1743"/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  <cell r="D1746"/>
        </row>
        <row r="1747">
          <cell r="A1747" t="str">
            <v>7700704</v>
          </cell>
          <cell r="B1747" t="str">
            <v>INSIG BLANCA SARGENTO 1RO P/COLGAR RER</v>
          </cell>
          <cell r="C1747"/>
          <cell r="D1747"/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  <cell r="C1750"/>
          <cell r="D1750"/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  <cell r="D1757"/>
        </row>
        <row r="1758">
          <cell r="A1758" t="str">
            <v>7701006</v>
          </cell>
          <cell r="B1758" t="str">
            <v>CINTA SOUTACH RER</v>
          </cell>
          <cell r="C1758"/>
          <cell r="D1758"/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  <cell r="D1760"/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  <cell r="D1761"/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  <cell r="D1762"/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  <cell r="D1763"/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  <cell r="D1764"/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  <cell r="D1765"/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  <cell r="D1766"/>
        </row>
        <row r="1767">
          <cell r="A1767" t="str">
            <v>7701101</v>
          </cell>
          <cell r="B1767" t="str">
            <v>CINTA CAMUFLAJE P ENMASCARAR RER</v>
          </cell>
          <cell r="C1767"/>
          <cell r="D1767"/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  <cell r="D1769"/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  <cell r="D1770"/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  <cell r="D1771"/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  <cell r="D1772"/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  <cell r="D1773"/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  <cell r="D1774"/>
        </row>
        <row r="1775">
          <cell r="A1775" t="str">
            <v>7701200</v>
          </cell>
          <cell r="B1775" t="str">
            <v>CINTA REFLECTIVA</v>
          </cell>
          <cell r="C1775"/>
          <cell r="D1775"/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  <cell r="D1783"/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  <cell r="D1784"/>
        </row>
        <row r="1785">
          <cell r="A1785" t="str">
            <v>7703003</v>
          </cell>
          <cell r="B1785" t="str">
            <v>HOMB PENITENCIARIA NEGRA</v>
          </cell>
          <cell r="C1785"/>
          <cell r="D1785"/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  <cell r="D1788"/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  <cell r="D1789"/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  <cell r="D1790"/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  <cell r="D1791"/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  <cell r="D1792"/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  <cell r="D1793"/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  <cell r="D1794"/>
        </row>
        <row r="1795">
          <cell r="A1795" t="str">
            <v>7703025</v>
          </cell>
          <cell r="B1795" t="str">
            <v>HOMBRERA GRIS TOPO PENIT SUB OF MAY RER</v>
          </cell>
          <cell r="C1795"/>
          <cell r="D1795"/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  <cell r="D1799"/>
        </row>
        <row r="1800">
          <cell r="A1800" t="str">
            <v>7703033</v>
          </cell>
          <cell r="B1800" t="str">
            <v>HOMB BI PENIT TMAN FAJ AGENTE RER</v>
          </cell>
          <cell r="C1800"/>
          <cell r="D1800"/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  <cell r="D1803"/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  <cell r="D1804"/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  <cell r="D1805"/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  <cell r="D1806"/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  <cell r="D1807"/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  <cell r="D1808"/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  <cell r="D1809"/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  <cell r="D1810"/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  <cell r="D1811"/>
        </row>
        <row r="1812">
          <cell r="A1812" t="str">
            <v>7703055</v>
          </cell>
          <cell r="B1812" t="str">
            <v>HOMB BI PENIT MZA 3SOL PAL SERRET BOT RE</v>
          </cell>
          <cell r="C1812"/>
          <cell r="D1812"/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  <cell r="D1814"/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  <cell r="D1815"/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  <cell r="D1816"/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  <cell r="D1817"/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  <cell r="D1818"/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  <cell r="D1819"/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  <cell r="D1820"/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  <cell r="D1821"/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  <cell r="D1822"/>
        </row>
        <row r="1823">
          <cell r="A1823" t="str">
            <v>7703072</v>
          </cell>
          <cell r="B1823" t="str">
            <v>HOMB BI PENIT SANTA CRUZ INSPECTOR GRAL</v>
          </cell>
          <cell r="C1823"/>
          <cell r="D1823"/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  <cell r="D1825"/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  <cell r="D1826"/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  <cell r="D1827"/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  <cell r="D1828"/>
        </row>
        <row r="1829">
          <cell r="A1829" t="str">
            <v>7703108</v>
          </cell>
          <cell r="B1829" t="str">
            <v>HOMB BI POL COMISARIO PPAL TMAN (3 DORA</v>
          </cell>
          <cell r="C1829"/>
          <cell r="D1829"/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  <cell r="D1831"/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  <cell r="D1832"/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  <cell r="D1833"/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  <cell r="D1834"/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  <cell r="D1835"/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  <cell r="D1836"/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  <cell r="D1837"/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  <cell r="D1838"/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  <cell r="D1839"/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  <cell r="D1840"/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  <cell r="D1841"/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  <cell r="D1842"/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  <cell r="D1843"/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  <cell r="D1844"/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  <cell r="D1845"/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  <cell r="D1846"/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  <cell r="D1847"/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  <cell r="D1848"/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  <cell r="D1849"/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  <cell r="D1850"/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  <cell r="D1851"/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  <cell r="D1852"/>
        </row>
        <row r="1853">
          <cell r="A1853" t="str">
            <v>7703200</v>
          </cell>
          <cell r="B1853" t="str">
            <v>HOMB BORD ORO  P.S.A.</v>
          </cell>
          <cell r="C1853"/>
          <cell r="D1853"/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  <cell r="D1855"/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  <cell r="D1856"/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  <cell r="D1857"/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  <cell r="D1858"/>
        </row>
        <row r="1859">
          <cell r="A1859" t="str">
            <v>7703255</v>
          </cell>
          <cell r="B1859" t="str">
            <v>HOMB ROJA SUB OF PPAL RER</v>
          </cell>
          <cell r="C1859"/>
          <cell r="D1859"/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  <cell r="D1862"/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  <cell r="D1863"/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  <cell r="D1864"/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  <cell r="D1865"/>
        </row>
        <row r="1866">
          <cell r="A1866" t="str">
            <v>7703599</v>
          </cell>
          <cell r="B1866" t="str">
            <v>HOMB SEGURYTEC</v>
          </cell>
          <cell r="C1866"/>
          <cell r="D1866"/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  <cell r="D1869"/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  <cell r="D1870"/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  <cell r="D1871"/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  <cell r="D1872"/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  <cell r="D1873"/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  <cell r="D1874"/>
        </row>
        <row r="1875">
          <cell r="A1875" t="str">
            <v>7703640</v>
          </cell>
          <cell r="B1875" t="str">
            <v>HOMB NEUQUEN CRIO INSP BORDADO BI</v>
          </cell>
          <cell r="C1875"/>
          <cell r="D1875"/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  <cell r="D1880"/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  <cell r="D1881"/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  <cell r="D1882"/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  <cell r="D1883"/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  <cell r="D1884"/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  <cell r="D1885"/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  <cell r="D1886"/>
        </row>
        <row r="1887">
          <cell r="A1887" t="str">
            <v>7703671</v>
          </cell>
          <cell r="B1887" t="str">
            <v>HOMB NEUQUEN CABO RER</v>
          </cell>
          <cell r="C1887"/>
          <cell r="D1887"/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  <cell r="D1895"/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  <cell r="D1896"/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  <cell r="D1897"/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  <cell r="D1898"/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  <cell r="D1899"/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  <cell r="D1900"/>
        </row>
        <row r="1901">
          <cell r="A1901" t="str">
            <v>7703713</v>
          </cell>
          <cell r="B1901" t="str">
            <v>HOMB VERDE SEGUNDO CTE GN RER</v>
          </cell>
          <cell r="C1901"/>
          <cell r="D1901"/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  <cell r="C1903"/>
          <cell r="D1903"/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  <cell r="D1905"/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  <cell r="D1906"/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  <cell r="D1907"/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  <cell r="D1908"/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  <cell r="D1909"/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  <cell r="D1910"/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  <cell r="D1911"/>
        </row>
        <row r="1912">
          <cell r="A1912" t="str">
            <v>7703910</v>
          </cell>
          <cell r="B1912" t="str">
            <v>HOMB VERDE SUBALFERES GN RER</v>
          </cell>
          <cell r="C1912"/>
          <cell r="D1912"/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  <cell r="C1914"/>
          <cell r="D1914"/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  <cell r="C1918"/>
          <cell r="D1918"/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  <cell r="C1920"/>
          <cell r="D1920"/>
        </row>
        <row r="1921">
          <cell r="A1921" t="str">
            <v>7707-536</v>
          </cell>
          <cell r="B1921"/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  <cell r="D1924"/>
        </row>
        <row r="1925">
          <cell r="A1925" t="str">
            <v>7707003</v>
          </cell>
          <cell r="B1925" t="str">
            <v>METAL VIVO POL FED NUEVO MOD PLATEA RER</v>
          </cell>
          <cell r="C1925"/>
          <cell r="D1925"/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  <cell r="C1930"/>
          <cell r="D1930"/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  <cell r="D1933"/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  <cell r="D1934"/>
        </row>
        <row r="1935">
          <cell r="A1935" t="str">
            <v>7707014</v>
          </cell>
          <cell r="B1935" t="str">
            <v>HEBILLA CINTURON AMERICANO RER</v>
          </cell>
          <cell r="C1935"/>
          <cell r="D1935"/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  <cell r="C1939"/>
          <cell r="D1939"/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  <cell r="C1943"/>
          <cell r="D1943"/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  <cell r="D1945"/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  <cell r="D1946"/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  <cell r="D1947"/>
        </row>
        <row r="1948">
          <cell r="A1948" t="str">
            <v>7707051</v>
          </cell>
          <cell r="B1948" t="str">
            <v>SILBATO  CON BRUJULA H3-1 RER</v>
          </cell>
          <cell r="C1948"/>
          <cell r="D1948"/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  <cell r="D1951"/>
        </row>
        <row r="1952">
          <cell r="A1952" t="str">
            <v>7707071</v>
          </cell>
          <cell r="B1952" t="str">
            <v>METAL VIVO PROV. BS. AS. PLATEADO FEM</v>
          </cell>
          <cell r="C1952"/>
          <cell r="D1952"/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  <cell r="D1956"/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  <cell r="D1957"/>
        </row>
        <row r="1958">
          <cell r="A1958" t="str">
            <v>7707110</v>
          </cell>
          <cell r="B1958" t="str">
            <v>METAL LAPIZ PARA CORDON POR UNIDAD RER</v>
          </cell>
          <cell r="C1958"/>
          <cell r="D1958"/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  <cell r="D1960"/>
        </row>
        <row r="1961">
          <cell r="A1961" t="str">
            <v>7707116</v>
          </cell>
          <cell r="B1961" t="str">
            <v>METAL ALAS DE CHOFER RER</v>
          </cell>
          <cell r="C1961"/>
          <cell r="D1961"/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  <cell r="D1963"/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  <cell r="D1964"/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  <cell r="D1965"/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  <cell r="D1966"/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  <cell r="D1967"/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  <cell r="D1968"/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  <cell r="D1969"/>
        </row>
        <row r="1970">
          <cell r="A1970" t="str">
            <v>7707170</v>
          </cell>
          <cell r="B1970" t="str">
            <v>METAL INSIGNIA CABO A SAR RER</v>
          </cell>
          <cell r="C1970"/>
          <cell r="D1970"/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  <cell r="C1973"/>
          <cell r="D1973"/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  <cell r="C1975"/>
          <cell r="D1975"/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  <cell r="C1977"/>
          <cell r="D1977"/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  <cell r="D1979"/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  <cell r="D1980"/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  <cell r="D1981"/>
        </row>
        <row r="1982">
          <cell r="A1982" t="str">
            <v>7707267</v>
          </cell>
          <cell r="B1982" t="str">
            <v>PECT. OSCA NEGRO ENGOMADO BI</v>
          </cell>
          <cell r="C1982"/>
          <cell r="D1982"/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  <cell r="D1985"/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  <cell r="D1986"/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  <cell r="D1987"/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  <cell r="D1988"/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  <cell r="D1989"/>
        </row>
        <row r="1990">
          <cell r="A1990" t="str">
            <v>7707280</v>
          </cell>
          <cell r="B1990" t="str">
            <v>METAL PROV. BS.AS. SARGENTO FEM</v>
          </cell>
          <cell r="C1990"/>
          <cell r="D1990"/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  <cell r="D1992"/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  <cell r="D1993"/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  <cell r="D1994"/>
        </row>
        <row r="1995">
          <cell r="A1995" t="str">
            <v>7707285</v>
          </cell>
          <cell r="B1995" t="str">
            <v>METAL BOTON PATRIO 22 MM. PLATEADO FEM</v>
          </cell>
          <cell r="C1995"/>
          <cell r="D1995"/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  <cell r="D1997"/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  <cell r="D1998"/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  <cell r="D1999"/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  <cell r="D2000"/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  <cell r="D2001"/>
        </row>
        <row r="2002">
          <cell r="A2002" t="str">
            <v>7707294</v>
          </cell>
          <cell r="B2002" t="str">
            <v>METAL ESC OFICIAL TUCUMAN DOR RER</v>
          </cell>
          <cell r="C2002"/>
          <cell r="D2002"/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  <cell r="D2004"/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  <cell r="D2005"/>
        </row>
        <row r="2006">
          <cell r="A2006" t="str">
            <v>7707319</v>
          </cell>
          <cell r="B2006" t="str">
            <v>METAL HEBILLA RED DOR STA CRUZ 30MM RER</v>
          </cell>
          <cell r="C2006"/>
          <cell r="D2006"/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  <cell r="D2008"/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  <cell r="D2009"/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  <cell r="D2010"/>
        </row>
        <row r="2011">
          <cell r="A2011" t="str">
            <v>7707325</v>
          </cell>
          <cell r="B2011" t="str">
            <v>METAL HEBILLA RED STA CRUZ PLATEADA RER</v>
          </cell>
          <cell r="C2011"/>
          <cell r="D2011"/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  <cell r="C2013"/>
          <cell r="D2013"/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  <cell r="D2016"/>
        </row>
        <row r="2017">
          <cell r="A2017" t="str">
            <v>7707426</v>
          </cell>
          <cell r="B2017" t="str">
            <v>METAL BASTON CRIO SAN LUIS RER</v>
          </cell>
          <cell r="C2017"/>
          <cell r="D2017"/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  <cell r="D2020"/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  <cell r="D2021"/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  <cell r="D2022"/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  <cell r="D2023"/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  <cell r="D2024"/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  <cell r="D2025"/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  <cell r="D2026"/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  <cell r="D2027"/>
        </row>
        <row r="2028">
          <cell r="A2028" t="str">
            <v>7707511</v>
          </cell>
          <cell r="B2028" t="str">
            <v>METAL CRISOL LMGE GORRA (UR) FEM</v>
          </cell>
          <cell r="C2028"/>
          <cell r="D2028"/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  <cell r="D2030"/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  <cell r="D2031"/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  <cell r="D2032"/>
        </row>
        <row r="2033">
          <cell r="A2033" t="str">
            <v>7707523</v>
          </cell>
          <cell r="B2033" t="str">
            <v>METAL G.N. ESTRELLA OF DORADA RER</v>
          </cell>
          <cell r="C2033"/>
          <cell r="D2033"/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  <cell r="C2035"/>
          <cell r="D2035"/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  <cell r="D2038"/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  <cell r="D2039"/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  <cell r="D2040"/>
        </row>
        <row r="2041">
          <cell r="A2041" t="str">
            <v>7707536</v>
          </cell>
          <cell r="B2041" t="str">
            <v>METAL NOO USAR FEM</v>
          </cell>
          <cell r="C2041"/>
          <cell r="D2041"/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  <cell r="D2043"/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  <cell r="D2044"/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  <cell r="D2045"/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  <cell r="D2046"/>
        </row>
        <row r="2047">
          <cell r="A2047" t="str">
            <v>7707555</v>
          </cell>
          <cell r="B2047" t="str">
            <v>METAL HEBILLA GALA PLAT. STA CRUZ FEM</v>
          </cell>
          <cell r="C2047"/>
          <cell r="D2047"/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  <cell r="D2049"/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  <cell r="D2050"/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  <cell r="D2051"/>
        </row>
        <row r="2052">
          <cell r="A2052" t="str">
            <v>7707565</v>
          </cell>
          <cell r="B2052" t="str">
            <v>METAL SERRETA 5 ONDAS RER</v>
          </cell>
          <cell r="C2052"/>
          <cell r="D2052"/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  <cell r="D2054"/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  <cell r="D2055"/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  <cell r="D2056"/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  <cell r="D2057"/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  <cell r="D2058"/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  <cell r="D2059"/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  <cell r="D2060"/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  <cell r="D2061"/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  <cell r="D2062"/>
        </row>
        <row r="2063">
          <cell r="A2063" t="str">
            <v>7707584</v>
          </cell>
          <cell r="B2063" t="str">
            <v>HEBILLA CINT NATO CON DOS PASADORES 4584</v>
          </cell>
          <cell r="C2063"/>
          <cell r="D2063"/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  <cell r="D2065"/>
        </row>
        <row r="2066">
          <cell r="A2066" t="str">
            <v>7707650</v>
          </cell>
          <cell r="B2066" t="str">
            <v>METAL TRABA CORBATA SEGURIDAD RER</v>
          </cell>
          <cell r="C2066"/>
          <cell r="D2066"/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  <cell r="D2072"/>
        </row>
        <row r="2073">
          <cell r="A2073" t="str">
            <v>7707711</v>
          </cell>
          <cell r="B2073" t="str">
            <v>METAL ESTRELLA ANTIGU 6 PUNTAS RER</v>
          </cell>
          <cell r="C2073"/>
          <cell r="D2073"/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  <cell r="C2075"/>
          <cell r="D2075"/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  <cell r="D2077"/>
        </row>
        <row r="2078">
          <cell r="A2078" t="str">
            <v>7707716</v>
          </cell>
          <cell r="B2078" t="str">
            <v>METAL TRABA CORBATA MENDOZA RER</v>
          </cell>
          <cell r="C2078"/>
          <cell r="D2078"/>
        </row>
        <row r="2079">
          <cell r="A2079" t="str">
            <v>7707716METAL</v>
          </cell>
          <cell r="B2079"/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  <cell r="D2084"/>
        </row>
        <row r="2085">
          <cell r="A2085" t="str">
            <v>7707828</v>
          </cell>
          <cell r="B2085" t="str">
            <v>ESTAMPADO SPECIAL SEGURIDAD</v>
          </cell>
          <cell r="C2085"/>
          <cell r="D2085"/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  <cell r="C2088"/>
          <cell r="D2088"/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  <cell r="C2092"/>
          <cell r="D2092"/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  <cell r="D2094"/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  <cell r="D2095"/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  <cell r="D2096"/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  <cell r="D2097"/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  <cell r="D2098"/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  <cell r="D2099"/>
        </row>
        <row r="2100">
          <cell r="A2100" t="str">
            <v>7707936</v>
          </cell>
          <cell r="B2100" t="str">
            <v>METAL ESC GORRA NQN CON MARCO RER</v>
          </cell>
          <cell r="C2100"/>
          <cell r="D2100"/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  <cell r="D2102"/>
        </row>
        <row r="2103">
          <cell r="A2103" t="str">
            <v>7707950</v>
          </cell>
          <cell r="B2103" t="str">
            <v>METAL ESC GORRA STA CRUZ CHICO PLAT RER</v>
          </cell>
          <cell r="C2103"/>
          <cell r="D2103"/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  <cell r="D2105"/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  <cell r="D2106"/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  <cell r="D2107"/>
        </row>
        <row r="2108">
          <cell r="A2108" t="str">
            <v>7707988</v>
          </cell>
          <cell r="B2108" t="str">
            <v>METAL LLAVERO BALA 9 MM RER</v>
          </cell>
          <cell r="C2108"/>
          <cell r="D2108"/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  <cell r="D2110"/>
        </row>
        <row r="2111">
          <cell r="A2111" t="str">
            <v>7709001</v>
          </cell>
          <cell r="B2111" t="str">
            <v>ESC BORD SEGURIDAD CHICO</v>
          </cell>
          <cell r="C2111"/>
          <cell r="D2111"/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  <cell r="B2116"/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  <cell r="B2118"/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  <cell r="C2124"/>
          <cell r="D2124"/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  <cell r="D2126"/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  <cell r="D2127"/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  <cell r="D2128"/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  <cell r="D2129"/>
        </row>
        <row r="2130">
          <cell r="A2130" t="str">
            <v>7709018</v>
          </cell>
          <cell r="B2130" t="str">
            <v>ESC BORD TMAN PACK</v>
          </cell>
          <cell r="C2130"/>
          <cell r="D2130"/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  <cell r="C2134"/>
          <cell r="D2134"/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  <cell r="D2139"/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  <cell r="D2140"/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  <cell r="D2141"/>
        </row>
        <row r="2142">
          <cell r="A2142" t="str">
            <v>7709038ESC B</v>
          </cell>
          <cell r="B2142"/>
          <cell r="C2142"/>
          <cell r="D2142"/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  <cell r="D2144"/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  <cell r="D2145"/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  <cell r="D2146"/>
        </row>
        <row r="2147">
          <cell r="A2147" t="str">
            <v>7709049</v>
          </cell>
          <cell r="B2147" t="str">
            <v>ESC BORD TMAN OFERTA  POR DOS</v>
          </cell>
          <cell r="C2147"/>
          <cell r="D2147"/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  <cell r="D2150"/>
        </row>
        <row r="2151">
          <cell r="A2151" t="str">
            <v>7709063</v>
          </cell>
          <cell r="B2151" t="str">
            <v>APLIQUE PSA TRUK NEGRO ENGOM NEGRO BI</v>
          </cell>
          <cell r="C2151"/>
          <cell r="D2151"/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  <cell r="D2153"/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  <cell r="D2154"/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  <cell r="D2155"/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  <cell r="D2156"/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  <cell r="D2157"/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  <cell r="D2158"/>
        </row>
        <row r="2159">
          <cell r="A2159" t="str">
            <v>7709071</v>
          </cell>
          <cell r="B2159" t="str">
            <v>PECT BORD 3 ROMBOS BOMBEROS TUC</v>
          </cell>
          <cell r="C2159"/>
          <cell r="D2159"/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  <cell r="D2162"/>
        </row>
        <row r="2163">
          <cell r="A2163" t="str">
            <v>7709101</v>
          </cell>
          <cell r="B2163" t="str">
            <v>ESC BORD MZA BOINA CABALLERIA     BARG</v>
          </cell>
          <cell r="C2163"/>
          <cell r="D2163"/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  <cell r="D2165"/>
        </row>
        <row r="2166">
          <cell r="A2166" t="str">
            <v>7709104</v>
          </cell>
          <cell r="B2166" t="str">
            <v>ESC BORD MZA INVESTIGACIONES</v>
          </cell>
          <cell r="C2166"/>
          <cell r="D2166"/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  <cell r="D2169"/>
        </row>
        <row r="2170">
          <cell r="A2170" t="str">
            <v>7709115ESC G</v>
          </cell>
          <cell r="B2170"/>
          <cell r="C2170"/>
          <cell r="D2170"/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  <cell r="B2173"/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  <cell r="B2176"/>
          <cell r="C2176"/>
          <cell r="D2176"/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  <cell r="D2178"/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  <cell r="D2179"/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  <cell r="D2180"/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  <cell r="D2181"/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  <cell r="D2182"/>
        </row>
        <row r="2183">
          <cell r="A2183" t="str">
            <v>7709157</v>
          </cell>
          <cell r="B2183" t="str">
            <v>ESC INFANTERIA FUSILES CURSO NAC 2018</v>
          </cell>
          <cell r="C2183"/>
          <cell r="D2183"/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  <cell r="C2185"/>
          <cell r="D2185"/>
        </row>
        <row r="2186">
          <cell r="A2186" t="str">
            <v>7709159ESC B</v>
          </cell>
          <cell r="B2186"/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  <cell r="D2188"/>
        </row>
        <row r="2189">
          <cell r="A2189" t="str">
            <v>7709163</v>
          </cell>
          <cell r="B2189" t="str">
            <v>ESC BORD SERV PENIT STA CRUZ DIRECTOR</v>
          </cell>
          <cell r="C2189"/>
          <cell r="D2189"/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  <cell r="B2191"/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  <cell r="C2193"/>
          <cell r="D2193"/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  <cell r="D2196"/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  <cell r="D2197"/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  <cell r="D2198"/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  <cell r="D2199"/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  <cell r="D2200"/>
        </row>
        <row r="2201">
          <cell r="A2201" t="str">
            <v>7709230</v>
          </cell>
          <cell r="B2201" t="str">
            <v>ESC BORD NQN SEG SAN PABLO</v>
          </cell>
          <cell r="C2201"/>
          <cell r="D2201"/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  <cell r="C2203"/>
          <cell r="D2203"/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  <cell r="D2208"/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  <cell r="D2209"/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  <cell r="D2210"/>
        </row>
        <row r="2211">
          <cell r="A2211" t="str">
            <v>7709272ESC B</v>
          </cell>
          <cell r="B2211"/>
          <cell r="C2211"/>
          <cell r="D2211"/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  <cell r="C2214"/>
          <cell r="D2214"/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  <cell r="C2216"/>
          <cell r="D2216"/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  <cell r="C2221"/>
          <cell r="D2221"/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  <cell r="D2223"/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  <cell r="D2224"/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  <cell r="D2225"/>
        </row>
        <row r="2226">
          <cell r="A2226" t="str">
            <v>7709330</v>
          </cell>
          <cell r="B2226" t="str">
            <v>ESC BORD MZA U.A.R BOINA UNIDAD ACCION P</v>
          </cell>
          <cell r="C2226"/>
          <cell r="D2226"/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  <cell r="C2228"/>
          <cell r="D2228"/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  <cell r="B2230"/>
          <cell r="C2230"/>
          <cell r="D2230"/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  <cell r="D2232"/>
        </row>
        <row r="2233">
          <cell r="A2233" t="str">
            <v>7709351</v>
          </cell>
          <cell r="B2233" t="str">
            <v>ESC BORD NQN. USAR 7709504</v>
          </cell>
          <cell r="C2233"/>
          <cell r="D2233"/>
        </row>
        <row r="2234">
          <cell r="A2234" t="str">
            <v>7709351ESC B</v>
          </cell>
          <cell r="B2234"/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  <cell r="D2237"/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  <cell r="D2238"/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  <cell r="D2239"/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  <cell r="D2240"/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  <cell r="D2241"/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  <cell r="D2242"/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  <cell r="D2243"/>
        </row>
        <row r="2244">
          <cell r="A2244" t="str">
            <v>7709361</v>
          </cell>
          <cell r="B2244" t="str">
            <v>ESC BORD MZA PENIT. SANIDAD</v>
          </cell>
          <cell r="C2244"/>
          <cell r="D2244"/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  <cell r="D2246"/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  <cell r="D2247"/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  <cell r="D2248"/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  <cell r="D2249"/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  <cell r="D2250"/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  <cell r="D2251"/>
        </row>
        <row r="2252">
          <cell r="A2252" t="str">
            <v>7709395</v>
          </cell>
          <cell r="B2252" t="str">
            <v>ESC BORD MZA BOMBEROS VOL MAIPU</v>
          </cell>
          <cell r="C2252"/>
          <cell r="D2252"/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  <cell r="D2254"/>
        </row>
        <row r="2255">
          <cell r="A2255" t="str">
            <v>7709406</v>
          </cell>
          <cell r="B2255" t="str">
            <v>ESC BORD NQN INSTRUCTOR</v>
          </cell>
          <cell r="C2255"/>
          <cell r="D2255"/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  <cell r="D2257"/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  <cell r="D2258"/>
        </row>
        <row r="2259">
          <cell r="A2259" t="str">
            <v>7709413</v>
          </cell>
          <cell r="B2259" t="str">
            <v>ESC BORD STA CRUZ TRANSITO B/ VISIBILIDA</v>
          </cell>
          <cell r="C2259"/>
          <cell r="D2259"/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  <cell r="D2261"/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  <cell r="D2262"/>
        </row>
        <row r="2263">
          <cell r="A2263" t="str">
            <v>7709417</v>
          </cell>
          <cell r="B2263" t="str">
            <v>ESC BORD MZA PENIT.SEG.INT.GRIS</v>
          </cell>
          <cell r="C2263"/>
          <cell r="D2263"/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  <cell r="D2265"/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  <cell r="D2266"/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  <cell r="D2267"/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  <cell r="D2268"/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  <cell r="D2269"/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  <cell r="D2270"/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  <cell r="D2271"/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  <cell r="D2272"/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  <cell r="D2273"/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  <cell r="D2274"/>
        </row>
        <row r="2275">
          <cell r="A2275" t="str">
            <v>7709441</v>
          </cell>
          <cell r="B2275" t="str">
            <v>ESC BORD CATAM POL SUBOF TVS 527-28</v>
          </cell>
          <cell r="C2275"/>
          <cell r="D2275"/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  <cell r="C2277"/>
          <cell r="D2277"/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  <cell r="C2279"/>
          <cell r="D2279"/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  <cell r="C2283"/>
          <cell r="D2283"/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  <cell r="D2285"/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  <cell r="D2286"/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  <cell r="D2287"/>
        </row>
        <row r="2288">
          <cell r="A2288" t="str">
            <v>7709459</v>
          </cell>
          <cell r="B2288" t="str">
            <v>ESC BORD G.N.  (BRAZO)</v>
          </cell>
          <cell r="C2288"/>
          <cell r="D2288"/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  <cell r="D2290"/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  <cell r="D2291"/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  <cell r="D2292"/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  <cell r="D2293"/>
        </row>
        <row r="2294">
          <cell r="A2294" t="str">
            <v>7709490</v>
          </cell>
          <cell r="B2294" t="str">
            <v>ESC BORD NQN POL RURAL Y CANES</v>
          </cell>
          <cell r="C2294"/>
          <cell r="D2294"/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  <cell r="B2297"/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  <cell r="C2299"/>
          <cell r="D2299"/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  <cell r="D2301"/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  <cell r="D2302"/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  <cell r="D2303"/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  <cell r="D2304"/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  <cell r="D2305"/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  <cell r="D2306"/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  <cell r="D2307"/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  <cell r="D2308"/>
        </row>
        <row r="2309">
          <cell r="A2309" t="str">
            <v>7709555</v>
          </cell>
          <cell r="B2309" t="str">
            <v>ESC BORD CHUBUT DROGAS GRANDE</v>
          </cell>
          <cell r="C2309"/>
          <cell r="D2309"/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  <cell r="D2312"/>
        </row>
        <row r="2313">
          <cell r="A2313" t="str">
            <v>7709601</v>
          </cell>
          <cell r="B2313" t="str">
            <v>ESC BORD SANTA FE GAT</v>
          </cell>
          <cell r="C2313"/>
          <cell r="D2313"/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  <cell r="D2317"/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  <cell r="D2318"/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  <cell r="D2319"/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  <cell r="D2320"/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  <cell r="D2321"/>
        </row>
        <row r="2322">
          <cell r="A2322" t="str">
            <v>7709655</v>
          </cell>
          <cell r="B2322" t="str">
            <v>ESC BORD MZA POLICA CON  VELCRO</v>
          </cell>
          <cell r="C2322"/>
          <cell r="D2322"/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  <cell r="D2326"/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  <cell r="D2327"/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  <cell r="D2328"/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  <cell r="D2329"/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  <cell r="D2330"/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  <cell r="D2331"/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  <cell r="D2332"/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  <cell r="D2333"/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  <cell r="D2334"/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  <cell r="D2335"/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  <cell r="D2336"/>
        </row>
        <row r="2337">
          <cell r="A2337" t="str">
            <v>7709700</v>
          </cell>
          <cell r="B2337" t="str">
            <v>ESC BORD SAN LUIS POLICIA TVS477-04</v>
          </cell>
          <cell r="C2337"/>
          <cell r="D2337"/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  <cell r="D2339"/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  <cell r="D2340"/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  <cell r="D2341"/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  <cell r="D2342"/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  <cell r="D2343"/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  <cell r="D2344"/>
        </row>
        <row r="2345">
          <cell r="A2345" t="str">
            <v>7709785</v>
          </cell>
          <cell r="B2345" t="str">
            <v>ESC BORD MZA PATRULLA DE RESCATE</v>
          </cell>
          <cell r="C2345"/>
          <cell r="D2345"/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  <cell r="D2347"/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  <cell r="D2348"/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  <cell r="D2349"/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  <cell r="D2350"/>
        </row>
        <row r="2351">
          <cell r="A2351" t="str">
            <v>7709799</v>
          </cell>
          <cell r="B2351" t="str">
            <v>ESC BORDADO ESCUELA ISRAELITA</v>
          </cell>
          <cell r="C2351"/>
          <cell r="D2351"/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  <cell r="D2353"/>
        </row>
        <row r="2354">
          <cell r="A2354" t="str">
            <v>7709802</v>
          </cell>
          <cell r="B2354" t="str">
            <v>ESC BORD SANTA FE INFANTERIA UR II</v>
          </cell>
          <cell r="C2354"/>
          <cell r="D2354"/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  <cell r="B2363"/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  <cell r="C2376"/>
          <cell r="D2376"/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  <cell r="D2382"/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  <cell r="D2383"/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  <cell r="D2384"/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  <cell r="D2385"/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  <cell r="D2386"/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  <cell r="D2387"/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  <cell r="D2388"/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  <cell r="D2389"/>
        </row>
        <row r="2390">
          <cell r="A2390" t="str">
            <v>7709860</v>
          </cell>
          <cell r="B2390" t="str">
            <v>ESC BORD MZA CANES BRAZO BAJA VISIBILIDA</v>
          </cell>
          <cell r="C2390"/>
          <cell r="D2390"/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  <cell r="D2392"/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  <cell r="D2393"/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  <cell r="D2394"/>
        </row>
        <row r="2395">
          <cell r="A2395" t="str">
            <v>7709869</v>
          </cell>
          <cell r="B2395" t="str">
            <v>ESC BORD MZA PENIT. RESGUARDO IMAGE</v>
          </cell>
          <cell r="C2395"/>
          <cell r="D2395"/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  <cell r="B2397"/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  <cell r="C2401"/>
          <cell r="D2401"/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  <cell r="C2404"/>
          <cell r="D2404"/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  <cell r="C2408"/>
          <cell r="D2408"/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  <cell r="D2410"/>
        </row>
        <row r="2411">
          <cell r="A2411" t="str">
            <v>7709998ESC E</v>
          </cell>
          <cell r="B2411"/>
          <cell r="C2411"/>
          <cell r="D2411"/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  <cell r="D2413"/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  <cell r="D2414"/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  <cell r="D2415"/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  <cell r="D2416"/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  <cell r="D2417"/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  <cell r="D2418"/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  <cell r="D2419"/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  <cell r="D2420"/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  <cell r="D2421"/>
        </row>
        <row r="2422">
          <cell r="A2422" t="str">
            <v>7710010</v>
          </cell>
          <cell r="B2422" t="str">
            <v>ESC GOMA POLICIA SANTA CRUZ BAJA VISIBI</v>
          </cell>
          <cell r="C2422"/>
          <cell r="D2422"/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  <cell r="C2424"/>
          <cell r="D2424"/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  <cell r="D2426"/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  <cell r="D2427"/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  <cell r="D2428"/>
        </row>
        <row r="2429">
          <cell r="A2429" t="str">
            <v>7710033</v>
          </cell>
          <cell r="B2429" t="str">
            <v>BANDERA GOMA BV 6X4 GOA</v>
          </cell>
          <cell r="C2429"/>
          <cell r="D2429"/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  <cell r="D2441"/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  <cell r="D2442"/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  <cell r="D2443"/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  <cell r="D2444"/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  <cell r="D2445"/>
        </row>
        <row r="2446">
          <cell r="A2446" t="str">
            <v>7711068</v>
          </cell>
          <cell r="B2446" t="str">
            <v>APLIQUE CARTELLONE NEGRO BI</v>
          </cell>
          <cell r="C2446"/>
          <cell r="D2446"/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  <cell r="C2448"/>
          <cell r="D2448"/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  <cell r="D2450"/>
        </row>
        <row r="2451">
          <cell r="A2451" t="str">
            <v>7711136</v>
          </cell>
          <cell r="B2451" t="str">
            <v>BAND   USAR 7707/136</v>
          </cell>
          <cell r="C2451"/>
          <cell r="D2451"/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  <cell r="C2455"/>
          <cell r="D2455"/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  <cell r="D2458"/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  <cell r="D2459"/>
        </row>
        <row r="2460">
          <cell r="A2460" t="str">
            <v>7711300</v>
          </cell>
          <cell r="B2460" t="str">
            <v>BANDERA BORD CUTRAL/CO NQN</v>
          </cell>
          <cell r="C2460"/>
          <cell r="D2460"/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  <cell r="D2463"/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  <cell r="D2464"/>
        </row>
        <row r="2465">
          <cell r="A2465" t="str">
            <v>8203124</v>
          </cell>
          <cell r="B2465" t="str">
            <v>CASQ RIP TIGER CELESTE</v>
          </cell>
          <cell r="C2465"/>
          <cell r="D2465"/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  <cell r="C2467"/>
          <cell r="D2467"/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  <cell r="C2470"/>
          <cell r="D2470"/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  <cell r="D2472"/>
        </row>
        <row r="2473">
          <cell r="A2473" t="str">
            <v>8205011</v>
          </cell>
          <cell r="B2473" t="str">
            <v>BOTIN PRUSIANO MARRON AGENCIA RER</v>
          </cell>
          <cell r="C2473"/>
          <cell r="D2473"/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  <cell r="D2475"/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  <cell r="D2476"/>
        </row>
        <row r="2477">
          <cell r="A2477" t="str">
            <v>8205021</v>
          </cell>
          <cell r="B2477" t="str">
            <v>BOTIN PRUSIANO NEGRO AGENCIA RER</v>
          </cell>
          <cell r="C2477"/>
          <cell r="D2477"/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  <cell r="D2480"/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  <cell r="D2481"/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  <cell r="D2482"/>
        </row>
        <row r="2483">
          <cell r="A2483" t="str">
            <v>8205042</v>
          </cell>
          <cell r="B2483" t="str">
            <v>BORCEGUI TACTICO CUERO RERDA ESPECI RER</v>
          </cell>
          <cell r="C2483"/>
          <cell r="D2483"/>
        </row>
        <row r="2484">
          <cell r="A2484" t="str">
            <v>8205042BORCE</v>
          </cell>
          <cell r="B2484"/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  <cell r="D2487"/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  <cell r="D2488"/>
        </row>
        <row r="2489">
          <cell r="A2489" t="str">
            <v>8205061</v>
          </cell>
          <cell r="B2489" t="str">
            <v>BOTIN CLASICO AGENCIA RER</v>
          </cell>
          <cell r="C2489"/>
          <cell r="D2489"/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  <cell r="C2491"/>
          <cell r="D2491"/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  <cell r="D2493"/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  <cell r="D2494"/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  <cell r="D2495"/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  <cell r="D2496"/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  <cell r="D2497"/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  <cell r="D2498"/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  <cell r="D2499"/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  <cell r="D2500"/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  <cell r="D2501"/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  <cell r="D2502"/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  <cell r="D2503"/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  <cell r="D2504"/>
        </row>
        <row r="2505">
          <cell r="A2505" t="str">
            <v>8205801</v>
          </cell>
          <cell r="B2505" t="str">
            <v>BORCEGUI TACTICO CAMEL OJAL PLAST RER</v>
          </cell>
          <cell r="C2505"/>
          <cell r="D2505"/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  <cell r="D2507"/>
        </row>
        <row r="2508">
          <cell r="A2508" t="str">
            <v>8205989</v>
          </cell>
          <cell r="B2508" t="str">
            <v>BOTA PVC ESCORPIO 4989</v>
          </cell>
          <cell r="C2508"/>
          <cell r="D2508"/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  <cell r="C2510"/>
          <cell r="D2510"/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  <cell r="D2512"/>
        </row>
        <row r="2513">
          <cell r="A2513" t="str">
            <v>8301300</v>
          </cell>
          <cell r="B2513" t="str">
            <v>BOINA PANA VERDE</v>
          </cell>
          <cell r="C2513"/>
          <cell r="D2513"/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  <cell r="C2515"/>
          <cell r="D2515"/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  <cell r="D2517"/>
        </row>
        <row r="2518">
          <cell r="A2518" t="str">
            <v>8301313</v>
          </cell>
          <cell r="B2518" t="str">
            <v>LINTERNA 4674-4677</v>
          </cell>
          <cell r="C2518"/>
          <cell r="D2518"/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  <cell r="D2521"/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  <cell r="D2522"/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  <cell r="D2523"/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  <cell r="D2524"/>
        </row>
        <row r="2525">
          <cell r="A2525" t="str">
            <v>8301901</v>
          </cell>
          <cell r="B2525" t="str">
            <v>BOINA PAÑO AZUL</v>
          </cell>
          <cell r="C2525"/>
          <cell r="D2525"/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  <cell r="C2529"/>
          <cell r="D2529"/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  <cell r="D2531"/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  <cell r="D2532"/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  <cell r="D2533"/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  <cell r="D2534"/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  <cell r="D2535"/>
        </row>
        <row r="2536">
          <cell r="A2536" t="str">
            <v>8303009</v>
          </cell>
          <cell r="B2536" t="str">
            <v>CASQ RIP DESERTICO</v>
          </cell>
          <cell r="C2536"/>
          <cell r="D2536"/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  <cell r="C2539"/>
          <cell r="D2539"/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  <cell r="C2542"/>
          <cell r="D2542"/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  <cell r="C2548"/>
          <cell r="D2548"/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  <cell r="D2552"/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  <cell r="D2553"/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  <cell r="D2554"/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  <cell r="D2555"/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  <cell r="D2556"/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  <cell r="D2557"/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  <cell r="D2558"/>
        </row>
        <row r="2559">
          <cell r="A2559" t="str">
            <v>8303124</v>
          </cell>
          <cell r="B2559" t="str">
            <v>CASQ RIP DIGITAL MIMET RURAL</v>
          </cell>
          <cell r="C2559"/>
          <cell r="D2559"/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  <cell r="C2561"/>
          <cell r="D2561"/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  <cell r="D2563"/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  <cell r="D2564"/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  <cell r="D2565"/>
        </row>
        <row r="2566">
          <cell r="A2566" t="str">
            <v>8303131</v>
          </cell>
          <cell r="B2566" t="str">
            <v>CASQ RIP NEGRO C/OJALITO BORD NQN</v>
          </cell>
          <cell r="C2566"/>
          <cell r="D2566"/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  <cell r="C2569"/>
          <cell r="D2569"/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  <cell r="D2571"/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  <cell r="D2572"/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  <cell r="D2573"/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  <cell r="D2574"/>
        </row>
        <row r="2575">
          <cell r="A2575" t="str">
            <v>8303356</v>
          </cell>
          <cell r="B2575" t="str">
            <v>CASQ RIP NEGRO STA FE C ABROJO C/ESC RER</v>
          </cell>
          <cell r="C2575"/>
          <cell r="D2575"/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  <cell r="C2577"/>
          <cell r="D2577"/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  <cell r="D2579"/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  <cell r="D2580"/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  <cell r="D2581"/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  <cell r="D2582"/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  <cell r="D2583"/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  <cell r="D2584"/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  <cell r="D2585"/>
        </row>
        <row r="2586">
          <cell r="A2586" t="str">
            <v>8303700</v>
          </cell>
          <cell r="B2586" t="str">
            <v>CASQ RIP AZUL NQUEN. VISERA BORDADA RER</v>
          </cell>
          <cell r="C2586"/>
          <cell r="D2586"/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  <cell r="D2588"/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  <cell r="D2589"/>
        </row>
        <row r="2590">
          <cell r="A2590" t="str">
            <v>8303901</v>
          </cell>
          <cell r="B2590" t="str">
            <v>CASQ RIP NEGRO C ABROJO Y CINTA A CUA</v>
          </cell>
          <cell r="C2590"/>
          <cell r="D2590"/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  <cell r="D2592"/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  <cell r="D2593"/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  <cell r="D2594"/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  <cell r="D2595"/>
        </row>
        <row r="2596">
          <cell r="A2596" t="str">
            <v>8305003</v>
          </cell>
          <cell r="B2596" t="str">
            <v>GORRA BLANCA SIN ATRIBUTO RER</v>
          </cell>
          <cell r="C2596"/>
          <cell r="D2596"/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  <cell r="D2599"/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  <cell r="D2600"/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  <cell r="D2601"/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  <cell r="D2602"/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  <cell r="D2603"/>
        </row>
        <row r="2604">
          <cell r="A2604" t="str">
            <v>8307001</v>
          </cell>
          <cell r="B2604" t="str">
            <v>BONNY RIP AZUL RER</v>
          </cell>
          <cell r="C2604"/>
          <cell r="D2604"/>
        </row>
        <row r="2605">
          <cell r="A2605" t="str">
            <v>8307001BONNY</v>
          </cell>
          <cell r="B2605"/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  <cell r="D2607"/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  <cell r="D2608"/>
        </row>
        <row r="2609">
          <cell r="A2609" t="str">
            <v>8307159</v>
          </cell>
          <cell r="B2609" t="str">
            <v>CHAMBERGO DE LANA GRIS</v>
          </cell>
          <cell r="C2609"/>
          <cell r="D2609"/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  <cell r="C2611"/>
          <cell r="D2611"/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  <cell r="C2616"/>
          <cell r="D2616"/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  <cell r="C2618"/>
          <cell r="D2618"/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  <cell r="D2621"/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  <cell r="D2622"/>
        </row>
        <row r="2623">
          <cell r="A2623" t="str">
            <v>8400009</v>
          </cell>
          <cell r="B2623" t="str">
            <v>GORRITA BASEBALL CAP 4689-4691</v>
          </cell>
          <cell r="C2623"/>
          <cell r="D2623"/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  <cell r="C2625"/>
          <cell r="D2625"/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  <cell r="C2628"/>
          <cell r="D2628"/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  <cell r="D2630"/>
        </row>
        <row r="2631">
          <cell r="A2631" t="str">
            <v>8400028</v>
          </cell>
          <cell r="B2631" t="str">
            <v>GORRITA NQN POL</v>
          </cell>
          <cell r="C2631"/>
          <cell r="D2631"/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  <cell r="C2635"/>
          <cell r="D2635"/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  <cell r="D2639"/>
        </row>
        <row r="2640">
          <cell r="A2640" t="str">
            <v>8400076</v>
          </cell>
          <cell r="B2640" t="str">
            <v>GORRO NIEVE CAP076 RER</v>
          </cell>
          <cell r="C2640"/>
          <cell r="D2640"/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  <cell r="C2642"/>
          <cell r="D2642"/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  <cell r="D2649"/>
        </row>
        <row r="2650">
          <cell r="A2650" t="str">
            <v>8400106</v>
          </cell>
          <cell r="B2650" t="str">
            <v>GORRA TMAN POL NEGRA RER</v>
          </cell>
          <cell r="C2650"/>
          <cell r="D2650"/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  <cell r="C2653"/>
          <cell r="D2653"/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  <cell r="C2655"/>
          <cell r="D2655"/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  <cell r="C2658"/>
          <cell r="D2658"/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  <cell r="D2660"/>
        </row>
        <row r="2661">
          <cell r="A2661" t="str">
            <v>8400121</v>
          </cell>
          <cell r="B2661" t="str">
            <v>GORRITA CATACPOL RER</v>
          </cell>
          <cell r="C2661"/>
          <cell r="D2661"/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  <cell r="D2664"/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  <cell r="D2665"/>
        </row>
        <row r="2666">
          <cell r="A2666" t="str">
            <v>8400126</v>
          </cell>
          <cell r="B2666" t="str">
            <v>GORRITA SAN JUAN POLICIA HILO BLANCO RER</v>
          </cell>
          <cell r="C2666"/>
          <cell r="D2666"/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  <cell r="D2669"/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  <cell r="D2670"/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  <cell r="D2671"/>
        </row>
        <row r="2672">
          <cell r="A2672" t="str">
            <v>8400132</v>
          </cell>
          <cell r="B2672" t="str">
            <v>GORRITA STA CRUZ  D.I.C.C. RER</v>
          </cell>
          <cell r="C2672"/>
          <cell r="D2672"/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  <cell r="D2674"/>
        </row>
        <row r="2675">
          <cell r="A2675" t="str">
            <v>8400155</v>
          </cell>
          <cell r="B2675" t="str">
            <v>GORRITA JUJUY POLICIA</v>
          </cell>
          <cell r="C2675"/>
          <cell r="D2675"/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  <cell r="D2681"/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  <cell r="D2682"/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  <cell r="D2683"/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  <cell r="D2684"/>
        </row>
        <row r="2685">
          <cell r="A2685" t="str">
            <v>8400174</v>
          </cell>
          <cell r="B2685" t="str">
            <v>GORRITA MZA BODEGA PULENTA ESTATE</v>
          </cell>
          <cell r="C2685"/>
          <cell r="D2685"/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  <cell r="D2692"/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  <cell r="D2693"/>
        </row>
        <row r="2694">
          <cell r="A2694" t="str">
            <v>8400265</v>
          </cell>
          <cell r="B2694" t="str">
            <v>GORRITA MZA KINETA</v>
          </cell>
          <cell r="C2694"/>
          <cell r="D2694"/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  <cell r="C2698"/>
          <cell r="D2698"/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  <cell r="D2700"/>
        </row>
        <row r="2701">
          <cell r="A2701" t="str">
            <v>8400309</v>
          </cell>
          <cell r="B2701" t="str">
            <v>GORRITA SAN LUIS ISSP J.P.PRINGLES</v>
          </cell>
          <cell r="C2701"/>
          <cell r="D2701"/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  <cell r="C2703"/>
          <cell r="D2703"/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  <cell r="D2705"/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  <cell r="D2706"/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  <cell r="D2707"/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  <cell r="D2708"/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  <cell r="D2709"/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  <cell r="D2710"/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  <cell r="D2711"/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  <cell r="D2712"/>
        </row>
        <row r="2713">
          <cell r="A2713" t="str">
            <v>8400369</v>
          </cell>
          <cell r="B2713" t="str">
            <v>GORRITA MZA MUNICIPALIDAD DE LAS HERAS</v>
          </cell>
          <cell r="C2713"/>
          <cell r="D2713"/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  <cell r="D2715"/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  <cell r="D2716"/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  <cell r="D2717"/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  <cell r="D2718"/>
        </row>
        <row r="2719">
          <cell r="A2719" t="str">
            <v>8400452</v>
          </cell>
          <cell r="B2719" t="str">
            <v>GORRITA ASPIRANTE NEGRA</v>
          </cell>
          <cell r="C2719"/>
          <cell r="D2719"/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  <cell r="C2723"/>
          <cell r="D2723"/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  <cell r="C2727"/>
          <cell r="D2727"/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  <cell r="D2730"/>
        </row>
        <row r="2731">
          <cell r="A2731" t="str">
            <v>8400753</v>
          </cell>
          <cell r="B2731" t="str">
            <v>GORRITA SAN JUAN POLICIA HOLO DORADO BI</v>
          </cell>
          <cell r="C2731"/>
          <cell r="D2731"/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  <cell r="C2733"/>
          <cell r="D2733"/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  <cell r="C2735"/>
          <cell r="D2735"/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  <cell r="C2737"/>
          <cell r="D2737"/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  <cell r="D2739"/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  <cell r="D2740"/>
        </row>
        <row r="2741">
          <cell r="A2741" t="str">
            <v>8401006</v>
          </cell>
          <cell r="B2741" t="str">
            <v>SUDADERA RED MILITAR BLANCA ORF</v>
          </cell>
          <cell r="C2741"/>
          <cell r="D2741"/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  <cell r="D2745"/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  <cell r="D2746"/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  <cell r="D2747"/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  <cell r="D2748"/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  <cell r="D2749"/>
        </row>
        <row r="2750">
          <cell r="A2750" t="str">
            <v>8401134</v>
          </cell>
          <cell r="B2750" t="str">
            <v>GORRITA F1 DDI NEGRA RER</v>
          </cell>
          <cell r="C2750"/>
          <cell r="D2750"/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  <cell r="D2752"/>
        </row>
        <row r="2753">
          <cell r="A2753" t="str">
            <v>8500002</v>
          </cell>
          <cell r="B2753" t="str">
            <v>ESPOSAS SMITH &amp; WESS CADE NEG J10095 RER</v>
          </cell>
          <cell r="C2753"/>
          <cell r="D2753"/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  <cell r="C2755"/>
          <cell r="D2755"/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  <cell r="C2757"/>
          <cell r="D2757"/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  <cell r="C2759"/>
          <cell r="D2759"/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  <cell r="D2761"/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  <cell r="D2762"/>
        </row>
        <row r="2763">
          <cell r="A2763" t="str">
            <v>8501034</v>
          </cell>
          <cell r="B2763" t="str">
            <v>PORTA CREDENCIAL BILLLE PREMIUM 1034 TB</v>
          </cell>
          <cell r="C2763"/>
          <cell r="D2763"/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  <cell r="C2766"/>
          <cell r="D2766"/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  <cell r="D2772"/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  <cell r="D2773"/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  <cell r="D2774"/>
        </row>
        <row r="2775">
          <cell r="A2775" t="str">
            <v>8503011</v>
          </cell>
          <cell r="B2775" t="str">
            <v>ESPOSAS RERDA</v>
          </cell>
          <cell r="C2775"/>
          <cell r="D2775"/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  <cell r="D2777"/>
        </row>
        <row r="2778">
          <cell r="A2778" t="str">
            <v>8503026</v>
          </cell>
          <cell r="B2778" t="str">
            <v>LINTERNA NEGRA CHICA LUG</v>
          </cell>
          <cell r="C2778"/>
          <cell r="D2778"/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  <cell r="C2780"/>
          <cell r="D2780"/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  <cell r="C2783"/>
          <cell r="D2783"/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  <cell r="D2785"/>
        </row>
        <row r="2786">
          <cell r="A2786" t="str">
            <v>8503091</v>
          </cell>
          <cell r="B2786" t="str">
            <v>ESCUDO ANTIDIST BURBUJA C VISOR VB02 SOL</v>
          </cell>
          <cell r="C2786"/>
          <cell r="D2786"/>
        </row>
        <row r="2787">
          <cell r="A2787" t="str">
            <v>8503091ESCUD</v>
          </cell>
          <cell r="B2787"/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  <cell r="D2791"/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  <cell r="D2792"/>
        </row>
        <row r="2793">
          <cell r="A2793" t="str">
            <v>8503130</v>
          </cell>
          <cell r="B2793" t="str">
            <v>CASQ RIP AZUL C/OJALITOS IMP</v>
          </cell>
          <cell r="C2793"/>
          <cell r="D2793"/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  <cell r="D2797"/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  <cell r="D2798"/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  <cell r="D2799"/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  <cell r="D2800"/>
        </row>
        <row r="2801">
          <cell r="A2801" t="str">
            <v>8503230</v>
          </cell>
          <cell r="B2801" t="str">
            <v>BASTON DE MANDO RER</v>
          </cell>
          <cell r="C2801"/>
          <cell r="D2801"/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  <cell r="C2803"/>
          <cell r="D2803"/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  <cell r="C2808"/>
          <cell r="D2808"/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  <cell r="C2810"/>
          <cell r="D2810"/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  <cell r="C2812"/>
          <cell r="D2812"/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  <cell r="D2814"/>
        </row>
        <row r="2815">
          <cell r="A2815" t="str">
            <v>8503401</v>
          </cell>
          <cell r="B2815" t="str">
            <v>BASTON EXTENSIBLE IMP</v>
          </cell>
          <cell r="C2815"/>
          <cell r="D2815"/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  <cell r="D2817"/>
        </row>
        <row r="2818">
          <cell r="A2818" t="str">
            <v>8503425</v>
          </cell>
          <cell r="B2818" t="str">
            <v>BASTON EXTENSIBLE GOMA NEGRO</v>
          </cell>
          <cell r="C2818"/>
          <cell r="D2818"/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  <cell r="D2822"/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  <cell r="D2823"/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  <cell r="D2824"/>
        </row>
        <row r="2825">
          <cell r="A2825" t="str">
            <v>8503456</v>
          </cell>
          <cell r="B2825" t="str">
            <v>ESPOSA MARSHALL RER</v>
          </cell>
          <cell r="C2825"/>
          <cell r="D2825"/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  <cell r="C2827"/>
          <cell r="D2827"/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  <cell r="D2829"/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  <cell r="D2830"/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  <cell r="D2831"/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  <cell r="D2832"/>
        </row>
        <row r="2833">
          <cell r="A2833" t="str">
            <v>8503712</v>
          </cell>
          <cell r="B2833" t="str">
            <v>SABLE CORTO RER</v>
          </cell>
          <cell r="C2833"/>
          <cell r="D2833"/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  <cell r="D2835"/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  <cell r="D2836"/>
        </row>
        <row r="2837">
          <cell r="A2837" t="str">
            <v>8503800</v>
          </cell>
          <cell r="B2837" t="str">
            <v>SET 4 ANTEOJOS IMP</v>
          </cell>
          <cell r="C2837"/>
          <cell r="D2837"/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  <cell r="D2839"/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  <cell r="D2840"/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  <cell r="D2841"/>
        </row>
        <row r="2842">
          <cell r="A2842" t="str">
            <v>8503808</v>
          </cell>
          <cell r="B2842" t="str">
            <v>MASCARA REBATIBLE 0.23 X 0.24 MT POLICA</v>
          </cell>
          <cell r="C2842"/>
          <cell r="D2842"/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  <cell r="C2844"/>
          <cell r="D2844"/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  <cell r="D2854"/>
        </row>
        <row r="2855">
          <cell r="A2855" t="str">
            <v>8503832</v>
          </cell>
          <cell r="B2855" t="str">
            <v>ANTIPARRA SPORT 3104DR/11.85 GLA</v>
          </cell>
          <cell r="C2855"/>
          <cell r="D2855"/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  <cell r="C2864"/>
          <cell r="D2864"/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  <cell r="D2866"/>
        </row>
        <row r="2867">
          <cell r="A2867" t="str">
            <v>8505000</v>
          </cell>
          <cell r="B2867" t="str">
            <v>PECT ESC CADETES BARRA BL-AZ-NE BI</v>
          </cell>
          <cell r="C2867"/>
          <cell r="D2867"/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  <cell r="C2869"/>
          <cell r="D2869"/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  <cell r="C2871"/>
          <cell r="D2871"/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  <cell r="C2874"/>
          <cell r="D2874"/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  <cell r="C2882"/>
          <cell r="D2882"/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  <cell r="D2884"/>
        </row>
        <row r="2885">
          <cell r="A2885" t="str">
            <v>8505018</v>
          </cell>
          <cell r="B2885" t="str">
            <v>GRIFA BOMBEROS EL PAR RER</v>
          </cell>
          <cell r="C2885"/>
          <cell r="D2885"/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  <cell r="C2887"/>
          <cell r="D2887"/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  <cell r="D2889"/>
        </row>
        <row r="2890">
          <cell r="A2890" t="str">
            <v>850502201</v>
          </cell>
          <cell r="B2890" t="str">
            <v>PECT. BORD. ORO SANTA CRUZ CRIO. INSP.</v>
          </cell>
          <cell r="C2890"/>
          <cell r="D2890"/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  <cell r="C2892"/>
          <cell r="D2892"/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  <cell r="C2894"/>
          <cell r="D2894"/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  <cell r="C2897"/>
          <cell r="D2897"/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  <cell r="D2899"/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  <cell r="D2900"/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  <cell r="D2901"/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  <cell r="D2902"/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  <cell r="D2903"/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  <cell r="D2904"/>
        </row>
        <row r="2905">
          <cell r="A2905" t="str">
            <v>8505040</v>
          </cell>
          <cell r="B2905" t="str">
            <v>PECT. BI PENIT SANTA CRUZ SUB ADJUTOR</v>
          </cell>
          <cell r="C2905"/>
          <cell r="D2905"/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  <cell r="D2915"/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  <cell r="D2916"/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  <cell r="D2917"/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  <cell r="D2918"/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  <cell r="D2919"/>
        </row>
        <row r="2920">
          <cell r="A2920" t="str">
            <v>8505063</v>
          </cell>
          <cell r="B2920" t="str">
            <v>PECT. BORD. AMERICA SEGURIDAD BI</v>
          </cell>
          <cell r="C2920"/>
          <cell r="D2920"/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  <cell r="C2925"/>
          <cell r="D2925"/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  <cell r="D2929"/>
        </row>
        <row r="2930">
          <cell r="A2930" t="str">
            <v>8505076</v>
          </cell>
          <cell r="B2930" t="str">
            <v>NOMBRE BORD + RANGO PCIA DE SANTA FE RER</v>
          </cell>
          <cell r="C2930"/>
          <cell r="D2930"/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  <cell r="D2932"/>
        </row>
        <row r="2933">
          <cell r="A2933" t="str">
            <v>8505109</v>
          </cell>
          <cell r="B2933" t="str">
            <v>PECT BORD RUEDA ALADA VIAL BAJA VISI BI</v>
          </cell>
          <cell r="C2933"/>
          <cell r="D2933"/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  <cell r="C2936"/>
          <cell r="D2936"/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  <cell r="D2938"/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  <cell r="D2939"/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  <cell r="D2940"/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  <cell r="D2941"/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  <cell r="D2942"/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  <cell r="D2943"/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  <cell r="D2944"/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  <cell r="D2945"/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  <cell r="D2946"/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  <cell r="D2947"/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  <cell r="D2948"/>
        </row>
        <row r="2949">
          <cell r="A2949" t="str">
            <v>8505132</v>
          </cell>
          <cell r="B2949" t="str">
            <v>PECT. ALAS CHOF+MECA+MOTOR TRIPLE</v>
          </cell>
          <cell r="C2949"/>
          <cell r="D2949"/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  <cell r="D2951"/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  <cell r="D2952"/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  <cell r="D2953"/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  <cell r="D2954"/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  <cell r="D2955"/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  <cell r="D2956"/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  <cell r="D2957"/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  <cell r="D2958"/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  <cell r="D2959"/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  <cell r="D2960"/>
        </row>
        <row r="2961">
          <cell r="A2961" t="str">
            <v>8505150</v>
          </cell>
          <cell r="B2961" t="str">
            <v>NO USAR PECT. BORD AUXILIAR SEGUND B.VIS</v>
          </cell>
          <cell r="C2961"/>
          <cell r="D2961"/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  <cell r="D2963"/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  <cell r="D2964"/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  <cell r="D2965"/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  <cell r="D2966"/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  <cell r="D2967"/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  <cell r="D2968"/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  <cell r="D2969"/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  <cell r="D2970"/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  <cell r="D2971"/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  <cell r="D2972"/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  <cell r="D2973"/>
        </row>
        <row r="2974">
          <cell r="A2974" t="str">
            <v>8505164</v>
          </cell>
          <cell r="B2974" t="str">
            <v>PECT BI AUXILIAR PRIMERO BEIGE BI</v>
          </cell>
          <cell r="C2974"/>
          <cell r="D2974"/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  <cell r="D2978"/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  <cell r="D2979"/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  <cell r="D2980"/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  <cell r="D2981"/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  <cell r="D2982"/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  <cell r="D2983"/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  <cell r="D2984"/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  <cell r="D2985"/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  <cell r="D2986"/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  <cell r="D2987"/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  <cell r="D2988"/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  <cell r="D2989"/>
        </row>
        <row r="2990">
          <cell r="A2990" t="str">
            <v>8505200</v>
          </cell>
          <cell r="B2990" t="str">
            <v>BASE CHALECO CHICA</v>
          </cell>
          <cell r="C2990"/>
          <cell r="D2990"/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  <cell r="D2992"/>
        </row>
        <row r="2993">
          <cell r="A2993" t="str">
            <v>8505203</v>
          </cell>
          <cell r="B2993" t="str">
            <v>PECT 1 SOL STA CRUZ RER</v>
          </cell>
          <cell r="C2993"/>
          <cell r="D2993"/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  <cell r="D2996"/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  <cell r="D2997"/>
        </row>
        <row r="2998">
          <cell r="A2998" t="str">
            <v>8505208</v>
          </cell>
          <cell r="B2998" t="str">
            <v>PECT 2 SOL ADJUTOR MENDOZA BAJA VIS BI</v>
          </cell>
          <cell r="C2998"/>
          <cell r="D2998"/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  <cell r="D3000"/>
        </row>
        <row r="3001">
          <cell r="A3001" t="str">
            <v>8505211</v>
          </cell>
          <cell r="B3001" t="str">
            <v>PECT 1 SOL SUB ADJUTOR MENDOZA B VIS BI</v>
          </cell>
          <cell r="C3001"/>
          <cell r="D3001"/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  <cell r="C3003"/>
          <cell r="D3003"/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  <cell r="D3007"/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  <cell r="D3008"/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  <cell r="D3009"/>
        </row>
        <row r="3010">
          <cell r="A3010" t="str">
            <v>8505225</v>
          </cell>
          <cell r="B3010" t="str">
            <v>PECT 1 ROMBO BASE FR PALMA BL C INSP BI</v>
          </cell>
          <cell r="C3010"/>
          <cell r="D3010"/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  <cell r="D3012"/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  <cell r="D3013"/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  <cell r="D3014"/>
        </row>
        <row r="3015">
          <cell r="A3015" t="str">
            <v>8505263</v>
          </cell>
          <cell r="B3015" t="str">
            <v>PECT. BORD VOLUNTARIO 1RA EJERCITO BI</v>
          </cell>
          <cell r="C3015"/>
          <cell r="D3015"/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  <cell r="B3017"/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  <cell r="C3021"/>
          <cell r="D3021"/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  <cell r="C3024"/>
          <cell r="D3024"/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  <cell r="D3026"/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  <cell r="D3027"/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  <cell r="D3028"/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  <cell r="D3029"/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  <cell r="D3030"/>
        </row>
        <row r="3031">
          <cell r="A3031" t="str">
            <v>8505405</v>
          </cell>
          <cell r="B3031" t="str">
            <v>PECT. BI CRIO GENERAL</v>
          </cell>
          <cell r="C3031"/>
          <cell r="D3031"/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  <cell r="D3033"/>
        </row>
        <row r="3034">
          <cell r="A3034" t="str">
            <v>8505600</v>
          </cell>
          <cell r="B3034" t="str">
            <v>PECT BORD MZA UMAR</v>
          </cell>
          <cell r="C3034"/>
          <cell r="D3034"/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  <cell r="D3036"/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  <cell r="D3037"/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  <cell r="D3038"/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  <cell r="D3039"/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  <cell r="D3040"/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  <cell r="D3041"/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  <cell r="D3042"/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  <cell r="D3043"/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  <cell r="D3044"/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  <cell r="D3045"/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  <cell r="D3046"/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  <cell r="D3047"/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  <cell r="D3048"/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  <cell r="D3049"/>
        </row>
        <row r="3050">
          <cell r="A3050" t="str">
            <v>8505702</v>
          </cell>
          <cell r="B3050" t="str">
            <v>INSIG BI CABO PRIMERO BI  AZUL/AMARILLO</v>
          </cell>
          <cell r="C3050"/>
          <cell r="D3050"/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  <cell r="D3052"/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  <cell r="D3053"/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  <cell r="D3054"/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  <cell r="D3055"/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  <cell r="D3056"/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  <cell r="D3057"/>
        </row>
        <row r="3058">
          <cell r="A3058" t="str">
            <v>8505710</v>
          </cell>
          <cell r="B3058" t="str">
            <v>INSIG BI SARGENTO BEIGE BI</v>
          </cell>
          <cell r="C3058"/>
          <cell r="D3058"/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  <cell r="C3061"/>
          <cell r="D3061"/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  <cell r="D3065"/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  <cell r="D3066"/>
        </row>
        <row r="3067">
          <cell r="A3067" t="str">
            <v>8505809</v>
          </cell>
          <cell r="B3067" t="str">
            <v>PECT BORD SANTA FE CDO RADIO ELECTR RER</v>
          </cell>
          <cell r="C3067"/>
          <cell r="D3067"/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  <cell r="D3070"/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  <cell r="D3071"/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  <cell r="D3072"/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  <cell r="D3073"/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  <cell r="D3074"/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  <cell r="D3075"/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  <cell r="D3076"/>
        </row>
        <row r="3077">
          <cell r="A3077" t="str">
            <v>8505838</v>
          </cell>
          <cell r="B3077" t="str">
            <v>PECT. BORD. CATACPOL TIRO TACTICO BI</v>
          </cell>
          <cell r="C3077"/>
          <cell r="D3077"/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  <cell r="C3079"/>
          <cell r="D3079"/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  <cell r="C3083"/>
          <cell r="D3083"/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  <cell r="C3086"/>
          <cell r="D3086"/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  <cell r="D3088"/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  <cell r="D3089"/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  <cell r="D3090"/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  <cell r="D3091"/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  <cell r="D3092"/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  <cell r="D3093"/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  <cell r="D3094"/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  <cell r="D3095"/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  <cell r="D3096"/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  <cell r="D3097"/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  <cell r="D3098"/>
        </row>
        <row r="3099">
          <cell r="A3099" t="str">
            <v>8513224</v>
          </cell>
          <cell r="B3099" t="str">
            <v>KIT DE LIMPIEZA KRICO  - BARALDO - RER</v>
          </cell>
          <cell r="C3099"/>
          <cell r="D3099"/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  <cell r="C3102"/>
          <cell r="D3102"/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  <cell r="D3104"/>
        </row>
        <row r="3105">
          <cell r="A3105" t="str">
            <v>8515001</v>
          </cell>
          <cell r="B3105" t="str">
            <v>CORBATA COLEGIAL ESCOSESA RER</v>
          </cell>
          <cell r="C3105"/>
          <cell r="D3105"/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  <cell r="D3109"/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  <cell r="D3110"/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  <cell r="D3111"/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  <cell r="D3112"/>
        </row>
        <row r="3113">
          <cell r="A3113" t="str">
            <v>8515749</v>
          </cell>
          <cell r="B3113" t="str">
            <v>CORBATA UNIFORME MARRON JLC</v>
          </cell>
          <cell r="C3113"/>
          <cell r="D3113"/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  <cell r="D3115"/>
        </row>
        <row r="3116">
          <cell r="A3116" t="str">
            <v>8515770</v>
          </cell>
          <cell r="B3116" t="str">
            <v>CORBATA STAR</v>
          </cell>
          <cell r="C3116"/>
          <cell r="D3116"/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  <cell r="D3118"/>
        </row>
        <row r="3119">
          <cell r="A3119" t="str">
            <v>8517001</v>
          </cell>
          <cell r="B3119" t="str">
            <v>GUANTES TERMICOS VERDE RER</v>
          </cell>
          <cell r="C3119"/>
          <cell r="D3119"/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  <cell r="C3121"/>
          <cell r="D3121"/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  <cell r="D3123"/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  <cell r="D3124"/>
        </row>
        <row r="3125">
          <cell r="A3125" t="str">
            <v>851710307</v>
          </cell>
          <cell r="B3125" t="str">
            <v>GUANTES CABRETILLA 07</v>
          </cell>
          <cell r="C3125"/>
          <cell r="D3125"/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  <cell r="D3134"/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  <cell r="D3135"/>
        </row>
        <row r="3136">
          <cell r="A3136" t="str">
            <v>8517408</v>
          </cell>
          <cell r="B3136" t="str">
            <v>GUANTES CAMUFLADOS RER</v>
          </cell>
          <cell r="C3136"/>
          <cell r="D3136"/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  <cell r="D3138"/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  <cell r="D3139"/>
        </row>
        <row r="3140">
          <cell r="A3140" t="str">
            <v>8517903</v>
          </cell>
          <cell r="B3140" t="str">
            <v>GUANTES TACTICO MITON BEIGE XL</v>
          </cell>
          <cell r="C3140"/>
          <cell r="D3140"/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  <cell r="D3142"/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  <cell r="D3143"/>
        </row>
        <row r="3144">
          <cell r="A3144" t="str">
            <v>8517907</v>
          </cell>
          <cell r="B3144" t="str">
            <v>GUANTE TACTICO NEGRO C/DEDO Y PROT RER</v>
          </cell>
          <cell r="C3144"/>
          <cell r="D3144"/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  <cell r="C3147"/>
          <cell r="D3147"/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  <cell r="D3149"/>
        </row>
        <row r="3150">
          <cell r="A3150" t="str">
            <v>8518015</v>
          </cell>
          <cell r="B3150" t="str">
            <v>MASCARA NEOPRENE BARBIJO RER</v>
          </cell>
          <cell r="C3150"/>
          <cell r="D3150"/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  <cell r="D3156"/>
        </row>
        <row r="3157">
          <cell r="A3157" t="str">
            <v>8518753</v>
          </cell>
          <cell r="B3157" t="str">
            <v>CONJ MASCARA NEOPRENE Y GAFAS RER</v>
          </cell>
          <cell r="C3157"/>
          <cell r="D3157"/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  <cell r="C3159"/>
          <cell r="D3159"/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  <cell r="D3163"/>
        </row>
        <row r="3164">
          <cell r="A3164" t="str">
            <v>8519043</v>
          </cell>
          <cell r="B3164" t="str">
            <v>AEROSOL GAS A.P.G THE GUARD 450GR</v>
          </cell>
          <cell r="C3164"/>
          <cell r="D3164"/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  <cell r="D3166"/>
        </row>
        <row r="3167">
          <cell r="A3167" t="str">
            <v>851949714</v>
          </cell>
          <cell r="B3167" t="str">
            <v>AEROSOL GAS SABRE 150497-14GRS</v>
          </cell>
          <cell r="C3167"/>
          <cell r="D3167"/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  <cell r="C3171"/>
          <cell r="D3171"/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  <cell r="C3174"/>
          <cell r="D3174"/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  <cell r="C3176"/>
          <cell r="D3176"/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  <cell r="D3178"/>
        </row>
        <row r="3179">
          <cell r="A3179" t="str">
            <v>8520006</v>
          </cell>
          <cell r="B3179" t="str">
            <v>KIT SOS SUPERV TARJ MULT+PINZA+SILBATO</v>
          </cell>
          <cell r="C3179"/>
          <cell r="D3179"/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  <cell r="C3181"/>
          <cell r="D3181"/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  <cell r="D3183"/>
        </row>
        <row r="3184">
          <cell r="A3184" t="str">
            <v>8520011</v>
          </cell>
          <cell r="B3184" t="str">
            <v>CAMPING FAROL WOLL 011 RER</v>
          </cell>
          <cell r="C3184"/>
          <cell r="D3184"/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  <cell r="D3188"/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  <cell r="D3189"/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  <cell r="D3190"/>
        </row>
        <row r="3191">
          <cell r="A3191" t="str">
            <v>8520018</v>
          </cell>
          <cell r="B3191" t="str">
            <v>LINTERNA TORCH 4060-4061</v>
          </cell>
          <cell r="C3191"/>
          <cell r="D3191"/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  <cell r="D3199"/>
        </row>
        <row r="3200">
          <cell r="A3200" t="str">
            <v>8520027</v>
          </cell>
          <cell r="B3200" t="str">
            <v>LNTERNA TORCH 4067-4069</v>
          </cell>
          <cell r="C3200"/>
          <cell r="D3200"/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  <cell r="C3204"/>
          <cell r="D3204"/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  <cell r="C3208"/>
          <cell r="D3208"/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  <cell r="C3212"/>
          <cell r="D3212"/>
        </row>
        <row r="3213">
          <cell r="A3213" t="str">
            <v>8520042BINOC</v>
          </cell>
          <cell r="B3213"/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  <cell r="C3215"/>
          <cell r="D3215"/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  <cell r="D3217"/>
        </row>
        <row r="3218">
          <cell r="A3218" t="str">
            <v>8520059</v>
          </cell>
          <cell r="B3218" t="str">
            <v>LINTERNA USB 3/4HS CZOOM 11X2,5CM 3FUNC</v>
          </cell>
          <cell r="C3218"/>
          <cell r="D3218"/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  <cell r="D3220"/>
        </row>
        <row r="3221">
          <cell r="A3221" t="str">
            <v>8520065</v>
          </cell>
          <cell r="B3221" t="str">
            <v>LINTERNA ESTENSIBLE FELXIBLE RER</v>
          </cell>
          <cell r="C3221"/>
          <cell r="D3221"/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  <cell r="C3224"/>
          <cell r="D3224"/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  <cell r="D3227"/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  <cell r="D3228"/>
        </row>
        <row r="3229">
          <cell r="A3229" t="str">
            <v>8520103</v>
          </cell>
          <cell r="B3229" t="str">
            <v>NAVAJA CORTAPLUMA 17 FUNCIONES 4209-4211</v>
          </cell>
          <cell r="C3229"/>
          <cell r="D3229"/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  <cell r="C3234"/>
          <cell r="D3234"/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  <cell r="D3236"/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  <cell r="D3237"/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  <cell r="D3238"/>
        </row>
        <row r="3239">
          <cell r="A3239" t="str">
            <v>8520119</v>
          </cell>
          <cell r="B3239" t="str">
            <v>LINTERNA MULTIFUNCION DAMA</v>
          </cell>
          <cell r="C3239"/>
          <cell r="D3239"/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  <cell r="D3245"/>
        </row>
        <row r="3246">
          <cell r="A3246" t="str">
            <v>8520126</v>
          </cell>
          <cell r="B3246" t="str">
            <v>PEDERNAL GRANDE RER</v>
          </cell>
          <cell r="C3246"/>
          <cell r="D3246"/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  <cell r="C3250"/>
          <cell r="D3250"/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  <cell r="D3255"/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  <cell r="D3256"/>
        </row>
        <row r="3257">
          <cell r="A3257" t="str">
            <v>8520175</v>
          </cell>
          <cell r="B3257" t="str">
            <v>LINTERNA RECARGABLE CAJA VERDE RER</v>
          </cell>
          <cell r="C3257"/>
          <cell r="D3257"/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  <cell r="D3260"/>
        </row>
        <row r="3261">
          <cell r="A3261" t="str">
            <v>8520222</v>
          </cell>
          <cell r="B3261" t="str">
            <v>GANCHO MOSQUETON MULTIFUNCION LUG</v>
          </cell>
          <cell r="C3261"/>
          <cell r="D3261"/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  <cell r="C3263"/>
          <cell r="D3263"/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  <cell r="C3265"/>
          <cell r="D3265"/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  <cell r="D3267"/>
        </row>
        <row r="3268">
          <cell r="A3268" t="str">
            <v>8520305</v>
          </cell>
          <cell r="B3268" t="str">
            <v>CAMPING CADENA CERRUCHO P CORTAR</v>
          </cell>
          <cell r="C3268"/>
          <cell r="D3268"/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  <cell r="D3270"/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  <cell r="D3271"/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  <cell r="D3272"/>
        </row>
        <row r="3273">
          <cell r="A3273" t="str">
            <v>8520419</v>
          </cell>
          <cell r="B3273" t="str">
            <v>SOGA PARA REMOLQUE LUG</v>
          </cell>
          <cell r="C3273"/>
          <cell r="D3273"/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  <cell r="D3275"/>
        </row>
        <row r="3276">
          <cell r="A3276" t="str">
            <v>8520507</v>
          </cell>
          <cell r="B3276" t="str">
            <v>GANCHO MOSQUETON ROSCA LUG</v>
          </cell>
          <cell r="C3276"/>
          <cell r="D3276"/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  <cell r="C3281"/>
          <cell r="D3281"/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  <cell r="D3283"/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  <cell r="D3284"/>
        </row>
        <row r="3285">
          <cell r="A3285" t="str">
            <v>8520556</v>
          </cell>
          <cell r="B3285" t="str">
            <v>LINTERNA RECARGABLE CON BRUJULA RER</v>
          </cell>
          <cell r="C3285"/>
          <cell r="D3285"/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  <cell r="D3287"/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  <cell r="D3288"/>
        </row>
        <row r="3289">
          <cell r="A3289" t="str">
            <v>8520625</v>
          </cell>
          <cell r="B3289" t="str">
            <v>LINTERNA NHL 8625 RER</v>
          </cell>
          <cell r="C3289"/>
          <cell r="D3289"/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  <cell r="D3291"/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  <cell r="D3292"/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  <cell r="D3293"/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  <cell r="D3294"/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  <cell r="D3295"/>
        </row>
        <row r="3296">
          <cell r="A3296" t="str">
            <v>8520728</v>
          </cell>
          <cell r="B3296" t="str">
            <v>LINTERNA C/ZOOM S/ACC (8520729)</v>
          </cell>
          <cell r="C3296"/>
          <cell r="D3296"/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  <cell r="D3298"/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  <cell r="D3299"/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  <cell r="D3300"/>
        </row>
        <row r="3301">
          <cell r="A3301" t="str">
            <v>8520746</v>
          </cell>
          <cell r="B3301" t="str">
            <v>LINTERNA POLICE 7745 S/ACC (8520745)</v>
          </cell>
          <cell r="C3301"/>
          <cell r="D3301"/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  <cell r="C3303"/>
          <cell r="D3303"/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  <cell r="D3307"/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  <cell r="D3308"/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  <cell r="D3309"/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  <cell r="D3310"/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  <cell r="D3311"/>
        </row>
        <row r="3312">
          <cell r="A3312" t="str">
            <v>8520821</v>
          </cell>
          <cell r="B3312" t="str">
            <v>NAVAJA 28  CM M MADERA C ESTUCHE LUG</v>
          </cell>
          <cell r="C3312"/>
          <cell r="D3312"/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  <cell r="D3314"/>
        </row>
        <row r="3315">
          <cell r="A3315" t="str">
            <v>8520925</v>
          </cell>
          <cell r="B3315" t="str">
            <v>NAVAJA CUCHILLO CONVERTIB EN TARJETA LUG</v>
          </cell>
          <cell r="C3315"/>
          <cell r="D3315"/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  <cell r="D3317"/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  <cell r="D3318"/>
        </row>
        <row r="3319">
          <cell r="A3319" t="str">
            <v>8520942</v>
          </cell>
          <cell r="B3319" t="str">
            <v>LINTERNA 19421-7776 800 LUMENS S/CAJA  (</v>
          </cell>
          <cell r="C3319"/>
          <cell r="D3319"/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  <cell r="D3322"/>
        </row>
        <row r="3323">
          <cell r="A3323" t="str">
            <v>8520948</v>
          </cell>
          <cell r="B3323" t="str">
            <v>LINTERNA 1946+CABLE CON ZOOM 14X3</v>
          </cell>
          <cell r="C3323"/>
          <cell r="D3323"/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  <cell r="C3326"/>
          <cell r="D3326"/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  <cell r="C3328"/>
          <cell r="D3328"/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  <cell r="D3330"/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  <cell r="D3331"/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  <cell r="D3332"/>
        </row>
        <row r="3333">
          <cell r="A3333" t="str">
            <v>8521021</v>
          </cell>
          <cell r="B3333" t="str">
            <v>CUCHILLO M.NIETO 3001 11CM</v>
          </cell>
          <cell r="C3333"/>
          <cell r="D3333"/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  <cell r="C3335"/>
          <cell r="D3335"/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  <cell r="D3341"/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  <cell r="D3342"/>
        </row>
        <row r="3343">
          <cell r="A3343" t="str">
            <v>8521042</v>
          </cell>
          <cell r="B3343" t="str">
            <v>CUCHILLO 5082</v>
          </cell>
          <cell r="C3343"/>
          <cell r="D3343"/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  <cell r="C3348"/>
          <cell r="D3348"/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  <cell r="C3352"/>
          <cell r="D3352"/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  <cell r="C3354"/>
          <cell r="D3354"/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  <cell r="D3356"/>
        </row>
        <row r="3357">
          <cell r="A3357" t="str">
            <v>8521129</v>
          </cell>
          <cell r="B3357" t="str">
            <v>BOLIGRAFO CON CUCHILLO</v>
          </cell>
          <cell r="C3357"/>
          <cell r="D3357"/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  <cell r="D3361"/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  <cell r="D3362"/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  <cell r="D3363"/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  <cell r="D3364"/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  <cell r="D3365"/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  <cell r="D3366"/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  <cell r="D3367"/>
        </row>
        <row r="3368">
          <cell r="A3368" t="str">
            <v>8521374</v>
          </cell>
          <cell r="B3368" t="str">
            <v>PINZA MULTIFUNCION ACU 37D LUG</v>
          </cell>
          <cell r="C3368"/>
          <cell r="D3368"/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  <cell r="C3370"/>
          <cell r="D3370"/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  <cell r="C3372"/>
          <cell r="D3372"/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  <cell r="C3374"/>
          <cell r="D3374"/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  <cell r="C3377"/>
          <cell r="D3377"/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  <cell r="C3379"/>
          <cell r="D3379"/>
        </row>
        <row r="3380">
          <cell r="A3380" t="str">
            <v>8521593CUCHI</v>
          </cell>
          <cell r="B3380"/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  <cell r="D3386"/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  <cell r="D3387"/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  <cell r="D3388"/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  <cell r="D3389"/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  <cell r="D3390"/>
        </row>
        <row r="3391">
          <cell r="A3391" t="str">
            <v>8523072</v>
          </cell>
          <cell r="B3391" t="str">
            <v>CORTAPLUMAS 20 FNC CAMUFLADO C/NEGRO LUG</v>
          </cell>
          <cell r="C3391"/>
          <cell r="D3391"/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  <cell r="D3394"/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  <cell r="D3395"/>
        </row>
        <row r="3396">
          <cell r="A3396" t="str">
            <v>8549042</v>
          </cell>
          <cell r="B3396" t="str">
            <v>AEROSOL POLICE 110 GRS RER</v>
          </cell>
          <cell r="C3396"/>
          <cell r="D3396"/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  <cell r="D3399"/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  <cell r="D3400"/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  <cell r="D3401"/>
        </row>
        <row r="3402">
          <cell r="A3402" t="str">
            <v>8612009</v>
          </cell>
          <cell r="B3402" t="str">
            <v>CAMPING</v>
          </cell>
          <cell r="C3402"/>
          <cell r="D3402"/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  <cell r="D3404"/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  <cell r="D3405"/>
        </row>
        <row r="3406">
          <cell r="A3406" t="str">
            <v>8612054</v>
          </cell>
          <cell r="B3406" t="str">
            <v>CARPA EASYCAMP 2 PERSONAS RDT052 MIC</v>
          </cell>
          <cell r="C3406"/>
          <cell r="D3406"/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  <cell r="D3408"/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  <cell r="D3409"/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  <cell r="D3410"/>
        </row>
        <row r="3411">
          <cell r="A3411" t="str">
            <v>8612059</v>
          </cell>
          <cell r="B3411" t="str">
            <v>CARPA 4794-4795</v>
          </cell>
          <cell r="C3411"/>
          <cell r="D3411"/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  <cell r="D3413"/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  <cell r="D3414"/>
        </row>
        <row r="3415">
          <cell r="A3415" t="str">
            <v>8612102</v>
          </cell>
          <cell r="B3415" t="str">
            <v>CONSERVADORA 5LTS LUNCHERA 1010</v>
          </cell>
          <cell r="C3415"/>
          <cell r="D3415"/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  <cell r="D3417"/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  <cell r="D3418"/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  <cell r="D3419"/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  <cell r="D3420"/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  <cell r="D3421"/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  <cell r="D3422"/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  <cell r="D3423"/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  <cell r="D3424"/>
        </row>
        <row r="3425">
          <cell r="A3425" t="str">
            <v>8612420</v>
          </cell>
          <cell r="B3425" t="str">
            <v>PALA CAMPING GRANDE</v>
          </cell>
          <cell r="C3425"/>
          <cell r="D3425"/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  <cell r="D3427"/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  <cell r="D3428"/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  <cell r="D3429"/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  <cell r="D3430"/>
        </row>
        <row r="3431">
          <cell r="A3431" t="str">
            <v>8612601</v>
          </cell>
          <cell r="B3431" t="str">
            <v>CARPA DE EMERGENCIA NYLON ALUMINIO RER</v>
          </cell>
          <cell r="C3431"/>
          <cell r="D3431"/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  <cell r="D3434"/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  <cell r="D3435"/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  <cell r="D3436"/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  <cell r="D3437"/>
        </row>
        <row r="3438">
          <cell r="A3438" t="str">
            <v>8660019</v>
          </cell>
          <cell r="B3438" t="str">
            <v>LINTERNA FAROL RER</v>
          </cell>
          <cell r="C3438"/>
          <cell r="D3438"/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  <cell r="D3440"/>
        </row>
        <row r="3441">
          <cell r="A3441" t="str">
            <v>8686004</v>
          </cell>
          <cell r="B3441" t="str">
            <v>BRUJULA 4239-4240</v>
          </cell>
          <cell r="C3441"/>
          <cell r="D3441"/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  <cell r="D3443"/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  <cell r="D3444"/>
        </row>
        <row r="3445">
          <cell r="A3445" t="str">
            <v>8691016</v>
          </cell>
          <cell r="B3445" t="str">
            <v>GORRO PESCA</v>
          </cell>
          <cell r="C3445"/>
          <cell r="D3445"/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  <cell r="D3448"/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  <cell r="D3449"/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  <cell r="D3450"/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  <cell r="D3451"/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  <cell r="D3452"/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  <cell r="D3453"/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  <cell r="D3454"/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  <cell r="D3455"/>
        </row>
        <row r="3456">
          <cell r="A3456" t="str">
            <v>8692501</v>
          </cell>
          <cell r="B3456" t="str">
            <v>CARPA 3 PERSONAS AUTOMATICA RER</v>
          </cell>
          <cell r="C3456"/>
          <cell r="D3456"/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  <cell r="D3470"/>
        </row>
        <row r="3471">
          <cell r="A3471" t="str">
            <v>8701002</v>
          </cell>
          <cell r="B3471" t="str">
            <v>CINTURON POLIA NATO NE S-OJALES T668 TB</v>
          </cell>
          <cell r="C3471"/>
          <cell r="D3471"/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  <cell r="D3474"/>
        </row>
        <row r="3475">
          <cell r="A3475" t="str">
            <v>8701015</v>
          </cell>
          <cell r="B3475" t="str">
            <v>CINTO TACTICO MOLLE CORTE LASER BO15L</v>
          </cell>
          <cell r="C3475"/>
          <cell r="D3475"/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  <cell r="D3477"/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  <cell r="D3478"/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  <cell r="D3479"/>
        </row>
        <row r="3480">
          <cell r="A3480" t="str">
            <v>8701060</v>
          </cell>
          <cell r="B3480" t="str">
            <v>CINTURON FEDERAL REGLAMENT 1010 TB RER</v>
          </cell>
          <cell r="C3480"/>
          <cell r="D3480"/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  <cell r="D3482"/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  <cell r="D3483"/>
        </row>
        <row r="3484">
          <cell r="A3484" t="str">
            <v>8701100</v>
          </cell>
          <cell r="B3484" t="str">
            <v>RI¥ONERAS RER</v>
          </cell>
          <cell r="C3484"/>
          <cell r="D3484"/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  <cell r="C3486"/>
          <cell r="D3486"/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  <cell r="D3488"/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  <cell r="D3489"/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  <cell r="D3490"/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  <cell r="D3491"/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  <cell r="D3492"/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  <cell r="D3493"/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  <cell r="D3494"/>
        </row>
        <row r="3495">
          <cell r="A3495" t="str">
            <v>8701326</v>
          </cell>
          <cell r="B3495" t="str">
            <v>CINTURON POLIA GRIS T663 TB RER</v>
          </cell>
          <cell r="C3495"/>
          <cell r="D3495"/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  <cell r="C3497"/>
          <cell r="D3497"/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  <cell r="D3499"/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  <cell r="D3500"/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  <cell r="D3501"/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  <cell r="D3502"/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  <cell r="D3503"/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  <cell r="D3504"/>
        </row>
        <row r="3505">
          <cell r="A3505" t="str">
            <v>8701550</v>
          </cell>
          <cell r="B3505" t="str">
            <v>CINTURON POLIA VERDE GN NO USAR</v>
          </cell>
          <cell r="C3505"/>
          <cell r="D3505"/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  <cell r="D3508"/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  <cell r="D3509"/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  <cell r="D3510"/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  <cell r="D3511"/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  <cell r="D3512"/>
        </row>
        <row r="3513">
          <cell r="A3513" t="str">
            <v>8701656</v>
          </cell>
          <cell r="B3513" t="str">
            <v>CINTURON MERACCION T656 TB</v>
          </cell>
          <cell r="C3513"/>
          <cell r="D3513"/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  <cell r="C3515"/>
          <cell r="D3515"/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  <cell r="C3517"/>
          <cell r="D3517"/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  <cell r="D3519"/>
        </row>
        <row r="3520">
          <cell r="A3520" t="str">
            <v>8701745</v>
          </cell>
          <cell r="B3520" t="str">
            <v>CINTURON DE CUERO BLANCO LICEO ES BM</v>
          </cell>
          <cell r="C3520"/>
          <cell r="D3520"/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  <cell r="D3522"/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  <cell r="D3523"/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  <cell r="D3524"/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  <cell r="D3525"/>
        </row>
        <row r="3526">
          <cell r="A3526" t="str">
            <v>8702073</v>
          </cell>
          <cell r="B3526" t="str">
            <v>CANANA RRD70</v>
          </cell>
          <cell r="C3526"/>
          <cell r="D3526"/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  <cell r="D3529"/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  <cell r="D3530"/>
        </row>
        <row r="3531">
          <cell r="A3531" t="str">
            <v>8702668</v>
          </cell>
          <cell r="B3531" t="str">
            <v>PORTA CARTUCHOS NEGRO</v>
          </cell>
          <cell r="C3531"/>
          <cell r="D3531"/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  <cell r="C3534"/>
          <cell r="D3534"/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  <cell r="D3536"/>
        </row>
        <row r="3537">
          <cell r="A3537" t="str">
            <v>8703011</v>
          </cell>
          <cell r="B3537" t="str">
            <v>PIST C/ MIRA MOLLE MOL-011 KAE</v>
          </cell>
          <cell r="C3537"/>
          <cell r="D3537"/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  <cell r="D3539"/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  <cell r="D3540"/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  <cell r="D3541"/>
        </row>
        <row r="3542">
          <cell r="A3542" t="str">
            <v>8703021</v>
          </cell>
          <cell r="B3542" t="str">
            <v>PIST AVENGER CON CUERO CORTA TB</v>
          </cell>
          <cell r="C3542"/>
          <cell r="D3542"/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  <cell r="D3544"/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  <cell r="D3545"/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  <cell r="D3546"/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  <cell r="D3547"/>
        </row>
        <row r="3548">
          <cell r="A3548" t="str">
            <v>870303601</v>
          </cell>
          <cell r="B3548" t="str">
            <v>PIST CUERO PANQ CORTA TAURUS 10036 RER</v>
          </cell>
          <cell r="C3548"/>
          <cell r="D3548"/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  <cell r="D3551"/>
        </row>
        <row r="3552">
          <cell r="A3552" t="str">
            <v>870303800</v>
          </cell>
          <cell r="B3552" t="str">
            <v>PIST. CUERO UNIV 1038 TB RER</v>
          </cell>
          <cell r="C3552"/>
          <cell r="D3552"/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  <cell r="D3558"/>
        </row>
        <row r="3559">
          <cell r="A3559" t="str">
            <v>870304101</v>
          </cell>
          <cell r="B3559" t="str">
            <v>PIST CUERO SAQUE RAP TAURUS 1041 TB RER</v>
          </cell>
          <cell r="C3559"/>
          <cell r="D3559"/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  <cell r="D3562"/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  <cell r="D3563"/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  <cell r="D3564"/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  <cell r="D3565"/>
        </row>
        <row r="3566">
          <cell r="A3566" t="str">
            <v>8703052</v>
          </cell>
          <cell r="B3566" t="str">
            <v>PIST. UNIV AMBID LARGA CUE 1052 TB</v>
          </cell>
          <cell r="C3566"/>
          <cell r="D3566"/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  <cell r="C3568"/>
          <cell r="D3568"/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  <cell r="D3572"/>
        </row>
        <row r="3573">
          <cell r="A3573" t="str">
            <v>8703100</v>
          </cell>
          <cell r="B3573" t="str">
            <v>RI¥ONERA POLIA RER</v>
          </cell>
          <cell r="C3573"/>
          <cell r="D3573"/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  <cell r="D3575"/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  <cell r="D3576"/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  <cell r="D3577"/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  <cell r="D3578"/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  <cell r="D3579"/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  <cell r="D3580"/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  <cell r="D3581"/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  <cell r="D3582"/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  <cell r="D3583"/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  <cell r="D3584"/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  <cell r="D3585"/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  <cell r="D3586"/>
        </row>
        <row r="3587">
          <cell r="A3587" t="str">
            <v>8703114</v>
          </cell>
          <cell r="B3587" t="str">
            <v>MIRA LASER +LINTERNA+DISPARAD TACTIL RER</v>
          </cell>
          <cell r="C3587"/>
          <cell r="D3587"/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  <cell r="D3589"/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  <cell r="D3590"/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  <cell r="D3591"/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  <cell r="D3592"/>
        </row>
        <row r="3593">
          <cell r="A3593" t="str">
            <v>8703120</v>
          </cell>
          <cell r="B3593" t="str">
            <v>FUNDA FOBUS UNIVERSAL IWBM HOLSTERS MIN</v>
          </cell>
          <cell r="C3593"/>
          <cell r="D3593"/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  <cell r="D3596"/>
        </row>
        <row r="3597">
          <cell r="A3597" t="str">
            <v>8703135</v>
          </cell>
          <cell r="B3597" t="str">
            <v>PIST. CUERO AVENGER TANFOGLIO LARGA RER</v>
          </cell>
          <cell r="C3597"/>
          <cell r="D3597"/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  <cell r="D3601"/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  <cell r="D3602"/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  <cell r="D3603"/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  <cell r="D3604"/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  <cell r="D3605"/>
        </row>
        <row r="3606">
          <cell r="A3606" t="str">
            <v>8703158</v>
          </cell>
          <cell r="B3606" t="str">
            <v>FUNDA INFANTERIA</v>
          </cell>
          <cell r="C3606"/>
          <cell r="D3606"/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  <cell r="D3608"/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  <cell r="D3609"/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  <cell r="D3610"/>
        </row>
        <row r="3611">
          <cell r="A3611" t="str">
            <v>8703201</v>
          </cell>
          <cell r="B3611" t="str">
            <v>FUNDA PIST. UNIV XTL SM92001 RER</v>
          </cell>
          <cell r="C3611"/>
          <cell r="D3611"/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  <cell r="D3613"/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  <cell r="D3614"/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  <cell r="D3615"/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  <cell r="D3616"/>
        </row>
        <row r="3617">
          <cell r="A3617" t="str">
            <v>8703237</v>
          </cell>
          <cell r="B3617" t="str">
            <v>PIST. NIVEL 2 H.N237 BROWNING FUN</v>
          </cell>
          <cell r="C3617"/>
          <cell r="D3617"/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  <cell r="D3619"/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  <cell r="D3620"/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  <cell r="D3621"/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  <cell r="D3622"/>
        </row>
        <row r="3623">
          <cell r="A3623" t="str">
            <v>8703243</v>
          </cell>
          <cell r="B3623" t="str">
            <v>PISTOLERA NIVEL 2 POLIM. BERSA BP9CC / BP380CC BO7BP</v>
          </cell>
          <cell r="C3623"/>
          <cell r="D3623"/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  <cell r="D3625"/>
        </row>
        <row r="3626">
          <cell r="A3626" t="str">
            <v>8703246</v>
          </cell>
          <cell r="B3626" t="str">
            <v>PISTOLERA NIVEL 2 POLIM. BROWNING BO7BRW</v>
          </cell>
          <cell r="C3626"/>
          <cell r="D3626"/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  <cell r="C3628"/>
          <cell r="D3628"/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  <cell r="D3630"/>
        </row>
        <row r="3631">
          <cell r="A3631" t="str">
            <v>8703251</v>
          </cell>
          <cell r="B3631" t="str">
            <v>MUSLERA CON BAQUETA XTL 567</v>
          </cell>
          <cell r="C3631"/>
          <cell r="D3631"/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  <cell r="C3633"/>
          <cell r="D3633"/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  <cell r="C3635"/>
          <cell r="D3635"/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  <cell r="D3637"/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  <cell r="D3638"/>
        </row>
        <row r="3639">
          <cell r="A3639" t="str">
            <v>8703349</v>
          </cell>
          <cell r="B3639" t="str">
            <v>REPLICAS BLUE GUN RER</v>
          </cell>
          <cell r="C3639"/>
          <cell r="D3639"/>
        </row>
        <row r="3640">
          <cell r="A3640" t="str">
            <v>8703349REPLI</v>
          </cell>
          <cell r="B3640"/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  <cell r="D3642"/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  <cell r="D3643"/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  <cell r="D3644"/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  <cell r="D3645"/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  <cell r="D3646"/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  <cell r="D3647"/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  <cell r="D3648"/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  <cell r="D3649"/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  <cell r="D3650"/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  <cell r="D3651"/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  <cell r="D3652"/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  <cell r="D3653"/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  <cell r="D3654"/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  <cell r="D3655"/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  <cell r="D3656"/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  <cell r="D3657"/>
        </row>
        <row r="3658">
          <cell r="A3658" t="str">
            <v>8703510</v>
          </cell>
          <cell r="B3658" t="str">
            <v>PIST. MULTIM REGULABLE MOLLE M005 TB</v>
          </cell>
          <cell r="C3658"/>
          <cell r="D3658"/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  <cell r="D3660"/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  <cell r="D3661"/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  <cell r="D3662"/>
        </row>
        <row r="3663">
          <cell r="A3663" t="str">
            <v>8703552</v>
          </cell>
          <cell r="B3663" t="str">
            <v>MUSLERA C/BASE Y PORT CARG VERDE GN</v>
          </cell>
          <cell r="C3663"/>
          <cell r="D3663"/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  <cell r="D3666"/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  <cell r="D3667"/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  <cell r="D3668"/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  <cell r="D3669"/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  <cell r="D3670"/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  <cell r="D3671"/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  <cell r="D3672"/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  <cell r="D3673"/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  <cell r="D3674"/>
        </row>
        <row r="3675">
          <cell r="A3675" t="str">
            <v>8703611</v>
          </cell>
          <cell r="B3675" t="str">
            <v>PIST. GUERRILL UNIV P CHALECO  T611 TB</v>
          </cell>
          <cell r="C3675"/>
          <cell r="D3675"/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  <cell r="D3677"/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  <cell r="D3678"/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  <cell r="D3679"/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  <cell r="D3680"/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  <cell r="D3681"/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  <cell r="D3682"/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  <cell r="D3683"/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  <cell r="D3684"/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  <cell r="D3685"/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  <cell r="D3686"/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  <cell r="D3687"/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  <cell r="D3688"/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  <cell r="D3689"/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  <cell r="D3690"/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  <cell r="D3691"/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  <cell r="D3692"/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  <cell r="D3693"/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  <cell r="D3694"/>
        </row>
        <row r="3695">
          <cell r="A3695" t="str">
            <v>8703674</v>
          </cell>
          <cell r="B3695" t="str">
            <v>CASQ. RIP STOP NEGRO 4674-4677</v>
          </cell>
          <cell r="C3695"/>
          <cell r="D3695"/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  <cell r="C3698"/>
          <cell r="D3698"/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  <cell r="D3700"/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  <cell r="D3701"/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  <cell r="D3702"/>
        </row>
        <row r="3703">
          <cell r="A3703" t="str">
            <v>8703704</v>
          </cell>
          <cell r="B3703" t="str">
            <v>FUNDA DE POLIA 9MM.</v>
          </cell>
          <cell r="C3703"/>
          <cell r="D3703"/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  <cell r="D3705"/>
        </row>
        <row r="3706">
          <cell r="A3706" t="str">
            <v>8703707</v>
          </cell>
          <cell r="B3706" t="str">
            <v>FUNDA PORTA ELEMENTOS MULTIF ZHI ZHU RER</v>
          </cell>
          <cell r="C3706"/>
          <cell r="D3706"/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  <cell r="D3708"/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  <cell r="D3709"/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  <cell r="D3710"/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  <cell r="D3711"/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  <cell r="D3712"/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  <cell r="D3713"/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  <cell r="D3714"/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  <cell r="D3715"/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  <cell r="D3716"/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  <cell r="D3717"/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  <cell r="D3718"/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  <cell r="D3719"/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  <cell r="D3720"/>
        </row>
        <row r="3721">
          <cell r="A3721" t="str">
            <v>8703861</v>
          </cell>
          <cell r="B3721" t="str">
            <v>PIST. GUERRILLERA VERDE</v>
          </cell>
          <cell r="C3721"/>
          <cell r="D3721"/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  <cell r="D3723"/>
        </row>
        <row r="3724">
          <cell r="A3724" t="str">
            <v>8703902</v>
          </cell>
          <cell r="B3724" t="str">
            <v>PIST. POLIA GUERR. BERSA SAQUE MAZ</v>
          </cell>
          <cell r="C3724"/>
          <cell r="D3724"/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  <cell r="D3726"/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  <cell r="D3727"/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  <cell r="D3728"/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  <cell r="D3729"/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  <cell r="D3730"/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  <cell r="D3731"/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  <cell r="D3732"/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  <cell r="D3733"/>
        </row>
        <row r="3734">
          <cell r="A3734" t="str">
            <v>8703959</v>
          </cell>
          <cell r="B3734" t="str">
            <v>PIST. NIVEL 2 BERSA TPR9 ZURDA XTR</v>
          </cell>
          <cell r="C3734"/>
          <cell r="D3734"/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  <cell r="C3736"/>
          <cell r="D3736"/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  <cell r="D3738"/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  <cell r="D3739"/>
        </row>
        <row r="3740">
          <cell r="A3740" t="str">
            <v>8705002</v>
          </cell>
          <cell r="B3740" t="str">
            <v>PORTA CARG SIMP/LINT/PINZA MOLLE M002 TB</v>
          </cell>
          <cell r="C3740"/>
          <cell r="D3740"/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  <cell r="C3742"/>
          <cell r="D3742"/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  <cell r="C3747"/>
          <cell r="D3747"/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  <cell r="C3750"/>
          <cell r="D3750"/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  <cell r="D3752"/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  <cell r="D3753"/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  <cell r="D3754"/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  <cell r="D3755"/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  <cell r="D3756"/>
        </row>
        <row r="3757">
          <cell r="A3757" t="str">
            <v>8705022</v>
          </cell>
          <cell r="B3757" t="str">
            <v>PORTA CARGADOR DOBLE BLANCO TB</v>
          </cell>
          <cell r="C3757"/>
          <cell r="D3757"/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  <cell r="C3759"/>
          <cell r="D3759"/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  <cell r="D3761"/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  <cell r="D3762"/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  <cell r="D3763"/>
        </row>
        <row r="3764">
          <cell r="A3764" t="str">
            <v>8705075</v>
          </cell>
          <cell r="B3764" t="str">
            <v>PORTA CARGADOR DOBLE MOLLE M001 TB</v>
          </cell>
          <cell r="C3764"/>
          <cell r="D3764"/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  <cell r="D3766"/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  <cell r="D3767"/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  <cell r="D3768"/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  <cell r="D3769"/>
        </row>
        <row r="3770">
          <cell r="A3770" t="str">
            <v>8705116</v>
          </cell>
          <cell r="B3770" t="str">
            <v>PORTA CARGADOR SIMPLE UNIVERSAL POLIMERO BO4S</v>
          </cell>
          <cell r="C3770"/>
          <cell r="D3770"/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  <cell r="D3777"/>
        </row>
        <row r="3778">
          <cell r="A3778" t="str">
            <v>8705214</v>
          </cell>
          <cell r="B3778" t="str">
            <v>PORTA OBJETO CON ABROJO POR 214 RER</v>
          </cell>
          <cell r="C3778"/>
          <cell r="D3778"/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  <cell r="C3781"/>
          <cell r="D3781"/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  <cell r="C3784"/>
          <cell r="D3784"/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  <cell r="D3786"/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  <cell r="D3787"/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  <cell r="D3788"/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  <cell r="D3789"/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  <cell r="D3790"/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  <cell r="D3791"/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  <cell r="D3792"/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  <cell r="D3793"/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  <cell r="D3794"/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  <cell r="D3795"/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  <cell r="D3796"/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  <cell r="D3797"/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  <cell r="D3798"/>
        </row>
        <row r="3799">
          <cell r="A3799" t="str">
            <v>8705555</v>
          </cell>
          <cell r="B3799" t="str">
            <v>PORTA CARG POLIA XTL DOBLE ANAT 508 XTR</v>
          </cell>
          <cell r="C3799"/>
          <cell r="D3799"/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  <cell r="C3801"/>
          <cell r="D3801"/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  <cell r="D3803"/>
        </row>
        <row r="3804">
          <cell r="A3804" t="str">
            <v>8705651</v>
          </cell>
          <cell r="B3804" t="str">
            <v>PORTA TONFA POLIA METAL T651 TB</v>
          </cell>
          <cell r="C3804"/>
          <cell r="D3804"/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  <cell r="D3806"/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  <cell r="D3807"/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  <cell r="D3808"/>
        </row>
        <row r="3809">
          <cell r="A3809" t="str">
            <v>8705700</v>
          </cell>
          <cell r="B3809" t="str">
            <v>PORTA CARGADOR TRIPLE T557 TERMOFORMADO</v>
          </cell>
          <cell r="C3809"/>
          <cell r="D3809"/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  <cell r="D3811"/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  <cell r="D3812"/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  <cell r="D3813"/>
        </row>
        <row r="3814">
          <cell r="A3814" t="str">
            <v>8705905</v>
          </cell>
          <cell r="B3814" t="str">
            <v>PORTA CARG DOBLE C/ABRJO MOLLE MOL05 KAE</v>
          </cell>
          <cell r="C3814"/>
          <cell r="D3814"/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  <cell r="D3816"/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  <cell r="D3817"/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  <cell r="D3818"/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  <cell r="D3819"/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  <cell r="D3820"/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  <cell r="D3821"/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  <cell r="D3822"/>
        </row>
        <row r="3823">
          <cell r="A3823" t="str">
            <v>8707003</v>
          </cell>
          <cell r="B3823" t="str">
            <v>PORTA ESPOSA MOLLE MOL-03 KAE</v>
          </cell>
          <cell r="C3823"/>
          <cell r="D3823"/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  <cell r="D3826"/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  <cell r="D3827"/>
        </row>
        <row r="3828">
          <cell r="A3828" t="str">
            <v>8707025</v>
          </cell>
          <cell r="B3828" t="str">
            <v>PORTA ESPOSAS CUERO C/TAPA</v>
          </cell>
          <cell r="C3828"/>
          <cell r="D3828"/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  <cell r="C3830"/>
          <cell r="D3830"/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  <cell r="D3832"/>
        </row>
        <row r="3833">
          <cell r="A3833" t="str">
            <v>8707206</v>
          </cell>
          <cell r="B3833" t="str">
            <v>MOCHILA COMANDO DELTA XTL STM206</v>
          </cell>
          <cell r="C3833"/>
          <cell r="D3833"/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  <cell r="D3835"/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  <cell r="D3836"/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  <cell r="D3837"/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  <cell r="D3838"/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  <cell r="D3839"/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  <cell r="D3840"/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  <cell r="D3841"/>
        </row>
        <row r="3842">
          <cell r="A3842" t="str">
            <v>8707556</v>
          </cell>
          <cell r="B3842" t="str">
            <v>PORTA ESPOSAS ANATOMICO XTL 556</v>
          </cell>
          <cell r="C3842"/>
          <cell r="D3842"/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  <cell r="C3844"/>
          <cell r="D3844"/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  <cell r="D3847"/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  <cell r="D3848"/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  <cell r="D3849"/>
        </row>
        <row r="3850">
          <cell r="A3850" t="str">
            <v>8707965</v>
          </cell>
          <cell r="B3850" t="str">
            <v>PORTA CARG VERDE POLIA GUERRILLERO RER</v>
          </cell>
          <cell r="C3850"/>
          <cell r="D3850"/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  <cell r="D3852"/>
        </row>
        <row r="3853">
          <cell r="A3853" t="str">
            <v>8707981</v>
          </cell>
          <cell r="B3853" t="str">
            <v>PORTA ESPOSA USAR 8705-100 RER</v>
          </cell>
          <cell r="C3853"/>
          <cell r="D3853"/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  <cell r="C3856"/>
          <cell r="D3856"/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  <cell r="D3864"/>
        </row>
        <row r="3865">
          <cell r="A3865" t="str">
            <v>87080111</v>
          </cell>
          <cell r="B3865" t="str">
            <v>MOCHILA NEW LASER</v>
          </cell>
          <cell r="C3865"/>
          <cell r="D3865"/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  <cell r="D3867"/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  <cell r="D3868"/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  <cell r="D3869"/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  <cell r="D3870"/>
        </row>
        <row r="3871">
          <cell r="A3871" t="str">
            <v>8708025</v>
          </cell>
          <cell r="B3871" t="str">
            <v>ARNES/PRETAL CANINO MOLLE C/PORTABOTELLA</v>
          </cell>
          <cell r="C3871"/>
          <cell r="D3871"/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  <cell r="D3874"/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  <cell r="D3875"/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  <cell r="D3876"/>
        </row>
        <row r="3877">
          <cell r="A3877" t="str">
            <v>8708047</v>
          </cell>
          <cell r="B3877" t="str">
            <v>MUSLERA PORTA ELEMENTO GRIS ETCH 05</v>
          </cell>
          <cell r="C3877"/>
          <cell r="D3877"/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  <cell r="D3879"/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  <cell r="D3880"/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  <cell r="D3881"/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  <cell r="D3882"/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  <cell r="D3883"/>
        </row>
        <row r="3884">
          <cell r="A3884" t="str">
            <v>8708056</v>
          </cell>
          <cell r="B3884" t="str">
            <v>MORRAL TACTICO MULTIBOLS. GRIS ETCH 03</v>
          </cell>
          <cell r="C3884"/>
          <cell r="D3884"/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  <cell r="D3886"/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  <cell r="D3887"/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  <cell r="D3888"/>
        </row>
        <row r="3889">
          <cell r="A3889" t="str">
            <v>8708090</v>
          </cell>
          <cell r="B3889" t="str">
            <v>ESTUCHE MTM 802C P ARMA CORTA COMP 8144</v>
          </cell>
          <cell r="C3889"/>
          <cell r="D3889"/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  <cell r="D3895"/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  <cell r="D3896"/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  <cell r="D3897"/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  <cell r="D3898"/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  <cell r="D3899"/>
        </row>
        <row r="3900">
          <cell r="A3900" t="str">
            <v>8708106</v>
          </cell>
          <cell r="B3900" t="str">
            <v>BOLSIN M.O.L.L.E. RRD RER</v>
          </cell>
          <cell r="C3900"/>
          <cell r="D3900"/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  <cell r="D3902"/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  <cell r="D3903"/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  <cell r="D3904"/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  <cell r="D3905"/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  <cell r="D3906"/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  <cell r="D3907"/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  <cell r="D3908"/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  <cell r="D3909"/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  <cell r="D3910"/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  <cell r="D3911"/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  <cell r="D3912"/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  <cell r="D3913"/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  <cell r="D3914"/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  <cell r="D3915"/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  <cell r="D3916"/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  <cell r="D3917"/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  <cell r="D3918"/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  <cell r="D3919"/>
        </row>
        <row r="3920">
          <cell r="A3920" t="str">
            <v>8708126</v>
          </cell>
          <cell r="B3920" t="str">
            <v>MOCHILA TACT MINI MOLLE AZUL ETCH 03</v>
          </cell>
          <cell r="C3920"/>
          <cell r="D3920"/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  <cell r="D3922"/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  <cell r="D3923"/>
        </row>
        <row r="3924">
          <cell r="A3924" t="str">
            <v>8708130</v>
          </cell>
          <cell r="B3924" t="str">
            <v>MOCHILA RM99898/269 ETCH</v>
          </cell>
          <cell r="C3924"/>
          <cell r="D3924"/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  <cell r="D3926"/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  <cell r="D3927"/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  <cell r="D3928"/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  <cell r="D3929"/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  <cell r="D3930"/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  <cell r="D3931"/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  <cell r="D3932"/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  <cell r="D3933"/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  <cell r="D3934"/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  <cell r="D3935"/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  <cell r="D3936"/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  <cell r="D3937"/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  <cell r="D3938"/>
        </row>
        <row r="3939">
          <cell r="A3939" t="str">
            <v>8708214</v>
          </cell>
          <cell r="B3939" t="str">
            <v>MUSLERA UNIVERSAL KENT 199</v>
          </cell>
          <cell r="C3939"/>
          <cell r="D3939"/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  <cell r="D3942"/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  <cell r="D3943"/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  <cell r="D3944"/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  <cell r="D3945"/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  <cell r="D3946"/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  <cell r="D3947"/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  <cell r="D3948"/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  <cell r="D3949"/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  <cell r="D3950"/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  <cell r="D3951"/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  <cell r="D3952"/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  <cell r="D3953"/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  <cell r="D3954"/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  <cell r="D3955"/>
        </row>
        <row r="3956">
          <cell r="A3956" t="str">
            <v>8708312</v>
          </cell>
          <cell r="B3956" t="str">
            <v>MOCHILA LASER GRIS ETCH 11</v>
          </cell>
          <cell r="C3956"/>
          <cell r="D3956"/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  <cell r="C3958"/>
          <cell r="D3958"/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  <cell r="C3961"/>
          <cell r="D3961"/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  <cell r="D3963"/>
        </row>
        <row r="3964">
          <cell r="A3964" t="str">
            <v>8708551</v>
          </cell>
          <cell r="B3964" t="str">
            <v>MOCHILA 3 BOLSILLOS VERDE GN</v>
          </cell>
          <cell r="C3964"/>
          <cell r="D3964"/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  <cell r="D3967"/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  <cell r="D3968"/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  <cell r="D3969"/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  <cell r="D3970"/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  <cell r="D3971"/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  <cell r="D3972"/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  <cell r="D3973"/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  <cell r="D3974"/>
        </row>
        <row r="3975">
          <cell r="A3975" t="str">
            <v>8708615</v>
          </cell>
          <cell r="B3975" t="str">
            <v>MUSLERA TACTICA UNIVERSAL T615</v>
          </cell>
          <cell r="C3975"/>
          <cell r="D3975"/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  <cell r="D3978"/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  <cell r="D3979"/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  <cell r="D3980"/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  <cell r="D3981"/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  <cell r="D3982"/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  <cell r="D3983"/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  <cell r="D3984"/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  <cell r="D3985"/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  <cell r="D3986"/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  <cell r="D3987"/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  <cell r="D3988"/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  <cell r="D3989"/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  <cell r="D3990"/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  <cell r="D3991"/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  <cell r="D3992"/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  <cell r="D3993"/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  <cell r="D3994"/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  <cell r="D3995"/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  <cell r="D3996"/>
        </row>
        <row r="3997">
          <cell r="A3997" t="str">
            <v>8708900</v>
          </cell>
          <cell r="B3997" t="str">
            <v>MORRAL MUSLERA RER</v>
          </cell>
          <cell r="C3997"/>
          <cell r="D3997"/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  <cell r="D4000"/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  <cell r="D4001"/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  <cell r="D4002"/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  <cell r="D4003"/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  <cell r="D4004"/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  <cell r="D4005"/>
        </row>
        <row r="4006">
          <cell r="A4006" t="str">
            <v>8709699</v>
          </cell>
          <cell r="B4006" t="str">
            <v>BANDOLERA DE CUERO BLANCA</v>
          </cell>
          <cell r="C4006"/>
          <cell r="D4006"/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  <cell r="D4008"/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  <cell r="D4009"/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  <cell r="D4010"/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  <cell r="D4011"/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  <cell r="D4012"/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  <cell r="D4013"/>
        </row>
        <row r="4014">
          <cell r="A4014" t="str">
            <v>8711704</v>
          </cell>
          <cell r="B4014" t="str">
            <v>SOBAQ. TERMO C/PORTACARG SIMPLE MAZ RER</v>
          </cell>
          <cell r="C4014"/>
          <cell r="D4014"/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  <cell r="C4016"/>
          <cell r="D4016"/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  <cell r="D4019"/>
        </row>
        <row r="4020">
          <cell r="A4020" t="str">
            <v>8800000</v>
          </cell>
          <cell r="B4020" t="str">
            <v>CAMUFLAJE MANTA 1MX1M HOJAS VERDES RER</v>
          </cell>
          <cell r="C4020"/>
          <cell r="D4020"/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  <cell r="B4022"/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  <cell r="D4027"/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  <cell r="D4028"/>
        </row>
        <row r="4029">
          <cell r="A4029" t="str">
            <v>8858005</v>
          </cell>
          <cell r="B4029" t="str">
            <v>CAMPING</v>
          </cell>
          <cell r="C4029"/>
          <cell r="D4029"/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  <cell r="D4031"/>
        </row>
        <row r="4032">
          <cell r="A4032" t="str">
            <v>8888003</v>
          </cell>
          <cell r="B4032" t="str">
            <v>BORDADO EN PRENDA PECT ASOC COOP ARG RER</v>
          </cell>
          <cell r="C4032"/>
          <cell r="D4032"/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  <cell r="D4061"/>
        </row>
        <row r="4062">
          <cell r="A4062" t="str">
            <v>8888034</v>
          </cell>
          <cell r="B4062" t="str">
            <v>LOGO ESTAMPADO BOMBEROS</v>
          </cell>
          <cell r="C4062"/>
          <cell r="D4062"/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  <cell r="D4073"/>
        </row>
        <row r="4074">
          <cell r="A4074" t="str">
            <v>9003003</v>
          </cell>
          <cell r="B4074" t="str">
            <v>MEDIAS JE91C SOX</v>
          </cell>
          <cell r="C4074"/>
          <cell r="D4074"/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  <cell r="D4078"/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  <cell r="D4079"/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  <cell r="D4080"/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  <cell r="D4081"/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  <cell r="D4082"/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  <cell r="D4083"/>
        </row>
        <row r="4084">
          <cell r="A4084" t="str">
            <v>9003013</v>
          </cell>
          <cell r="B4084" t="str">
            <v>MEDIAS TE32C SOX</v>
          </cell>
          <cell r="C4084"/>
          <cell r="D4084"/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  <cell r="C4086"/>
          <cell r="D4086"/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  <cell r="D4092"/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  <cell r="D4093"/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  <cell r="D4094"/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  <cell r="D4095"/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  <cell r="D4096"/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  <cell r="D4097"/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  <cell r="D4098"/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  <cell r="D4099"/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  <cell r="D4100"/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  <cell r="D4101"/>
        </row>
        <row r="4102">
          <cell r="A4102" t="str">
            <v>9003710</v>
          </cell>
          <cell r="B4102" t="str">
            <v>MEDIAS FREE TIME LMGE RER</v>
          </cell>
          <cell r="C4102"/>
          <cell r="D4102"/>
        </row>
        <row r="4103">
          <cell r="A4103" t="str">
            <v>9003710MEDIA</v>
          </cell>
          <cell r="B4103"/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  <cell r="B4106"/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  <cell r="B4108"/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  <cell r="C4110"/>
          <cell r="D4110"/>
        </row>
        <row r="4111">
          <cell r="A4111" t="str">
            <v>900397801MED</v>
          </cell>
          <cell r="B4111"/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  <cell r="B4113"/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  <cell r="B4117"/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  <cell r="B4119"/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  <cell r="D4123"/>
        </row>
        <row r="4124">
          <cell r="A4124" t="str">
            <v>900399301</v>
          </cell>
          <cell r="B4124" t="str">
            <v>MEDIAS STX DOBLE CAPA RER</v>
          </cell>
          <cell r="C4124"/>
          <cell r="D4124"/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  <cell r="B4127"/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  <cell r="B4129"/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  <cell r="B4131"/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  <cell r="B4133"/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  <cell r="B4135"/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  <cell r="B4137"/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  <cell r="B4139"/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  <cell r="B4141"/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  <cell r="B4143"/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  <cell r="B4145"/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  <cell r="B4147"/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  <cell r="B4149"/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  <cell r="B4151"/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  <cell r="C4154"/>
          <cell r="D4154"/>
        </row>
        <row r="4155">
          <cell r="A4155" t="str">
            <v>9999022PERCH</v>
          </cell>
          <cell r="B4155"/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  <cell r="C4157"/>
          <cell r="D4157"/>
        </row>
        <row r="4158">
          <cell r="A4158" t="str">
            <v>9999026FUNDA</v>
          </cell>
          <cell r="B4158"/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  <cell r="B4160"/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  <cell r="B4162"/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  <cell r="B4197"/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  <cell r="B4281"/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  <cell r="B4325"/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  <cell r="B4331"/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  <cell r="B4333"/>
        </row>
        <row r="4334">
          <cell r="A4334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topLeftCell="R1" zoomScaleNormal="100" workbookViewId="0">
      <pane ySplit="1" topLeftCell="A2" activePane="bottomLeft" state="frozen"/>
      <selection pane="bottomLeft" activeCell="V10" sqref="V10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2" t="s">
        <v>7956</v>
      </c>
      <c r="E35" s="222"/>
      <c r="F35" s="222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B35" sqref="B35:C35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450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450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450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450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450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450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450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450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450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450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450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450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450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450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450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450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450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450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450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450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450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450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450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450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450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450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450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450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450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450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450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450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450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29" t="s">
        <v>13908</v>
      </c>
      <c r="B2" s="230"/>
      <c r="C2" s="230"/>
      <c r="D2" s="230"/>
      <c r="E2" s="230"/>
      <c r="F2" s="230"/>
      <c r="G2" s="230"/>
      <c r="H2" s="230"/>
      <c r="I2" s="23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1" t="s">
        <v>13909</v>
      </c>
      <c r="B4" s="232"/>
      <c r="C4" s="232"/>
      <c r="D4" s="232"/>
      <c r="E4" s="232"/>
      <c r="F4" s="177"/>
      <c r="G4" s="237" t="s">
        <v>13910</v>
      </c>
      <c r="H4" s="238"/>
      <c r="I4" s="189">
        <f ca="1">TODAY()</f>
        <v>45183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3" t="s">
        <v>13911</v>
      </c>
      <c r="B6" s="230"/>
      <c r="C6" s="230"/>
      <c r="D6" s="230"/>
      <c r="E6" s="230"/>
      <c r="F6" s="230"/>
      <c r="G6" s="233" t="s">
        <v>13912</v>
      </c>
      <c r="H6" s="230"/>
      <c r="I6" s="234"/>
    </row>
    <row r="7" spans="1:9" ht="15" customHeight="1" x14ac:dyDescent="0.25">
      <c r="A7" s="227" t="s">
        <v>13913</v>
      </c>
      <c r="B7" s="228"/>
      <c r="C7" s="228"/>
      <c r="D7" s="228"/>
      <c r="E7" s="239" t="str">
        <f>Datos!B4 &amp; " "</f>
        <v xml:space="preserve">RERDA S.A. </v>
      </c>
      <c r="F7" s="240"/>
      <c r="G7" s="227" t="s">
        <v>13913</v>
      </c>
      <c r="H7" s="228"/>
      <c r="I7" s="235"/>
    </row>
    <row r="8" spans="1:9" ht="15" customHeight="1" x14ac:dyDescent="0.25">
      <c r="A8" s="225" t="s">
        <v>13914</v>
      </c>
      <c r="B8" s="226"/>
      <c r="C8" s="226"/>
      <c r="D8" s="226"/>
      <c r="E8" s="241"/>
      <c r="F8" s="242"/>
      <c r="G8" s="225" t="s">
        <v>13914</v>
      </c>
      <c r="H8" s="226"/>
      <c r="I8" s="236"/>
    </row>
    <row r="9" spans="1:9" ht="15" customHeight="1" x14ac:dyDescent="0.25">
      <c r="A9" s="227" t="s">
        <v>13915</v>
      </c>
      <c r="B9" s="228"/>
      <c r="C9" s="228"/>
      <c r="D9" s="228"/>
      <c r="E9" s="239" t="str">
        <f>Datos!B6 &amp; " " &amp; Datos!B7 &amp; " "</f>
        <v xml:space="preserve">San Martín 1665 </v>
      </c>
      <c r="F9" s="240"/>
      <c r="G9" s="227" t="s">
        <v>13915</v>
      </c>
      <c r="H9" s="228"/>
      <c r="I9" s="223"/>
    </row>
    <row r="10" spans="1:9" ht="15" customHeight="1" x14ac:dyDescent="0.25">
      <c r="A10" s="225" t="s">
        <v>13916</v>
      </c>
      <c r="B10" s="226"/>
      <c r="C10" s="226"/>
      <c r="D10" s="226"/>
      <c r="E10" s="241"/>
      <c r="F10" s="242"/>
      <c r="G10" s="225" t="s">
        <v>13916</v>
      </c>
      <c r="H10" s="226"/>
      <c r="I10" s="224"/>
    </row>
    <row r="11" spans="1:9" ht="18.75" x14ac:dyDescent="0.25">
      <c r="A11" s="227" t="s">
        <v>13931</v>
      </c>
      <c r="B11" s="228"/>
      <c r="C11" s="228"/>
      <c r="D11" s="228"/>
      <c r="E11" s="243" t="str">
        <f>Datos!B8 &amp; " "</f>
        <v xml:space="preserve">Mendoza </v>
      </c>
      <c r="F11" s="244"/>
      <c r="G11" s="227" t="s">
        <v>13931</v>
      </c>
      <c r="H11" s="228"/>
      <c r="I11" s="184"/>
    </row>
    <row r="12" spans="1:9" ht="15.75" x14ac:dyDescent="0.25">
      <c r="A12" s="225" t="s">
        <v>13932</v>
      </c>
      <c r="B12" s="226"/>
      <c r="C12" s="226"/>
      <c r="D12" s="226"/>
      <c r="E12" s="245" t="str">
        <f>Datos!B5 &amp; " "</f>
        <v xml:space="preserve">30535195869 </v>
      </c>
      <c r="F12" s="246"/>
      <c r="G12" s="225" t="s">
        <v>13932</v>
      </c>
      <c r="H12" s="226"/>
      <c r="I12" s="197"/>
    </row>
    <row r="13" spans="1:9" ht="19.5" customHeight="1" x14ac:dyDescent="0.25">
      <c r="A13" s="227" t="s">
        <v>13917</v>
      </c>
      <c r="B13" s="228"/>
      <c r="C13" s="228"/>
      <c r="D13" s="228"/>
      <c r="E13" s="239" t="str">
        <f>Datos!B9 &amp; " "</f>
        <v xml:space="preserve">Mendoza </v>
      </c>
      <c r="F13" s="240"/>
      <c r="G13" s="227" t="s">
        <v>13917</v>
      </c>
      <c r="H13" s="228"/>
      <c r="I13" s="251"/>
    </row>
    <row r="14" spans="1:9" ht="15" customHeight="1" x14ac:dyDescent="0.25">
      <c r="A14" s="225" t="s">
        <v>13918</v>
      </c>
      <c r="B14" s="226"/>
      <c r="C14" s="226"/>
      <c r="D14" s="226"/>
      <c r="E14" s="241"/>
      <c r="F14" s="242"/>
      <c r="G14" s="225" t="s">
        <v>13918</v>
      </c>
      <c r="H14" s="226"/>
      <c r="I14" s="252"/>
    </row>
    <row r="15" spans="1:9" ht="15" customHeight="1" x14ac:dyDescent="0.25">
      <c r="A15" s="227" t="s">
        <v>13919</v>
      </c>
      <c r="B15" s="228"/>
      <c r="C15" s="228"/>
      <c r="D15" s="228"/>
      <c r="E15" s="239" t="s">
        <v>13920</v>
      </c>
      <c r="F15" s="240"/>
      <c r="G15" s="227" t="s">
        <v>13919</v>
      </c>
      <c r="H15" s="228"/>
      <c r="I15" s="240" t="str">
        <f>+E15</f>
        <v xml:space="preserve">Argentina </v>
      </c>
    </row>
    <row r="16" spans="1:9" ht="15" customHeight="1" x14ac:dyDescent="0.25">
      <c r="A16" s="225" t="s">
        <v>13921</v>
      </c>
      <c r="B16" s="226"/>
      <c r="C16" s="226"/>
      <c r="D16" s="226"/>
      <c r="E16" s="241"/>
      <c r="F16" s="242"/>
      <c r="G16" s="225" t="s">
        <v>13921</v>
      </c>
      <c r="H16" s="226"/>
      <c r="I16" s="242"/>
    </row>
    <row r="17" spans="1:9" ht="20.100000000000001" customHeight="1" x14ac:dyDescent="0.25">
      <c r="A17" s="227" t="s">
        <v>13922</v>
      </c>
      <c r="B17" s="228"/>
      <c r="C17" s="228"/>
      <c r="D17" s="228"/>
      <c r="E17" s="253" t="str">
        <f>Datos!B12 &amp; " "</f>
        <v xml:space="preserve">0261-4256567 | +549 2615117948 </v>
      </c>
      <c r="F17" s="254"/>
      <c r="G17" s="227" t="s">
        <v>13922</v>
      </c>
      <c r="H17" s="228"/>
      <c r="I17" s="257"/>
    </row>
    <row r="18" spans="1:9" ht="20.100000000000001" customHeight="1" x14ac:dyDescent="0.25">
      <c r="A18" s="225" t="s">
        <v>13923</v>
      </c>
      <c r="B18" s="226"/>
      <c r="C18" s="226"/>
      <c r="D18" s="226"/>
      <c r="E18" s="255"/>
      <c r="F18" s="256"/>
      <c r="G18" s="225" t="s">
        <v>13923</v>
      </c>
      <c r="H18" s="226"/>
      <c r="I18" s="258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50" t="s">
        <v>13926</v>
      </c>
      <c r="F20" s="250"/>
      <c r="G20" s="250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47" t="str">
        <f>IFERROR(VLOOKUP(B21,LINCE!$A$1:$F$12000,3,FALSE),"")</f>
        <v/>
      </c>
      <c r="F21" s="248"/>
      <c r="G21" s="249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7" t="str">
        <f>IFERROR(VLOOKUP(B22,LINCE!$A$1:$F$12000,3,FALSE),"")</f>
        <v/>
      </c>
      <c r="F22" s="248"/>
      <c r="G22" s="249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7" t="str">
        <f>IFERROR(VLOOKUP(B23,LINCE!$A$1:$F$12000,3,FALSE),"")</f>
        <v/>
      </c>
      <c r="F23" s="248"/>
      <c r="G23" s="249"/>
      <c r="H23" s="201"/>
      <c r="I23" s="186"/>
    </row>
    <row r="24" spans="1:9" x14ac:dyDescent="0.25">
      <c r="A24" s="199"/>
      <c r="B24" s="199"/>
      <c r="C24" s="203"/>
      <c r="D24" s="203"/>
      <c r="E24" s="247" t="str">
        <f>IFERROR(VLOOKUP(B24,LINCE!$A$1:$F$12000,3,FALSE),"")</f>
        <v/>
      </c>
      <c r="F24" s="248"/>
      <c r="G24" s="249"/>
      <c r="H24" s="201"/>
      <c r="I24" s="186"/>
    </row>
    <row r="25" spans="1:9" x14ac:dyDescent="0.25">
      <c r="A25" s="199"/>
      <c r="B25" s="199"/>
      <c r="C25" s="203"/>
      <c r="D25" s="203"/>
      <c r="E25" s="247" t="str">
        <f>IFERROR(VLOOKUP(B25,LINCE!$A$1:$F$12000,3,FALSE),"")</f>
        <v/>
      </c>
      <c r="F25" s="248"/>
      <c r="G25" s="249"/>
      <c r="H25" s="201"/>
      <c r="I25" s="186"/>
    </row>
    <row r="26" spans="1:9" x14ac:dyDescent="0.25">
      <c r="A26" s="199"/>
      <c r="B26" s="199"/>
      <c r="C26" s="203"/>
      <c r="D26" s="203"/>
      <c r="E26" s="247" t="str">
        <f>IFERROR(VLOOKUP(B26,LINCE!$A$1:$F$12000,3,FALSE),"")</f>
        <v/>
      </c>
      <c r="F26" s="248"/>
      <c r="G26" s="249"/>
      <c r="H26" s="201"/>
      <c r="I26" s="186"/>
    </row>
    <row r="27" spans="1:9" x14ac:dyDescent="0.25">
      <c r="A27" s="199"/>
      <c r="B27" s="199"/>
      <c r="C27" s="203"/>
      <c r="D27" s="203"/>
      <c r="E27" s="247" t="str">
        <f>IFERROR(VLOOKUP(B27,LINCE!$A$1:$F$12000,3,FALSE),"")</f>
        <v/>
      </c>
      <c r="F27" s="248"/>
      <c r="G27" s="249"/>
      <c r="H27" s="201"/>
      <c r="I27" s="186"/>
    </row>
    <row r="28" spans="1:9" x14ac:dyDescent="0.25">
      <c r="A28" s="199"/>
      <c r="B28" s="199"/>
      <c r="C28" s="203"/>
      <c r="D28" s="203"/>
      <c r="E28" s="247" t="str">
        <f>IFERROR(VLOOKUP(B28,LINCE!$A$1:$F$12000,3,FALSE),"")</f>
        <v/>
      </c>
      <c r="F28" s="248"/>
      <c r="G28" s="249"/>
      <c r="H28" s="201"/>
      <c r="I28" s="186"/>
    </row>
    <row r="29" spans="1:9" x14ac:dyDescent="0.25">
      <c r="A29" s="199"/>
      <c r="B29" s="199"/>
      <c r="C29" s="203"/>
      <c r="D29" s="203"/>
      <c r="E29" s="247" t="str">
        <f>IFERROR(VLOOKUP(B29,LINCE!$A$1:$F$12000,3,FALSE),"")</f>
        <v/>
      </c>
      <c r="F29" s="248"/>
      <c r="G29" s="249"/>
      <c r="H29" s="201"/>
      <c r="I29" s="186"/>
    </row>
    <row r="30" spans="1:9" x14ac:dyDescent="0.25">
      <c r="A30" s="199"/>
      <c r="B30" s="199"/>
      <c r="C30" s="203"/>
      <c r="D30" s="203"/>
      <c r="E30" s="247" t="str">
        <f>IFERROR(VLOOKUP(B30,LINCE!$A$1:$F$12000,3,FALSE),"")</f>
        <v/>
      </c>
      <c r="F30" s="248"/>
      <c r="G30" s="249"/>
      <c r="H30" s="201"/>
      <c r="I30" s="186"/>
    </row>
    <row r="31" spans="1:9" x14ac:dyDescent="0.25">
      <c r="A31" s="199"/>
      <c r="B31" s="199"/>
      <c r="C31" s="203"/>
      <c r="D31" s="203"/>
      <c r="E31" s="247" t="str">
        <f>IFERROR(VLOOKUP(B31,LINCE!$A$1:$F$12000,3,FALSE),"")</f>
        <v/>
      </c>
      <c r="F31" s="248"/>
      <c r="G31" s="249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7" t="str">
        <f>IFERROR(VLOOKUP(B32,LINCE!$A$1:$F$12000,3,FALSE),"")</f>
        <v/>
      </c>
      <c r="F32" s="248"/>
      <c r="G32" s="249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7" t="str">
        <f>IFERROR(VLOOKUP(B33,LINCE!$A$1:$F$12000,3,FALSE),"")</f>
        <v/>
      </c>
      <c r="F33" s="248"/>
      <c r="G33" s="249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7" t="str">
        <f>IFERROR(VLOOKUP(B34,LINCE!$A$1:$F$12000,3,FALSE),"")</f>
        <v/>
      </c>
      <c r="F34" s="248"/>
      <c r="G34" s="249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7" t="str">
        <f>IFERROR(VLOOKUP(B35,LINCE!$A$1:$F$12000,3,FALSE),"")</f>
        <v/>
      </c>
      <c r="F35" s="248"/>
      <c r="G35" s="249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7" t="str">
        <f>IFERROR(VLOOKUP(B36,LINCE!$A$1:$F$12000,3,FALSE),"")</f>
        <v/>
      </c>
      <c r="F36" s="248"/>
      <c r="G36" s="249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7" t="str">
        <f>IFERROR(VLOOKUP(B37,LINCE!$A$1:$F$12000,3,FALSE),"")</f>
        <v/>
      </c>
      <c r="F37" s="248"/>
      <c r="G37" s="249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7" t="str">
        <f>IFERROR(VLOOKUP(B38,LINCE!$A$1:$F$12000,3,FALSE),"")</f>
        <v/>
      </c>
      <c r="F38" s="248"/>
      <c r="G38" s="249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7" t="str">
        <f>IFERROR(VLOOKUP(B39,LINCE!$A$1:$F$12000,3,FALSE),"")</f>
        <v/>
      </c>
      <c r="F39" s="248"/>
      <c r="G39" s="249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7" t="str">
        <f>IFERROR(VLOOKUP(B40,LINCE!$A$1:$F$12000,3,FALSE),"")</f>
        <v/>
      </c>
      <c r="F40" s="248"/>
      <c r="G40" s="249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7" t="str">
        <f>IFERROR(VLOOKUP(B41,LINCE!$A$1:$F$12000,3,FALSE),"")</f>
        <v/>
      </c>
      <c r="F41" s="248"/>
      <c r="G41" s="249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7" t="str">
        <f>IFERROR(VLOOKUP(B42,LINCE!$A$1:$F$12000,3,FALSE),"")</f>
        <v/>
      </c>
      <c r="F42" s="248"/>
      <c r="G42" s="249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7" t="str">
        <f>IFERROR(VLOOKUP(B43,LINCE!$A$1:$F$12000,3,FALSE),"")</f>
        <v/>
      </c>
      <c r="F43" s="248"/>
      <c r="G43" s="249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7" t="str">
        <f>IFERROR(VLOOKUP(B44,LINCE!$A$1:$F$12000,3,FALSE),"")</f>
        <v/>
      </c>
      <c r="F44" s="248"/>
      <c r="G44" s="249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7" t="str">
        <f>IFERROR(VLOOKUP(B45,LINCE!$A$1:$F$12000,3,FALSE),"")</f>
        <v/>
      </c>
      <c r="F45" s="248"/>
      <c r="G45" s="249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7" t="str">
        <f>IFERROR(VLOOKUP(B46,LINCE!$A$1:$F$12000,3,FALSE),"")</f>
        <v/>
      </c>
      <c r="F46" s="248"/>
      <c r="G46" s="249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7" t="str">
        <f>IFERROR(VLOOKUP(B47,LINCE!$A$1:$F$12000,3,FALSE),"")</f>
        <v/>
      </c>
      <c r="F47" s="248"/>
      <c r="G47" s="249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7" t="str">
        <f>IFERROR(VLOOKUP(B48,LINCE!$A$1:$F$12000,3,FALSE),"")</f>
        <v/>
      </c>
      <c r="F48" s="248"/>
      <c r="G48" s="249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7" t="str">
        <f>IFERROR(VLOOKUP(B49,LINCE!$A$1:$F$12000,3,FALSE),"")</f>
        <v/>
      </c>
      <c r="F49" s="248"/>
      <c r="G49" s="249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59"/>
      <c r="B52" s="259"/>
      <c r="C52" s="259"/>
      <c r="D52" s="259"/>
      <c r="E52" s="259"/>
      <c r="F52" s="183"/>
      <c r="G52" s="183"/>
      <c r="H52" s="183"/>
      <c r="I52" s="183"/>
    </row>
    <row r="53" spans="1:9" ht="30" customHeight="1" x14ac:dyDescent="0.3">
      <c r="A53" s="259" t="s">
        <v>13928</v>
      </c>
      <c r="B53" s="259"/>
      <c r="C53" s="259"/>
      <c r="D53" s="259"/>
      <c r="E53" s="259"/>
      <c r="F53" s="261"/>
      <c r="G53" s="261"/>
      <c r="H53" s="261"/>
      <c r="I53" s="261"/>
    </row>
    <row r="54" spans="1:9" ht="30" customHeight="1" x14ac:dyDescent="0.3">
      <c r="A54" s="259" t="s">
        <v>13929</v>
      </c>
      <c r="B54" s="259"/>
      <c r="C54" s="259"/>
      <c r="D54" s="259"/>
      <c r="E54" s="259"/>
      <c r="F54" s="260"/>
      <c r="G54" s="260"/>
      <c r="H54" s="260"/>
      <c r="I54" s="260"/>
    </row>
    <row r="55" spans="1:9" ht="30" customHeight="1" x14ac:dyDescent="0.3">
      <c r="A55" s="259" t="s">
        <v>13930</v>
      </c>
      <c r="B55" s="259"/>
      <c r="C55" s="259"/>
      <c r="D55" s="259"/>
      <c r="E55" s="259"/>
      <c r="F55" s="260"/>
      <c r="G55" s="260"/>
      <c r="H55" s="260"/>
      <c r="I55" s="260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7" t="s">
        <v>13127</v>
      </c>
      <c r="B2" s="280" t="str">
        <f>+Datos!B4</f>
        <v>RERDA S.A.</v>
      </c>
      <c r="C2" s="281"/>
      <c r="D2" s="281"/>
      <c r="E2" s="281"/>
      <c r="F2" s="281"/>
      <c r="G2" s="281"/>
      <c r="H2" s="281"/>
      <c r="I2" s="4"/>
      <c r="J2" s="4"/>
      <c r="K2" s="4"/>
      <c r="L2" s="4"/>
      <c r="M2" s="4"/>
      <c r="N2" s="4"/>
      <c r="O2" s="5"/>
      <c r="P2" s="282"/>
      <c r="Q2" s="283"/>
      <c r="R2" s="283"/>
      <c r="S2" s="283"/>
      <c r="T2" s="283"/>
      <c r="U2" s="284"/>
    </row>
    <row r="3" spans="1:21" ht="14.1" customHeight="1" x14ac:dyDescent="0.25">
      <c r="A3" s="278"/>
      <c r="B3" s="291" t="str">
        <f>+Datos!B6</f>
        <v>San Martín</v>
      </c>
      <c r="C3" s="292"/>
      <c r="D3" s="292"/>
      <c r="E3" s="292"/>
      <c r="F3" s="292"/>
      <c r="G3" s="292">
        <f>+Datos!B7</f>
        <v>1665</v>
      </c>
      <c r="H3" s="292"/>
      <c r="I3" s="292"/>
      <c r="J3" s="6"/>
      <c r="K3" s="7"/>
      <c r="L3" s="8"/>
      <c r="M3" s="293" t="str">
        <f>+Datos!B8</f>
        <v>Mendoza</v>
      </c>
      <c r="N3" s="293"/>
      <c r="O3" s="294"/>
      <c r="P3" s="285"/>
      <c r="Q3" s="286"/>
      <c r="R3" s="286"/>
      <c r="S3" s="286"/>
      <c r="T3" s="286"/>
      <c r="U3" s="287"/>
    </row>
    <row r="4" spans="1:21" ht="14.1" customHeight="1" x14ac:dyDescent="0.25">
      <c r="A4" s="278"/>
      <c r="B4" s="295" t="str">
        <f>+Datos!B9</f>
        <v>Mendoza</v>
      </c>
      <c r="C4" s="293"/>
      <c r="D4" s="293"/>
      <c r="E4" s="293"/>
      <c r="F4" s="293"/>
      <c r="G4" s="293">
        <f>+Datos!B10</f>
        <v>5500</v>
      </c>
      <c r="H4" s="293"/>
      <c r="I4" s="293"/>
      <c r="J4" s="6"/>
      <c r="K4" s="6"/>
      <c r="L4" s="6"/>
      <c r="M4" s="6"/>
      <c r="N4" s="6"/>
      <c r="O4" s="9"/>
      <c r="P4" s="285"/>
      <c r="Q4" s="286"/>
      <c r="R4" s="286"/>
      <c r="S4" s="286"/>
      <c r="T4" s="286"/>
      <c r="U4" s="287"/>
    </row>
    <row r="5" spans="1:21" ht="14.1" customHeight="1" x14ac:dyDescent="0.25">
      <c r="A5" s="278"/>
      <c r="B5" s="296" t="str">
        <f>+Datos!B11</f>
        <v>ventas@rerda.com</v>
      </c>
      <c r="C5" s="297"/>
      <c r="D5" s="297"/>
      <c r="E5" s="297"/>
      <c r="F5" s="297"/>
      <c r="G5" s="297"/>
      <c r="H5" s="297"/>
      <c r="I5" s="10"/>
      <c r="J5" s="10"/>
      <c r="K5" s="11" t="s">
        <v>13128</v>
      </c>
      <c r="L5" s="298">
        <f>+Datos!B5</f>
        <v>30535195869</v>
      </c>
      <c r="M5" s="298"/>
      <c r="N5" s="298"/>
      <c r="O5" s="299"/>
      <c r="P5" s="285"/>
      <c r="Q5" s="286"/>
      <c r="R5" s="286"/>
      <c r="S5" s="286"/>
      <c r="T5" s="286"/>
      <c r="U5" s="287"/>
    </row>
    <row r="6" spans="1:21" ht="14.1" customHeight="1" x14ac:dyDescent="0.25">
      <c r="A6" s="279"/>
      <c r="B6" s="262" t="str">
        <f>+Datos!B12</f>
        <v>0261-4256567 | +549 2615117948</v>
      </c>
      <c r="C6" s="263"/>
      <c r="D6" s="263"/>
      <c r="E6" s="263"/>
      <c r="F6" s="263"/>
      <c r="G6" s="263"/>
      <c r="H6" s="263"/>
      <c r="I6" s="12"/>
      <c r="J6" s="12"/>
      <c r="K6" s="13" t="s">
        <v>13129</v>
      </c>
      <c r="L6" s="264">
        <f>+Datos!B3</f>
        <v>20355</v>
      </c>
      <c r="M6" s="264"/>
      <c r="N6" s="264"/>
      <c r="O6" s="265"/>
      <c r="P6" s="288"/>
      <c r="Q6" s="289"/>
      <c r="R6" s="289"/>
      <c r="S6" s="289"/>
      <c r="T6" s="289"/>
      <c r="U6" s="290"/>
    </row>
    <row r="7" spans="1:21" ht="14.1" customHeight="1" x14ac:dyDescent="0.25">
      <c r="A7" s="14"/>
      <c r="B7" s="266" t="s">
        <v>13130</v>
      </c>
      <c r="C7" s="266"/>
      <c r="D7" s="267" t="str">
        <f>IF(Planilla!W2="","¿…?",Planilla!W2)</f>
        <v>ELENA</v>
      </c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15"/>
    </row>
    <row r="8" spans="1:21" ht="14.1" customHeight="1" x14ac:dyDescent="0.25">
      <c r="A8" s="268" t="s">
        <v>13131</v>
      </c>
      <c r="B8" s="269"/>
      <c r="C8" s="269"/>
      <c r="D8" s="269"/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70"/>
    </row>
    <row r="9" spans="1:21" ht="14.1" customHeight="1" x14ac:dyDescent="0.25">
      <c r="A9" s="271"/>
      <c r="B9" s="272"/>
      <c r="C9" s="272"/>
      <c r="D9" s="272"/>
      <c r="E9" s="272"/>
      <c r="F9" s="272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3"/>
    </row>
    <row r="10" spans="1:21" ht="14.1" customHeight="1" x14ac:dyDescent="0.25">
      <c r="A10" s="274"/>
      <c r="B10" s="275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  <c r="O10" s="275"/>
      <c r="P10" s="275"/>
      <c r="Q10" s="275"/>
      <c r="R10" s="275"/>
      <c r="S10" s="275"/>
      <c r="T10" s="275"/>
      <c r="U10" s="27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0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0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2" t="s">
        <v>13133</v>
      </c>
      <c r="M15" s="302"/>
      <c r="N15" s="302"/>
      <c r="O15" s="302"/>
      <c r="P15" s="303">
        <v>35907367</v>
      </c>
      <c r="Q15" s="304"/>
      <c r="R15" s="304"/>
      <c r="S15" s="304"/>
      <c r="T15" s="304"/>
      <c r="U15" s="25"/>
    </row>
    <row r="16" spans="1:21" ht="18.95" customHeight="1" x14ac:dyDescent="0.25">
      <c r="A16" s="300"/>
      <c r="B16" s="28"/>
      <c r="C16" s="305" t="s">
        <v>14150</v>
      </c>
      <c r="D16" s="306"/>
      <c r="E16" s="306"/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6"/>
      <c r="S16" s="306"/>
      <c r="T16" s="306"/>
      <c r="U16" s="15"/>
    </row>
    <row r="17" spans="1:21" ht="18.95" customHeight="1" x14ac:dyDescent="0.25">
      <c r="A17" s="300"/>
      <c r="B17" s="28"/>
      <c r="C17" s="306"/>
      <c r="D17" s="306"/>
      <c r="E17" s="306"/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6"/>
      <c r="S17" s="306"/>
      <c r="T17" s="306"/>
      <c r="U17" s="15"/>
    </row>
    <row r="18" spans="1:21" ht="14.1" customHeight="1" x14ac:dyDescent="0.25">
      <c r="A18" s="300"/>
      <c r="B18" s="22"/>
      <c r="C18" s="307" t="s">
        <v>14215</v>
      </c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7"/>
      <c r="R18" s="307"/>
      <c r="S18" s="307"/>
      <c r="T18" s="307"/>
      <c r="U18" s="15"/>
    </row>
    <row r="19" spans="1:21" ht="14.1" customHeight="1" x14ac:dyDescent="0.25">
      <c r="A19" s="300"/>
      <c r="B19" s="22"/>
      <c r="C19" s="307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7"/>
      <c r="R19" s="307"/>
      <c r="S19" s="307"/>
      <c r="T19" s="307"/>
      <c r="U19" s="15"/>
    </row>
    <row r="20" spans="1:21" ht="14.1" customHeight="1" x14ac:dyDescent="0.25">
      <c r="A20" s="300"/>
      <c r="B20" s="22"/>
      <c r="C20" s="307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15"/>
    </row>
    <row r="21" spans="1:21" ht="14.1" customHeight="1" x14ac:dyDescent="0.25">
      <c r="A21" s="300"/>
      <c r="B21" s="29"/>
      <c r="C21" s="308" t="s">
        <v>13134</v>
      </c>
      <c r="D21" s="308"/>
      <c r="E21" s="309">
        <v>2000</v>
      </c>
      <c r="F21" s="310"/>
      <c r="G21" s="311" t="s">
        <v>14161</v>
      </c>
      <c r="H21" s="311"/>
      <c r="I21" s="311"/>
      <c r="J21" s="311"/>
      <c r="K21" s="311"/>
      <c r="L21" s="311"/>
      <c r="M21" s="311"/>
      <c r="N21" s="311"/>
      <c r="O21" s="311"/>
      <c r="P21" s="311"/>
      <c r="Q21" s="311"/>
      <c r="R21" s="311"/>
      <c r="S21" s="311"/>
      <c r="T21" s="311"/>
      <c r="U21" s="15"/>
    </row>
    <row r="22" spans="1:21" ht="14.1" customHeight="1" x14ac:dyDescent="0.25">
      <c r="A22" s="300"/>
      <c r="B22" s="29"/>
      <c r="C22" s="308"/>
      <c r="D22" s="308"/>
      <c r="E22" s="310"/>
      <c r="F22" s="310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15"/>
    </row>
    <row r="23" spans="1:21" ht="14.1" customHeight="1" x14ac:dyDescent="0.25">
      <c r="A23" s="300"/>
      <c r="B23" s="30"/>
      <c r="C23" s="312" t="s">
        <v>8738</v>
      </c>
      <c r="D23" s="312"/>
      <c r="E23" s="312"/>
      <c r="F23" s="312"/>
      <c r="G23" s="312"/>
      <c r="H23" s="312"/>
      <c r="I23" s="312"/>
      <c r="J23" s="312"/>
      <c r="K23" s="31"/>
      <c r="L23" s="313" t="s">
        <v>13135</v>
      </c>
      <c r="M23" s="313"/>
      <c r="N23" s="313"/>
      <c r="O23" s="313"/>
      <c r="P23" s="314">
        <v>3413535007</v>
      </c>
      <c r="Q23" s="314"/>
      <c r="R23" s="314"/>
      <c r="S23" s="314"/>
      <c r="T23" s="314"/>
      <c r="U23" s="15"/>
    </row>
    <row r="24" spans="1:21" ht="14.1" customHeight="1" x14ac:dyDescent="0.25">
      <c r="A24" s="300"/>
      <c r="B24" s="30"/>
      <c r="C24" s="312"/>
      <c r="D24" s="312"/>
      <c r="E24" s="312"/>
      <c r="F24" s="312"/>
      <c r="G24" s="312"/>
      <c r="H24" s="312"/>
      <c r="I24" s="312"/>
      <c r="J24" s="312"/>
      <c r="K24" s="31"/>
      <c r="L24" s="313"/>
      <c r="M24" s="313"/>
      <c r="N24" s="313"/>
      <c r="O24" s="313"/>
      <c r="P24" s="314"/>
      <c r="Q24" s="314"/>
      <c r="R24" s="314"/>
      <c r="S24" s="314"/>
      <c r="T24" s="314"/>
      <c r="U24" s="15"/>
    </row>
    <row r="25" spans="1:21" ht="14.1" customHeight="1" thickBot="1" x14ac:dyDescent="0.3">
      <c r="A25" s="30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9" t="s">
        <v>13127</v>
      </c>
      <c r="B2" s="40"/>
      <c r="C2" s="362" t="str">
        <f>+Datos!B4</f>
        <v>RERDA S.A.</v>
      </c>
      <c r="D2" s="363"/>
      <c r="E2" s="363"/>
      <c r="F2" s="363"/>
      <c r="G2" s="363"/>
      <c r="H2" s="363"/>
      <c r="I2" s="363"/>
      <c r="J2" s="41"/>
      <c r="K2" s="41"/>
      <c r="L2" s="41"/>
      <c r="M2" s="41"/>
      <c r="N2" s="41"/>
      <c r="O2" s="41"/>
      <c r="P2" s="42"/>
      <c r="Q2" s="364"/>
      <c r="R2" s="365"/>
      <c r="S2" s="365"/>
      <c r="T2" s="365"/>
      <c r="U2" s="365"/>
      <c r="V2" s="366"/>
    </row>
    <row r="3" spans="1:22" ht="14.1" customHeight="1" x14ac:dyDescent="0.25">
      <c r="A3" s="360"/>
      <c r="B3" s="43"/>
      <c r="C3" s="373" t="str">
        <f>+Datos!B6</f>
        <v>San Martín</v>
      </c>
      <c r="D3" s="374"/>
      <c r="E3" s="374"/>
      <c r="F3" s="374"/>
      <c r="G3" s="374"/>
      <c r="H3" s="374">
        <f>+Datos!B7</f>
        <v>1665</v>
      </c>
      <c r="I3" s="374"/>
      <c r="J3" s="374"/>
      <c r="K3" s="44"/>
      <c r="M3" s="45"/>
      <c r="N3" s="375" t="str">
        <f>+Datos!B8</f>
        <v>Mendoza</v>
      </c>
      <c r="O3" s="375"/>
      <c r="P3" s="376"/>
      <c r="Q3" s="367"/>
      <c r="R3" s="368"/>
      <c r="S3" s="368"/>
      <c r="T3" s="368"/>
      <c r="U3" s="368"/>
      <c r="V3" s="369"/>
    </row>
    <row r="4" spans="1:22" ht="14.1" customHeight="1" x14ac:dyDescent="0.25">
      <c r="A4" s="360"/>
      <c r="B4" s="43"/>
      <c r="C4" s="377" t="str">
        <f>+Datos!B9</f>
        <v>Mendoza</v>
      </c>
      <c r="D4" s="375"/>
      <c r="E4" s="375"/>
      <c r="F4" s="375"/>
      <c r="G4" s="375"/>
      <c r="H4" s="375">
        <f>+Datos!B10</f>
        <v>5500</v>
      </c>
      <c r="I4" s="375"/>
      <c r="J4" s="375"/>
      <c r="K4" s="44"/>
      <c r="L4" s="44"/>
      <c r="M4" s="44"/>
      <c r="N4" s="44"/>
      <c r="O4" s="44"/>
      <c r="P4" s="46"/>
      <c r="Q4" s="367"/>
      <c r="R4" s="368"/>
      <c r="S4" s="368"/>
      <c r="T4" s="368"/>
      <c r="U4" s="368"/>
      <c r="V4" s="369"/>
    </row>
    <row r="5" spans="1:22" ht="14.1" customHeight="1" x14ac:dyDescent="0.25">
      <c r="A5" s="360"/>
      <c r="B5" s="43"/>
      <c r="C5" s="378" t="str">
        <f>+Datos!B11</f>
        <v>ventas@rerda.com</v>
      </c>
      <c r="D5" s="379"/>
      <c r="E5" s="379"/>
      <c r="F5" s="379"/>
      <c r="G5" s="379"/>
      <c r="H5" s="379"/>
      <c r="I5" s="379"/>
      <c r="J5" s="47"/>
      <c r="K5" s="47"/>
      <c r="L5" s="48" t="s">
        <v>13128</v>
      </c>
      <c r="M5" s="380">
        <f>+Datos!B5</f>
        <v>30535195869</v>
      </c>
      <c r="N5" s="380"/>
      <c r="O5" s="380"/>
      <c r="P5" s="381"/>
      <c r="Q5" s="367"/>
      <c r="R5" s="368"/>
      <c r="S5" s="368"/>
      <c r="T5" s="368"/>
      <c r="U5" s="368"/>
      <c r="V5" s="369"/>
    </row>
    <row r="6" spans="1:22" ht="14.1" customHeight="1" x14ac:dyDescent="0.25">
      <c r="A6" s="361"/>
      <c r="B6" s="49"/>
      <c r="C6" s="382" t="str">
        <f>+Datos!B12</f>
        <v>0261-4256567 | +549 2615117948</v>
      </c>
      <c r="D6" s="383"/>
      <c r="E6" s="383"/>
      <c r="F6" s="383"/>
      <c r="G6" s="383"/>
      <c r="H6" s="383"/>
      <c r="I6" s="383"/>
      <c r="J6" s="50"/>
      <c r="K6" s="50"/>
      <c r="L6" s="51" t="s">
        <v>13129</v>
      </c>
      <c r="M6" s="384">
        <f>+Datos!B3</f>
        <v>20355</v>
      </c>
      <c r="N6" s="384"/>
      <c r="O6" s="384"/>
      <c r="P6" s="385"/>
      <c r="Q6" s="370"/>
      <c r="R6" s="371"/>
      <c r="S6" s="371"/>
      <c r="T6" s="371"/>
      <c r="U6" s="371"/>
      <c r="V6" s="372"/>
    </row>
    <row r="7" spans="1:22" ht="14.1" customHeight="1" x14ac:dyDescent="0.25">
      <c r="A7" s="52"/>
      <c r="B7" s="53"/>
      <c r="C7" s="348" t="s">
        <v>13130</v>
      </c>
      <c r="D7" s="348"/>
      <c r="E7" s="349" t="str">
        <f>IF(Planilla!W2="","¿…?",Planilla!W2)</f>
        <v>ELENA</v>
      </c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54"/>
    </row>
    <row r="8" spans="1:22" ht="14.1" customHeight="1" x14ac:dyDescent="0.25">
      <c r="A8" s="350" t="s">
        <v>13150</v>
      </c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1"/>
      <c r="Q8" s="351"/>
      <c r="R8" s="351"/>
      <c r="S8" s="351"/>
      <c r="T8" s="351"/>
      <c r="U8" s="351"/>
      <c r="V8" s="352"/>
    </row>
    <row r="9" spans="1:22" ht="14.1" customHeight="1" x14ac:dyDescent="0.25">
      <c r="A9" s="353"/>
      <c r="B9" s="354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5"/>
    </row>
    <row r="10" spans="1:22" ht="14.1" customHeight="1" x14ac:dyDescent="0.25">
      <c r="A10" s="356"/>
      <c r="B10" s="357"/>
      <c r="C10" s="357"/>
      <c r="D10" s="357"/>
      <c r="E10" s="357"/>
      <c r="F10" s="357"/>
      <c r="G10" s="357"/>
      <c r="H10" s="357"/>
      <c r="I10" s="357"/>
      <c r="J10" s="357"/>
      <c r="K10" s="357"/>
      <c r="L10" s="357"/>
      <c r="M10" s="357"/>
      <c r="N10" s="357"/>
      <c r="O10" s="357"/>
      <c r="P10" s="357"/>
      <c r="Q10" s="357"/>
      <c r="R10" s="357"/>
      <c r="S10" s="357"/>
      <c r="T10" s="357"/>
      <c r="U10" s="357"/>
      <c r="V10" s="35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5" t="s">
        <v>13151</v>
      </c>
      <c r="D12" s="315"/>
      <c r="E12" s="315"/>
      <c r="F12" s="315"/>
      <c r="G12" s="315"/>
      <c r="H12" s="315"/>
      <c r="I12" s="315"/>
      <c r="J12" s="315"/>
      <c r="K12" s="315"/>
      <c r="L12" s="315"/>
      <c r="M12" s="315"/>
      <c r="N12" s="63"/>
      <c r="O12" s="64"/>
      <c r="P12" s="327" t="s">
        <v>13152</v>
      </c>
      <c r="Q12" s="327"/>
      <c r="R12" s="327"/>
      <c r="S12" s="327"/>
      <c r="T12" s="327"/>
      <c r="U12" s="327"/>
      <c r="V12" s="65"/>
    </row>
    <row r="13" spans="1:22" ht="14.1" customHeight="1" x14ac:dyDescent="0.25">
      <c r="A13" s="66"/>
      <c r="B13" s="67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68"/>
      <c r="O13" s="64"/>
      <c r="P13" s="327"/>
      <c r="Q13" s="327"/>
      <c r="R13" s="327"/>
      <c r="S13" s="327"/>
      <c r="T13" s="327"/>
      <c r="U13" s="32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8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9"/>
      <c r="B16" s="75"/>
      <c r="C16" s="331" t="s">
        <v>14151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335" t="s">
        <v>13133</v>
      </c>
      <c r="P16" s="335"/>
      <c r="Q16" s="335"/>
      <c r="R16" s="336">
        <v>35781600</v>
      </c>
      <c r="S16" s="337"/>
      <c r="T16" s="337"/>
      <c r="U16" s="338"/>
      <c r="V16" s="78"/>
    </row>
    <row r="17" spans="1:22" ht="14.1" customHeight="1" x14ac:dyDescent="0.25">
      <c r="A17" s="329"/>
      <c r="B17" s="75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9"/>
      <c r="B18" s="75"/>
      <c r="C18" s="339" t="s">
        <v>13153</v>
      </c>
      <c r="D18" s="340"/>
      <c r="E18" s="340"/>
      <c r="F18" s="320" t="str">
        <f>VLOOKUP(S18,Sucursales!A:B,2,FALSE)</f>
        <v>SALTA</v>
      </c>
      <c r="G18" s="320"/>
      <c r="H18" s="320"/>
      <c r="I18" s="320"/>
      <c r="J18" s="320"/>
      <c r="K18" s="320"/>
      <c r="L18" s="320"/>
      <c r="M18" s="320"/>
      <c r="N18" s="79"/>
      <c r="O18" s="341" t="s">
        <v>7958</v>
      </c>
      <c r="P18" s="341"/>
      <c r="Q18" s="341"/>
      <c r="R18" s="341"/>
      <c r="S18" s="342" t="s">
        <v>11862</v>
      </c>
      <c r="T18" s="342"/>
      <c r="U18" s="343"/>
      <c r="V18" s="78"/>
    </row>
    <row r="19" spans="1:22" ht="14.1" customHeight="1" x14ac:dyDescent="0.25">
      <c r="A19" s="329"/>
      <c r="B19" s="75"/>
      <c r="C19" s="344" t="s">
        <v>13154</v>
      </c>
      <c r="D19" s="345"/>
      <c r="E19" s="345"/>
      <c r="F19" s="320"/>
      <c r="G19" s="320"/>
      <c r="H19" s="320"/>
      <c r="I19" s="320"/>
      <c r="J19" s="320"/>
      <c r="K19" s="320"/>
      <c r="L19" s="320"/>
      <c r="M19" s="320"/>
      <c r="N19" s="82"/>
      <c r="O19" s="341"/>
      <c r="P19" s="341"/>
      <c r="Q19" s="341"/>
      <c r="R19" s="341"/>
      <c r="S19" s="342"/>
      <c r="T19" s="342"/>
      <c r="U19" s="343"/>
      <c r="V19" s="78"/>
    </row>
    <row r="20" spans="1:22" ht="14.1" customHeight="1" x14ac:dyDescent="0.25">
      <c r="A20" s="329"/>
      <c r="B20" s="75"/>
      <c r="C20" s="346" t="str">
        <f>VLOOKUP(S18,Sucursales!A:G,6,FALSE)</f>
        <v>A4400ZAA</v>
      </c>
      <c r="D20" s="347"/>
      <c r="E20" s="347"/>
      <c r="F20" s="347"/>
      <c r="H20" s="317" t="str">
        <f>VLOOKUP(S18,Sucursales!A:H,7,FALSE)</f>
        <v>SALTA</v>
      </c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78"/>
    </row>
    <row r="21" spans="1:22" ht="14.1" customHeight="1" x14ac:dyDescent="0.25">
      <c r="A21" s="329"/>
      <c r="B21" s="75"/>
      <c r="C21" s="319" t="str">
        <f>VLOOKUP(S18,Sucursales!A:H,8,FALSE)</f>
        <v>SALTA</v>
      </c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9"/>
      <c r="B22" s="75"/>
      <c r="C22" s="321"/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3" t="s">
        <v>13155</v>
      </c>
      <c r="O22" s="323"/>
      <c r="P22" s="323"/>
      <c r="Q22" s="323"/>
      <c r="R22" s="324">
        <v>3878641652</v>
      </c>
      <c r="S22" s="325"/>
      <c r="T22" s="325"/>
      <c r="U22" s="326"/>
      <c r="V22" s="78"/>
    </row>
    <row r="23" spans="1:22" ht="14.1" customHeight="1" thickBot="1" x14ac:dyDescent="0.3">
      <c r="A23" s="33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9" t="s">
        <v>13127</v>
      </c>
      <c r="B2" s="40"/>
      <c r="C2" s="408" t="str">
        <f>+Datos!B4</f>
        <v>RERDA S.A.</v>
      </c>
      <c r="D2" s="409"/>
      <c r="E2" s="409"/>
      <c r="F2" s="409"/>
      <c r="G2" s="409"/>
      <c r="H2" s="410" t="s">
        <v>13156</v>
      </c>
      <c r="I2" s="410"/>
      <c r="J2" s="410"/>
      <c r="K2" s="410"/>
      <c r="L2" s="410"/>
      <c r="M2" s="410"/>
      <c r="N2" s="410"/>
      <c r="O2" s="410"/>
      <c r="P2" s="411"/>
      <c r="Q2" s="364"/>
      <c r="R2" s="365"/>
      <c r="S2" s="365"/>
      <c r="T2" s="365"/>
      <c r="U2" s="365"/>
      <c r="V2" s="366"/>
    </row>
    <row r="3" spans="1:22" ht="14.1" customHeight="1" x14ac:dyDescent="0.25">
      <c r="A3" s="360"/>
      <c r="B3" s="43"/>
      <c r="C3" s="373" t="str">
        <f>+Datos!B6</f>
        <v>San Martín</v>
      </c>
      <c r="D3" s="374"/>
      <c r="E3" s="374"/>
      <c r="F3" s="374"/>
      <c r="G3" s="374"/>
      <c r="H3" s="374">
        <f>+Datos!B7</f>
        <v>1665</v>
      </c>
      <c r="I3" s="374"/>
      <c r="J3" s="374"/>
      <c r="K3" s="44"/>
      <c r="M3" s="45"/>
      <c r="N3" s="375" t="str">
        <f>+Datos!B8</f>
        <v>Mendoza</v>
      </c>
      <c r="O3" s="375"/>
      <c r="P3" s="376"/>
      <c r="Q3" s="367"/>
      <c r="R3" s="368"/>
      <c r="S3" s="368"/>
      <c r="T3" s="368"/>
      <c r="U3" s="368"/>
      <c r="V3" s="369"/>
    </row>
    <row r="4" spans="1:22" ht="14.1" customHeight="1" x14ac:dyDescent="0.25">
      <c r="A4" s="360"/>
      <c r="B4" s="43"/>
      <c r="C4" s="377" t="str">
        <f>+Datos!B9</f>
        <v>Mendoza</v>
      </c>
      <c r="D4" s="375"/>
      <c r="E4" s="375"/>
      <c r="F4" s="375"/>
      <c r="G4" s="375"/>
      <c r="H4" s="375">
        <f>+Datos!B10</f>
        <v>5500</v>
      </c>
      <c r="I4" s="375"/>
      <c r="J4" s="375"/>
      <c r="K4" s="44"/>
      <c r="L4" s="44"/>
      <c r="M4" s="44"/>
      <c r="N4" s="44"/>
      <c r="O4" s="44"/>
      <c r="P4" s="46"/>
      <c r="Q4" s="367"/>
      <c r="R4" s="368"/>
      <c r="S4" s="368"/>
      <c r="T4" s="368"/>
      <c r="U4" s="368"/>
      <c r="V4" s="369"/>
    </row>
    <row r="5" spans="1:22" ht="14.1" customHeight="1" x14ac:dyDescent="0.25">
      <c r="A5" s="360"/>
      <c r="B5" s="43"/>
      <c r="C5" s="378" t="str">
        <f>+Datos!B11</f>
        <v>ventas@rerda.com</v>
      </c>
      <c r="D5" s="379"/>
      <c r="E5" s="379"/>
      <c r="F5" s="379"/>
      <c r="G5" s="379"/>
      <c r="H5" s="379"/>
      <c r="I5" s="379"/>
      <c r="J5" s="47"/>
      <c r="K5" s="47"/>
      <c r="L5" s="48" t="s">
        <v>13128</v>
      </c>
      <c r="M5" s="380">
        <f>+Datos!B5</f>
        <v>30535195869</v>
      </c>
      <c r="N5" s="380"/>
      <c r="O5" s="380"/>
      <c r="P5" s="381"/>
      <c r="Q5" s="367"/>
      <c r="R5" s="368"/>
      <c r="S5" s="368"/>
      <c r="T5" s="368"/>
      <c r="U5" s="368"/>
      <c r="V5" s="369"/>
    </row>
    <row r="6" spans="1:22" ht="14.1" customHeight="1" x14ac:dyDescent="0.25">
      <c r="A6" s="361"/>
      <c r="B6" s="49"/>
      <c r="C6" s="382" t="str">
        <f>+Datos!B12</f>
        <v>0261-4256567 | +549 2615117948</v>
      </c>
      <c r="D6" s="383"/>
      <c r="E6" s="383"/>
      <c r="F6" s="383"/>
      <c r="G6" s="383"/>
      <c r="H6" s="383"/>
      <c r="I6" s="383"/>
      <c r="J6" s="50"/>
      <c r="K6" s="50"/>
      <c r="L6" s="51" t="s">
        <v>13129</v>
      </c>
      <c r="M6" s="384">
        <f>+Datos!B3</f>
        <v>20355</v>
      </c>
      <c r="N6" s="384"/>
      <c r="O6" s="384"/>
      <c r="P6" s="385"/>
      <c r="Q6" s="370"/>
      <c r="R6" s="371"/>
      <c r="S6" s="371"/>
      <c r="T6" s="371"/>
      <c r="U6" s="371"/>
      <c r="V6" s="372"/>
    </row>
    <row r="7" spans="1:22" ht="14.1" customHeight="1" x14ac:dyDescent="0.25">
      <c r="A7" s="52"/>
      <c r="B7" s="53"/>
      <c r="C7" s="348" t="s">
        <v>13130</v>
      </c>
      <c r="D7" s="348"/>
      <c r="E7" s="267" t="str">
        <f>IF(Planilla!W2="","¿…?",Planilla!W2)</f>
        <v>ELENA</v>
      </c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54"/>
    </row>
    <row r="8" spans="1:22" ht="14.1" customHeight="1" x14ac:dyDescent="0.25">
      <c r="A8" s="399" t="s">
        <v>13157</v>
      </c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1"/>
    </row>
    <row r="9" spans="1:22" ht="14.1" customHeight="1" x14ac:dyDescent="0.25">
      <c r="A9" s="402"/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4"/>
    </row>
    <row r="10" spans="1:22" ht="14.1" customHeight="1" x14ac:dyDescent="0.25">
      <c r="A10" s="405"/>
      <c r="B10" s="406"/>
      <c r="C10" s="406"/>
      <c r="D10" s="406"/>
      <c r="E10" s="406"/>
      <c r="F10" s="406"/>
      <c r="G10" s="406"/>
      <c r="H10" s="406"/>
      <c r="I10" s="406"/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V10" s="40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6" t="s">
        <v>13158</v>
      </c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7"/>
      <c r="O12" s="64"/>
      <c r="P12" s="327" t="s">
        <v>13152</v>
      </c>
      <c r="Q12" s="327"/>
      <c r="R12" s="327"/>
      <c r="S12" s="327"/>
      <c r="T12" s="327"/>
      <c r="U12" s="327"/>
      <c r="V12" s="65"/>
    </row>
    <row r="13" spans="1:22" ht="14.1" customHeight="1" x14ac:dyDescent="0.25">
      <c r="A13" s="91"/>
      <c r="B13" s="92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8"/>
      <c r="N13" s="389"/>
      <c r="O13" s="64"/>
      <c r="P13" s="327"/>
      <c r="Q13" s="327"/>
      <c r="R13" s="327"/>
      <c r="S13" s="327"/>
      <c r="T13" s="327"/>
      <c r="U13" s="32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0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1"/>
      <c r="B16" s="93"/>
      <c r="C16" s="393" t="s">
        <v>14153</v>
      </c>
      <c r="D16" s="394"/>
      <c r="E16" s="394"/>
      <c r="F16" s="394"/>
      <c r="G16" s="394"/>
      <c r="H16" s="394"/>
      <c r="I16" s="394"/>
      <c r="J16" s="394"/>
      <c r="K16" s="394"/>
      <c r="L16" s="394"/>
      <c r="M16" s="394"/>
      <c r="N16" s="394"/>
      <c r="O16" s="335" t="s">
        <v>13133</v>
      </c>
      <c r="P16" s="335"/>
      <c r="Q16" s="335"/>
      <c r="R16" s="397">
        <v>42288678</v>
      </c>
      <c r="S16" s="337"/>
      <c r="T16" s="337"/>
      <c r="U16" s="338"/>
      <c r="V16" s="96"/>
    </row>
    <row r="17" spans="1:22" ht="14.1" customHeight="1" x14ac:dyDescent="0.25">
      <c r="A17" s="391"/>
      <c r="B17" s="93"/>
      <c r="C17" s="395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1"/>
      <c r="B18" s="93"/>
      <c r="C18" s="319" t="s">
        <v>13159</v>
      </c>
      <c r="D18" s="320"/>
      <c r="E18" s="320"/>
      <c r="F18" s="320" t="str">
        <f>VLOOKUP(S18,Sucursales!A:B,2,FALSE)</f>
        <v>LIB. GRAL. SAN MARTIN</v>
      </c>
      <c r="G18" s="320"/>
      <c r="H18" s="320"/>
      <c r="I18" s="320"/>
      <c r="J18" s="320"/>
      <c r="K18" s="320"/>
      <c r="L18" s="320"/>
      <c r="M18" s="320"/>
      <c r="N18" s="79"/>
      <c r="O18" s="341" t="s">
        <v>7958</v>
      </c>
      <c r="P18" s="341"/>
      <c r="Q18" s="341"/>
      <c r="R18" s="341"/>
      <c r="S18" s="342" t="s">
        <v>11129</v>
      </c>
      <c r="T18" s="342"/>
      <c r="U18" s="343"/>
      <c r="V18" s="96"/>
    </row>
    <row r="19" spans="1:22" ht="14.1" customHeight="1" x14ac:dyDescent="0.25">
      <c r="A19" s="391"/>
      <c r="B19" s="93"/>
      <c r="C19" s="319"/>
      <c r="D19" s="320"/>
      <c r="E19" s="320"/>
      <c r="F19" s="320"/>
      <c r="G19" s="320"/>
      <c r="H19" s="320"/>
      <c r="I19" s="320"/>
      <c r="J19" s="320"/>
      <c r="K19" s="320"/>
      <c r="L19" s="320"/>
      <c r="M19" s="320"/>
      <c r="N19" s="82"/>
      <c r="O19" s="341"/>
      <c r="P19" s="341"/>
      <c r="Q19" s="341"/>
      <c r="R19" s="341"/>
      <c r="S19" s="342"/>
      <c r="T19" s="342"/>
      <c r="U19" s="343"/>
      <c r="V19" s="96"/>
    </row>
    <row r="20" spans="1:22" ht="14.1" customHeight="1" x14ac:dyDescent="0.25">
      <c r="A20" s="391"/>
      <c r="B20" s="93"/>
      <c r="C20" s="346" t="str">
        <f>VLOOKUP(S18,Sucursales!A:G,6,FALSE)</f>
        <v>Y4512ZAB</v>
      </c>
      <c r="D20" s="347"/>
      <c r="E20" s="347"/>
      <c r="F20" s="347"/>
      <c r="H20" s="317" t="str">
        <f>VLOOKUP(S18,Sucursales!A:H,7,FALSE)</f>
        <v>LIB GRAL SAN MARTIN</v>
      </c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96"/>
    </row>
    <row r="21" spans="1:22" ht="14.1" customHeight="1" x14ac:dyDescent="0.25">
      <c r="A21" s="391"/>
      <c r="B21" s="93"/>
      <c r="C21" s="319" t="str">
        <f>VLOOKUP(S18,Sucursales!A:H,8,FALSE)</f>
        <v>JUJUY</v>
      </c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1"/>
      <c r="B22" s="93"/>
      <c r="C22" s="321"/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3" t="s">
        <v>13155</v>
      </c>
      <c r="O22" s="323"/>
      <c r="P22" s="323"/>
      <c r="Q22" s="323"/>
      <c r="R22" s="398">
        <v>3886447862</v>
      </c>
      <c r="S22" s="325"/>
      <c r="T22" s="325"/>
      <c r="U22" s="326"/>
      <c r="V22" s="96"/>
    </row>
    <row r="23" spans="1:22" ht="14.1" customHeight="1" thickBot="1" x14ac:dyDescent="0.3">
      <c r="A23" s="392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49" t="s">
        <v>13130</v>
      </c>
      <c r="D7" s="349"/>
      <c r="E7" s="349" t="str">
        <f>IF(Planilla!W2="","¿…?",Planilla!W2)</f>
        <v>ELENA</v>
      </c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140"/>
    </row>
    <row r="8" spans="1:22" ht="14.1" customHeight="1" x14ac:dyDescent="0.25">
      <c r="A8" s="436" t="s">
        <v>13404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31" t="s">
        <v>13937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432" t="s">
        <v>13133</v>
      </c>
      <c r="P16" s="432"/>
      <c r="Q16" s="432"/>
      <c r="R16" s="336">
        <v>38476336</v>
      </c>
      <c r="S16" s="337"/>
      <c r="T16" s="337"/>
      <c r="U16" s="338"/>
      <c r="V16" s="164"/>
    </row>
    <row r="17" spans="1:22" ht="14.1" customHeight="1" x14ac:dyDescent="0.25">
      <c r="A17" s="430"/>
      <c r="B17" s="168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13403</v>
      </c>
      <c r="D18" s="434"/>
      <c r="E18" s="434"/>
      <c r="F18" s="435">
        <f ca="1">TODAY()</f>
        <v>45183</v>
      </c>
      <c r="G18" s="434"/>
      <c r="H18" s="434"/>
      <c r="I18" s="434"/>
      <c r="J18" s="434"/>
      <c r="K18" s="434"/>
      <c r="L18" s="434"/>
      <c r="M18" s="434"/>
      <c r="N18" s="152"/>
      <c r="O18" s="413"/>
      <c r="P18" s="413"/>
      <c r="Q18" s="413"/>
      <c r="R18" s="413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13"/>
      <c r="P19" s="413"/>
      <c r="Q19" s="413"/>
      <c r="R19" s="413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13402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12" t="s">
        <v>13155</v>
      </c>
      <c r="O22" s="412"/>
      <c r="P22" s="412"/>
      <c r="Q22" s="412"/>
      <c r="R22" s="324">
        <v>2613157782</v>
      </c>
      <c r="S22" s="325"/>
      <c r="T22" s="325"/>
      <c r="U22" s="32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9" t="s">
        <v>7957</v>
      </c>
      <c r="B1" s="449"/>
      <c r="C1" s="449"/>
      <c r="D1" s="449"/>
      <c r="E1" s="449"/>
      <c r="F1" s="449"/>
      <c r="G1" s="449"/>
      <c r="H1" s="449"/>
      <c r="I1" s="449"/>
      <c r="J1" s="449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2023-09-14T14:30:38Z</dcterms:modified>
</cp:coreProperties>
</file>