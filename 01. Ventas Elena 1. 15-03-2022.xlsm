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I25" i="1" l="1"/>
  <c r="I23" i="1"/>
  <c r="I21" i="1"/>
  <c r="I18" i="1"/>
  <c r="I14" i="1"/>
  <c r="I12" i="1"/>
  <c r="I10" i="1"/>
  <c r="I6" i="1"/>
  <c r="I4" i="1"/>
  <c r="I3" i="1"/>
  <c r="I2" i="1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<sst xmlns="http://schemas.openxmlformats.org/spreadsheetml/2006/main" count="22482" uniqueCount="14225">
  <si>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</si>
  <si>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</si>
  <si>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</si>
  <si>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</si>
  <si>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</si>
  <si>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</si>
  <si>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</si>
  <si>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</si>
  <si>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</si>
  <si>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</si>
  <si>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</si>
  <si>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</si>
  <si>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</si>
  <si>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</si>
  <si>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</si>
  <si>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</si>
  <si>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</si>
  <si>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</si>
  <si>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</si>
  <si>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</si>
  <si>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</si>
  <si>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</si>
  <si>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</si>
  <si>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</si>
  <si>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</si>
  <si>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</si>
  <si>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</si>
  <si>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</si>
  <si>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</si>
  <si>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</si>
  <si>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</si>
  <si>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</si>
  <si>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</si>
  <si>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</si>
  <si>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</si>
  <si>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</si>
  <si>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</si>
  <si>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</si>
  <si>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</si>
  <si>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</si>
  <si>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</si>
  <si>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</si>
  <si>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</si>
  <si>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</si>
  <si>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</si>
  <si>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</si>
  <si>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</si>
  <si>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</si>
  <si>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</si>
  <si>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</si>
  <si>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</si>
  <si>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</si>
  <si>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</si>
  <si>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</si>
  <si>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</si>
  <si>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</si>
  <si>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</si>
  <si>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</si>
  <si>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</si>
  <si>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</si>
  <si>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</si>
  <si>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</si>
  <si>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</si>
  <si>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</si>
  <si>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</si>
  <si>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</si>
  <si>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</si>
  <si>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</si>
  <si>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</si>
  <si>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</si>
  <si>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</si>
  <si>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</si>
  <si>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</si>
  <si>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</si>
  <si>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</si>
  <si>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</si>
  <si>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</si>
  <si>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</si>
  <si>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</si>
  <si>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</si>
  <si>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</si>
  <si>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</si>
  <si>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</si>
  <si>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</si>
  <si>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</si>
  <si>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</si>
  <si>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</si>
  <si>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</si>
  <si>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</si>
  <si>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</si>
  <si>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</si>
  <si>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</si>
  <si>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</si>
  <si>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</si>
  <si>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</si>
  <si>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</si>
  <si>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</si>
  <si>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</si>
  <si>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</si>
  <si>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</si>
  <si>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</si>
  <si>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</si>
  <si>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</si>
  <si>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</si>
  <si>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</si>
  <si>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</si>
  <si>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</si>
  <si>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</si>
  <si>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</si>
  <si>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</si>
  <si>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</si>
  <si>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</si>
  <si>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</si>
  <si>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</si>
  <si>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</si>
  <si>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</si>
  <si>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</si>
  <si>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</si>
  <si>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</si>
  <si>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</si>
  <si>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</si>
  <si>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</si>
  <si>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</si>
  <si>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</si>
  <si>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</si>
  <si>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</si>
  <si>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</si>
  <si>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</si>
  <si>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</si>
  <si>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</si>
  <si>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</si>
  <si>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</si>
  <si>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</si>
  <si>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</si>
  <si>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</si>
  <si>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</si>
  <si>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</si>
  <si>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</si>
  <si>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</si>
  <si>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</si>
  <si>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</si>
  <si>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</si>
  <si>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</si>
  <si>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</si>
  <si>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</si>
  <si>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</si>
  <si>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</si>
  <si>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</si>
  <si>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</si>
  <si>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</si>
  <si>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</si>
  <si>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</si>
  <si>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</si>
  <si>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</si>
  <si>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</si>
  <si>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</si>
  <si>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</si>
  <si>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</si>
  <si>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</si>
  <si>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</si>
  <si>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</si>
  <si>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</si>
  <si>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</si>
  <si>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</si>
  <si>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</si>
  <si>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</si>
  <si>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</si>
  <si>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</si>
  <si>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</si>
  <si>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</si>
  <si>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</si>
  <si>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</si>
  <si>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</si>
  <si>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</si>
  <si>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</si>
  <si>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</si>
  <si>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</si>
  <si>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</si>
  <si>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</si>
  <si>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</si>
  <si>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</si>
  <si>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</si>
  <si>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</si>
  <si>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</si>
  <si>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</si>
  <si>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</si>
  <si>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</si>
  <si>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</si>
  <si>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</si>
  <si>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</si>
  <si>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</si>
  <si>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</si>
  <si>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</si>
  <si>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</si>
  <si>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</si>
  <si>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</si>
  <si>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</si>
  <si>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</si>
  <si>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</si>
  <si>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</si>
  <si>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</si>
  <si>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</si>
  <si>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</si>
  <si>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</si>
  <si>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</si>
  <si>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</si>
  <si>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</si>
  <si>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</si>
  <si>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</si>
  <si>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</si>
  <si>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</si>
  <si>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</si>
  <si>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</si>
  <si>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</si>
  <si>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</si>
  <si>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</si>
  <si>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</si>
  <si>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</si>
  <si>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</si>
  <si>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</si>
  <si>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</si>
  <si>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</si>
  <si>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</si>
  <si>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</si>
  <si>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</si>
  <si>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</si>
  <si>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</si>
  <si>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</si>
  <si>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</si>
  <si>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</si>
  <si>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</si>
  <si>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</si>
  <si>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</si>
  <si>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</si>
  <si>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</si>
  <si>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</si>
  <si>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</si>
  <si>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</si>
  <si>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</si>
  <si>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</si>
  <si>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</si>
  <si>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</si>
  <si>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</si>
  <si>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</si>
  <si>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</si>
  <si>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</si>
  <si>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</si>
  <si>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</si>
  <si>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</si>
  <si>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</si>
  <si>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</si>
  <si>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</si>
  <si>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</si>
  <si>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</si>
  <si>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</si>
  <si>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</si>
  <si>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</si>
  <si>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</si>
  <si>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</si>
  <si>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</si>
  <si>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</si>
  <si>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</si>
  <si>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</si>
  <si>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</si>
  <si>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</si>
  <si>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</si>
  <si>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</si>
  <si>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</si>
  <si>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</si>
  <si>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</si>
  <si>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</si>
  <si>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</si>
  <si>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</si>
  <si>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</si>
  <si>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</si>
  <si>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</si>
  <si>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</si>
  <si>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</si>
  <si>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</si>
  <si>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</si>
  <si>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</si>
  <si>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</si>
  <si>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</si>
  <si>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</si>
  <si>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</si>
  <si>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</si>
  <si>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</si>
  <si>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</si>
  <si>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</si>
  <si>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</si>
  <si>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</si>
  <si>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</si>
  <si>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</si>
  <si>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</si>
  <si>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</si>
  <si>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</si>
  <si>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</si>
  <si>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</si>
  <si>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</si>
  <si>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</si>
  <si>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</si>
  <si>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</si>
  <si>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</si>
  <si>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</si>
  <si>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</si>
  <si>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</si>
  <si>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</si>
  <si>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</si>
  <si>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</si>
  <si>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</si>
  <si>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</si>
  <si>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</si>
  <si>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</si>
  <si>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</si>
  <si>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</si>
  <si>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</si>
  <si>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</si>
  <si>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</si>
  <si>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</si>
  <si>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</si>
  <si>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</si>
  <si>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</si>
  <si>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</si>
  <si>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</si>
  <si>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</si>
  <si>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</si>
  <si>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</si>
  <si>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</si>
  <si>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</si>
  <si>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</si>
  <si>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</si>
  <si>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</si>
  <si>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</si>
  <si>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</si>
  <si>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</si>
  <si>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</si>
  <si>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</si>
  <si>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</si>
  <si>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</si>
  <si>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</si>
  <si>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</si>
  <si>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</si>
  <si>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</si>
  <si>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</si>
  <si>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</si>
  <si>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</si>
  <si>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</si>
  <si>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</si>
  <si>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</si>
  <si>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</si>
  <si>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</si>
  <si>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</si>
  <si>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</si>
  <si>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</si>
  <si>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</si>
  <si>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</si>
  <si>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</si>
  <si>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</si>
  <si>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</si>
  <si>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</si>
  <si>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</si>
  <si>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</si>
  <si>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</si>
  <si>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</si>
  <si>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</si>
  <si>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</si>
  <si>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</si>
  <si>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</si>
  <si>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</si>
  <si>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</si>
  <si>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</si>
  <si>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</si>
  <si>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</si>
  <si>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</si>
  <si>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</si>
  <si>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</si>
  <si>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</si>
  <si>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</si>
  <si>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</si>
  <si>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</si>
  <si>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</si>
  <si>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</si>
  <si>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</si>
  <si>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</si>
  <si>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</si>
  <si>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</si>
  <si>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</si>
  <si>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</si>
  <si>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</si>
  <si>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</si>
  <si>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</si>
  <si>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</si>
  <si>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</si>
  <si>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</si>
  <si>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</si>
  <si>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</si>
  <si>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</si>
  <si>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</si>
  <si>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</si>
  <si>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</si>
  <si>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</si>
  <si>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</si>
  <si>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</si>
  <si>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</si>
  <si>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</si>
  <si>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</si>
  <si>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</si>
  <si>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</si>
  <si>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</si>
  <si>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</si>
  <si>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</si>
  <si>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</si>
  <si>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</si>
  <si>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</si>
  <si>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</si>
  <si>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</si>
  <si>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</si>
  <si>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</si>
  <si>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</si>
  <si>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</si>
  <si>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</si>
  <si>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</si>
  <si>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</si>
  <si>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</si>
  <si>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</si>
  <si>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</si>
  <si>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</si>
  <si>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</si>
  <si>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</si>
  <si>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</si>
  <si>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</si>
  <si>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</si>
  <si>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</si>
  <si>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</si>
  <si>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</si>
  <si>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</si>
  <si>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</si>
  <si>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</si>
  <si>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</si>
  <si>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</si>
  <si>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</si>
  <si>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</si>
  <si>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</si>
  <si>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</si>
  <si>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</si>
  <si>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</si>
  <si>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</si>
  <si>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</si>
  <si>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</si>
  <si>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</si>
  <si>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</si>
  <si>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</si>
  <si>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</si>
  <si>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</si>
  <si>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</si>
  <si>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</si>
  <si>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</si>
  <si>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</si>
  <si>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</si>
  <si>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</si>
  <si>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</si>
  <si>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</si>
  <si>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</si>
  <si>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</si>
  <si>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</si>
  <si>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</si>
  <si>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</si>
  <si>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</si>
  <si>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</si>
  <si>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</si>
  <si>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</si>
  <si>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</si>
  <si>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</si>
  <si>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</si>
  <si>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</si>
  <si>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</si>
  <si>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</si>
  <si>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</si>
  <si>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</si>
  <si>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</si>
  <si>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</si>
  <si>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</si>
  <si>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</si>
  <si>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</si>
  <si>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</si>
  <si>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</si>
  <si>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</si>
  <si>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</si>
  <si>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</si>
  <si>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</si>
  <si>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</si>
  <si>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</si>
  <si>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</si>
  <si>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</si>
  <si>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</si>
  <si>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</si>
  <si>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</si>
  <si>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</si>
  <si>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</si>
  <si>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</si>
  <si>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</si>
  <si>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</si>
  <si>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</si>
  <si>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</si>
  <si>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</si>
  <si>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</si>
  <si>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</si>
  <si>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</si>
  <si>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</si>
  <si>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</si>
  <si>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</si>
  <si>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</si>
  <si>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</si>
  <si>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</si>
  <si>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</si>
  <si>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</si>
  <si>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</si>
  <si>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</si>
  <si>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</si>
  <si>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</si>
  <si>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</si>
  <si>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</si>
  <si>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</si>
  <si>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</si>
  <si>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</si>
  <si>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</si>
  <si>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</si>
  <si>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</si>
  <si>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</si>
  <si>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</si>
  <si>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</si>
  <si>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</si>
  <si>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</si>
  <si>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</si>
  <si>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</si>
  <si>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</si>
  <si>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</si>
  <si>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</si>
  <si>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</si>
  <si>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</si>
  <si>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</si>
  <si>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</si>
  <si>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</si>
  <si>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</si>
  <si>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</si>
  <si>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</si>
  <si>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</si>
  <si>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</si>
  <si>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</si>
  <si>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</si>
  <si>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</si>
  <si>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</si>
  <si>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</si>
  <si>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</si>
  <si>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</si>
  <si>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</si>
  <si>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</si>
  <si>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</si>
  <si>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</si>
  <si>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</si>
  <si>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</si>
  <si>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</si>
  <si>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</si>
  <si>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</si>
  <si>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</si>
  <si>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</si>
  <si>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</si>
  <si>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</si>
  <si>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</si>
  <si>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</si>
  <si>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</si>
  <si>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</si>
  <si>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</si>
  <si>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</si>
  <si>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</si>
  <si>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</si>
  <si>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</si>
  <si>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</si>
  <si>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</si>
  <si>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</si>
  <si>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</si>
  <si>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</si>
  <si>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</si>
  <si>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</si>
  <si>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</si>
  <si>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</si>
  <si>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</si>
  <si>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</si>
  <si>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</si>
  <si>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</si>
  <si>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</si>
  <si>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</si>
  <si>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</si>
  <si>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</si>
  <si>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</si>
  <si>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</si>
  <si>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</si>
  <si>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</si>
  <si>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</si>
  <si>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</si>
  <si>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</si>
  <si>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</si>
  <si>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</si>
  <si>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</si>
  <si>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</si>
  <si>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</si>
  <si>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</si>
  <si>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</si>
  <si>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</si>
  <si>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</si>
  <si>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</si>
  <si>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</si>
  <si>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</si>
  <si>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</si>
  <si>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</si>
  <si>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</si>
  <si>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</si>
  <si>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</si>
  <si>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</si>
  <si>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</si>
  <si>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</si>
  <si>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</si>
  <si>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</si>
  <si>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</si>
  <si>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</si>
  <si>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</si>
  <si>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</si>
  <si>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</si>
  <si>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</si>
  <si>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</si>
  <si>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</si>
  <si>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</si>
  <si>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</si>
  <si>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</si>
  <si>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</si>
  <si>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</si>
  <si>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</si>
  <si>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</si>
  <si>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</si>
  <si>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</si>
  <si>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</si>
  <si>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</si>
  <si>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</si>
  <si>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</si>
  <si>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</si>
  <si>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</si>
  <si>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</si>
  <si>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</si>
  <si>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</si>
  <si>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</si>
  <si>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</si>
  <si>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</si>
  <si>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</si>
  <si>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</si>
  <si>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</si>
  <si>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</si>
  <si>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</si>
  <si>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</si>
  <si>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</si>
  <si>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</si>
  <si>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</si>
  <si>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</si>
  <si>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</si>
  <si>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</si>
  <si>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</si>
  <si>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</si>
  <si>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</si>
  <si>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</si>
  <si>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</si>
  <si>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</si>
  <si>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</si>
  <si>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</si>
  <si>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</si>
  <si>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</si>
  <si>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</si>
  <si>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</si>
  <si>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</si>
  <si>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</si>
  <si>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</si>
  <si>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</si>
  <si>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</si>
  <si>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</si>
  <si>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</si>
  <si>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</si>
  <si>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</si>
  <si>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</si>
  <si>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</si>
  <si>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</si>
  <si>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</si>
  <si>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</si>
  <si>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</si>
  <si>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</si>
  <si>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</si>
  <si>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</si>
  <si>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</si>
  <si>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</si>
  <si>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</si>
  <si>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</si>
  <si>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</si>
  <si>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</si>
  <si>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</si>
  <si>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</si>
  <si>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</si>
  <si>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</si>
  <si>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</si>
  <si>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</si>
  <si>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</si>
  <si>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</si>
  <si>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</si>
  <si>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</si>
  <si>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</si>
  <si>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</si>
  <si>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</si>
  <si>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</si>
  <si>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</si>
  <si>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</si>
  <si>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</si>
  <si>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</si>
  <si>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</si>
  <si>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</si>
  <si>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</si>
  <si>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</si>
  <si>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</si>
  <si>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</si>
  <si>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</si>
  <si>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</si>
  <si>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</si>
  <si>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</si>
  <si>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</si>
  <si>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</si>
  <si>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</si>
  <si>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</si>
  <si>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</si>
  <si>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</si>
  <si>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</si>
  <si>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</si>
  <si>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</si>
  <si>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</si>
  <si>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</si>
  <si>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</si>
  <si>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</si>
  <si>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</si>
  <si>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</si>
  <si>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</si>
  <si>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</si>
  <si>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</si>
  <si>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</si>
  <si>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</si>
  <si>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</si>
  <si>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</si>
  <si>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</si>
  <si>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</si>
  <si>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</si>
  <si>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</si>
  <si>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</si>
  <si>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</si>
  <si>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</si>
  <si>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</si>
  <si>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</si>
  <si>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</si>
  <si>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</si>
  <si>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</si>
  <si>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</si>
  <si>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</si>
  <si>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</si>
  <si>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</si>
  <si>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</si>
  <si>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</si>
  <si>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</si>
  <si>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</si>
  <si>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</si>
  <si>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</si>
  <si>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</si>
  <si>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</si>
  <si>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</si>
  <si>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</si>
  <si>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</si>
  <si>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</si>
  <si>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</si>
  <si>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</si>
  <si>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</si>
  <si>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</si>
  <si>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</si>
  <si>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</si>
  <si>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</si>
  <si>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</si>
  <si>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</si>
  <si>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</si>
  <si>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</si>
  <si>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</si>
  <si>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</si>
  <si>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</si>
  <si>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</si>
  <si>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</si>
  <si>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</si>
  <si>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</si>
  <si>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</si>
  <si>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</si>
  <si>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</si>
  <si>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</si>
  <si>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</si>
  <si>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</si>
  <si>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</si>
  <si>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</si>
  <si>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</si>
  <si>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</si>
  <si>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</si>
  <si>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</si>
  <si>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</si>
  <si>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</si>
  <si>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</si>
  <si>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</si>
  <si>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</si>
  <si>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</si>
  <si>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</si>
  <si>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</si>
  <si>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</si>
  <si>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</si>
  <si>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</si>
  <si>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</si>
  <si>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</si>
  <si>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</si>
  <si>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</si>
  <si>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</si>
  <si>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</si>
  <si>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</si>
  <si>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</si>
  <si>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</si>
  <si>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</si>
  <si>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</si>
  <si>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</si>
  <si>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</si>
  <si>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</si>
  <si>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</si>
  <si>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</si>
  <si>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</si>
  <si>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</si>
  <si>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</si>
  <si>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</si>
  <si>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</si>
  <si>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</si>
  <si>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</si>
  <si>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</si>
  <si>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</si>
  <si>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</si>
  <si>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</si>
  <si>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</si>
  <si>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</si>
  <si>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</si>
  <si>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</si>
  <si>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</si>
  <si>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</si>
  <si>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</si>
  <si>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</si>
  <si>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</si>
  <si>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</si>
  <si>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</si>
  <si>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</si>
  <si>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</si>
  <si>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</si>
  <si>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</si>
  <si>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</si>
  <si>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</si>
  <si>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</si>
  <si>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</si>
  <si>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</si>
  <si>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</si>
  <si>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</si>
  <si>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</si>
  <si>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</si>
  <si>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</si>
  <si>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</si>
  <si>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</si>
  <si>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</si>
  <si>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</si>
  <si>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</si>
  <si>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</si>
  <si>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</si>
  <si>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</si>
  <si>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</si>
  <si>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</si>
  <si>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</si>
  <si>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</si>
  <si>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</si>
  <si>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</si>
  <si>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</si>
  <si>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</si>
  <si>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</si>
  <si>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</si>
  <si>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</si>
  <si>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</si>
  <si>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</si>
  <si>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</si>
  <si>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</si>
  <si>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</si>
  <si>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</si>
  <si>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</si>
  <si>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</si>
  <si>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</si>
  <si>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</si>
  <si>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</si>
  <si>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</si>
  <si>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</si>
  <si>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</si>
  <si>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</si>
  <si>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</si>
  <si>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</si>
  <si>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</si>
  <si>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</si>
  <si>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</si>
  <si>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</si>
  <si>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</si>
  <si>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</si>
  <si>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</si>
  <si>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</si>
  <si>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</si>
  <si>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</si>
  <si>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</si>
  <si>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</si>
  <si>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</si>
  <si>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</si>
  <si>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</si>
  <si>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</si>
  <si>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</si>
  <si>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</si>
  <si>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</si>
  <si>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</si>
  <si>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</si>
  <si>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</si>
  <si>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</si>
  <si>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</si>
  <si>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</si>
  <si>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</si>
  <si>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</si>
  <si>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</si>
  <si>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</si>
  <si>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</si>
  <si>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</si>
  <si>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</si>
  <si>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</si>
  <si>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</si>
  <si>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</si>
  <si>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</si>
  <si>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</si>
  <si>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</si>
  <si>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</si>
  <si>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</si>
  <si>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</si>
  <si>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</si>
  <si>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</si>
  <si>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</si>
  <si>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</si>
  <si>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</si>
  <si>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</si>
  <si>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</si>
  <si>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</si>
  <si>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</si>
  <si>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</si>
  <si>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</si>
  <si>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</si>
  <si>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</si>
  <si>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</si>
  <si>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</si>
  <si>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</si>
  <si>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</si>
  <si>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</si>
  <si>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</si>
  <si>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</si>
  <si>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</si>
  <si>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</si>
  <si>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</si>
  <si>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</si>
  <si>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</si>
  <si>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</si>
  <si>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</si>
  <si>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</si>
  <si>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</si>
  <si>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</si>
  <si>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</si>
  <si>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</si>
  <si>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</si>
  <si>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</si>
  <si>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</si>
  <si>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</si>
  <si>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</si>
  <si>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</si>
  <si>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</si>
  <si>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</si>
  <si>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</si>
  <si>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</si>
  <si>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</si>
  <si>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</si>
  <si>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</si>
  <si>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</si>
  <si>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</si>
  <si>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</si>
  <si>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</si>
  <si>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</si>
  <si>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</si>
  <si>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</si>
  <si>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</si>
  <si>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</si>
  <si>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</si>
  <si>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</si>
  <si>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</si>
  <si>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</si>
  <si>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</si>
  <si>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</si>
  <si>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</si>
  <si>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</si>
  <si>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</si>
  <si>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</si>
  <si>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</si>
  <si>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</si>
  <si>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</si>
  <si>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</si>
  <si>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</si>
  <si>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</si>
  <si>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</si>
  <si>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</si>
  <si>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</si>
  <si>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</si>
  <si>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</si>
  <si>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</si>
  <si>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</si>
  <si>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</si>
  <si>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</si>
  <si>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</si>
  <si>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</si>
  <si>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</si>
  <si>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</si>
  <si>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</si>
  <si>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</si>
  <si>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</si>
  <si>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</si>
  <si>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</si>
  <si>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</si>
  <si>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</si>
  <si>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</si>
  <si>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</si>
  <si>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</si>
  <si>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</si>
  <si>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</si>
  <si>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</si>
  <si>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</si>
  <si>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</si>
  <si>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</si>
  <si>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</si>
  <si>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</si>
  <si>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</si>
  <si>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</si>
  <si>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</si>
  <si>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</si>
  <si>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</si>
  <si>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</si>
  <si>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</si>
  <si>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</si>
  <si>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</si>
  <si>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</si>
  <si>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</si>
  <si>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</si>
  <si>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</si>
  <si>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</si>
  <si>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</si>
  <si>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</si>
  <si>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</si>
  <si>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</si>
  <si>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</si>
  <si>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</si>
  <si>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</si>
  <si>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</si>
  <si>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</si>
  <si>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</si>
  <si>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</si>
  <si>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</si>
  <si>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</si>
  <si>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</si>
  <si>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</si>
  <si>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</si>
  <si>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</si>
  <si>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</si>
  <si>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</si>
  <si>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</si>
  <si>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</si>
  <si>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</si>
  <si>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</si>
  <si>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</si>
  <si>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</si>
  <si>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</si>
  <si>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</si>
  <si>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</si>
  <si>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</si>
  <si>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</si>
  <si>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</si>
  <si>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</si>
  <si>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</si>
  <si>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</si>
  <si>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</si>
  <si>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</si>
  <si>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</si>
  <si>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</si>
  <si>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</si>
  <si>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</si>
  <si>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</si>
  <si>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</si>
  <si>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</si>
  <si>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</si>
  <si>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</si>
  <si>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</si>
  <si>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</si>
  <si>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</si>
  <si>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</si>
  <si>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</si>
  <si>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</si>
  <si>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</si>
  <si>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</si>
  <si>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</si>
  <si>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</si>
  <si>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</si>
  <si>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</si>
  <si>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</si>
  <si>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</si>
  <si>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</si>
  <si>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</si>
  <si>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</si>
  <si>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</si>
  <si>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</si>
  <si>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</si>
  <si>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</si>
  <si>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</si>
  <si>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</si>
  <si>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</si>
  <si>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</si>
  <si>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</si>
  <si>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</si>
  <si>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</si>
  <si>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</si>
  <si>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</si>
  <si>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</si>
  <si>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</si>
  <si>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</si>
  <si>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</si>
  <si>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</si>
  <si>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</si>
  <si>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</si>
  <si>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</si>
  <si>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</si>
  <si>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</si>
  <si>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</si>
  <si>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</si>
  <si>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</si>
  <si>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</si>
  <si>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</si>
  <si>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</si>
  <si>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</si>
  <si>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</si>
  <si>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</si>
  <si>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</si>
  <si>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</si>
  <si>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</si>
  <si>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</si>
  <si>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</si>
  <si>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</si>
  <si>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</si>
  <si>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</si>
  <si>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</si>
  <si>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</si>
  <si>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</si>
  <si>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</si>
  <si>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</si>
  <si>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</si>
  <si>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</si>
  <si>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</si>
  <si>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</si>
  <si>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</si>
  <si>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</si>
  <si>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</si>
  <si>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</si>
  <si>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</si>
  <si>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</si>
  <si>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</si>
  <si>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</si>
  <si>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</si>
  <si>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</si>
  <si>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</si>
  <si>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</si>
  <si>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</si>
  <si>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</si>
  <si>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</si>
  <si>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</si>
  <si>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</si>
  <si>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</si>
  <si>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</si>
  <si>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</si>
  <si>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</si>
  <si>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</si>
  <si>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</si>
  <si>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</si>
  <si>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</si>
  <si>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</si>
  <si>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</si>
  <si>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</si>
  <si>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</si>
  <si>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</si>
  <si>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</si>
  <si>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</si>
  <si>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</si>
  <si>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</si>
  <si>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</si>
  <si>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</si>
  <si>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</si>
  <si>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</si>
  <si>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</si>
  <si>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</si>
  <si>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</si>
  <si>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</si>
  <si>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</si>
  <si>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</si>
  <si>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</si>
  <si>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</si>
  <si>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</si>
  <si>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</si>
  <si>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</si>
  <si>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</si>
  <si>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</si>
  <si>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</si>
  <si>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</si>
  <si>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</si>
  <si>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</si>
  <si>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</si>
  <si>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</si>
  <si>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</si>
  <si>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</si>
  <si>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</si>
  <si>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</si>
  <si>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</si>
  <si>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</si>
  <si>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</si>
  <si>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</si>
  <si>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</si>
  <si>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</si>
  <si>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</si>
  <si>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</si>
  <si>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</si>
  <si>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</si>
  <si>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</si>
  <si>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</si>
  <si>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</si>
  <si>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</si>
  <si>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</si>
  <si>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</si>
  <si>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</si>
  <si>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</si>
  <si>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</si>
  <si>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</si>
  <si>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</si>
  <si>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</si>
  <si>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</si>
  <si>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</si>
  <si>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</si>
  <si>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</si>
  <si>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</si>
  <si>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</si>
  <si>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</si>
  <si>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</si>
  <si>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</si>
  <si>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</si>
  <si>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</si>
  <si>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</si>
  <si>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</si>
  <si>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</si>
  <si>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</si>
  <si>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</si>
  <si>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</si>
  <si>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</si>
  <si>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</si>
  <si>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</si>
  <si>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</si>
  <si>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</si>
  <si>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</si>
  <si>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</si>
  <si>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</si>
  <si>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</si>
  <si>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</si>
  <si>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</si>
  <si>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</si>
  <si>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</si>
  <si>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</si>
  <si>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</si>
  <si>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</si>
  <si>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</si>
  <si>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</si>
  <si>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</si>
  <si>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</si>
  <si>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</si>
  <si>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</si>
  <si>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</si>
  <si>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</si>
  <si>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</si>
  <si>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</si>
  <si>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</si>
  <si>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</si>
  <si>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</si>
  <si>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</si>
  <si>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</si>
  <si>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</si>
  <si>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</si>
  <si>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</si>
  <si>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</si>
  <si>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</si>
  <si>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</si>
  <si>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</si>
  <si>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</si>
  <si>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</si>
  <si>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</si>
  <si>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</si>
  <si>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</si>
  <si>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</si>
  <si>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</si>
  <si>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</si>
  <si>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</si>
  <si>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</si>
  <si>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</si>
  <si>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</si>
  <si>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</si>
  <si>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</si>
  <si>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</si>
  <si>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</si>
  <si>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</si>
  <si>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</si>
  <si>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</si>
  <si>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</si>
  <si>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</si>
  <si>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</si>
  <si>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</si>
  <si>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</si>
  <si>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</si>
  <si>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</si>
  <si>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</si>
  <si>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</si>
  <si>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</si>
  <si>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</si>
  <si>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</si>
  <si>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</si>
  <si>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</si>
  <si>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</si>
  <si>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</si>
  <si>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</si>
  <si>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</si>
  <si>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</si>
  <si>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</si>
  <si>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</si>
  <si>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</si>
  <si>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</si>
  <si>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</si>
  <si>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</si>
  <si>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</si>
  <si>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</si>
  <si>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</si>
  <si>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</si>
  <si>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</si>
  <si>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</si>
  <si>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</si>
  <si>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</si>
  <si>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</si>
  <si>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</si>
  <si>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</si>
  <si>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</si>
  <si>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</si>
  <si>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</si>
  <si>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</si>
  <si>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</si>
  <si>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</si>
  <si>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</si>
  <si>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</si>
  <si>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</si>
  <si>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</si>
  <si>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</si>
  <si>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</si>
  <si>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</si>
  <si>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</si>
  <si>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</si>
  <si>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</si>
  <si>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</si>
  <si>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</si>
  <si>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</si>
  <si>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</si>
  <si>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</si>
  <si>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</si>
  <si>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</si>
  <si>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</si>
  <si>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</si>
  <si>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</si>
  <si>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</si>
  <si>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</si>
  <si>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</si>
  <si>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</si>
  <si>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</si>
  <si>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</si>
  <si>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</si>
  <si>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</si>
  <si>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</si>
  <si>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</si>
  <si>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</si>
  <si>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</si>
  <si>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</si>
  <si>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</si>
  <si>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</si>
  <si>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</si>
  <si>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</si>
  <si>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</si>
  <si>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</si>
  <si>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</si>
  <si>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</si>
  <si>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</si>
  <si>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</si>
  <si>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</si>
  <si>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</si>
  <si>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</si>
  <si>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</si>
  <si>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</si>
  <si>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</si>
  <si>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</si>
  <si>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</si>
  <si>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</si>
  <si>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</si>
  <si>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</si>
  <si>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</si>
  <si>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</si>
  <si>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</si>
  <si>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</si>
  <si>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</si>
  <si>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</si>
  <si>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</si>
  <si>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</si>
  <si>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</si>
  <si>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</si>
  <si>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</si>
  <si>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</si>
  <si>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</si>
  <si>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</si>
  <si>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</si>
  <si>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</si>
  <si>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</si>
  <si>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</si>
  <si>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</si>
  <si>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</si>
  <si>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</si>
  <si>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</si>
  <si>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</si>
  <si>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</si>
  <si>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</si>
  <si>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</si>
  <si>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</si>
  <si>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</si>
  <si>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</si>
  <si>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</si>
  <si>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</si>
  <si>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</si>
  <si>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</si>
  <si>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</si>
  <si>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</si>
  <si>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</si>
  <si>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</si>
  <si>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</si>
  <si>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</si>
  <si>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</si>
  <si>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</si>
  <si>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</si>
  <si>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</si>
  <si>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</si>
  <si>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</si>
  <si>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</si>
  <si>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</si>
  <si>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</si>
  <si>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</si>
  <si>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</si>
  <si>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</si>
  <si>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</si>
  <si>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</si>
  <si>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</si>
  <si>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</si>
  <si>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</si>
  <si>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</si>
  <si>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</si>
  <si>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</si>
  <si>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</si>
  <si>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</si>
  <si>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</si>
  <si>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</si>
  <si>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</si>
  <si>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</si>
  <si>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</si>
  <si>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</si>
  <si>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</si>
  <si>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</si>
  <si>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</si>
  <si>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</si>
  <si>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</si>
  <si>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</si>
  <si>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</si>
  <si>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</si>
  <si>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</si>
  <si>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</si>
  <si>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</si>
  <si>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</si>
  <si>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</si>
  <si>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</si>
  <si>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</si>
  <si>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</si>
  <si>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</si>
  <si>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</si>
  <si>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</si>
  <si>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</si>
  <si>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</si>
  <si>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</si>
  <si>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</si>
  <si>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</si>
  <si>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</si>
  <si>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</si>
  <si>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</si>
  <si>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</si>
  <si>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</si>
  <si>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</si>
  <si>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</si>
  <si>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</si>
  <si>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</si>
  <si>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</si>
  <si>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</si>
  <si>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</si>
  <si>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</si>
  <si>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</si>
  <si>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</si>
  <si>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</si>
  <si>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</si>
  <si>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</si>
  <si>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</si>
  <si>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</si>
  <si>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</si>
  <si>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</si>
  <si>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</si>
  <si>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</si>
  <si>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</si>
  <si>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</si>
  <si>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</si>
  <si>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</si>
  <si>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</si>
  <si>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</si>
  <si>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</si>
  <si>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</si>
  <si>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</si>
  <si>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</si>
  <si>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</si>
  <si>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</si>
  <si>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</si>
  <si>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</si>
  <si>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</si>
  <si>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</si>
  <si>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</si>
  <si>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</si>
  <si>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</si>
  <si>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</si>
  <si>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</si>
  <si>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</si>
  <si>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</si>
  <si>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</si>
  <si>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</si>
  <si>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</si>
  <si>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</si>
  <si>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</si>
  <si>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</si>
  <si>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</si>
  <si>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</si>
  <si>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</si>
  <si>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</si>
  <si>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</si>
  <si>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</si>
  <si>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</si>
  <si>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</si>
  <si>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</si>
  <si>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</si>
  <si>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</si>
  <si>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</si>
  <si>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</si>
  <si>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</si>
  <si>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</si>
  <si>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</si>
  <si>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</si>
  <si>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</si>
  <si>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</si>
  <si>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</si>
  <si>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</si>
  <si>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</si>
  <si>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</si>
  <si>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</si>
  <si>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</si>
  <si>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</si>
  <si>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</si>
  <si>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</si>
  <si>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</si>
  <si>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</si>
  <si>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</si>
  <si>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</si>
  <si>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</si>
  <si>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</si>
  <si>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</si>
  <si>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</si>
  <si>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</si>
  <si>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</si>
  <si>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</si>
  <si>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</si>
  <si>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</si>
  <si>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</si>
  <si>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</si>
  <si>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</si>
  <si>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</si>
  <si>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</si>
  <si>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</si>
  <si>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</si>
  <si>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</si>
  <si>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</si>
  <si>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</si>
  <si>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</si>
  <si>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</si>
  <si>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</si>
  <si>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</si>
  <si>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</si>
  <si>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</si>
  <si>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</si>
  <si>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</si>
  <si>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</si>
  <si>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</si>
  <si>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</si>
  <si>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</si>
  <si>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</si>
  <si>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</si>
  <si>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</si>
  <si>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</si>
  <si>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</si>
  <si>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</si>
  <si>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</si>
  <si>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</si>
  <si>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</si>
  <si>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</si>
  <si>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</si>
  <si>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</si>
  <si>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</si>
  <si>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</si>
  <si>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</si>
  <si>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</si>
  <si>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</si>
  <si>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</si>
  <si>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</si>
  <si>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</si>
  <si>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</si>
  <si>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</si>
  <si>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</si>
  <si>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</si>
  <si>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</si>
  <si>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</si>
  <si>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</si>
  <si>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</si>
  <si>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</si>
  <si>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</si>
  <si>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</si>
  <si>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</si>
  <si>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</si>
  <si>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</si>
  <si>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</si>
  <si>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</si>
  <si>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</si>
  <si>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</si>
  <si>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</si>
  <si>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</si>
  <si>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</si>
  <si>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</si>
  <si>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</si>
  <si>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</si>
  <si>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</si>
  <si>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</si>
  <si>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</si>
  <si>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</si>
  <si>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</si>
  <si>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</si>
  <si>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</si>
  <si>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</si>
  <si>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</si>
  <si>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</si>
  <si>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</si>
  <si>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</si>
  <si>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</si>
  <si>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</si>
  <si>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</si>
  <si>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</si>
  <si>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</si>
  <si>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</si>
  <si>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</si>
  <si>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</si>
  <si>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</si>
  <si>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</si>
  <si>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</si>
  <si>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</si>
  <si>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</si>
  <si>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</si>
  <si>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</si>
  <si>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</si>
  <si>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</si>
  <si>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</si>
  <si>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</si>
  <si>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</si>
  <si>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</si>
  <si>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</si>
  <si>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</si>
  <si>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</si>
  <si>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</si>
  <si>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</si>
  <si>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</si>
  <si>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</si>
  <si>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</si>
  <si>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</si>
  <si>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</si>
  <si>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</si>
  <si>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</si>
  <si>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</si>
  <si>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</si>
  <si>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</si>
  <si>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</si>
  <si>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</si>
  <si>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</si>
  <si>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</si>
  <si>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</si>
  <si>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</si>
  <si>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</si>
  <si>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</si>
  <si>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</si>
  <si>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</si>
  <si>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</si>
  <si>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</si>
  <si>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</si>
  <si>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</si>
  <si>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</si>
  <si>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</si>
  <si>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</si>
  <si>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</si>
  <si>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</si>
  <si>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</si>
  <si>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</si>
  <si>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</si>
  <si>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</si>
  <si>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</si>
  <si>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</si>
  <si>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</si>
  <si>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</si>
  <si>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</si>
  <si>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</si>
  <si>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</si>
  <si>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</si>
  <si>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</si>
  <si>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</si>
  <si>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</si>
  <si>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</si>
  <si>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</si>
  <si>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</si>
  <si>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</si>
  <si>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</si>
  <si>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</si>
  <si>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</si>
  <si>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</si>
  <si>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</si>
  <si>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</si>
  <si>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</si>
  <si>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</si>
  <si>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</si>
  <si>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</si>
  <si>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</si>
  <si>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</si>
  <si>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</si>
  <si>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</si>
  <si>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</si>
  <si>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</si>
  <si>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</si>
  <si>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</si>
  <si>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</si>
  <si>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</si>
  <si>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</si>
  <si>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</si>
  <si>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</si>
  <si>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</si>
  <si>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</si>
  <si>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</si>
  <si>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</si>
  <si>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</si>
  <si>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</si>
  <si>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</si>
  <si>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</si>
  <si>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</si>
  <si>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</si>
  <si>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</si>
  <si>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</si>
  <si>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</si>
  <si>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</si>
  <si>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</si>
  <si>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</si>
  <si>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</si>
  <si>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</si>
  <si>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</si>
  <si>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</si>
  <si>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</si>
  <si>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</si>
  <si>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</si>
  <si>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</si>
  <si>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</si>
  <si>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</si>
  <si>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</si>
  <si>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</si>
  <si>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</si>
  <si>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</si>
  <si>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</si>
  <si>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</si>
  <si>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</si>
  <si>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</si>
  <si>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</si>
  <si>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</si>
  <si>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</si>
  <si>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</si>
  <si>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</si>
  <si>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</si>
  <si>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</si>
  <si>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</si>
  <si>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</si>
  <si>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</si>
  <si>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</si>
  <si>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</si>
  <si>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</si>
  <si>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</si>
  <si>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</si>
  <si>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</si>
  <si>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</si>
  <si>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</si>
  <si>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</si>
  <si>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</si>
  <si>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</si>
  <si>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</si>
  <si>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</si>
  <si>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</si>
  <si>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</si>
  <si>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</si>
  <si>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</si>
  <si>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</si>
  <si>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</si>
  <si>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</si>
  <si>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</si>
  <si>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</si>
  <si>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</si>
  <si>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</si>
  <si>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</si>
  <si>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</si>
  <si>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</si>
  <si>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</si>
  <si>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</si>
  <si>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</si>
  <si>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</si>
  <si>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</si>
  <si>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</si>
  <si>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</si>
  <si>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</si>
  <si>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</si>
  <si>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</si>
  <si>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</si>
  <si>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</si>
  <si>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</si>
  <si>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</si>
  <si>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</si>
  <si>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</si>
  <si>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</si>
  <si>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</si>
  <si>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</si>
  <si>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</si>
  <si>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</si>
  <si>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</si>
  <si>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</si>
  <si>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</si>
  <si>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</si>
  <si>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</si>
  <si>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</si>
  <si>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</si>
  <si>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</si>
  <si>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</si>
  <si>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</si>
  <si>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</si>
  <si>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</si>
  <si>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</si>
  <si>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</si>
  <si>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</si>
  <si>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</si>
  <si>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</si>
  <si>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</si>
  <si>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</si>
  <si>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</si>
  <si>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</si>
  <si>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</si>
  <si>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</si>
  <si>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</si>
  <si>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</si>
  <si>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</si>
  <si>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</si>
  <si>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</si>
  <si>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</si>
  <si>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</si>
  <si>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</si>
  <si>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</si>
  <si>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</si>
  <si>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</si>
  <si>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</si>
  <si>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</si>
  <si>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</si>
  <si>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</si>
  <si>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</si>
  <si>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</si>
  <si>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</si>
  <si>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</si>
  <si>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</si>
  <si>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</si>
  <si>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</si>
  <si>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</si>
  <si>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</si>
  <si>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</si>
  <si>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</si>
  <si>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</si>
  <si>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</si>
  <si>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</si>
  <si>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</si>
  <si>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</si>
  <si>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</si>
  <si>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</si>
  <si>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</si>
  <si>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</si>
  <si>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</si>
  <si>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</si>
  <si>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</si>
  <si>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</si>
  <si>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</si>
  <si>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</si>
  <si>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</si>
  <si>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</si>
  <si>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</si>
  <si>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</si>
  <si>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</si>
  <si>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</si>
  <si>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</si>
  <si>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</si>
  <si>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</si>
  <si>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</si>
  <si>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</si>
  <si>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</si>
  <si>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</si>
  <si>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</si>
  <si>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</si>
  <si>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</si>
  <si>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</si>
  <si>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</si>
  <si>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</si>
  <si>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</si>
  <si>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</si>
  <si>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</si>
  <si>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</si>
  <si>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</si>
  <si>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</si>
  <si>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</si>
  <si>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</si>
  <si>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</si>
  <si>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</si>
  <si>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</si>
  <si>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</si>
  <si>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</si>
  <si>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</si>
  <si>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</si>
  <si>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</si>
  <si>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</si>
  <si>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</si>
  <si>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</si>
  <si>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</si>
  <si>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</si>
  <si>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</si>
  <si>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</si>
  <si>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</si>
  <si>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</si>
  <si>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</si>
  <si>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</si>
  <si>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</si>
  <si>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</si>
  <si>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</si>
  <si>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</si>
  <si>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</si>
  <si>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</si>
  <si>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</si>
  <si>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</si>
  <si>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</si>
  <si>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</si>
  <si>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</si>
  <si>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</si>
  <si>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</si>
  <si>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</si>
  <si>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</si>
  <si>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</si>
  <si>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</si>
  <si>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</si>
  <si>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</si>
  <si>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</si>
  <si>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</si>
  <si>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</si>
  <si>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</si>
  <si>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</si>
  <si>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</si>
  <si>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</si>
  <si>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</si>
  <si>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</si>
  <si>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</si>
  <si>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</si>
  <si>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</si>
  <si>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</si>
  <si>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</si>
  <si>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</si>
  <si>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</si>
  <si>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</si>
  <si>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</si>
  <si>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</si>
  <si>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</si>
  <si>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</si>
  <si>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</si>
  <si>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</si>
  <si>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</si>
  <si>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</si>
  <si>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</si>
  <si>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</si>
  <si>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</si>
  <si>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</si>
  <si>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</si>
  <si>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</si>
  <si>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</si>
  <si>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</si>
  <si>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</si>
  <si>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</si>
  <si>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</si>
  <si>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</si>
  <si>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</si>
  <si>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</si>
  <si>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</si>
  <si>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</si>
  <si>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</si>
  <si>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</si>
  <si>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</si>
  <si>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</si>
  <si>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</si>
  <si>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</si>
  <si>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</si>
  <si>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</si>
  <si>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</si>
  <si>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</si>
  <si>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</si>
  <si>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</si>
  <si>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</si>
  <si>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</si>
  <si>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</si>
  <si>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</si>
  <si>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</si>
  <si>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</si>
  <si>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</si>
  <si>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</si>
  <si>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</si>
  <si>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</si>
  <si>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</si>
  <si>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</si>
  <si>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</si>
  <si>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</si>
  <si>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</si>
  <si>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</si>
  <si>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</si>
  <si>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</si>
  <si>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</si>
  <si>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</si>
  <si>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</si>
  <si>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</si>
  <si>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</si>
  <si>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</si>
  <si>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</si>
  <si>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</si>
  <si>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</si>
  <si>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</si>
  <si>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</si>
  <si>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</si>
  <si>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</si>
  <si>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</si>
  <si>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</si>
  <si>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</si>
  <si>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</si>
  <si>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</si>
  <si>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</si>
  <si>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</si>
  <si>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</si>
  <si>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</si>
  <si>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</si>
  <si>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</si>
  <si>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</si>
  <si>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</si>
  <si>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</si>
  <si>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</si>
  <si>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</si>
  <si>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</si>
  <si>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</si>
  <si>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</si>
  <si>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</si>
  <si>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</si>
  <si>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</si>
  <si>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</si>
  <si>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</si>
  <si>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</si>
  <si>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</si>
  <si>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</si>
  <si>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</si>
  <si>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</si>
  <si>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</si>
  <si>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</si>
  <si>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</si>
  <si>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</si>
  <si>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</si>
  <si>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</si>
  <si>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</si>
  <si>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</si>
  <si>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</si>
  <si>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</si>
  <si>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</si>
  <si>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</si>
  <si>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</si>
  <si>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</si>
  <si>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</si>
  <si>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</si>
  <si>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</si>
  <si>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</si>
  <si>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</si>
  <si>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</si>
  <si>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</si>
  <si>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</si>
  <si>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</si>
  <si>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</si>
  <si>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</si>
  <si>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</si>
  <si>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</si>
  <si>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</si>
  <si>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</si>
  <si>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</si>
  <si>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</si>
  <si>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</si>
  <si>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</si>
  <si>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</si>
  <si>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</si>
  <si>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</si>
  <si>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</si>
  <si>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</si>
  <si>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</si>
  <si>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</si>
  <si>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</si>
  <si>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</si>
  <si>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</si>
  <si>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</si>
  <si>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</si>
  <si>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</si>
  <si>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</si>
  <si>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</si>
  <si>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</si>
  <si>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</si>
  <si>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</si>
  <si>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</si>
  <si>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</si>
  <si>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</si>
  <si>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</si>
  <si>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</si>
  <si>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</si>
  <si>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</si>
  <si>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</si>
  <si>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</si>
  <si>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</si>
  <si>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</si>
  <si>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</si>
  <si>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</si>
  <si>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</si>
  <si>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</si>
  <si>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</si>
  <si>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</si>
  <si>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</si>
  <si>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</si>
  <si>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</si>
  <si>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</si>
  <si>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</si>
  <si>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</si>
  <si>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</si>
  <si>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</si>
  <si>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</si>
  <si>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</si>
  <si>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</si>
  <si>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</si>
  <si>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</si>
  <si>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</si>
  <si>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</si>
  <si>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</si>
  <si>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</si>
  <si>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</si>
  <si>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</si>
  <si>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</si>
  <si>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</si>
  <si>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</si>
  <si>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</si>
  <si>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</si>
  <si>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</si>
  <si>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</si>
  <si>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</si>
  <si>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</si>
  <si>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</si>
  <si>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</si>
  <si>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</si>
  <si>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</si>
  <si>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</si>
  <si>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</si>
  <si>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</si>
  <si>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</si>
  <si>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</si>
  <si>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</si>
  <si>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</si>
  <si>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</si>
  <si>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</si>
  <si>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</si>
  <si>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</si>
  <si>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</si>
  <si>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</si>
  <si>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</si>
  <si>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</si>
  <si>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</si>
  <si>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</si>
  <si>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</si>
  <si>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</si>
  <si>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</si>
  <si>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</si>
  <si>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</si>
  <si>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</si>
  <si>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</si>
  <si>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</si>
  <si>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</si>
  <si>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</si>
  <si>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</si>
  <si>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</si>
  <si>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</si>
  <si>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</si>
  <si>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</si>
  <si>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</si>
  <si>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</si>
  <si>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</si>
  <si>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</si>
  <si>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</si>
  <si>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</si>
  <si>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</si>
  <si>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</si>
  <si>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</si>
  <si>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</si>
  <si>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</si>
  <si>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</si>
  <si>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</si>
  <si>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</si>
  <si>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</si>
  <si>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</si>
  <si>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</si>
  <si>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</si>
  <si>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</si>
  <si>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</si>
  <si>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</si>
  <si>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</si>
  <si>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</si>
  <si>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</si>
  <si>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</si>
  <si>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</si>
  <si>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</si>
  <si>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</si>
  <si>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</si>
  <si>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</si>
  <si>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</si>
  <si>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</si>
  <si>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</si>
  <si>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</si>
  <si>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</si>
  <si>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</si>
  <si>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</si>
  <si>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</si>
  <si>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</si>
  <si>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</si>
  <si>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</si>
  <si>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</si>
  <si>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</si>
  <si>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</si>
  <si>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</si>
  <si>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</si>
  <si>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</si>
  <si>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</si>
  <si>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</si>
  <si>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</si>
  <si>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</si>
  <si>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</si>
  <si>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</si>
  <si>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</si>
  <si>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</si>
  <si>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</si>
  <si>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</si>
  <si>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</si>
  <si>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</si>
  <si>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</si>
  <si>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</si>
  <si>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</si>
  <si>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</si>
  <si>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</si>
  <si>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</si>
  <si>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</si>
  <si>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</si>
  <si>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</si>
  <si>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</si>
  <si>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</si>
  <si>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</si>
  <si>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</si>
  <si>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</si>
  <si>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</si>
  <si>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</si>
  <si>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</si>
  <si>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</si>
  <si>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</si>
  <si>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</si>
  <si>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</si>
  <si>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</si>
  <si>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</si>
  <si>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</si>
  <si>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</si>
  <si>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</si>
  <si>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</si>
  <si>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</si>
  <si>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</si>
  <si>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</si>
  <si>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</si>
  <si>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</si>
  <si>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</si>
  <si>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</si>
  <si>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</si>
  <si>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</si>
  <si>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</si>
  <si>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</si>
  <si>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</si>
  <si>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</si>
  <si>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</si>
  <si>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</si>
  <si>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</si>
  <si>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</si>
  <si>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</si>
  <si>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</si>
  <si>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</si>
  <si>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</si>
  <si>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</si>
  <si>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</si>
  <si>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</si>
  <si>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</si>
  <si>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</si>
  <si>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</si>
  <si>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</si>
  <si>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</si>
  <si>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</si>
  <si>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</si>
  <si>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</si>
  <si>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</si>
  <si>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</si>
  <si>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</si>
  <si>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</si>
  <si>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</si>
  <si>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</si>
  <si>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</si>
  <si>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</si>
  <si>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</si>
  <si>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</si>
  <si>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</si>
  <si>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</si>
  <si>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</si>
  <si>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</si>
  <si>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</si>
  <si>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</si>
  <si>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</si>
  <si>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</si>
  <si>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</si>
  <si>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</si>
  <si>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</si>
  <si>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</si>
  <si>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</si>
  <si>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</si>
  <si>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</si>
  <si>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</si>
  <si>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</si>
  <si>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</si>
  <si>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</si>
  <si>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</si>
  <si>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</si>
  <si>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</si>
  <si>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</si>
  <si>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</si>
  <si>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</si>
  <si>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</si>
  <si>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</si>
  <si>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</si>
  <si>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</si>
  <si>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</si>
  <si>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</si>
  <si>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</si>
  <si>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</si>
  <si>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</si>
  <si>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</si>
  <si>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</si>
  <si>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</si>
  <si>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</si>
  <si>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</si>
  <si>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</si>
  <si>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</si>
  <si>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</si>
  <si>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</si>
  <si>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</si>
  <si>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</si>
  <si>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</si>
  <si>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</si>
  <si>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</si>
  <si>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</si>
  <si>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</si>
  <si>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</si>
  <si>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</si>
  <si>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</si>
  <si>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</si>
  <si>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</si>
  <si>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</si>
  <si>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</si>
  <si>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</si>
  <si>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</si>
  <si>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</si>
  <si>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</si>
  <si>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</si>
  <si>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</si>
  <si>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</si>
  <si>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</si>
  <si>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</si>
  <si>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</si>
  <si>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</si>
  <si>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</si>
  <si>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</si>
  <si>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</si>
  <si>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</si>
  <si>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</si>
  <si>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</si>
  <si>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</si>
  <si>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</si>
  <si>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</si>
  <si>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</si>
  <si>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</si>
  <si>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</si>
  <si>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</si>
  <si>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</si>
  <si>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</si>
  <si>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</si>
  <si>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</si>
  <si>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</si>
  <si>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</si>
  <si>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</si>
  <si>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</si>
  <si>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</si>
  <si>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</si>
  <si>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</si>
  <si>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</si>
  <si>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</si>
  <si>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</si>
  <si>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</si>
  <si>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</si>
  <si>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</si>
  <si>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</si>
  <si>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</si>
  <si>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</si>
  <si>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</si>
  <si>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</si>
  <si>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</si>
  <si>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</si>
  <si>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</si>
  <si>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</si>
  <si>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</si>
  <si>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</si>
  <si>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</si>
  <si>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</si>
  <si>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</si>
  <si>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</si>
  <si>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</si>
  <si>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</si>
  <si>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</si>
  <si>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</si>
  <si>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</si>
  <si>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</si>
  <si>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</si>
  <si>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</si>
  <si>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</si>
  <si>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</si>
  <si>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</si>
  <si>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</si>
  <si>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</si>
  <si>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</si>
  <si>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</si>
  <si>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</si>
  <si>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</si>
  <si>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</si>
  <si>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</si>
  <si>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</si>
  <si>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</si>
  <si>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</si>
  <si>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</si>
  <si>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</si>
  <si>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</si>
  <si>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</si>
  <si>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</si>
  <si>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</si>
  <si>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</si>
  <si>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</si>
  <si>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</si>
  <si>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</si>
  <si>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</si>
  <si>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</si>
  <si>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</si>
  <si>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</si>
  <si>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</si>
  <si>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</si>
  <si>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</si>
  <si>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</si>
  <si>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</si>
  <si>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</si>
  <si>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</si>
  <si>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</si>
  <si>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</si>
  <si>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</si>
  <si>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</si>
  <si>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</si>
  <si>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</si>
  <si>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</si>
  <si>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</si>
  <si>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</si>
  <si>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</si>
  <si>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</si>
  <si>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</si>
  <si>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</si>
  <si>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</si>
  <si>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</si>
  <si>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</si>
  <si>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</si>
  <si>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</si>
  <si>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</si>
  <si>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</si>
  <si>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</si>
  <si>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</si>
  <si>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</si>
  <si>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</si>
  <si>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</si>
  <si>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</si>
  <si>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</si>
  <si>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</si>
  <si>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</si>
  <si>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</si>
  <si>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</si>
  <si>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</si>
  <si>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</si>
  <si>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</si>
  <si>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</si>
  <si>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</si>
  <si>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</si>
  <si>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</si>
  <si>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</si>
  <si>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</si>
  <si>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</si>
  <si>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</si>
  <si>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</si>
  <si>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</si>
  <si>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</si>
  <si>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</si>
  <si>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</si>
  <si>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</si>
  <si>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</si>
  <si>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</si>
  <si>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</si>
  <si>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</si>
  <si>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</si>
  <si>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</si>
  <si>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</si>
  <si>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</si>
  <si>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</si>
  <si>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</si>
  <si>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</si>
  <si>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</si>
  <si>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</si>
  <si>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</si>
  <si>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</si>
  <si>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</si>
  <si>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</si>
  <si>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</si>
  <si>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</si>
  <si>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</si>
  <si>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</si>
  <si>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</si>
  <si>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</si>
  <si>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</si>
  <si>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</si>
  <si>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</si>
  <si>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</si>
  <si>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</si>
  <si>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</si>
  <si>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</si>
  <si>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</si>
  <si>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</si>
  <si>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</si>
  <si>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</si>
  <si>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</si>
  <si>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</si>
  <si>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</si>
  <si>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</si>
  <si>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</si>
  <si>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</si>
  <si>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</si>
  <si>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</si>
  <si>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</si>
  <si>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</si>
  <si>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</si>
  <si>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</si>
  <si>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</si>
  <si>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</si>
  <si>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</si>
  <si>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</si>
  <si>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</si>
  <si>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</si>
  <si>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</si>
  <si>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</si>
  <si>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</si>
  <si>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</si>
  <si>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</si>
  <si>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</si>
  <si>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</si>
  <si>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</si>
  <si>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</si>
  <si>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</si>
  <si>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</si>
  <si>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</si>
  <si>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</si>
  <si>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</si>
  <si>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</si>
  <si>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</si>
  <si>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</si>
  <si>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</si>
  <si>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</si>
  <si>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</si>
  <si>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</si>
  <si>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</si>
  <si>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</si>
  <si>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</si>
  <si>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</si>
  <si>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</si>
  <si>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</si>
  <si>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</si>
  <si>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</si>
  <si>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</si>
  <si>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</si>
  <si>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</si>
  <si>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</si>
  <si>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</si>
  <si>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</si>
  <si>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</si>
  <si>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</si>
  <si>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</si>
  <si>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</si>
  <si>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</si>
  <si>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</si>
  <si>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</si>
  <si>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</si>
  <si>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</si>
  <si>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</si>
  <si>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</si>
  <si>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</si>
  <si>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</si>
  <si>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</si>
  <si>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</si>
  <si>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</si>
  <si>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</si>
  <si>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</si>
  <si>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</si>
  <si>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</si>
  <si>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</si>
  <si>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</si>
  <si>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</si>
  <si>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</si>
  <si>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</si>
  <si>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</si>
  <si>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</si>
  <si>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</si>
  <si>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</si>
  <si>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</si>
  <si>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</si>
  <si>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</si>
  <si>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</si>
  <si>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</si>
  <si>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</si>
  <si>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</si>
  <si>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</si>
  <si>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</si>
  <si>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</si>
  <si>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</si>
  <si>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</si>
  <si>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</si>
  <si>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</si>
  <si>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</si>
  <si>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</si>
  <si>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</si>
  <si>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</si>
  <si>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</si>
  <si>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</si>
  <si>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</si>
  <si>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</si>
  <si>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</si>
  <si>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</si>
  <si>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</si>
  <si>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</si>
  <si>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</si>
  <si>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</si>
  <si>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</si>
  <si>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</si>
  <si>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</si>
  <si>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</si>
  <si>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</si>
  <si>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</si>
  <si>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</si>
  <si>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</si>
  <si>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</si>
  <si>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</si>
  <si>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</si>
  <si>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</si>
  <si>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</si>
  <si>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</si>
  <si>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</si>
  <si>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</si>
  <si>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</si>
  <si>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</si>
  <si>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</si>
  <si>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</si>
  <si>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</si>
  <si>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</si>
  <si>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</si>
  <si>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</si>
  <si>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</si>
  <si>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</si>
  <si>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</si>
  <si>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</si>
  <si>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</si>
  <si>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</si>
  <si>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</si>
  <si>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</si>
  <si>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</si>
  <si>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</si>
  <si>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</si>
  <si>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</si>
  <si>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</si>
  <si>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</si>
  <si>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</si>
  <si>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</si>
  <si>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</si>
  <si>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</si>
  <si>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</si>
  <si>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</si>
  <si>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</si>
  <si>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</si>
  <si>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</si>
  <si>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</si>
  <si>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</si>
  <si>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</si>
  <si>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</si>
  <si>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</si>
  <si>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</si>
  <si>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</si>
  <si>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</si>
  <si>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</si>
  <si>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</si>
  <si>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</si>
  <si>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</si>
  <si>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</si>
  <si>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</si>
  <si>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</si>
  <si>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</si>
  <si>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</si>
  <si>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</si>
  <si>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</si>
  <si>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</si>
  <si>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</si>
  <si>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</si>
  <si>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</si>
  <si>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</si>
  <si>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</si>
  <si>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</si>
  <si>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</si>
  <si>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</si>
  <si>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</si>
  <si>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</si>
  <si>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</si>
  <si>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</si>
  <si>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</si>
  <si>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</si>
  <si>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</si>
  <si>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</si>
  <si>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</si>
  <si>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</si>
  <si>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</si>
  <si>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</si>
  <si>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</si>
  <si>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</si>
  <si>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</si>
  <si>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</si>
  <si>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</si>
  <si>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</si>
  <si>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</si>
  <si>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</si>
  <si>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</si>
  <si>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</si>
  <si>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</si>
  <si>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</si>
  <si>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</si>
  <si>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</si>
  <si>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</si>
  <si>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</si>
  <si>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</si>
  <si>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</si>
  <si>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</si>
  <si>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</si>
  <si>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</si>
  <si>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</si>
  <si>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</si>
  <si>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</si>
  <si>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</si>
  <si>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</si>
  <si>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</si>
  <si>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</si>
  <si>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</si>
  <si>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</si>
  <si>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</si>
  <si>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</si>
  <si>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</si>
  <si>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</si>
  <si>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</si>
  <si>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</si>
  <si>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</si>
  <si>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</si>
  <si>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</si>
  <si>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</si>
  <si>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</si>
  <si>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</si>
  <si>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</si>
  <si>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</si>
  <si>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</si>
  <si>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</si>
  <si>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</si>
  <si>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</si>
  <si>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</si>
  <si>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</si>
  <si>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</si>
  <si>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</si>
  <si>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</si>
  <si>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</si>
  <si>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</si>
  <si>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</si>
  <si>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</si>
  <si>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</si>
  <si>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</si>
  <si>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</si>
  <si>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</si>
  <si>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</si>
  <si>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</si>
  <si>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</si>
  <si>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</si>
  <si>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</si>
  <si>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</si>
  <si>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</si>
  <si>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</si>
  <si>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</si>
  <si>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</si>
  <si>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</si>
  <si>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</si>
  <si>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</si>
  <si>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</si>
  <si>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</si>
  <si>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</si>
  <si>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</si>
  <si>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</si>
  <si>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</si>
  <si>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</si>
  <si>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</si>
  <si>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</si>
  <si>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</si>
  <si>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</si>
  <si>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</si>
  <si>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</si>
  <si>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</si>
  <si>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</si>
  <si>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</si>
  <si>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</si>
  <si>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</si>
  <si>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</si>
  <si>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</si>
  <si>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</si>
  <si>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</si>
  <si>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</si>
  <si>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</si>
  <si>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</si>
  <si>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</si>
  <si>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</si>
  <si>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</si>
  <si>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</si>
  <si>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</si>
  <si>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</si>
  <si>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</si>
  <si>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</si>
  <si>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</si>
  <si>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</si>
  <si>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</si>
  <si>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</si>
  <si>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</si>
  <si>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</si>
  <si>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</si>
  <si>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</si>
  <si>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</si>
  <si>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</si>
  <si>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</si>
  <si>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</si>
  <si>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</si>
  <si>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</si>
  <si>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</si>
  <si>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</si>
  <si>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</si>
  <si>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</si>
  <si>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</si>
  <si>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</si>
  <si>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</si>
  <si>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</si>
  <si>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</si>
  <si>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</si>
  <si>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</si>
  <si>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</si>
  <si>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</si>
  <si>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</si>
  <si>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</si>
  <si>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</si>
  <si>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</si>
  <si>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</si>
  <si>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</si>
  <si>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</si>
  <si>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</si>
  <si>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</si>
  <si>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</si>
  <si>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</si>
  <si>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</si>
  <si>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</si>
  <si>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</si>
  <si>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</si>
  <si>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</si>
  <si>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</si>
  <si>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</si>
  <si>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</si>
  <si>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</si>
  <si>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</si>
  <si>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</si>
  <si>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</si>
  <si>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</si>
  <si>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</si>
  <si>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</si>
  <si>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</si>
  <si>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</si>
  <si>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</si>
  <si>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</si>
  <si>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</si>
  <si>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</si>
  <si>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</si>
  <si>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</si>
  <si>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</si>
  <si>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</si>
  <si>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</si>
  <si>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</si>
  <si>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</si>
  <si>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</si>
  <si>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</si>
  <si>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</si>
  <si>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</si>
  <si>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</si>
  <si>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</si>
  <si>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</si>
  <si>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</si>
  <si>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</si>
  <si>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</si>
  <si>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</si>
  <si>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</si>
  <si>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</si>
  <si>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</si>
  <si>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</si>
  <si>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</si>
  <si>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</si>
  <si>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</si>
  <si>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</si>
  <si>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</si>
  <si>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</si>
  <si>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</si>
  <si>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</si>
  <si>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</si>
  <si>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</si>
  <si>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</si>
  <si>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</si>
  <si>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</si>
  <si>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</si>
  <si>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</si>
  <si>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</si>
  <si>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</si>
  <si>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</si>
  <si>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</si>
  <si>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</si>
  <si>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</si>
  <si>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</si>
  <si>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</si>
  <si>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</si>
  <si>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</si>
  <si>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</si>
  <si>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</si>
  <si>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</si>
  <si>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</si>
  <si>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</si>
  <si>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</si>
  <si>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</si>
  <si>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</si>
  <si>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</si>
  <si>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</si>
  <si>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</si>
  <si>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</si>
  <si>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</si>
  <si>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</si>
  <si>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</si>
  <si>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</si>
  <si>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</si>
  <si>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</si>
  <si>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</si>
  <si>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</si>
  <si>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</si>
  <si>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</si>
  <si>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</si>
  <si>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</si>
  <si>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</si>
  <si>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</si>
  <si>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</si>
  <si>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</si>
  <si>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</si>
  <si>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</si>
  <si>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</si>
  <si>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</si>
  <si>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</si>
  <si>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</si>
  <si>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</si>
  <si>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</si>
  <si>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</si>
  <si>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</si>
  <si>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</si>
  <si>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</si>
  <si>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</si>
  <si>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</si>
  <si>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</si>
  <si>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</si>
  <si>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</si>
  <si>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</si>
  <si>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</si>
  <si>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</si>
  <si>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</si>
  <si>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</si>
  <si>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</si>
  <si>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</si>
  <si>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</si>
  <si>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</si>
  <si>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</si>
  <si>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</si>
  <si>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</si>
  <si>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</si>
  <si>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</si>
  <si>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</si>
  <si>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</si>
  <si>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</si>
  <si>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</si>
  <si>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</si>
  <si>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</si>
  <si>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</si>
  <si>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</si>
  <si>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</si>
  <si>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</si>
  <si>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</si>
  <si>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</si>
  <si>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</si>
  <si>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</si>
  <si>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</si>
  <si>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</si>
  <si>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</si>
  <si>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</si>
  <si>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</si>
  <si>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</si>
  <si>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</si>
  <si>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</si>
  <si>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</si>
  <si>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</si>
  <si>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</si>
  <si>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</si>
  <si>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</si>
  <si>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</si>
  <si>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</si>
  <si>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</si>
  <si>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</si>
  <si>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</si>
  <si>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</si>
  <si>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</si>
  <si>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</si>
  <si>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</si>
  <si>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</si>
  <si>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</si>
  <si>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</si>
  <si>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</si>
  <si>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</si>
  <si>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</si>
  <si>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</si>
  <si>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</si>
  <si>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</si>
  <si>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</si>
  <si>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</si>
  <si>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</si>
  <si>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</si>
  <si>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</si>
  <si>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</si>
  <si>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</si>
  <si>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</si>
  <si>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</si>
  <si>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</si>
  <si>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</si>
  <si>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</si>
  <si>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</si>
  <si>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</si>
  <si>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</si>
  <si>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</si>
  <si>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</si>
  <si>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</si>
  <si>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</si>
  <si>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</si>
  <si>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</si>
  <si>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</si>
  <si>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</si>
  <si>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</si>
  <si>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</si>
  <si>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</si>
  <si>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</si>
  <si>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</si>
  <si>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</si>
  <si>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</si>
  <si>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</si>
  <si>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</si>
  <si>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</si>
  <si>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</si>
  <si>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</si>
  <si>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</si>
  <si>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</si>
  <si>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</si>
  <si>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</si>
  <si>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</si>
  <si>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</si>
  <si>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</si>
  <si>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</si>
  <si>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</si>
  <si>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</si>
  <si>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</si>
  <si>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</si>
  <si>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</si>
  <si>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</si>
  <si>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</si>
  <si>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</si>
  <si>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</si>
  <si>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</si>
  <si>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</si>
  <si>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</si>
  <si>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</si>
  <si>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</si>
  <si>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</si>
  <si>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</si>
  <si>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</si>
  <si>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</si>
  <si>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</si>
  <si>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</si>
  <si>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</si>
  <si>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</si>
  <si>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</si>
  <si>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</si>
  <si>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</si>
  <si>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</si>
  <si>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</si>
  <si>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</si>
  <si>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</si>
  <si>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</si>
  <si>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</si>
  <si>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</si>
  <si>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</si>
  <si>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</si>
  <si>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</si>
  <si>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</si>
  <si>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</si>
  <si>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</si>
  <si>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</si>
  <si>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</si>
  <si>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</si>
  <si>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</si>
  <si>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</si>
  <si>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</si>
  <si>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</si>
  <si>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</si>
  <si>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</si>
  <si>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</si>
  <si>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</si>
  <si>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</si>
  <si>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</si>
  <si>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</si>
  <si>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</si>
  <si>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</si>
  <si>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</si>
  <si>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</si>
  <si>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</si>
  <si>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</si>
  <si>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</si>
  <si>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</si>
  <si>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</si>
  <si>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</si>
  <si>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</si>
  <si>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</si>
  <si>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</si>
  <si>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</si>
  <si>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</si>
  <si>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</si>
  <si>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</si>
  <si>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</si>
  <si>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</si>
  <si>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</si>
  <si>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</si>
  <si>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</si>
  <si>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</si>
  <si>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</si>
  <si>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</si>
  <si>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</si>
  <si>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</si>
  <si>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</si>
  <si>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</si>
  <si>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</si>
  <si>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</si>
  <si>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</si>
  <si>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</si>
  <si>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</si>
  <si>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</si>
  <si>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</si>
  <si>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</si>
  <si>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</si>
  <si>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</si>
  <si>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</si>
  <si>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</si>
  <si>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</si>
  <si>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</si>
  <si>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</si>
  <si>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</si>
  <si>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</si>
  <si>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</si>
  <si>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</si>
  <si>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</si>
  <si>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</si>
  <si>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</si>
  <si>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</si>
  <si>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</si>
  <si>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</si>
  <si>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</si>
  <si>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</si>
  <si>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</si>
  <si>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</si>
  <si>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</si>
  <si>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</si>
  <si>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</si>
  <si>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</si>
  <si>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</si>
  <si>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</si>
  <si>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</si>
  <si>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</si>
  <si>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</si>
  <si>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</si>
  <si>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</si>
  <si>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</si>
  <si>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</si>
  <si>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</si>
  <si>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</si>
  <si>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</si>
  <si>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</si>
  <si>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</si>
  <si>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</si>
  <si>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</si>
  <si>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</si>
  <si>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</si>
  <si>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</si>
  <si>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</si>
  <si>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</si>
  <si>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</si>
  <si>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</si>
  <si>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</si>
  <si>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</si>
  <si>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</si>
  <si>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</si>
  <si>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</si>
  <si>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</si>
  <si>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</si>
  <si>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</si>
  <si>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</si>
  <si>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</si>
  <si>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</si>
  <si>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</si>
  <si>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</si>
  <si>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</si>
  <si>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</si>
  <si>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</si>
  <si>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</si>
  <si>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</si>
  <si>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</si>
  <si>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</si>
  <si>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</si>
  <si>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</si>
  <si>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</si>
  <si>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</si>
  <si>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</si>
  <si>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</si>
  <si>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</si>
  <si>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</si>
  <si>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</si>
  <si>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</si>
  <si>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</si>
  <si>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</si>
  <si>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</si>
  <si>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</si>
  <si>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</si>
  <si>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</si>
  <si>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</si>
  <si>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</si>
  <si>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</si>
  <si>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</si>
  <si>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</si>
  <si>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</si>
  <si>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</si>
  <si>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</si>
  <si>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</si>
  <si>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</si>
  <si>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</si>
  <si>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</si>
  <si>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</si>
  <si>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</si>
  <si>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</si>
  <si>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</si>
  <si>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</si>
  <si>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</si>
  <si>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</si>
  <si>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</si>
  <si>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</si>
  <si>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</si>
  <si>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</si>
  <si>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</si>
  <si>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</si>
  <si>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</si>
  <si>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</si>
  <si>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</si>
  <si>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</si>
  <si>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</si>
  <si>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</si>
  <si>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</si>
  <si>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</si>
  <si>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</si>
  <si>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</si>
  <si>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</si>
  <si>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</si>
  <si>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</si>
  <si>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</si>
  <si>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</si>
  <si>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</si>
  <si>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</si>
  <si>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</si>
  <si>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</si>
  <si>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</si>
  <si>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</si>
  <si>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</si>
  <si>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</si>
  <si>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</si>
  <si>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</si>
  <si>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</si>
  <si>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</si>
  <si>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</si>
  <si>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</si>
  <si>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</si>
  <si>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</si>
  <si>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</si>
  <si>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</si>
  <si>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</si>
  <si>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</si>
  <si>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</si>
  <si>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</si>
  <si>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</si>
  <si>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</si>
  <si>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</si>
  <si>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</si>
  <si>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</si>
  <si>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</si>
  <si>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</si>
  <si>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</si>
  <si>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</si>
  <si>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</si>
  <si>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</si>
  <si>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</si>
  <si>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</si>
  <si>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</si>
  <si>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</si>
  <si>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</si>
  <si>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</si>
  <si>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</si>
  <si>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</si>
  <si>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</si>
  <si>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</si>
  <si>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</si>
  <si>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</si>
  <si>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</si>
  <si>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</si>
  <si>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</si>
  <si>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</si>
  <si>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</si>
  <si>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</si>
  <si>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</si>
  <si>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</si>
  <si>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</si>
  <si>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</si>
  <si>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</si>
  <si>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</si>
  <si>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</si>
  <si>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</si>
  <si>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</si>
  <si>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</si>
  <si>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</si>
  <si>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</si>
  <si>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</si>
  <si>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</si>
  <si>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</si>
  <si>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</si>
  <si>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</si>
  <si>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</si>
  <si>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</si>
  <si>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</si>
  <si>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</si>
  <si>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</si>
  <si>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</si>
  <si>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</si>
  <si>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</si>
  <si>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</si>
  <si>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</si>
  <si>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</si>
  <si>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</si>
  <si>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</si>
  <si>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</si>
  <si>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</si>
  <si>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</si>
  <si>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</si>
  <si>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</si>
  <si>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</si>
  <si>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</si>
  <si>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</si>
  <si>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</si>
  <si>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</si>
  <si>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</si>
  <si>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</si>
  <si>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</si>
  <si>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</si>
  <si>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</si>
  <si>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</si>
  <si>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</si>
  <si>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</si>
  <si>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</si>
  <si>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</si>
  <si>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</si>
  <si>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</si>
  <si>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</si>
  <si>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</si>
  <si>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</si>
  <si>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</si>
  <si>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</si>
  <si>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</si>
  <si>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</si>
  <si>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</si>
  <si>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</si>
  <si>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</si>
  <si>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</si>
  <si>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</si>
  <si>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</si>
  <si>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</si>
  <si>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</si>
  <si>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</si>
  <si>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</si>
  <si>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</si>
  <si>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</si>
  <si>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</si>
  <si>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</si>
  <si>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</si>
  <si>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</si>
  <si>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</si>
  <si>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</si>
  <si>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</si>
  <si>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</si>
  <si>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</si>
  <si>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</si>
  <si>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</si>
  <si>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</si>
  <si>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</si>
  <si>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</si>
  <si>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</si>
  <si>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</si>
  <si>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</si>
  <si>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</si>
  <si>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</si>
  <si>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</si>
  <si>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</si>
  <si>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</si>
  <si>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</si>
  <si>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</si>
  <si>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</si>
  <si>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</si>
  <si>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</si>
  <si>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</si>
  <si>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</si>
  <si>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</si>
  <si>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</si>
  <si>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</si>
  <si>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</si>
  <si>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</si>
  <si>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</si>
  <si>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</si>
  <si>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</si>
  <si>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</si>
  <si>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</si>
  <si>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</si>
  <si>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</si>
  <si>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</si>
  <si>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</si>
  <si>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</si>
  <si>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</si>
  <si>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</si>
  <si>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</si>
  <si>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</si>
  <si>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</si>
  <si>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</si>
  <si>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</si>
  <si>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</si>
  <si>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</si>
  <si>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</si>
  <si>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</si>
  <si>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</si>
  <si>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</si>
  <si>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</si>
  <si>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</si>
  <si>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</si>
  <si>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</si>
  <si>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</si>
  <si>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</si>
  <si>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</si>
  <si>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</si>
  <si>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</si>
  <si>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</si>
  <si>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</si>
  <si>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</si>
  <si>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</si>
  <si>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</si>
  <si>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</si>
  <si>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</si>
  <si>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</si>
  <si>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</si>
  <si>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</si>
  <si>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</si>
  <si>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</si>
  <si>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</si>
  <si>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</si>
  <si>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</si>
  <si>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</si>
  <si>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</si>
  <si>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</si>
  <si>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</si>
  <si>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</si>
  <si>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</si>
  <si>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</si>
  <si>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</si>
  <si>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</si>
  <si>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</si>
  <si>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</si>
  <si>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</si>
  <si>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</si>
  <si>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</si>
  <si>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</si>
  <si>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</si>
  <si>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</si>
  <si>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</si>
  <si>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</si>
  <si>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</si>
  <si>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</si>
  <si>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</si>
  <si>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</si>
  <si>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</si>
  <si>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</si>
  <si>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</si>
  <si>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</si>
  <si>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</si>
  <si>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</si>
  <si>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</si>
  <si>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</si>
  <si>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</si>
  <si>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</si>
  <si>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</si>
  <si>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</si>
  <si>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</si>
  <si>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</si>
  <si>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</si>
  <si>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</si>
  <si>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</si>
  <si>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</si>
  <si>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</si>
  <si>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</si>
  <si>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</si>
  <si>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</si>
  <si>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</si>
  <si>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</si>
  <si>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</si>
  <si>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</si>
  <si>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</si>
  <si>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</si>
  <si>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</si>
  <si>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</si>
  <si>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</si>
  <si>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</si>
  <si>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</si>
  <si>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</si>
  <si>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</si>
  <si>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</si>
  <si>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</si>
  <si>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</si>
  <si>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</si>
  <si>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</si>
  <si>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</si>
  <si>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</si>
  <si>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</si>
  <si>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</si>
  <si>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</si>
  <si>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</si>
  <si>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</si>
  <si>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</si>
  <si>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</si>
  <si>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</si>
  <si>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</si>
  <si>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</si>
  <si>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</si>
  <si>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</si>
  <si>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</si>
  <si>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</si>
  <si>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</si>
  <si>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</si>
  <si>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</si>
  <si>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</si>
  <si>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</si>
  <si>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</si>
  <si>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</si>
  <si>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</si>
  <si>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</si>
  <si>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</si>
  <si>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</si>
  <si>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</si>
  <si>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</si>
  <si>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</si>
  <si>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</si>
  <si>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</si>
  <si>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</si>
  <si>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</si>
  <si>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</si>
  <si>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</si>
  <si>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</si>
  <si>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</si>
  <si>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</si>
  <si>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</si>
  <si>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</si>
  <si>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</si>
  <si>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</si>
  <si>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</si>
  <si>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</si>
  <si>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</si>
  <si>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</si>
  <si>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</si>
  <si>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</si>
  <si>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</si>
  <si>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</si>
  <si>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</si>
  <si>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</si>
  <si>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</si>
  <si>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</si>
  <si>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</si>
  <si>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</si>
  <si>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</si>
  <si>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</si>
  <si>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</si>
  <si>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</si>
  <si>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</si>
  <si>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</si>
  <si>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</si>
  <si>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</si>
  <si>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</si>
  <si>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</si>
  <si>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</si>
  <si>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</si>
  <si>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</si>
  <si>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</si>
  <si>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</si>
  <si>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</si>
  <si>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</si>
  <si>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</si>
  <si>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</si>
  <si>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</si>
  <si>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</si>
  <si>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</si>
  <si>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</si>
  <si>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</si>
  <si>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</si>
  <si>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</si>
  <si>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</si>
  <si>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</si>
  <si>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</si>
  <si>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</si>
  <si>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</si>
  <si>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</si>
  <si>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</si>
  <si>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</si>
  <si>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</si>
  <si>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</si>
  <si>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</si>
  <si>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</si>
  <si>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</si>
  <si>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</si>
  <si>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</si>
  <si>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</si>
  <si>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</si>
  <si>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</si>
  <si>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</si>
  <si>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</si>
  <si>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</si>
  <si>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</si>
  <si>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</si>
  <si>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</si>
  <si>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</si>
  <si>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</si>
  <si>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</si>
  <si>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</si>
  <si>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</si>
  <si>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</si>
  <si>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</si>
  <si>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</si>
  <si>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</si>
  <si>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</si>
  <si>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</si>
  <si>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</si>
  <si>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</si>
  <si>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</si>
  <si>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</si>
  <si>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</si>
  <si>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</si>
  <si>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</si>
  <si>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</si>
  <si>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</si>
  <si>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</si>
  <si>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</si>
  <si>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</si>
  <si>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</si>
  <si>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</si>
  <si>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</si>
  <si>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</si>
  <si>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</si>
  <si>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</si>
  <si>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</si>
  <si>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</si>
  <si>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</si>
  <si>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</si>
  <si>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</si>
  <si>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</si>
  <si>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</si>
  <si>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</si>
  <si>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</si>
  <si>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</si>
  <si>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</si>
  <si>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</si>
  <si>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</si>
  <si>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</si>
  <si>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</si>
  <si>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</si>
  <si>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</si>
  <si>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</si>
  <si>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</si>
  <si>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</si>
  <si>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</si>
  <si>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</si>
  <si>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</si>
  <si>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</si>
  <si>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</si>
  <si>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</si>
  <si>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</si>
  <si>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</si>
  <si>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</si>
  <si>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</si>
  <si>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</si>
  <si>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</si>
  <si>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</si>
  <si>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</si>
  <si>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</si>
  <si>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</si>
  <si>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</si>
  <si>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</si>
  <si>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</si>
  <si>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</si>
  <si>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</si>
  <si>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</si>
  <si>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</si>
  <si>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</si>
  <si>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</si>
  <si>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</si>
  <si>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</si>
  <si>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</si>
  <si>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</si>
  <si>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</si>
  <si>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</si>
  <si>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</si>
  <si>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</si>
  <si>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</si>
  <si>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</si>
  <si>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</si>
  <si>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</si>
  <si>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</si>
  <si>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</si>
  <si>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</si>
  <si>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</si>
  <si>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</si>
  <si>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</si>
  <si>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</si>
  <si>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</si>
  <si>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</si>
  <si>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</si>
  <si>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</si>
  <si>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</si>
  <si>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</si>
  <si>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</si>
  <si>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</si>
  <si>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</si>
  <si>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</si>
  <si>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</si>
  <si>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</si>
  <si>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</si>
  <si>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</si>
  <si>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</si>
  <si>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</si>
  <si>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</si>
  <si>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</si>
  <si>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</si>
  <si>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</si>
  <si>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</si>
  <si>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</si>
  <si>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</si>
  <si>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</si>
  <si>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</si>
  <si>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</si>
  <si>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</si>
  <si>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</si>
  <si>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</si>
  <si>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</si>
  <si>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</si>
  <si>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</si>
  <si>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</si>
  <si>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</si>
  <si>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</si>
  <si>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</si>
  <si>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</si>
  <si>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</si>
  <si>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</si>
  <si>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</si>
  <si>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</si>
  <si>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</si>
  <si>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</si>
  <si>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</si>
  <si>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</si>
  <si>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</si>
  <si>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</si>
  <si>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</si>
  <si>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</si>
  <si>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</si>
  <si>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</si>
  <si>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</si>
  <si>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</si>
  <si>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</si>
  <si>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</si>
  <si>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</si>
  <si>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</si>
  <si>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</si>
  <si>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</si>
  <si>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</si>
  <si>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</si>
  <si>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</si>
  <si>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</si>
  <si>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</si>
  <si>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</si>
  <si>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</si>
  <si>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</si>
  <si>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</si>
  <si>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</si>
  <si>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</si>
  <si>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</si>
  <si>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</si>
  <si>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</si>
  <si>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</si>
  <si>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</si>
  <si>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</si>
  <si>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</si>
  <si>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</si>
  <si>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</si>
  <si>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</si>
  <si>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</si>
  <si>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</si>
  <si>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</si>
  <si>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</si>
  <si>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</si>
  <si>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</si>
  <si>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</si>
  <si>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</si>
  <si>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</si>
  <si>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</si>
  <si>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</si>
  <si>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</si>
  <si>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</si>
  <si>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</si>
  <si>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</si>
  <si>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</si>
  <si>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</si>
  <si>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</si>
  <si>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</si>
  <si>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</si>
  <si>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</si>
  <si>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</si>
  <si>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</si>
  <si>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</si>
  <si>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</si>
  <si>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</si>
  <si>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</si>
  <si>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</si>
  <si>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</si>
  <si>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</si>
  <si>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</si>
  <si>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</si>
  <si>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</si>
  <si>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</si>
  <si>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</si>
  <si>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</si>
  <si>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</si>
  <si>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</si>
  <si>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</si>
  <si>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</si>
  <si>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</si>
  <si>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</si>
  <si>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</si>
  <si>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</si>
  <si>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</si>
  <si>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</si>
  <si>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</si>
  <si>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</si>
  <si>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</si>
  <si>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</si>
  <si>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</si>
  <si>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</si>
  <si>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</si>
  <si>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</si>
  <si>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</si>
  <si>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</si>
  <si>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</si>
  <si>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</si>
  <si>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</si>
  <si>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</si>
  <si>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</si>
  <si>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</si>
  <si>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</si>
  <si>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</si>
  <si>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</si>
  <si>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</si>
  <si>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</si>
  <si>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</si>
  <si>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</si>
  <si>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</si>
  <si>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</si>
  <si>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</si>
  <si>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</si>
  <si>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</si>
  <si>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</si>
  <si>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</si>
  <si>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</si>
  <si>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</si>
  <si>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</si>
  <si>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</si>
  <si>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</si>
  <si>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</si>
  <si>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</si>
  <si>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</si>
  <si>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</si>
  <si>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</si>
  <si>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</si>
  <si>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</si>
  <si>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</si>
  <si>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</si>
  <si>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</si>
  <si>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</si>
  <si>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</si>
  <si>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</si>
  <si>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</si>
  <si>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</si>
  <si>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</si>
  <si>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</si>
  <si>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</si>
  <si>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</si>
  <si>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</si>
  <si>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</si>
  <si>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</si>
  <si>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</si>
  <si>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</si>
  <si>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</si>
  <si>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</si>
  <si>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</si>
  <si>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</si>
  <si>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</si>
  <si>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</si>
  <si>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</si>
  <si>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</si>
  <si>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</si>
  <si>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</si>
  <si>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</si>
  <si>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</si>
  <si>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</si>
  <si>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</si>
  <si>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</si>
  <si>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</si>
  <si>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</si>
  <si>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</si>
  <si>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</si>
  <si>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</si>
  <si>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</si>
  <si>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</si>
  <si>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</si>
  <si>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</si>
  <si>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</si>
  <si>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</si>
  <si>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</si>
  <si>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</si>
  <si>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</si>
  <si>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</si>
  <si>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</si>
  <si>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</si>
  <si>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</si>
  <si>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</si>
  <si>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</si>
  <si>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</si>
  <si>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</si>
  <si>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</si>
  <si>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</si>
  <si>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</si>
  <si>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</si>
  <si>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</si>
  <si>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</si>
  <si>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</si>
  <si>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</si>
  <si>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</si>
  <si>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</si>
  <si>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</si>
  <si>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</si>
  <si>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</si>
  <si>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</si>
  <si>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</si>
  <si>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</si>
  <si>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</si>
  <si>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</si>
  <si>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</si>
  <si>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</si>
  <si>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</si>
  <si>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</si>
  <si>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</si>
  <si>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</si>
  <si>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</si>
  <si>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</si>
  <si>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</si>
  <si>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</si>
  <si>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</si>
  <si>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</si>
  <si>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</si>
  <si>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</si>
  <si>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</si>
  <si>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</si>
  <si>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</si>
  <si>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</si>
  <si>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</si>
  <si>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</si>
  <si>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</si>
  <si>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</si>
  <si>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</si>
  <si>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</si>
  <si>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</si>
  <si>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</si>
  <si>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</si>
  <si>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</si>
  <si>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</si>
  <si>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</si>
  <si>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</si>
  <si>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</si>
  <si>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</si>
  <si>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</si>
  <si>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</si>
  <si>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</si>
  <si>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</si>
  <si>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</si>
  <si>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</si>
  <si>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</si>
  <si>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</si>
  <si>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</si>
  <si>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</si>
  <si>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</si>
  <si>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</si>
  <si>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</si>
  <si>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</si>
  <si>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</si>
  <si>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</si>
  <si>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</si>
  <si>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</si>
  <si>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</si>
  <si>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</si>
  <si>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</si>
  <si>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</si>
  <si>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</si>
  <si>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</si>
  <si>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</si>
  <si>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</si>
  <si>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</si>
  <si>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</si>
  <si>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</si>
  <si>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</si>
  <si>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</si>
  <si>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</si>
  <si>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</si>
  <si>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</si>
  <si>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</si>
  <si>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</si>
  <si>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</si>
  <si>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</si>
  <si>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</si>
  <si>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</si>
  <si>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</si>
  <si>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</si>
  <si>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</si>
  <si>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</si>
  <si>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</si>
  <si>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</si>
  <si>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</si>
  <si>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</si>
  <si>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</si>
  <si>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</si>
  <si>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</si>
  <si>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</si>
  <si>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</si>
  <si>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</si>
  <si>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</si>
  <si>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</si>
  <si>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</si>
  <si>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</si>
  <si>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</si>
  <si>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</si>
  <si>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</si>
  <si>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</si>
  <si>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</si>
  <si>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</si>
  <si>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</si>
  <si>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</si>
  <si>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</si>
  <si>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</si>
  <si>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</si>
  <si>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</si>
  <si>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</si>
  <si>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</si>
  <si>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</si>
  <si>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</si>
  <si>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</si>
  <si>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</si>
  <si>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</si>
  <si>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</si>
  <si>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</si>
  <si>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</si>
  <si>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</si>
  <si>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</si>
  <si>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</si>
  <si>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</si>
  <si>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</si>
  <si>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</si>
  <si>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</si>
  <si>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</si>
  <si>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</si>
  <si>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</si>
  <si>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</si>
  <si>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</si>
  <si>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</si>
  <si>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</si>
  <si>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</si>
  <si>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</si>
  <si>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</si>
  <si>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</si>
  <si>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</si>
  <si>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</si>
  <si>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</si>
  <si>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</si>
  <si>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</si>
  <si>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</si>
  <si>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</si>
  <si>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</si>
  <si>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</si>
  <si>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</si>
  <si>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</si>
  <si>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</si>
  <si>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</si>
  <si>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</si>
  <si>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</si>
  <si>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</si>
  <si>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</si>
  <si>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</si>
  <si>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</si>
  <si>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</si>
  <si>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</si>
  <si>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</si>
  <si>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</si>
  <si>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</si>
  <si>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</si>
  <si>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</si>
  <si>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</si>
  <si>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</si>
  <si>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</si>
  <si>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</si>
  <si>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</si>
  <si>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</si>
  <si>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</si>
  <si>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</si>
  <si>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</si>
  <si>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</si>
  <si>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</si>
  <si>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</si>
  <si>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</si>
  <si>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</si>
  <si>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</si>
  <si>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</si>
  <si>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</si>
  <si>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</si>
  <si>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</si>
  <si>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</si>
  <si>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</si>
  <si>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</si>
  <si>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</si>
  <si>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</si>
  <si>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</si>
  <si>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</si>
  <si>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</si>
  <si>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</si>
  <si>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</si>
  <si>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</si>
  <si>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</si>
  <si>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</si>
  <si>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</si>
  <si>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</si>
  <si>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</si>
  <si>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</si>
  <si>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</si>
  <si>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</si>
  <si>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</si>
  <si>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</si>
  <si>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</si>
  <si>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</si>
  <si>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</si>
  <si>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</si>
  <si>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</si>
  <si>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</si>
  <si>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</si>
  <si>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</si>
  <si>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</si>
  <si>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</si>
  <si>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</si>
  <si>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</si>
  <si>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</si>
  <si>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</si>
  <si>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</si>
  <si>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</si>
  <si>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</si>
  <si>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</si>
  <si>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</si>
  <si>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</si>
  <si>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</si>
  <si>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</si>
  <si>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</si>
  <si>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</si>
  <si>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</si>
  <si>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</si>
  <si>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</si>
  <si>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</si>
  <si>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</si>
  <si>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</si>
  <si>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</si>
  <si>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</si>
  <si>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</si>
  <si>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</si>
  <si>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</si>
  <si>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</si>
  <si>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</si>
  <si>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</si>
  <si>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</si>
  <si>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</si>
  <si>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</si>
  <si>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</si>
  <si>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</si>
  <si>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</si>
  <si>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</si>
  <si>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</si>
  <si>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</si>
  <si>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</si>
  <si>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</si>
  <si>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</si>
  <si>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</si>
  <si>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</si>
  <si>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</si>
  <si>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</si>
  <si>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</si>
  <si>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</si>
  <si>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</si>
  <si>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</si>
  <si>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</si>
  <si>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</si>
  <si>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</si>
  <si>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</si>
  <si>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</si>
  <si>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</si>
  <si>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</si>
  <si>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</si>
  <si>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</si>
  <si>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</si>
  <si>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</si>
  <si>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</si>
  <si>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</si>
  <si>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</si>
  <si>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</si>
  <si>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</si>
  <si>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</si>
  <si>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</si>
  <si>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</si>
  <si>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</si>
  <si>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</si>
  <si>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</si>
  <si>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</si>
  <si>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</si>
  <si>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</si>
  <si>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</si>
  <si>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</si>
  <si>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</si>
  <si>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</si>
  <si>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</si>
  <si>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</si>
  <si>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</si>
  <si>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</si>
  <si>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</si>
  <si>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</si>
  <si>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</si>
  <si>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</si>
  <si>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</si>
  <si>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</si>
  <si>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</si>
  <si>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</si>
  <si>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</si>
  <si>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</si>
  <si>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</si>
  <si>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</si>
  <si>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</si>
  <si>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</si>
  <si>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</si>
  <si>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</si>
  <si>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</si>
  <si>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</si>
  <si>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</si>
  <si>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</si>
  <si>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</si>
  <si>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</si>
  <si>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</si>
  <si>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</si>
  <si>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</si>
  <si>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</si>
  <si>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</si>
  <si>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</si>
  <si>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</si>
  <si>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</si>
  <si>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</si>
  <si>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</si>
  <si>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</si>
  <si>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</si>
  <si>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</si>
  <si>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</si>
  <si>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</si>
  <si>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</si>
  <si>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</si>
  <si>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</si>
  <si>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</si>
  <si>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</si>
  <si>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</si>
  <si>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</si>
  <si>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</si>
  <si>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</si>
  <si>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</si>
  <si>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</si>
  <si>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</si>
  <si>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</si>
  <si>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</si>
  <si>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</si>
  <si>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</si>
  <si>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</si>
  <si>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</si>
  <si>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</si>
  <si>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</si>
  <si>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</si>
  <si>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</si>
  <si>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</si>
  <si>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</si>
  <si>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</si>
  <si>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</si>
  <si>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</si>
  <si>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</si>
  <si>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</si>
  <si>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</si>
  <si>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</si>
  <si>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</si>
  <si>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</si>
  <si>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</si>
  <si>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</si>
  <si>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</si>
  <si>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</si>
  <si>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</si>
  <si>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</si>
  <si>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</si>
  <si>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</si>
  <si>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</si>
  <si>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</si>
  <si>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</si>
  <si>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</si>
  <si>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</si>
  <si>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</si>
  <si>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</si>
  <si>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</si>
  <si>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</si>
  <si>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</si>
  <si>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</si>
  <si>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</si>
  <si>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</si>
  <si>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</si>
  <si>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</si>
  <si>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</si>
  <si>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</si>
  <si>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</si>
  <si>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</si>
  <si>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</si>
  <si>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</si>
  <si>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</si>
  <si>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</si>
  <si>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</si>
  <si>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</si>
  <si>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</si>
  <si>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</si>
  <si>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</si>
  <si>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</si>
  <si>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</si>
  <si>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</si>
  <si>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</si>
  <si>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</si>
  <si>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</si>
  <si>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</si>
  <si>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</si>
  <si>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</si>
  <si>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</si>
  <si>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</si>
  <si>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</si>
  <si>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</si>
  <si>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</si>
  <si>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</si>
  <si>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</si>
  <si>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</si>
  <si>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</si>
  <si>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</si>
  <si>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</si>
  <si>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</si>
  <si>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</si>
  <si>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</si>
  <si>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</si>
  <si>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</si>
  <si>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</si>
  <si>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</si>
  <si>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</si>
  <si>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</si>
  <si>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</si>
  <si>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</si>
  <si>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</si>
  <si>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</si>
  <si>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</si>
  <si>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</si>
  <si>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</si>
  <si>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</si>
  <si>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</si>
  <si>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</si>
  <si>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</si>
  <si>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</si>
  <si>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</si>
  <si>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</si>
  <si>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</si>
  <si>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</si>
  <si>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</si>
  <si>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</si>
  <si>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</si>
  <si>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</si>
  <si>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</si>
  <si>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</si>
  <si>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</si>
  <si>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</si>
  <si>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</si>
  <si>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</si>
  <si>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</si>
  <si>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</si>
  <si>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</si>
  <si>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</si>
  <si>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</si>
  <si>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</si>
  <si>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</si>
  <si>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</si>
  <si>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</si>
  <si>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</si>
  <si>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</si>
  <si>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</si>
  <si>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</si>
  <si>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</si>
  <si>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</si>
  <si>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</si>
  <si>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</si>
  <si>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</si>
  <si>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</si>
  <si>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</si>
  <si>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</si>
  <si>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</si>
  <si>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</si>
  <si>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</si>
  <si>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</si>
  <si>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</si>
  <si>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</si>
  <si>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</si>
  <si>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</si>
  <si>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</si>
  <si>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</si>
  <si>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</si>
  <si>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</si>
  <si>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</si>
  <si>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</si>
  <si>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</si>
  <si>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</si>
  <si>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</si>
  <si>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</si>
  <si>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</si>
  <si>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</si>
  <si>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</si>
  <si>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</si>
  <si>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</si>
  <si>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</si>
  <si>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</si>
  <si>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</si>
  <si>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</si>
  <si>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</si>
  <si>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</si>
  <si>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</si>
  <si>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</si>
  <si>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</si>
  <si>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</si>
  <si>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</si>
  <si>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</si>
  <si>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</si>
  <si>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</si>
  <si>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</si>
  <si>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</si>
  <si>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</si>
  <si>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</si>
  <si>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</si>
  <si>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</si>
  <si>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</si>
  <si>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</si>
  <si>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</si>
  <si>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</si>
  <si>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</si>
  <si>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</si>
  <si>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</si>
  <si>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</si>
  <si>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</si>
  <si>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</si>
  <si>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</si>
  <si>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</si>
  <si>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</si>
  <si>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</si>
  <si>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</si>
  <si>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</si>
  <si>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</si>
  <si>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</si>
  <si>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</si>
  <si>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</si>
  <si>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</si>
  <si>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</si>
  <si>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</si>
  <si>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</si>
  <si>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</si>
  <si>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</si>
  <si>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</si>
  <si>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</si>
  <si>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</si>
  <si>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</si>
  <si>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</si>
  <si>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</si>
  <si>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</si>
  <si>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</si>
  <si>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</si>
  <si>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</si>
  <si>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</si>
  <si>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</si>
  <si>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</si>
  <si>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</si>
  <si>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</si>
  <si>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</si>
  <si>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</si>
  <si>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</si>
  <si>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</si>
  <si>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</si>
  <si>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</si>
  <si>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</si>
  <si>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</si>
  <si>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</si>
  <si>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</si>
  <si>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</si>
  <si>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</si>
  <si>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</si>
  <si>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</si>
  <si>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</si>
  <si>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</si>
  <si>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</si>
  <si>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</si>
  <si>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</si>
  <si>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</si>
  <si>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</si>
  <si>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</si>
  <si>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</si>
  <si>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</si>
  <si>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</si>
  <si>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</si>
  <si>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</si>
  <si>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</si>
  <si>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</si>
  <si>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</si>
  <si>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</si>
  <si>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</si>
  <si>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</si>
  <si>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</si>
  <si>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</si>
  <si>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</si>
  <si>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</si>
  <si>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</si>
  <si>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</si>
  <si>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</si>
  <si>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</si>
  <si>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</si>
  <si>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</si>
  <si>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</si>
  <si>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</si>
  <si>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</si>
  <si>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</si>
  <si>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</si>
  <si>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</si>
  <si>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</si>
  <si>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</si>
  <si>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</si>
  <si>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</si>
  <si>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</si>
  <si>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</si>
  <si>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</si>
  <si>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</si>
  <si>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</si>
  <si>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</si>
  <si>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</si>
  <si>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</si>
  <si>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</si>
  <si>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</si>
  <si>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</si>
  <si>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</si>
  <si>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</si>
  <si>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</si>
  <si>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</si>
  <si>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</si>
  <si>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</si>
  <si>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</si>
  <si>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</si>
  <si>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</si>
  <si>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</si>
  <si>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</si>
  <si>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</si>
  <si>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</si>
  <si>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</si>
  <si>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</si>
  <si>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</si>
  <si>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</si>
  <si>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</si>
  <si>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</si>
  <si>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</si>
  <si>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</si>
  <si>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</si>
  <si>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</si>
  <si>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</si>
  <si>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</si>
  <si>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</si>
  <si>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</si>
  <si>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</si>
  <si>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</si>
  <si>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</si>
  <si>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</si>
  <si>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</si>
  <si>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</si>
  <si>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</si>
  <si>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</si>
  <si>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</si>
  <si>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</si>
  <si>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</si>
  <si>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</si>
  <si>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</si>
  <si>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</si>
  <si>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</si>
  <si>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</si>
  <si>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</si>
  <si>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</si>
  <si>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</si>
  <si>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</si>
  <si>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</si>
  <si>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</si>
  <si>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</si>
  <si>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</si>
  <si>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</si>
  <si>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</si>
  <si>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</si>
  <si>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</si>
  <si>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</si>
  <si>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</si>
  <si>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</si>
  <si>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</si>
  <si>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</si>
  <si>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</si>
  <si>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</si>
  <si>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</si>
  <si>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</si>
  <si>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</si>
  <si>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</si>
  <si>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</si>
  <si>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</si>
  <si>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</si>
  <si>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</si>
  <si>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</si>
  <si>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</si>
  <si>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</si>
  <si>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</si>
  <si>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</si>
  <si>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</si>
  <si>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</si>
  <si>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</si>
  <si>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</si>
  <si>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</si>
  <si>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</si>
  <si>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</si>
  <si>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</si>
  <si>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</si>
  <si>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</si>
  <si>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</si>
  <si>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</si>
  <si>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</si>
  <si>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</si>
  <si>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</si>
  <si>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</si>
  <si>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</si>
  <si>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</si>
  <si>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</si>
  <si>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</si>
  <si>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</si>
  <si>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</si>
  <si>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</si>
  <si>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</si>
  <si>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</si>
  <si>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</si>
  <si>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</si>
  <si>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</si>
  <si>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</si>
  <si>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</si>
  <si>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</si>
  <si>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</si>
  <si>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</si>
  <si>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</si>
  <si>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</si>
  <si>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</si>
  <si>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</si>
  <si>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</si>
  <si>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</si>
  <si>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</si>
  <si>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</si>
  <si>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</si>
  <si>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</si>
  <si>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</si>
  <si>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</si>
  <si>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</si>
  <si>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</si>
  <si>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</si>
  <si>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</si>
  <si>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</si>
  <si>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</si>
  <si>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</si>
  <si>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</si>
  <si>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</si>
  <si>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</si>
  <si>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</si>
  <si>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</si>
  <si>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</si>
  <si>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</si>
  <si>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</si>
  <si>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</si>
  <si>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</si>
  <si>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</si>
  <si>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</si>
  <si>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</si>
  <si>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</si>
  <si>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</si>
  <si>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</si>
  <si>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</si>
  <si>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</si>
  <si>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</si>
  <si>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</si>
  <si>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</si>
  <si>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</si>
  <si>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</si>
  <si>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</si>
  <si>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</si>
  <si>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</si>
  <si>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</si>
  <si>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</si>
  <si>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</si>
  <si>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</si>
  <si>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</si>
  <si>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</si>
  <si>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</si>
  <si>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</si>
  <si>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</si>
  <si>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</si>
  <si>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</si>
  <si>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</si>
  <si>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</si>
  <si>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</si>
  <si>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</si>
  <si>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</si>
  <si>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</si>
  <si>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</si>
  <si>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</si>
  <si>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</si>
  <si>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</si>
  <si>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</si>
  <si>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</si>
  <si>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</si>
  <si>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</si>
  <si>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</si>
  <si>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</si>
  <si>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</si>
  <si>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</si>
  <si>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</si>
  <si>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</si>
  <si>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</si>
  <si>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</si>
  <si>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</si>
  <si>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</si>
  <si>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</si>
  <si>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</si>
  <si>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</si>
  <si>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</si>
  <si>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</si>
  <si>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</si>
  <si>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</si>
  <si>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</si>
  <si>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</si>
  <si>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</si>
  <si>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</si>
  <si>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</si>
  <si>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</si>
  <si>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</si>
  <si>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</si>
  <si>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</si>
  <si>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</si>
  <si>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</si>
  <si>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</si>
  <si>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</si>
  <si>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</si>
  <si>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</si>
  <si>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</si>
  <si>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</si>
  <si>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</si>
  <si>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</si>
  <si>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</si>
  <si>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</si>
  <si>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</si>
  <si>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</si>
  <si>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</si>
  <si>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</si>
  <si>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</si>
  <si>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</si>
  <si>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</si>
  <si>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</si>
  <si>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</si>
  <si>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</si>
  <si>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</si>
  <si>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</si>
  <si>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</si>
  <si>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</si>
  <si>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</si>
  <si>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</si>
  <si>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</si>
  <si>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</si>
  <si>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</si>
  <si>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</si>
  <si>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</si>
  <si>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</si>
  <si>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</si>
  <si>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</si>
  <si>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</si>
  <si>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</si>
  <si>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</si>
  <si>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</si>
  <si>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</si>
  <si>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</si>
  <si>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</si>
  <si>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</si>
  <si>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</si>
  <si>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</si>
  <si>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</si>
  <si>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</si>
  <si>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</si>
  <si>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</si>
  <si>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</si>
  <si>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</si>
  <si>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</si>
  <si>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</si>
  <si>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</si>
  <si>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</si>
  <si>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</si>
  <si>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</si>
  <si>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</si>
  <si>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</si>
  <si>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</si>
  <si>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</si>
  <si>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</si>
  <si>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</si>
  <si>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</si>
  <si>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</si>
  <si>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</si>
  <si>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</si>
  <si>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</si>
  <si>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</si>
  <si>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</si>
  <si>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</si>
  <si>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</si>
  <si>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</si>
  <si>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</si>
  <si>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</si>
  <si>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</si>
  <si>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</si>
  <si>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</si>
  <si>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</si>
  <si>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</si>
  <si>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</si>
  <si>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</si>
  <si>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</si>
  <si>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</si>
  <si>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</si>
  <si>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</si>
  <si>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</si>
  <si>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</si>
  <si>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</si>
  <si>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</si>
  <si>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</si>
  <si>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</si>
  <si>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</si>
  <si>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</si>
  <si>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</si>
  <si>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</si>
  <si>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</si>
  <si>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</si>
  <si>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</si>
  <si>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</si>
  <si>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</si>
  <si>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</si>
  <si>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</si>
  <si>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</si>
  <si>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</si>
  <si>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</si>
  <si>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</si>
  <si>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</si>
  <si>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</si>
  <si>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</si>
  <si>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</si>
  <si>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</si>
  <si>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</si>
  <si>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</si>
  <si>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</si>
  <si>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</si>
  <si>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</si>
  <si>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</si>
  <si>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</si>
  <si>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</si>
  <si>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</si>
  <si>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</si>
  <si>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</si>
  <si>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</si>
  <si>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</si>
  <si>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</si>
  <si>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</si>
  <si>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</si>
  <si>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</si>
  <si>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</si>
  <si>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</si>
  <si>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</si>
  <si>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</si>
  <si>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</si>
  <si>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</si>
  <si>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</si>
  <si>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</si>
  <si>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</si>
  <si>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</si>
  <si>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</si>
  <si>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</si>
  <si>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</si>
  <si>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</si>
  <si>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</si>
  <si>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</si>
  <si>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</si>
  <si>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</si>
  <si>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</si>
  <si>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</si>
  <si>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</si>
  <si>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</si>
  <si>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</si>
  <si>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</si>
  <si>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</si>
  <si>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</si>
  <si>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</si>
  <si>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</si>
  <si>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</si>
  <si>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</si>
  <si>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</si>
  <si>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</si>
  <si>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</si>
  <si>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</si>
  <si>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</si>
  <si>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</si>
  <si>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</si>
  <si>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</si>
  <si>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</si>
  <si>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</si>
  <si>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</si>
  <si>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</si>
  <si>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</si>
  <si>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</si>
  <si>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</si>
  <si>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</si>
  <si>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</si>
  <si>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</si>
  <si>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</si>
  <si>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</si>
  <si>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</si>
  <si>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</si>
  <si>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</si>
  <si>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</si>
  <si>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</si>
  <si>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</si>
  <si>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</si>
  <si>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</si>
  <si>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</si>
  <si>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</si>
  <si>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</si>
  <si>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</si>
  <si>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</si>
  <si>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</si>
  <si>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</si>
  <si>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</si>
  <si>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</si>
  <si>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</si>
  <si>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</si>
  <si>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</si>
  <si>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</si>
  <si>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</si>
  <si>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</si>
  <si>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</si>
  <si>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</si>
  <si>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</si>
  <si>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</si>
  <si>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</si>
  <si>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</si>
  <si>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</si>
  <si>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</si>
  <si>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</si>
  <si>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</si>
  <si>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</si>
  <si>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</si>
  <si>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</si>
  <si>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</si>
  <si>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</si>
  <si>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</si>
  <si>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</si>
  <si>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</si>
  <si>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</si>
  <si>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</si>
  <si>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</si>
  <si>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</si>
  <si>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</si>
  <si>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</si>
  <si>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</si>
  <si>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</si>
  <si>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</si>
  <si>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</si>
  <si>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</si>
  <si>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</si>
  <si>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</si>
  <si>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</si>
  <si>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</si>
  <si>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</si>
  <si>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</si>
  <si>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</si>
  <si>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</si>
  <si>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</si>
  <si>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</si>
  <si>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</si>
  <si>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</si>
  <si>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</si>
  <si>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</si>
  <si>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</si>
  <si>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</si>
  <si>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</si>
  <si>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</si>
  <si>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</si>
  <si>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</si>
  <si>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</si>
  <si>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</si>
  <si>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</si>
  <si>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</si>
  <si>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</si>
  <si>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</si>
  <si>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</si>
  <si>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</si>
  <si>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</si>
  <si>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</si>
  <si>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</si>
  <si>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</si>
  <si>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</si>
  <si>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</si>
  <si>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</si>
  <si>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</si>
  <si>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</si>
  <si>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</si>
  <si>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</si>
  <si>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</si>
  <si>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</si>
  <si>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</si>
  <si>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</si>
  <si>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</si>
  <si>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</si>
  <si>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</si>
  <si>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</si>
  <si>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</si>
  <si>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</si>
  <si>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</si>
  <si>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</si>
  <si>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</si>
  <si>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</si>
  <si>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</si>
  <si>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</si>
  <si>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</si>
  <si>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</si>
  <si>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</si>
  <si>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</si>
  <si>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</si>
  <si>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</si>
  <si>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</si>
  <si>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</si>
  <si>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</si>
  <si>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</si>
  <si>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</si>
  <si>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</si>
  <si>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</si>
  <si>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</si>
  <si>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</si>
  <si>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</si>
  <si>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</si>
  <si>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</si>
  <si>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</si>
  <si>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</si>
  <si>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</si>
  <si>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</si>
  <si>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</si>
  <si>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</si>
  <si>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</si>
  <si>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</si>
  <si>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</si>
  <si>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</si>
  <si>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</si>
  <si>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</si>
  <si>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</si>
  <si>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</si>
  <si>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</si>
  <si>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</si>
  <si>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</si>
  <si>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</si>
  <si>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</si>
  <si>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</si>
  <si>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</si>
  <si>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</si>
  <si>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</si>
  <si>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</si>
  <si>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</si>
  <si>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</si>
  <si>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</si>
  <si>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</si>
  <si>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</si>
  <si>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</si>
  <si>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</si>
  <si>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</si>
  <si>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</si>
  <si>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</si>
  <si>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</si>
  <si>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</si>
  <si>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</si>
  <si>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</si>
  <si>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</si>
  <si>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</si>
  <si>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</si>
  <si>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</si>
  <si>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</si>
  <si>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</si>
  <si>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</si>
  <si>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</si>
  <si>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</si>
  <si>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</si>
  <si>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</si>
  <si>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</si>
  <si>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</si>
  <si>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</si>
  <si>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</si>
  <si>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</si>
  <si>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</si>
  <si>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</si>
  <si>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</si>
  <si>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</si>
  <si>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</si>
  <si>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</si>
  <si>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</si>
  <si>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</si>
  <si>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</si>
  <si>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</si>
  <si>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</si>
  <si>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</si>
  <si>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</si>
  <si>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</si>
  <si>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</si>
  <si>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</si>
  <si>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</si>
  <si>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</si>
  <si>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</si>
  <si>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</si>
  <si>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</si>
  <si>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</si>
  <si>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</si>
  <si>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</si>
  <si>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</si>
  <si>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</si>
  <si>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</si>
  <si>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</si>
  <si>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</si>
  <si>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</si>
  <si>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</si>
  <si>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</si>
  <si>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</si>
  <si>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</si>
  <si>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</si>
  <si>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</si>
  <si>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</si>
  <si>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</si>
  <si>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</si>
  <si>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</si>
  <si>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</si>
  <si>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</si>
  <si>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</si>
  <si>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</si>
  <si>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</si>
  <si>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</si>
  <si>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</si>
  <si>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</si>
  <si>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</si>
  <si>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</si>
  <si>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</si>
  <si>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</si>
  <si>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</si>
  <si>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</si>
  <si>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</si>
  <si>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</si>
  <si>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</si>
  <si>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</si>
  <si>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</si>
  <si>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</si>
  <si>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</si>
  <si>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</si>
  <si>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</si>
  <si>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</si>
  <si>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</si>
  <si>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</si>
  <si>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</si>
  <si>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</si>
  <si>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</si>
  <si>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</si>
  <si>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</si>
  <si>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</si>
  <si>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</si>
  <si>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</si>
  <si>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</si>
  <si>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</si>
  <si>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</si>
  <si>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</si>
  <si>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</si>
  <si>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</si>
  <si>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</si>
  <si>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</si>
  <si>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</si>
  <si>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</si>
  <si>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</si>
  <si>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</si>
  <si>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</si>
  <si>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</si>
  <si>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</si>
  <si>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</si>
  <si>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</si>
  <si>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</si>
  <si>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</si>
  <si>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</si>
  <si>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</si>
  <si>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</si>
  <si>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</si>
  <si>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</si>
  <si>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</si>
  <si>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</si>
  <si>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</si>
  <si>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</si>
  <si>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</si>
  <si>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</si>
  <si>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</si>
  <si>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</si>
  <si>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</si>
  <si>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</si>
  <si>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</si>
  <si>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</si>
  <si>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</si>
  <si>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</si>
  <si>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</si>
  <si>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</si>
  <si>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</si>
  <si>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</si>
  <si>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</si>
  <si>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</si>
  <si>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</si>
  <si>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</si>
  <si>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</si>
  <si>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</si>
  <si>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</si>
  <si>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</si>
  <si>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</si>
  <si>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</si>
  <si>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</si>
  <si>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</si>
  <si>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</si>
  <si>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</si>
  <si>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</si>
  <si>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</si>
  <si>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</si>
  <si>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</si>
  <si>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</si>
  <si>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</si>
  <si>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</si>
  <si>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</si>
  <si>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</si>
  <si>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</si>
  <si>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</si>
  <si>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</si>
  <si>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</si>
  <si>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</si>
  <si>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</si>
  <si>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</si>
  <si>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</si>
  <si>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</si>
  <si>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</si>
  <si>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</si>
  <si>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</si>
  <si>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</si>
  <si>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</si>
  <si>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</si>
  <si>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</si>
  <si>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</si>
  <si>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</si>
  <si>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</si>
  <si>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</si>
  <si>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</si>
  <si>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</si>
  <si>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</si>
  <si>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</si>
  <si>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</si>
  <si>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</si>
  <si>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</si>
  <si>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</si>
  <si>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</si>
  <si>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</si>
  <si>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</si>
  <si>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</si>
  <si>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</si>
  <si>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</si>
  <si>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</si>
  <si>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</si>
  <si>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</si>
  <si>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</si>
  <si>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</si>
  <si>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</si>
  <si>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</si>
  <si>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</si>
  <si>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</si>
  <si>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</si>
  <si>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</si>
  <si>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</si>
  <si>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</si>
  <si>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</si>
  <si>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</si>
  <si>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</si>
  <si>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</si>
  <si>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</si>
  <si>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</si>
  <si>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</si>
  <si>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</si>
  <si>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</si>
  <si>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</si>
  <si>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</si>
  <si>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</si>
  <si>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</si>
  <si>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</si>
  <si>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</si>
  <si>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</si>
  <si>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</si>
  <si>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</si>
  <si>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</si>
  <si>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</si>
  <si>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</si>
  <si>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</si>
  <si>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</si>
  <si>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</si>
  <si>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</si>
  <si>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</si>
  <si>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</si>
  <si>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</si>
  <si>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</si>
  <si>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</si>
  <si>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</si>
  <si>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</si>
  <si>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</si>
  <si>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</si>
  <si>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</si>
  <si>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</si>
  <si>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</si>
  <si>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</si>
  <si>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</si>
  <si>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</si>
  <si>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</si>
  <si>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</si>
  <si>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</si>
  <si>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</si>
  <si>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</si>
  <si>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</si>
  <si>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</si>
  <si>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</si>
  <si>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</si>
  <si>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</si>
  <si>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</si>
  <si>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</si>
  <si>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</si>
  <si>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</si>
  <si>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</si>
  <si>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</si>
  <si>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</si>
  <si>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</si>
  <si>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</si>
  <si>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</si>
  <si>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</si>
  <si>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</si>
  <si>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</si>
  <si>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</si>
  <si>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</si>
  <si>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</si>
  <si>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</si>
  <si>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</si>
  <si>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</si>
  <si>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</si>
  <si>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</si>
  <si>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</si>
  <si>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</si>
  <si>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</si>
  <si>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</si>
  <si>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</si>
  <si>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</si>
  <si>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</si>
  <si>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</si>
  <si>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</si>
  <si>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</si>
  <si>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</si>
  <si>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</si>
  <si>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</si>
  <si>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</si>
  <si>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</si>
  <si>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</si>
  <si>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</si>
  <si>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</si>
  <si>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</si>
  <si>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</si>
  <si>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</si>
  <si>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</si>
  <si>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</si>
  <si>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</si>
  <si>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</si>
  <si>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</si>
  <si>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</si>
  <si>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</si>
  <si>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</si>
  <si>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</si>
  <si>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</si>
  <si>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</si>
  <si>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</si>
  <si>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</si>
  <si>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</si>
  <si>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</si>
  <si>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</si>
  <si>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</si>
  <si>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</si>
  <si>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</si>
  <si>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</si>
  <si>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</si>
  <si>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</si>
  <si>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</si>
  <si>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</si>
  <si>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</si>
  <si>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</si>
  <si>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</si>
  <si>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</si>
  <si>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</si>
  <si>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</si>
  <si>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</si>
  <si>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</si>
  <si>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</si>
  <si>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</si>
  <si>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</si>
  <si>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</si>
  <si>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</si>
  <si>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</si>
  <si>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</si>
  <si>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</si>
  <si>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</si>
  <si>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</si>
  <si>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</si>
  <si>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</si>
  <si>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</si>
  <si>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</si>
  <si>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</si>
  <si>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</si>
  <si>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</si>
  <si>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</si>
  <si>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</si>
  <si>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</si>
  <si>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</si>
  <si>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</si>
  <si>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</si>
  <si>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</si>
  <si>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</si>
  <si>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</si>
  <si>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</si>
  <si>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</si>
  <si>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</si>
  <si>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</si>
  <si>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</si>
  <si>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</si>
  <si>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</si>
  <si>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</si>
  <si>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</si>
  <si>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</si>
  <si>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</si>
  <si>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</si>
  <si>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</si>
  <si>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</si>
  <si>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</si>
  <si>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</si>
  <si>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</si>
  <si>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</si>
  <si>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</si>
  <si>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</si>
  <si>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</si>
  <si>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</si>
  <si>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</si>
  <si>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</si>
  <si>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</si>
  <si>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</si>
  <si>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</si>
  <si>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</si>
  <si>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</si>
  <si>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</si>
  <si>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</si>
  <si>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</si>
  <si>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</si>
  <si>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</si>
  <si>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</si>
  <si>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</si>
  <si>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</si>
  <si>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</si>
  <si>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</si>
  <si>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</si>
  <si>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</si>
  <si>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</si>
  <si>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</si>
  <si>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</si>
  <si>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</si>
  <si>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</si>
  <si>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</si>
  <si>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</si>
  <si>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</si>
  <si>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</si>
  <si>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</si>
  <si>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</si>
  <si>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</si>
  <si>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</si>
  <si>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</si>
  <si>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</si>
  <si>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</si>
  <si>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</si>
  <si>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</si>
  <si>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</si>
  <si>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</si>
  <si>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</si>
  <si>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</si>
  <si>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</si>
  <si>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</si>
  <si>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</si>
  <si>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</si>
  <si>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</si>
  <si>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</si>
  <si>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</si>
  <si>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</si>
  <si>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</si>
  <si>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</si>
  <si>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</si>
  <si>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</si>
  <si>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</si>
  <si>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</si>
  <si>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</si>
  <si>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</si>
  <si>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</si>
  <si>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</si>
  <si>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</si>
  <si>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</si>
  <si>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</si>
  <si>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</si>
  <si>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</si>
  <si>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</si>
  <si>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</si>
  <si>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</si>
  <si>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</si>
  <si>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</si>
  <si>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</si>
  <si>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</si>
  <si>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</si>
  <si>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</si>
  <si>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</si>
  <si>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</si>
  <si>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</si>
  <si>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</si>
  <si>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</si>
  <si>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</si>
  <si>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</si>
  <si>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</si>
  <si>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</si>
  <si>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</si>
  <si>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</si>
  <si>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</si>
  <si>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</si>
  <si>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</si>
  <si>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</si>
  <si>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</si>
  <si>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</si>
  <si>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</si>
  <si>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</si>
  <si>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</si>
  <si>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</si>
  <si>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</si>
  <si>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</si>
  <si>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</si>
  <si>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</si>
  <si>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</si>
  <si>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</si>
  <si>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</si>
  <si>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</si>
  <si>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</si>
  <si>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</si>
  <si>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</si>
  <si>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</si>
  <si>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</si>
  <si>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</si>
  <si>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</si>
  <si>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</si>
  <si>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</si>
  <si>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</si>
  <si>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</si>
  <si>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</si>
  <si>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</si>
  <si>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</si>
  <si>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</si>
  <si>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</si>
  <si>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</si>
  <si>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</si>
  <si>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</si>
  <si>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</si>
  <si>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</si>
  <si>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</si>
  <si>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</si>
  <si>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</si>
  <si>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</si>
  <si>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</si>
  <si>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</si>
  <si>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</si>
  <si>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</si>
  <si>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</si>
  <si>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</si>
  <si>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</si>
  <si>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</si>
  <si>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</si>
  <si>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</si>
  <si>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</si>
  <si>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</si>
  <si>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</si>
  <si>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</si>
  <si>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</si>
  <si>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</si>
  <si>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</si>
  <si>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</si>
  <si>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</si>
  <si>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</si>
  <si>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</si>
  <si>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</si>
  <si>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</si>
  <si>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</si>
  <si>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</si>
  <si>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</si>
  <si>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</si>
  <si>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</si>
  <si>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</si>
  <si>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</si>
  <si>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</si>
  <si>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</si>
  <si>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</si>
  <si>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</si>
  <si>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</si>
  <si>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</si>
  <si>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</si>
  <si>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</si>
  <si>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</si>
  <si>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</si>
  <si>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</si>
  <si>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</si>
  <si>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</si>
  <si>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</si>
  <si>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</si>
  <si>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</si>
  <si>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</si>
  <si>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</si>
  <si>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</si>
  <si>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</si>
  <si>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</si>
  <si>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</si>
  <si>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</si>
  <si>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</si>
  <si>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</si>
  <si>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</si>
  <si>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</si>
  <si>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</si>
  <si>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</si>
  <si>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</si>
  <si>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</si>
  <si>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</si>
  <si>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</si>
  <si>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</si>
  <si>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</si>
  <si>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</si>
  <si>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</si>
  <si>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</si>
  <si>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</si>
  <si>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</si>
  <si>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</si>
  <si>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</si>
  <si>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</si>
  <si>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</si>
  <si>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</si>
  <si>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</si>
  <si>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</si>
  <si>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</si>
  <si>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</si>
  <si>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</si>
  <si>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</si>
  <si>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</si>
  <si>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</si>
  <si>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</si>
  <si>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</si>
  <si>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</si>
  <si>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</si>
  <si>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</si>
  <si>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</si>
  <si>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</si>
  <si>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</si>
  <si>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</si>
  <si>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</si>
  <si>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</si>
  <si>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</si>
  <si>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</si>
  <si>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</si>
  <si>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</si>
  <si>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</si>
  <si>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</si>
  <si>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</si>
  <si>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</si>
  <si>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</si>
  <si>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</si>
  <si>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</si>
  <si>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</si>
  <si>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</si>
  <si>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</si>
  <si>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</si>
  <si>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</si>
  <si>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</si>
  <si>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</si>
  <si>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</si>
  <si>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</si>
  <si>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</si>
  <si>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</si>
  <si>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</si>
  <si>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</si>
  <si>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</si>
  <si>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</si>
  <si>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</si>
  <si>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</si>
  <si>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</si>
  <si>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</si>
  <si>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</si>
  <si>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</si>
  <si>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</si>
  <si>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</si>
  <si>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</si>
  <si>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</si>
  <si>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</si>
  <si>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</si>
  <si>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</si>
  <si>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</si>
  <si>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</si>
  <si>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</si>
  <si>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</si>
  <si>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</si>
  <si>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</si>
  <si>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</si>
  <si>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</si>
  <si>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</si>
  <si>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</si>
  <si>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</si>
  <si>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</si>
  <si>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</si>
  <si>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</si>
  <si>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</si>
  <si>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</si>
  <si>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</si>
  <si>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</si>
  <si>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</si>
  <si>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</si>
  <si>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</si>
  <si>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</si>
  <si>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</si>
  <si>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</si>
  <si>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</si>
  <si>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</si>
  <si>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</si>
  <si>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</si>
  <si>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</si>
  <si>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</si>
  <si>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</si>
  <si>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</si>
  <si>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</si>
  <si>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</si>
  <si>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</si>
  <si>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</si>
  <si>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</si>
  <si>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</si>
  <si>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</si>
  <si>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</si>
  <si>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</si>
  <si>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</si>
  <si>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</si>
  <si>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</si>
  <si>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</si>
  <si>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</si>
  <si>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</si>
  <si>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</si>
  <si>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</si>
  <si>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</si>
  <si>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</si>
  <si>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</si>
  <si>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</si>
  <si>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</si>
  <si>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</si>
  <si>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</si>
  <si>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</si>
  <si>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</si>
  <si>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</si>
  <si>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</si>
  <si>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</si>
  <si>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</si>
  <si>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</si>
  <si>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</si>
  <si>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</si>
  <si>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</si>
  <si>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</si>
  <si>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</si>
  <si>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</si>
  <si>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</si>
  <si>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</si>
  <si>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</si>
  <si>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</si>
  <si>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</si>
  <si>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</si>
  <si>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</si>
  <si>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</si>
  <si>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</si>
  <si>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</si>
  <si>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</si>
  <si>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</si>
  <si>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</si>
  <si>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</si>
  <si>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</si>
  <si>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</si>
  <si>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</si>
  <si>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</si>
  <si>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</si>
  <si>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</si>
  <si>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</si>
  <si>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</si>
  <si>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</si>
  <si>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</si>
  <si>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</si>
  <si>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</si>
  <si>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</si>
  <si>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</si>
  <si>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</si>
  <si>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</si>
  <si>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</si>
  <si>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</si>
  <si>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</si>
  <si>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</si>
  <si>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</si>
  <si>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</si>
  <si>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</si>
  <si>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</si>
  <si>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</si>
  <si>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</si>
  <si>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</si>
  <si>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</si>
  <si>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</si>
  <si>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</si>
  <si>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</si>
  <si>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</si>
  <si>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</si>
  <si>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</si>
  <si>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</si>
  <si>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</si>
  <si>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</si>
  <si>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</si>
  <si>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</si>
  <si>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</si>
  <si>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</si>
  <si>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</si>
  <si>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</si>
  <si>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</si>
  <si>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</si>
  <si>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</si>
  <si>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</si>
  <si>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</si>
  <si>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</si>
  <si>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</si>
  <si>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</si>
  <si>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</si>
  <si>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</si>
  <si>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</si>
  <si>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</si>
  <si>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</si>
  <si>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</si>
  <si>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</si>
  <si>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</si>
  <si>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</si>
  <si>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</si>
  <si>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</si>
  <si>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</si>
  <si>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</si>
  <si>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</si>
  <si>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</si>
  <si>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</si>
  <si>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</si>
  <si>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</si>
  <si>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</si>
  <si>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</si>
  <si>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</si>
  <si>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</si>
  <si>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</si>
  <si>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</si>
  <si>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</si>
  <si>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</si>
  <si>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</si>
  <si>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</si>
  <si>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</si>
  <si>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</si>
  <si>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</si>
  <si>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</si>
  <si>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</si>
  <si>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</si>
  <si>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</si>
  <si>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</si>
  <si>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</si>
  <si>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</si>
  <si>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</si>
  <si>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</si>
  <si>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</si>
  <si>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</si>
  <si>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</si>
  <si>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</si>
  <si>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</si>
  <si>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</si>
  <si>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</si>
  <si>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</si>
  <si>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</si>
  <si>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</si>
  <si>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</si>
  <si>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</si>
  <si>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</si>
  <si>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</si>
  <si>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</si>
  <si>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</si>
  <si>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</si>
  <si>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</si>
  <si>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</si>
  <si>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</si>
  <si>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</si>
  <si>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</si>
  <si>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</si>
  <si>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</si>
  <si>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</si>
  <si>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</si>
  <si>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</si>
  <si>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</si>
  <si>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</si>
  <si>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</si>
  <si>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</si>
  <si>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</si>
  <si>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</si>
  <si>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</si>
  <si>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</si>
  <si>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</si>
  <si>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</si>
  <si>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</si>
  <si>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</si>
  <si>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</si>
  <si>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</si>
  <si>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</si>
  <si>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</si>
  <si>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</si>
  <si>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</si>
  <si>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</si>
  <si>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</si>
  <si>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</si>
  <si>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</si>
  <si>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</si>
  <si>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</si>
  <si>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</si>
  <si>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</si>
  <si>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</si>
  <si>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</si>
  <si>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</si>
  <si>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</si>
  <si>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</si>
  <si>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</si>
  <si>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</si>
  <si>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</si>
  <si>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</si>
  <si>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</si>
  <si>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</si>
  <si>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</si>
  <si>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</si>
  <si>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</si>
  <si>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</si>
  <si>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</si>
  <si>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</si>
  <si>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</si>
  <si>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</si>
  <si>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</si>
  <si>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</si>
  <si>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</si>
  <si>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</si>
  <si>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</si>
  <si>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</si>
  <si>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</si>
  <si>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</si>
  <si>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</si>
  <si>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</si>
  <si>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</si>
  <si>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</si>
  <si>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</si>
  <si>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</si>
  <si>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</si>
  <si>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</si>
  <si>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</si>
  <si>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</si>
  <si>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</si>
  <si>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</si>
  <si>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</si>
  <si>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</si>
  <si>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</si>
  <si>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</si>
  <si>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</si>
  <si>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</si>
  <si>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</si>
  <si>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</si>
  <si>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</si>
  <si>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</si>
  <si>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</si>
  <si>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</si>
  <si>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</si>
  <si>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</si>
  <si>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</si>
  <si>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</si>
  <si>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</si>
  <si>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</si>
  <si>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</si>
  <si>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</si>
  <si>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</si>
  <si>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</si>
  <si>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</si>
  <si>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</si>
  <si>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</si>
  <si>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</si>
  <si>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</si>
  <si>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</si>
  <si>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</si>
  <si>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</si>
  <si>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</si>
  <si>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</si>
  <si>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</si>
  <si>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</si>
  <si>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</si>
  <si>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</si>
  <si>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</si>
  <si>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</si>
  <si>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</si>
  <si>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</si>
  <si>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</si>
  <si>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</si>
  <si>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</si>
  <si>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</si>
  <si>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</si>
  <si>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</si>
  <si>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</si>
  <si>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</si>
  <si>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</si>
  <si>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</si>
  <si>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</si>
  <si>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</si>
  <si>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</si>
  <si>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</si>
  <si>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</si>
  <si>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</si>
  <si>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</si>
  <si>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</si>
  <si>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</si>
  <si>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</si>
  <si>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</si>
  <si>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</si>
  <si>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</si>
  <si>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</si>
  <si>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</si>
  <si>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</si>
  <si>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</si>
  <si>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</si>
  <si>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</si>
  <si>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</si>
  <si>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</si>
  <si>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</si>
  <si>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</si>
  <si>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</si>
  <si>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</si>
  <si>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</si>
  <si>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</si>
  <si>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</si>
  <si>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</si>
  <si>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</si>
  <si>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</si>
  <si>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</si>
  <si>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</si>
  <si>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</si>
  <si>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</si>
  <si>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</si>
  <si>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</si>
  <si>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</si>
  <si>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</si>
  <si>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</si>
  <si>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</si>
  <si>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</si>
  <si>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</si>
  <si>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</si>
  <si>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</si>
  <si>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</si>
  <si>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</si>
  <si>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</si>
  <si>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</si>
  <si>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</si>
  <si>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</si>
  <si>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</si>
  <si>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</si>
  <si>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</si>
  <si>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</si>
  <si>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</si>
  <si>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</si>
  <si>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</si>
  <si>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</si>
  <si>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</si>
  <si>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</si>
  <si>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</si>
  <si>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</si>
  <si>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</si>
  <si>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</si>
  <si>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</si>
  <si>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</si>
  <si>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</si>
  <si>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</si>
  <si>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</si>
  <si>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</si>
  <si>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</si>
  <si>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</si>
  <si>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</si>
  <si>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</si>
  <si>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</si>
  <si>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</si>
  <si>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</si>
  <si>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</si>
  <si>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</si>
  <si>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</si>
  <si>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</si>
  <si>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</si>
  <si>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</si>
  <si>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</si>
  <si>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</si>
  <si>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</si>
  <si>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</si>
  <si>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</si>
  <si>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</si>
  <si>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</si>
  <si>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</si>
  <si>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</si>
  <si>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</si>
  <si>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</si>
  <si>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</si>
  <si>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</si>
  <si>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</si>
  <si>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</si>
  <si>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</si>
  <si>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</si>
  <si>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</si>
  <si>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</si>
  <si>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</si>
  <si>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</si>
  <si>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</si>
  <si>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</si>
  <si>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</si>
  <si>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</si>
  <si>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</si>
  <si>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</si>
  <si>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</si>
  <si>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</si>
  <si>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</si>
  <si>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</si>
  <si>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</si>
  <si>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</si>
  <si>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</si>
  <si>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</si>
  <si>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</si>
  <si>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</si>
  <si>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</si>
  <si>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</si>
  <si>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</si>
  <si>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</si>
  <si>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</si>
  <si>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</si>
  <si>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</si>
  <si>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</si>
  <si>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</si>
  <si>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</si>
  <si>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</si>
  <si>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</si>
  <si>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</si>
  <si>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</si>
  <si>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</si>
  <si>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</si>
  <si>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</si>
  <si>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</si>
  <si>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</si>
  <si>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</si>
  <si>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</si>
  <si>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</si>
  <si>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</si>
  <si>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</si>
  <si>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</si>
  <si>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</si>
  <si>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</si>
  <si>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</si>
  <si>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</si>
  <si>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</si>
  <si>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</si>
  <si>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</si>
  <si>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</si>
  <si>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</si>
  <si>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</si>
  <si>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</si>
  <si>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</si>
  <si>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</si>
  <si>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</si>
  <si>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</si>
  <si>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</si>
  <si>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</si>
  <si>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</si>
  <si>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</si>
  <si>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</si>
  <si>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</si>
  <si>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</si>
  <si>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</si>
  <si>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</si>
  <si>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</si>
  <si>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</si>
  <si>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</si>
  <si>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</si>
  <si>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</si>
  <si>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</si>
  <si>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</si>
  <si>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</si>
  <si>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</si>
  <si>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</si>
  <si>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</si>
  <si>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</si>
  <si>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</si>
  <si>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</si>
  <si>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</si>
  <si>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</si>
  <si>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</si>
  <si>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</si>
  <si>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</si>
  <si>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</si>
  <si>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</si>
  <si>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</si>
  <si>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</si>
  <si>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</si>
  <si>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</si>
  <si>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</si>
  <si>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</si>
  <si>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</si>
  <si>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</si>
  <si>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</si>
  <si>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</si>
  <si>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</si>
  <si>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</si>
  <si>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</si>
  <si>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</si>
  <si>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</si>
  <si>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</si>
  <si>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</si>
  <si>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</si>
  <si>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</si>
  <si>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</si>
  <si>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</si>
  <si>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</si>
  <si>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</si>
  <si>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</si>
  <si>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</si>
  <si>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</si>
  <si>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</si>
  <si>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</si>
  <si>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</si>
  <si>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</si>
  <si>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</si>
  <si>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</si>
  <si>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</si>
  <si>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</si>
  <si>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</si>
  <si>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</si>
  <si>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</si>
  <si>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</si>
  <si>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</si>
  <si>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</si>
  <si>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</si>
  <si>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</si>
  <si>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</si>
  <si>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</si>
  <si>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</si>
  <si>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</si>
  <si>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</si>
  <si>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</si>
  <si>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</si>
  <si>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</si>
  <si>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</si>
  <si>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</si>
  <si>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</si>
  <si>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</si>
  <si>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</si>
  <si>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</si>
  <si>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</si>
  <si>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</si>
  <si>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</si>
  <si>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</si>
  <si>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</si>
  <si>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</si>
  <si>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</si>
  <si>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</si>
  <si>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</si>
  <si>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</si>
  <si>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</si>
  <si>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</si>
  <si>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</si>
  <si>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</si>
  <si>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</si>
  <si>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</si>
  <si>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</si>
  <si>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</si>
  <si>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</si>
  <si>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</si>
  <si>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</si>
  <si>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</si>
  <si>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</si>
  <si>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</si>
  <si>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</si>
  <si>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</si>
  <si>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</si>
  <si>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</si>
  <si>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</si>
  <si>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</si>
  <si>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</si>
  <si>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</si>
  <si>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</si>
  <si>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</si>
  <si>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</si>
  <si>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</si>
  <si>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</si>
  <si>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</si>
  <si>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</si>
  <si>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</si>
  <si>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</si>
  <si>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</si>
  <si>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</si>
  <si>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</si>
  <si>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</si>
  <si>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</si>
  <si>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</si>
  <si>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</si>
  <si>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</si>
  <si>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</si>
  <si>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</si>
  <si>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</si>
  <si>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</si>
  <si>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</si>
  <si>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</si>
  <si>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</si>
  <si>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</si>
  <si>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</si>
  <si>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</si>
  <si>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</si>
  <si>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</si>
  <si>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</si>
  <si>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</si>
  <si>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</si>
  <si>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</si>
  <si>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</si>
  <si>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</si>
  <si>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</si>
  <si>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</si>
  <si>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</si>
  <si>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</si>
  <si>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</si>
  <si>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</si>
  <si>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</si>
  <si>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</si>
  <si>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</si>
  <si>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</si>
  <si>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</si>
  <si>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</si>
  <si>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</si>
  <si>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</si>
  <si>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</si>
  <si>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</si>
  <si>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</si>
  <si>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</si>
  <si>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</si>
  <si>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</si>
  <si>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</si>
  <si>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</si>
  <si>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</si>
  <si>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</si>
  <si>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</si>
  <si>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</si>
  <si>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</si>
  <si>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</si>
  <si>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</si>
  <si>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</si>
  <si>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</si>
  <si>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</si>
  <si>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</si>
  <si>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</si>
  <si>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</si>
  <si>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</si>
  <si>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</si>
  <si>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</si>
  <si>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</si>
  <si>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</si>
  <si>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</si>
  <si>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</si>
  <si>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</si>
  <si>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</si>
  <si>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</si>
  <si>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</si>
  <si>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</si>
  <si>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</si>
  <si>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</si>
  <si>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</si>
  <si>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</si>
  <si>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</si>
  <si>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</si>
  <si>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</si>
  <si>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</si>
  <si>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</si>
  <si>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</si>
  <si>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</si>
  <si>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</si>
  <si>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</si>
  <si>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</si>
  <si>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</si>
  <si>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</si>
  <si>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</si>
  <si>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</si>
  <si>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</si>
  <si>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</si>
  <si>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</si>
  <si>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</si>
  <si>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</si>
  <si>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</si>
  <si>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</si>
  <si>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</si>
  <si>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</si>
  <si>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</si>
  <si>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</si>
  <si>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</si>
  <si>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</si>
  <si>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</si>
  <si>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</si>
  <si>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</si>
  <si>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</si>
  <si>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</si>
  <si>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</si>
  <si>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</si>
  <si>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</si>
  <si>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</si>
  <si>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</si>
  <si>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</si>
  <si>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</si>
  <si>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</si>
  <si>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</si>
  <si>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</si>
  <si>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</si>
  <si>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</si>
  <si>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</si>
  <si>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</si>
  <si>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</si>
  <si>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</si>
  <si>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</si>
  <si>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</si>
  <si>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</si>
  <si>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</si>
  <si>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</si>
  <si>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</si>
  <si>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</si>
  <si>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</si>
  <si>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</si>
  <si>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</si>
  <si>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</si>
  <si>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</si>
  <si>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</si>
  <si>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</si>
  <si>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</si>
  <si>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</si>
  <si>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</si>
  <si>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</si>
  <si>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</si>
  <si>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</si>
  <si>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</si>
  <si>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</si>
  <si>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</si>
  <si>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</si>
  <si>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</si>
  <si>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</si>
  <si>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</si>
  <si>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</si>
  <si>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</si>
  <si>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</si>
  <si>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</si>
  <si>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</si>
  <si>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</si>
  <si>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</si>
  <si>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</si>
  <si>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</si>
  <si>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</si>
  <si>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</si>
  <si>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</si>
  <si>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</si>
  <si>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</si>
  <si>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</si>
  <si>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</si>
  <si>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</si>
  <si>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</si>
  <si>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</si>
  <si>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</si>
  <si>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</si>
  <si>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</si>
  <si>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</si>
  <si>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</si>
  <si>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</si>
  <si>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</si>
  <si>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</si>
  <si>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</si>
  <si>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</si>
  <si>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</si>
  <si>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</si>
  <si>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</si>
  <si>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</si>
  <si>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</si>
  <si>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</si>
  <si>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</si>
  <si>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</si>
  <si>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</si>
  <si>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</si>
  <si>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</si>
  <si>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</si>
  <si>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</si>
  <si>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</si>
  <si>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</si>
  <si>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</si>
  <si>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</si>
  <si>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</si>
  <si>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</si>
  <si>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</si>
  <si>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</si>
  <si>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</si>
  <si>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</si>
  <si>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</si>
  <si>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</si>
  <si>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</si>
  <si>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</si>
  <si>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</si>
  <si>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</si>
  <si>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</si>
  <si>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</si>
  <si>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</si>
  <si>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</si>
  <si>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</si>
  <si>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</si>
  <si>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</si>
  <si>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</si>
  <si>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</si>
  <si>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</si>
  <si>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</si>
  <si>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</si>
  <si>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</si>
  <si>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</si>
  <si>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</si>
  <si>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</si>
  <si>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</si>
  <si>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</si>
  <si>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</si>
  <si>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</si>
  <si>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</si>
  <si>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</si>
  <si>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</si>
  <si>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</si>
  <si>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</si>
  <si>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</si>
  <si>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</si>
  <si>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</si>
  <si>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</si>
  <si>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</si>
  <si>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</si>
  <si>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</si>
  <si>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</si>
  <si>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</si>
  <si>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</si>
  <si>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</si>
  <si>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</si>
  <si>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</si>
  <si>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</si>
  <si>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</si>
  <si>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</si>
  <si>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</si>
  <si>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</si>
  <si>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</si>
  <si>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</si>
  <si>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</si>
  <si>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</si>
  <si>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</si>
  <si>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</si>
  <si>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</si>
  <si>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</si>
  <si>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</si>
  <si>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</si>
  <si>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</si>
  <si>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</si>
  <si>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</si>
  <si>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</si>
  <si>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</si>
  <si>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</si>
  <si>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</si>
  <si>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</si>
  <si>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</si>
  <si>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</si>
  <si>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</si>
  <si>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</si>
  <si>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</si>
  <si>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</si>
  <si>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</si>
  <si>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</si>
  <si>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</si>
  <si>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</si>
  <si>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</si>
  <si>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</si>
  <si>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</si>
  <si>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</si>
  <si>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</si>
  <si>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</si>
  <si>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</si>
  <si>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</si>
  <si>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</si>
  <si>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</si>
  <si>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</si>
  <si>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</si>
  <si>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</si>
  <si>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</si>
  <si>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</si>
  <si>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</si>
  <si>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</si>
  <si>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</si>
  <si>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</si>
  <si>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</si>
  <si>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</si>
  <si>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</si>
  <si>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</si>
  <si>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</si>
  <si>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</si>
  <si>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</si>
  <si>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</si>
  <si>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</si>
  <si>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</si>
  <si>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</si>
  <si>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</si>
  <si>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</si>
  <si>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</si>
  <si>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</si>
  <si>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</si>
  <si>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</si>
  <si>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</si>
  <si>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</si>
  <si>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</si>
  <si>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</si>
  <si>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</si>
  <si>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</si>
  <si>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</si>
  <si>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</si>
  <si>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</si>
  <si>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</si>
  <si>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</si>
  <si>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</si>
  <si>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</si>
  <si>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</si>
  <si>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</si>
  <si>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</si>
  <si>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</si>
  <si>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</si>
  <si>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</si>
  <si>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</si>
  <si>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</si>
  <si>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</si>
  <si>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</si>
  <si>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</si>
  <si>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</si>
  <si>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</si>
  <si>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</si>
  <si>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</si>
  <si>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</si>
  <si>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</si>
  <si>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</si>
  <si>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</si>
  <si>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</si>
  <si>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</si>
  <si>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</si>
  <si>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</si>
  <si>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</si>
  <si>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</si>
  <si>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</si>
  <si>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</si>
  <si>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</si>
  <si>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</si>
  <si>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</si>
  <si>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</si>
  <si>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</si>
  <si>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</si>
  <si>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</si>
  <si>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</si>
  <si>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</si>
  <si>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</si>
  <si>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</si>
  <si>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</si>
  <si>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</si>
  <si>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</si>
  <si>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</si>
  <si>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</si>
  <si>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</si>
  <si>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</si>
  <si>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</si>
  <si>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</si>
  <si>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</si>
  <si>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</si>
  <si>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</si>
  <si>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</si>
  <si>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</si>
  <si>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</si>
  <si>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</si>
  <si>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</si>
  <si>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</si>
  <si>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</si>
  <si>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</si>
  <si>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</si>
  <si>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</si>
  <si>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</si>
  <si>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</si>
  <si>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</si>
  <si>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</si>
  <si>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</si>
  <si>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</si>
  <si>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</si>
  <si>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</si>
  <si>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</si>
  <si>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</si>
  <si>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</si>
  <si>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</si>
  <si>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</si>
  <si>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</si>
  <si>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</si>
  <si>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</si>
  <si>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</si>
  <si>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</si>
  <si>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</si>
  <si>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</si>
  <si>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</si>
  <si>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</si>
  <si>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</si>
  <si>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</si>
  <si>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</si>
  <si>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</si>
  <si>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</si>
  <si>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</si>
  <si>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</si>
  <si>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</si>
  <si>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</si>
  <si>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</si>
  <si>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</si>
  <si>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</si>
  <si>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</si>
  <si>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</si>
  <si>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</si>
  <si>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</si>
  <si>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</si>
  <si>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</si>
  <si>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</si>
  <si>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</si>
  <si>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</si>
  <si>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</si>
  <si>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</si>
  <si>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</si>
  <si>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</si>
  <si>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</si>
  <si>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</si>
  <si>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</si>
  <si>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</si>
  <si>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</si>
  <si>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</si>
  <si>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</si>
  <si>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</si>
  <si>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</si>
  <si>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</si>
  <si>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</si>
  <si>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</si>
  <si>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</si>
  <si>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</si>
  <si>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</si>
  <si>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</si>
  <si>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</si>
  <si>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</si>
  <si>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</si>
  <si>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</si>
  <si>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</si>
  <si>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</si>
  <si>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</si>
  <si>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</si>
  <si>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</si>
  <si>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</si>
  <si>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</si>
  <si>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</si>
  <si>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</si>
  <si>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</si>
  <si>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</si>
  <si>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</si>
  <si>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</si>
  <si>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</si>
  <si>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</si>
  <si>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</si>
  <si>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</si>
  <si>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</si>
  <si>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</si>
  <si>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</si>
  <si>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</si>
  <si>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</si>
  <si>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</si>
  <si>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</si>
  <si>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</si>
  <si>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</si>
  <si>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</si>
  <si>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</si>
  <si>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</si>
  <si>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</si>
  <si>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</si>
  <si>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</si>
  <si>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</si>
  <si>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</si>
  <si>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</si>
  <si>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</si>
  <si>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</si>
  <si>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</si>
  <si>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</si>
  <si>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</si>
  <si>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</si>
  <si>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</si>
  <si>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</si>
  <si>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</si>
  <si>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</si>
  <si>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</si>
  <si>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</si>
  <si>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</si>
  <si>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</si>
  <si>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</si>
  <si>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</si>
  <si>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</si>
  <si>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</si>
  <si>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</si>
  <si>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</si>
  <si>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</si>
  <si>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</si>
  <si>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</si>
  <si>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</si>
  <si>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</si>
  <si>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</si>
  <si>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</si>
  <si>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</si>
  <si>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</si>
  <si>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</si>
  <si>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</si>
  <si>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</si>
  <si>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</si>
  <si>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</si>
  <si>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</si>
  <si>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</si>
  <si>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</si>
  <si>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</si>
  <si>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</si>
  <si>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</si>
  <si>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</si>
  <si>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</si>
  <si>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</si>
  <si>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</si>
  <si>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</si>
  <si>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</si>
  <si>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</si>
  <si>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</si>
  <si>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</si>
  <si>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</si>
  <si>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</si>
  <si>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</si>
  <si>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</si>
  <si>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</si>
  <si>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</si>
  <si>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</si>
  <si>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</si>
  <si>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</si>
  <si>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</si>
  <si>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</si>
  <si>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</si>
  <si>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</si>
  <si>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</si>
  <si>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</si>
  <si>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</si>
  <si>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</si>
  <si>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</si>
  <si>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</si>
  <si>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</si>
  <si>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</si>
  <si>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</si>
  <si>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</si>
  <si>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</si>
  <si>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</si>
  <si>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</si>
  <si>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</si>
  <si>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</si>
  <si>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</si>
  <si>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</si>
  <si>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</si>
  <si>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</si>
  <si>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</si>
  <si>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</si>
  <si>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</si>
  <si>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</si>
  <si>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</si>
  <si>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</si>
  <si>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</si>
  <si>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</si>
  <si>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</si>
  <si>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</si>
  <si>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</si>
  <si>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</si>
  <si>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</si>
  <si>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</si>
  <si>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</si>
  <si>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</si>
  <si>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</si>
  <si>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</si>
  <si>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</si>
  <si>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</si>
  <si>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</si>
  <si>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</si>
  <si>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</si>
  <si>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</si>
  <si>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</si>
  <si>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</si>
  <si>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</si>
  <si>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</si>
  <si>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</si>
  <si>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</si>
  <si>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</si>
  <si>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</si>
  <si>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</si>
  <si>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</si>
  <si>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</si>
  <si>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</si>
  <si>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</si>
  <si>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</si>
  <si>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</si>
  <si>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</si>
  <si>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</si>
  <si>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</si>
  <si>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</si>
  <si>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</si>
  <si>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</si>
  <si>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</si>
  <si>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</si>
  <si>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</si>
  <si>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</si>
  <si>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</si>
  <si>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</si>
  <si>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</si>
  <si>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</si>
  <si>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</si>
  <si>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</si>
  <si>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</si>
  <si>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</si>
  <si>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</si>
  <si>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</si>
  <si>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</si>
  <si>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</si>
  <si>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</si>
  <si>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</si>
  <si>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</si>
  <si>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</si>
  <si>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</si>
  <si>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</si>
  <si>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</si>
  <si>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</si>
  <si>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</si>
  <si>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</si>
  <si>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</si>
  <si>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</si>
  <si>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</si>
  <si>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</si>
  <si>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</si>
  <si>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</si>
  <si>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</si>
  <si>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</si>
  <si>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</si>
  <si>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</si>
  <si>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</si>
  <si>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</si>
  <si>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</si>
  <si>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</si>
  <si>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</si>
  <si>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</si>
  <si>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</si>
  <si>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</si>
  <si>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</si>
  <si>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</si>
  <si>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</si>
  <si>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</si>
  <si>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</si>
  <si>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</si>
  <si>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</si>
  <si>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</si>
  <si>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</si>
  <si>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</si>
  <si>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</si>
  <si>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</si>
  <si>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</si>
  <si>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</si>
  <si>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</si>
  <si>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</si>
  <si>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</si>
  <si>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</si>
  <si>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</si>
  <si>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</si>
  <si>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</si>
  <si>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</si>
  <si>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</si>
  <si>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</si>
  <si>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</si>
  <si>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</si>
  <si>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</si>
  <si>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</si>
  <si>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</si>
  <si>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</si>
  <si>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</si>
  <si>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</si>
  <si>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</si>
  <si>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</si>
  <si>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</si>
  <si>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</si>
  <si>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</si>
  <si>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</si>
  <si>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</si>
  <si>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</si>
  <si>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</si>
  <si>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</si>
  <si>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</si>
  <si>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</si>
  <si>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</si>
  <si>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</si>
  <si>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</si>
  <si>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</si>
  <si>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</si>
  <si>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</si>
  <si>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</si>
  <si>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</si>
  <si>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</si>
  <si>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</si>
  <si>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</si>
  <si>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</si>
  <si>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</si>
  <si>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</si>
  <si>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</si>
  <si>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</si>
  <si>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</si>
  <si>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</si>
  <si>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</si>
  <si>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</si>
  <si>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</si>
  <si>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</si>
  <si>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</si>
  <si>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</si>
  <si>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</si>
  <si>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</si>
  <si>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</si>
  <si>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</si>
  <si>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</si>
  <si>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</si>
  <si>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</si>
  <si>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</si>
  <si>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</si>
  <si>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</si>
  <si>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</si>
  <si>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</si>
  <si>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</si>
  <si>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</si>
  <si>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</si>
  <si>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</si>
  <si>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</si>
  <si>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</si>
  <si>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</si>
  <si>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</si>
  <si>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</si>
  <si>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</si>
  <si>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</si>
  <si>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</si>
  <si>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</si>
  <si>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</si>
  <si>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</si>
  <si>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</si>
  <si>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</si>
  <si>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</si>
  <si>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</si>
  <si>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</si>
  <si>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</si>
  <si>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</si>
  <si>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</si>
  <si>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</si>
  <si>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</si>
  <si>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</si>
  <si>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</si>
  <si>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</si>
  <si>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</si>
  <si>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</si>
  <si>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</si>
  <si>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</si>
  <si>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</si>
  <si>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</si>
  <si>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</si>
  <si>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</si>
  <si>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</si>
  <si>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</si>
  <si>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</si>
  <si>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</si>
  <si>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</si>
  <si>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</si>
  <si>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</si>
  <si>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</si>
  <si>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</si>
  <si>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</si>
  <si>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</si>
  <si>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</si>
  <si>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</si>
  <si>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</si>
  <si>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</si>
  <si>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</si>
  <si>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</si>
  <si>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</si>
  <si>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</si>
  <si>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</si>
  <si>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</si>
  <si>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</si>
  <si>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</si>
  <si>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</si>
  <si>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</si>
  <si>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</si>
  <si>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</si>
  <si>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</si>
  <si>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</si>
  <si>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</si>
  <si>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</si>
  <si>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</si>
  <si>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</si>
  <si>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</si>
  <si>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</si>
  <si>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</si>
  <si>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</si>
  <si>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</si>
  <si>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</si>
  <si>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</si>
  <si>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</si>
  <si>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</si>
  <si>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</si>
  <si>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</si>
  <si>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</si>
  <si>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</si>
  <si>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</si>
  <si>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</si>
  <si>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</si>
  <si>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</si>
  <si>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</si>
  <si>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</si>
  <si>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</si>
  <si>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</si>
  <si>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</si>
  <si>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</si>
  <si>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</si>
  <si>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</si>
  <si>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</si>
  <si>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</si>
  <si>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</si>
  <si>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</si>
  <si>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</si>
  <si>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</si>
  <si>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</si>
  <si>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</si>
  <si>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</si>
  <si>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</si>
  <si>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</si>
  <si>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</si>
  <si>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</si>
  <si>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</si>
  <si>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</si>
  <si>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</si>
  <si>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</si>
  <si>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</si>
  <si>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</si>
  <si>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</si>
  <si>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</si>
  <si>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</si>
  <si>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</si>
  <si>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</si>
  <si>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</si>
  <si>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</si>
  <si>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</si>
  <si>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</si>
  <si>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</si>
  <si>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</si>
  <si>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</si>
  <si>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</si>
  <si>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</si>
  <si>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</si>
  <si>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</si>
  <si>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</si>
  <si>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</si>
  <si>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</si>
  <si>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</si>
  <si>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</si>
  <si>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</si>
  <si>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</si>
  <si>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</si>
  <si>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</si>
  <si>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</si>
  <si>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</si>
  <si>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</si>
  <si>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</si>
  <si>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</si>
  <si>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</si>
  <si>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</si>
  <si>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</si>
  <si>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</si>
  <si>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</si>
  <si>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</si>
  <si>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</si>
  <si>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</si>
  <si>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</si>
  <si>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</si>
  <si>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</si>
  <si>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</si>
  <si>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</si>
  <si>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</si>
  <si>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</si>
  <si>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</si>
  <si>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</si>
  <si>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</si>
  <si>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</si>
  <si>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</si>
  <si>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</si>
  <si>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</si>
  <si>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</si>
  <si>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</si>
  <si>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</si>
  <si>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</si>
  <si>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</si>
  <si>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</si>
  <si>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</si>
  <si>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</si>
  <si>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</si>
  <si>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</si>
  <si>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</si>
  <si>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</si>
  <si>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</si>
  <si>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</si>
  <si>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</si>
  <si>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</si>
  <si>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</si>
  <si>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</si>
  <si>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</si>
  <si>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</si>
  <si>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</si>
  <si>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</si>
  <si>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</si>
  <si>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</si>
  <si>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</si>
  <si>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</si>
  <si>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</si>
  <si>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</si>
  <si>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</si>
  <si>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</si>
  <si>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</si>
  <si>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</si>
  <si>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</si>
  <si>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</si>
  <si>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</si>
  <si>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</si>
  <si>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</si>
  <si>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</si>
  <si>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</si>
  <si>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</si>
  <si>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</si>
  <si>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</si>
  <si>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</si>
  <si>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</si>
  <si>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</si>
  <si>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</si>
  <si>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</si>
  <si>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</si>
  <si>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</si>
  <si>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</si>
  <si>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</si>
  <si>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</si>
  <si>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</si>
  <si>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</si>
  <si>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</si>
  <si>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</si>
  <si>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</si>
  <si>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</si>
  <si>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</si>
  <si>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</si>
  <si>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</si>
  <si>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</si>
  <si>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</si>
  <si>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</si>
  <si>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</si>
  <si>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</si>
  <si>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</si>
  <si>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</si>
  <si>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</si>
  <si>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</si>
  <si>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</si>
  <si>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</si>
  <si>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</si>
  <si>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</si>
  <si>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</si>
  <si>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</si>
  <si>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</si>
  <si>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</si>
  <si>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</si>
  <si>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</si>
  <si>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</si>
  <si>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</si>
  <si>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</si>
  <si>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</si>
  <si>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</si>
  <si>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</si>
  <si>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</si>
  <si>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</si>
  <si>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</si>
  <si>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</si>
  <si>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</si>
  <si>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</si>
  <si>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</si>
  <si>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</si>
  <si>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</si>
  <si>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</si>
  <si>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</si>
  <si>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</si>
  <si>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</si>
  <si>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</si>
  <si>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</si>
  <si>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</si>
  <si>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</si>
  <si>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</si>
  <si>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</si>
  <si>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</si>
  <si>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</si>
  <si>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</si>
  <si>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</si>
  <si>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</si>
  <si>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</si>
  <si>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</si>
  <si>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</si>
  <si>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</si>
  <si>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</si>
  <si>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</si>
  <si>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</si>
  <si>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</si>
  <si>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</si>
  <si>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</si>
  <si>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</si>
  <si>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</si>
  <si>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</si>
  <si>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</si>
  <si>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</si>
  <si>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</si>
  <si>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</si>
  <si>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</si>
  <si>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</si>
  <si>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</si>
  <si>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</si>
  <si>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</si>
  <si>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</si>
  <si>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</si>
  <si>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</si>
  <si>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</si>
  <si>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</si>
  <si>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</si>
  <si>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</si>
  <si>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</si>
  <si>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</si>
  <si>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</si>
  <si>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</si>
  <si>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</si>
  <si>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</si>
  <si>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</si>
  <si>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</si>
  <si>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</si>
  <si>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</si>
  <si>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</si>
  <si>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</si>
  <si>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</si>
  <si>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</si>
  <si>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</si>
  <si>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</si>
  <si>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</si>
  <si>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</si>
  <si>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</si>
  <si>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</si>
  <si>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</si>
  <si>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</si>
  <si>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</si>
  <si>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</si>
  <si>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</si>
  <si>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</si>
  <si>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</si>
  <si>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</si>
  <si>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</si>
  <si>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</si>
  <si>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</si>
  <si>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</si>
  <si>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</si>
  <si>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</si>
  <si>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</si>
  <si>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</si>
  <si>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</si>
  <si>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</si>
  <si>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</si>
  <si>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</si>
  <si>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</si>
  <si>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</si>
  <si>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</si>
  <si>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</si>
  <si>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</si>
  <si>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</si>
  <si>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</si>
  <si>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</si>
  <si>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</si>
  <si>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</si>
  <si>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</si>
  <si>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</si>
  <si>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</si>
  <si>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</si>
  <si>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</si>
  <si>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</si>
  <si>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</si>
  <si>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</si>
  <si>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</si>
  <si>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</si>
  <si>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</si>
  <si>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</si>
  <si>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</si>
  <si>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</si>
  <si>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</si>
  <si>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</si>
  <si>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</si>
  <si>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</si>
  <si>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</si>
  <si>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</si>
  <si>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</si>
  <si>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</si>
  <si>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</si>
  <si>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</si>
  <si>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</si>
  <si>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</si>
  <si>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</si>
  <si>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</si>
  <si>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</si>
  <si>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</si>
  <si>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</si>
  <si>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</si>
  <si>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</si>
  <si>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</si>
  <si>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</si>
  <si>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</si>
  <si>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</si>
  <si>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</si>
  <si>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</si>
  <si>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</si>
  <si>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</si>
  <si>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</si>
  <si>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</si>
  <si>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</si>
  <si>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</si>
  <si>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</si>
  <si>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</si>
  <si>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</si>
  <si>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</si>
  <si>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</si>
  <si>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</si>
  <si>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</si>
  <si>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</si>
  <si>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</si>
  <si>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</si>
  <si>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</si>
  <si>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</si>
  <si>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</si>
  <si>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</si>
  <si>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</si>
  <si>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</si>
  <si>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</si>
  <si>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</si>
  <si>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</si>
  <si>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</si>
  <si>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</si>
  <si>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</si>
  <si>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</si>
  <si>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</si>
  <si>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</si>
  <si>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</si>
  <si>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</si>
  <si>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</si>
  <si>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</si>
  <si>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</si>
  <si>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</si>
  <si>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</si>
  <si>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</si>
  <si>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</si>
  <si>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</si>
  <si>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</si>
  <si>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</si>
  <si>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</si>
  <si>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</si>
  <si>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</si>
  <si>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</si>
  <si>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</si>
  <si>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</si>
  <si>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</si>
  <si>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</si>
  <si>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</si>
  <si>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</si>
  <si>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</si>
  <si>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</si>
  <si>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</si>
  <si>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</si>
  <si>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</si>
  <si>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</si>
  <si>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</si>
  <si>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</si>
  <si>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</si>
  <si>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</si>
  <si>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</si>
  <si>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</si>
  <si>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</si>
  <si>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</si>
  <si>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</si>
  <si>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</si>
  <si>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</si>
  <si>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</si>
  <si>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</si>
  <si>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</si>
  <si>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</si>
  <si>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</si>
  <si>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</si>
  <si>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</si>
  <si>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</si>
  <si>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</si>
  <si>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</si>
  <si>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</si>
  <si>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</si>
  <si>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</si>
  <si>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</si>
  <si>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</si>
  <si>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</si>
  <si>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</si>
  <si>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</si>
  <si>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</si>
  <si>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</si>
  <si>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</si>
  <si>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</si>
  <si>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</si>
  <si>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</si>
  <si>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</si>
  <si>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</si>
  <si>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</si>
  <si>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</si>
  <si>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</si>
  <si>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</si>
  <si>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</si>
  <si>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</si>
  <si>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</si>
  <si>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</si>
  <si>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</si>
  <si>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</si>
  <si>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</si>
  <si>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</si>
  <si>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</si>
  <si>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</si>
  <si>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</si>
  <si>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</si>
  <si>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</si>
  <si>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</si>
  <si>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</si>
  <si>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</si>
  <si>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</si>
  <si>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</si>
  <si>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</si>
  <si>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</si>
  <si>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</si>
  <si>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</si>
  <si>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</si>
  <si>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</si>
  <si>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</si>
  <si>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</si>
  <si>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</si>
  <si>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</si>
  <si>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</si>
  <si>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</si>
  <si>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</si>
  <si>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</si>
  <si>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</si>
  <si>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</si>
  <si>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</si>
  <si>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</si>
  <si>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</si>
  <si>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</si>
  <si>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</si>
  <si>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</si>
  <si>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</si>
  <si>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</si>
  <si>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</si>
  <si>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</si>
  <si>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</si>
  <si>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</si>
  <si>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</si>
  <si>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</si>
  <si>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</si>
  <si>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</si>
  <si>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</si>
  <si>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</si>
  <si>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</si>
  <si>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</si>
  <si>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</si>
  <si>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</si>
  <si>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</si>
  <si>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</si>
  <si>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</si>
  <si>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</si>
  <si>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</si>
  <si>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</si>
  <si>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</si>
  <si>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</si>
  <si>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</si>
  <si>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</si>
  <si>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</si>
  <si>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</si>
  <si>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</si>
  <si>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</si>
  <si>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</si>
  <si>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</si>
  <si>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</si>
  <si>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</si>
  <si>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</si>
  <si>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</si>
  <si>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</si>
  <si>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</si>
  <si>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</si>
  <si>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</si>
  <si>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</si>
  <si>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</si>
  <si>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</si>
  <si>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</si>
  <si>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</si>
  <si>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</si>
  <si>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</si>
  <si>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</si>
  <si>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</si>
  <si>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</si>
  <si>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</si>
  <si>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</si>
  <si>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</si>
  <si>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</si>
  <si>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</si>
  <si>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</si>
  <si>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</si>
  <si>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</si>
  <si>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</si>
  <si>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</si>
  <si>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</si>
  <si>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</si>
  <si>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</si>
  <si>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</si>
  <si>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</si>
  <si>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</si>
  <si>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</si>
  <si>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</si>
  <si>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</si>
  <si>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</si>
  <si>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</si>
  <si>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</si>
  <si>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</si>
  <si>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</si>
  <si>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</si>
  <si>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</si>
  <si>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</si>
  <si>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</si>
  <si>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</si>
  <si>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</si>
  <si>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</si>
  <si>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</si>
  <si>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</si>
  <si>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</si>
  <si>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</si>
  <si>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</si>
  <si>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</si>
  <si>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</si>
  <si>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</si>
  <si>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</si>
  <si>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</si>
  <si>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</si>
  <si>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</si>
  <si>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</si>
  <si>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</si>
  <si>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</si>
  <si>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</si>
  <si>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</si>
  <si>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</si>
  <si>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</si>
  <si>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</si>
  <si>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</si>
  <si>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</si>
  <si>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</si>
  <si>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</si>
  <si>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</si>
  <si>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</si>
  <si>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</si>
  <si>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</si>
  <si>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</si>
  <si>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</si>
  <si>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</si>
  <si>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</si>
  <si>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</si>
  <si>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</si>
  <si>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</si>
  <si>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</si>
  <si>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</si>
  <si>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</si>
  <si>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</si>
  <si>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</si>
  <si>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</si>
  <si>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</si>
  <si>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</si>
  <si>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</si>
  <si>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</si>
  <si>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</si>
  <si>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</si>
  <si>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</si>
  <si>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</si>
  <si>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</si>
  <si>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</si>
  <si>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</si>
  <si>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</si>
  <si>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</si>
  <si>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</si>
  <si>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</si>
  <si>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</si>
  <si>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</si>
  <si>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</si>
  <si>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</si>
  <si>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</si>
  <si>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</si>
  <si>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</si>
  <si>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</si>
  <si>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</si>
  <si>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</si>
  <si>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</si>
  <si>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</si>
  <si>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</si>
  <si>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</si>
  <si>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</si>
  <si>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</si>
  <si>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</si>
  <si>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</si>
  <si>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</si>
  <si>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</si>
  <si>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</si>
  <si>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</si>
  <si>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</si>
  <si>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</si>
  <si>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</si>
  <si>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</si>
  <si>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</si>
  <si>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</si>
  <si>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</si>
  <si>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</si>
  <si>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</si>
  <si>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</si>
  <si>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</si>
  <si>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</si>
  <si>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</si>
  <si>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</si>
  <si>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</si>
  <si>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</si>
  <si>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</si>
  <si>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</si>
  <si>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</si>
  <si>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</si>
  <si>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</si>
  <si>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</si>
  <si>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</si>
  <si>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</si>
  <si>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</si>
  <si>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</si>
  <si>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</si>
  <si>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</si>
  <si>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</si>
  <si>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</si>
  <si>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</si>
  <si>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</si>
  <si>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</si>
  <si>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</si>
  <si>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</si>
  <si>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</si>
  <si>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</si>
  <si>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</si>
  <si>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</si>
  <si>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</si>
  <si>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</si>
  <si>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</si>
  <si>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</si>
  <si>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</si>
  <si>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</si>
  <si>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</si>
  <si>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</si>
  <si>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</si>
  <si>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</si>
  <si>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</si>
  <si>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</si>
  <si>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</si>
  <si>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</si>
  <si>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</si>
  <si>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</si>
  <si>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</si>
  <si>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</si>
  <si>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</si>
  <si>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</si>
  <si>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</si>
  <si>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</si>
  <si>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</si>
  <si>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</si>
  <si>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</si>
  <si>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</si>
  <si>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</si>
  <si>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</si>
  <si>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</si>
  <si>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</si>
  <si>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</si>
  <si>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</si>
  <si>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</si>
  <si>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</si>
  <si>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</si>
  <si>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</si>
  <si>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</si>
  <si>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</si>
  <si>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</si>
  <si>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</si>
  <si>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</si>
  <si>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</si>
  <si>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</si>
  <si>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</si>
  <si>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</si>
  <si>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</si>
  <si>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</si>
  <si>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</si>
  <si>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</si>
  <si>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</si>
  <si>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</si>
  <si>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</si>
  <si>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</si>
  <si>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</si>
  <si>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</si>
  <si>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</si>
  <si>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</si>
  <si>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</si>
  <si>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</si>
  <si>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</si>
  <si>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</si>
  <si>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</si>
  <si>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</si>
  <si>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</si>
  <si>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</si>
  <si>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</si>
  <si>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</si>
  <si>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</si>
  <si>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</si>
  <si>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</si>
  <si>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</si>
  <si>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</si>
  <si>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</si>
  <si>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</si>
  <si>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</si>
  <si>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</si>
  <si>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</si>
  <si>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</si>
  <si>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</si>
  <si>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</si>
  <si>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</si>
  <si>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</si>
  <si>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</si>
  <si>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</si>
  <si>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</si>
  <si>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</si>
  <si>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</si>
  <si>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</si>
  <si>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</si>
  <si>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</si>
  <si>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</si>
  <si>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</si>
  <si>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</si>
  <si>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</si>
  <si>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</si>
  <si>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</si>
  <si>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</si>
  <si>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</si>
  <si>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</si>
  <si>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</si>
  <si>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</si>
  <si>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</si>
  <si>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</si>
  <si>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</si>
  <si>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</si>
  <si>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</si>
  <si>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</si>
  <si>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</si>
  <si>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</si>
  <si>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</si>
  <si>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</si>
  <si>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</si>
  <si>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</si>
  <si>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</si>
  <si>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</si>
  <si>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</si>
  <si>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</si>
  <si>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</si>
  <si>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</si>
  <si>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</si>
  <si>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</si>
  <si>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</si>
  <si>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</si>
  <si>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</si>
  <si>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</si>
  <si>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</si>
  <si>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</si>
  <si>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</si>
  <si>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</si>
  <si>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</si>
  <si>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</si>
  <si>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</si>
  <si>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</si>
  <si>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</si>
  <si>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</si>
  <si>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</si>
  <si>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</si>
  <si>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</si>
  <si>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</si>
  <si>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</si>
  <si>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</si>
  <si>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</si>
  <si>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</si>
  <si>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</si>
  <si>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</si>
  <si>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</si>
  <si>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</si>
  <si>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</si>
  <si>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</si>
  <si>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</si>
  <si>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</si>
  <si>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</si>
  <si>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</si>
  <si>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</si>
  <si>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</si>
  <si>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</si>
  <si>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</si>
  <si>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</si>
  <si>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</si>
  <si>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</si>
  <si>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</si>
  <si>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</si>
  <si>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</si>
  <si>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</si>
  <si>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</si>
  <si>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</si>
  <si>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</si>
  <si>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</si>
  <si>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</si>
  <si>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</si>
  <si>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</si>
  <si>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</si>
  <si>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</si>
  <si>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</si>
  <si>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</si>
  <si>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</si>
  <si>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</si>
  <si>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</si>
  <si>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</si>
  <si>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</si>
  <si>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</si>
  <si>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</si>
  <si>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</si>
  <si>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</si>
  <si>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</si>
  <si>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</si>
  <si>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</si>
  <si>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</si>
  <si>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</si>
  <si>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</si>
  <si>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</si>
  <si>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</si>
  <si>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</si>
  <si>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</si>
  <si>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</si>
  <si>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</si>
  <si>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</si>
  <si>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</si>
  <si>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</si>
  <si>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</si>
  <si>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</si>
  <si>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</si>
  <si>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</si>
  <si>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</si>
  <si>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</si>
  <si>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</si>
  <si>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</si>
  <si>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</si>
  <si>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</si>
  <si>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</si>
  <si>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</si>
  <si>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</si>
  <si>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</si>
  <si>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</si>
  <si>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</si>
  <si>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</si>
  <si>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</si>
  <si>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</si>
  <si>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</si>
  <si>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</si>
  <si>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</si>
  <si>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</si>
  <si>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</si>
  <si>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</si>
  <si>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</si>
  <si>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</si>
  <si>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</si>
  <si>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</si>
  <si>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</si>
  <si>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</si>
  <si>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</si>
  <si>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</si>
  <si>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</si>
  <si>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</si>
  <si>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</si>
  <si>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</si>
  <si>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</si>
  <si>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</si>
  <si>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</si>
  <si>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</si>
  <si>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</si>
  <si>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</si>
  <si>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</si>
  <si>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</si>
  <si>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</si>
  <si>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</si>
  <si>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</si>
  <si>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</si>
  <si>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</si>
  <si>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</si>
  <si>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</si>
  <si>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</si>
  <si>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</si>
  <si>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</si>
  <si>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</si>
  <si>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</si>
  <si>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</si>
  <si>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</si>
  <si>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</si>
  <si>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</si>
  <si>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</si>
  <si>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</si>
  <si>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</si>
  <si>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</si>
  <si>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</si>
  <si>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</si>
  <si>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</si>
  <si>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</si>
  <si>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</si>
  <si>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</si>
  <si>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</si>
  <si>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</si>
  <si>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</si>
  <si>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</si>
  <si>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</si>
  <si>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</si>
  <si>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</si>
  <si>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</si>
  <si>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</si>
  <si>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</si>
  <si>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</si>
  <si>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</si>
  <si>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</si>
  <si>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</si>
  <si>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</si>
  <si>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</si>
  <si>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</si>
  <si>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</si>
  <si>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</si>
  <si>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</si>
  <si>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</si>
  <si>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</si>
  <si>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</si>
  <si>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</si>
  <si>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</si>
  <si>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</si>
  <si>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</si>
  <si>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</si>
  <si>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</si>
  <si>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</si>
  <si>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</si>
  <si>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</si>
  <si>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</si>
  <si>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</si>
  <si>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</si>
  <si>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</si>
  <si>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</si>
  <si>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</si>
  <si>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</si>
  <si>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</si>
  <si>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</si>
  <si>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</si>
  <si>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</si>
  <si>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</si>
  <si>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</si>
  <si>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</si>
  <si>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</si>
  <si>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</si>
  <si>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</si>
  <si>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</si>
  <si>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</si>
  <si>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</si>
  <si>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</si>
  <si>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</si>
  <si>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</si>
  <si>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</si>
  <si>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</si>
  <si>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</si>
  <si>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</si>
  <si>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</si>
  <si>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</si>
  <si>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</si>
  <si>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</si>
  <si>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</si>
  <si>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</si>
  <si>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</si>
  <si>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</si>
  <si>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</si>
  <si>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</si>
  <si>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</si>
  <si>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</si>
  <si>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</si>
  <si>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</si>
  <si>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</si>
  <si>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</si>
  <si>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</si>
  <si>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</si>
  <si>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</si>
  <si>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</si>
  <si>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</si>
  <si>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</si>
  <si>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</si>
  <si>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</si>
  <si>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</si>
  <si>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</si>
  <si>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</si>
  <si>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</si>
  <si>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</si>
  <si>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</si>
  <si>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</si>
  <si>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</si>
  <si>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</si>
  <si>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</si>
  <si>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</si>
  <si>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</si>
  <si>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</si>
  <si>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</si>
  <si>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</si>
  <si>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</si>
  <si>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</si>
  <si>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</si>
  <si>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</si>
  <si>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</si>
  <si>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</si>
  <si>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</si>
  <si>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</si>
  <si>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</si>
  <si>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</si>
  <si>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</si>
  <si>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</si>
  <si>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</si>
  <si>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</si>
  <si>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</si>
  <si>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</si>
  <si>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</si>
  <si>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</si>
  <si>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</si>
  <si>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</si>
  <si>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</si>
  <si>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</si>
  <si>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</si>
  <si>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</si>
  <si>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</si>
  <si>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</si>
  <si>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</si>
  <si>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</si>
  <si>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</si>
  <si>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</si>
  <si>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</si>
  <si>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</si>
  <si>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</si>
  <si>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</si>
  <si>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</si>
  <si>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</si>
  <si>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</si>
  <si>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</si>
  <si>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</si>
  <si>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</si>
  <si>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</si>
  <si>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</si>
  <si>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</si>
  <si>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</si>
  <si>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</si>
  <si>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</si>
  <si>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</si>
  <si>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</si>
  <si>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</si>
  <si>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</si>
  <si>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</si>
  <si>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</si>
  <si>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</si>
  <si>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</si>
  <si>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</si>
  <si>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</si>
  <si>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</si>
  <si>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</si>
  <si>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</si>
  <si>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</si>
  <si>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</si>
  <si>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</si>
  <si>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</si>
  <si>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</si>
  <si>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</si>
  <si>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</si>
  <si>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</si>
  <si>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</si>
  <si>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</si>
  <si>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</si>
  <si>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</si>
  <si>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</si>
  <si>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</si>
  <si>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</si>
  <si>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</si>
  <si>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</si>
  <si>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</si>
  <si>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</si>
  <si>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</si>
  <si>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</si>
  <si>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</si>
  <si>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</si>
  <si>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</si>
  <si>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</si>
  <si>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</si>
  <si>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</si>
  <si>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</si>
  <si>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</si>
  <si>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</si>
  <si>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</si>
  <si>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</si>
  <si>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</si>
  <si>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</si>
  <si>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</si>
  <si>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</si>
  <si>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</si>
  <si>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</si>
  <si>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</si>
  <si>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</si>
  <si>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</si>
  <si>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</si>
  <si>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</si>
  <si>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</si>
  <si>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</si>
  <si>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</si>
  <si>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</si>
  <si>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</si>
  <si>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</si>
  <si>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</si>
  <si>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</si>
  <si>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</si>
  <si>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</si>
  <si>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</si>
  <si>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</si>
  <si>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</si>
  <si>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</si>
  <si>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</si>
  <si>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</si>
  <si>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</si>
  <si>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</si>
  <si>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</si>
  <si>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</si>
  <si>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</si>
  <si>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</si>
  <si>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</si>
  <si>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</si>
  <si>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</si>
  <si>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</si>
  <si>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</si>
  <si>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</si>
  <si>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</si>
  <si>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</si>
  <si>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</si>
  <si>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</si>
  <si>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</si>
  <si>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</si>
  <si>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</si>
  <si>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</si>
  <si>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</si>
  <si>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</si>
  <si>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</si>
  <si>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</si>
  <si>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</si>
  <si>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</si>
  <si>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</si>
  <si>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</si>
  <si>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</si>
  <si>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</si>
  <si>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</si>
  <si>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</si>
  <si>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</si>
  <si>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</si>
  <si>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</si>
  <si>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</si>
  <si>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</si>
  <si>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</si>
  <si>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</si>
  <si>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</si>
  <si>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</si>
  <si>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</si>
  <si>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</si>
  <si>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</si>
  <si>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</si>
  <si>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</si>
  <si>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</si>
  <si>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</si>
  <si>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</si>
  <si>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</si>
  <si>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</si>
  <si>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</si>
  <si>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</si>
  <si>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</si>
  <si>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</si>
  <si>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</si>
  <si>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</si>
  <si>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</si>
  <si>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</si>
  <si>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</si>
  <si>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</si>
  <si>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</si>
  <si>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</si>
  <si>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</si>
  <si>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</si>
  <si>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</si>
  <si>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</si>
  <si>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</si>
  <si>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</si>
  <si>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</si>
  <si>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</si>
  <si>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</si>
  <si>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</si>
  <si>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</si>
  <si>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</si>
  <si>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</si>
  <si>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</si>
  <si>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</si>
  <si>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</si>
  <si>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</si>
  <si>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</si>
  <si>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</si>
  <si>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</si>
  <si>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</si>
  <si>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</si>
  <si>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</si>
  <si>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</si>
  <si>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</si>
  <si>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</si>
  <si>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</si>
  <si>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</si>
  <si>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</si>
  <si>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</si>
  <si>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</si>
  <si>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</si>
  <si>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</si>
  <si>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</si>
  <si>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</si>
  <si>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</si>
  <si>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</si>
  <si>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</si>
  <si>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</si>
  <si>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</si>
  <si>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</si>
  <si>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</si>
  <si>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</si>
  <si>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</si>
  <si>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</si>
  <si>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</si>
  <si>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</si>
  <si>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</si>
  <si>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</si>
  <si>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</si>
  <si>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</si>
  <si>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</si>
  <si>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</si>
  <si>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</si>
  <si>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</si>
  <si>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</si>
  <si>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</si>
  <si>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</si>
  <si>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</si>
  <si>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</si>
  <si>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</si>
  <si>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</si>
  <si>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</si>
  <si>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</si>
  <si>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</si>
  <si>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</si>
  <si>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</si>
  <si>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</si>
  <si>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</si>
  <si>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</si>
  <si>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</si>
  <si>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</si>
  <si>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</si>
  <si>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</si>
  <si>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</si>
  <si>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</si>
  <si>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</si>
  <si>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</si>
  <si>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</si>
  <si>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</si>
  <si>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</si>
  <si>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</si>
  <si>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</si>
  <si>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</si>
  <si>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</si>
  <si>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</si>
  <si>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</si>
  <si>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</si>
  <si>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</si>
  <si>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</si>
  <si>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</si>
  <si>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</si>
  <si>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</si>
  <si>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</si>
  <si>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</si>
  <si>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</si>
  <si>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</si>
  <si>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</si>
  <si>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</si>
  <si>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</si>
  <si>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</si>
  <si>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</si>
  <si>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</si>
  <si>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</si>
  <si>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</si>
  <si>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</si>
  <si>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</si>
  <si>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</si>
  <si>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</si>
  <si>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</si>
  <si>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</si>
  <si>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</si>
  <si>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</si>
  <si>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</si>
  <si>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</si>
  <si>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</si>
  <si>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</si>
  <si>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</si>
  <si>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</si>
  <si>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</si>
  <si>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</si>
  <si>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</si>
  <si>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</si>
  <si>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</si>
  <si>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</si>
  <si>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</si>
  <si>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</si>
  <si>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</si>
  <si>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</si>
  <si>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</si>
  <si>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</si>
  <si>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</si>
  <si>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</si>
  <si>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</si>
  <si>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</si>
  <si>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</si>
  <si>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</si>
  <si>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</si>
  <si>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</si>
  <si>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</si>
  <si>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</si>
  <si>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</si>
  <si>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</si>
  <si>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</si>
  <si>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</si>
  <si>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</si>
  <si>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</si>
  <si>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</si>
  <si>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</si>
  <si>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</si>
  <si>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</si>
  <si>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</si>
  <si>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</si>
  <si>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</si>
  <si>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</si>
  <si>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</si>
  <si>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</si>
  <si>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</si>
  <si>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</si>
  <si>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</si>
  <si>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</si>
  <si>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</si>
  <si>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</si>
  <si>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</si>
  <si>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</si>
  <si>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</si>
  <si>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</si>
  <si>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</si>
  <si>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</si>
  <si>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</si>
  <si>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</si>
  <si>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</si>
  <si>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</si>
  <si>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</si>
  <si>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</si>
  <si>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</si>
  <si>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</si>
  <si>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</si>
  <si>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</si>
  <si>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</si>
  <si>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</si>
  <si>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</si>
  <si>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</si>
  <si>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</si>
  <si>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</si>
  <si>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</si>
  <si>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</si>
  <si>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</si>
  <si>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</si>
  <si>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</si>
  <si>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</si>
  <si>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</si>
  <si>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</si>
  <si>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</si>
  <si>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</si>
  <si>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</si>
  <si>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</si>
  <si>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</si>
  <si>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</si>
  <si>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</si>
  <si>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</si>
  <si>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</si>
  <si>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</si>
  <si>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</si>
  <si>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</si>
  <si>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</si>
  <si>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</si>
  <si>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</si>
  <si>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</si>
  <si>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</si>
  <si>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</si>
  <si>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</si>
  <si>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</si>
  <si>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</si>
  <si>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</si>
  <si>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</si>
  <si>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</si>
  <si>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</si>
  <si>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</si>
  <si>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</si>
  <si>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</si>
  <si>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</si>
  <si>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</si>
  <si>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</si>
  <si>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</si>
  <si>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</si>
  <si>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</si>
  <si>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</si>
  <si>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</si>
  <si>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</si>
  <si>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</si>
  <si>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</si>
  <si>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</si>
  <si>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</si>
  <si>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</si>
  <si>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</si>
  <si>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</si>
  <si>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</si>
  <si>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</si>
  <si>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</si>
  <si>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</si>
  <si>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</si>
  <si>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</si>
  <si>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</si>
  <si>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</si>
  <si>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</si>
  <si>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</si>
  <si>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</si>
  <si>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</si>
  <si>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</si>
  <si>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</si>
  <si>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</si>
  <si>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</si>
  <si>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</si>
  <si>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</si>
  <si>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</si>
  <si>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</si>
  <si>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</si>
  <si>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</si>
  <si>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</si>
  <si>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</si>
  <si>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</si>
  <si>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</si>
  <si>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</si>
  <si>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</si>
  <si>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</si>
  <si>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</si>
  <si>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</si>
  <si>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</si>
  <si>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</si>
  <si>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</si>
  <si>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</si>
  <si>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</si>
  <si>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</si>
  <si>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</si>
  <si>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</si>
  <si>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</si>
  <si>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</si>
  <si>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</si>
  <si>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</si>
  <si>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</si>
  <si>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</si>
  <si>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</si>
  <si>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</si>
  <si>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</si>
  <si>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</si>
  <si>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</si>
  <si>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</si>
  <si>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</si>
  <si>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</si>
  <si>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</si>
  <si>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</si>
  <si>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</si>
  <si>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</si>
  <si>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</si>
  <si>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</si>
  <si>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</si>
  <si>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</si>
  <si>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</si>
  <si>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</si>
  <si>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</si>
  <si>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</si>
  <si>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</si>
  <si>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</si>
  <si>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</si>
  <si>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</si>
  <si>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</si>
  <si>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</si>
  <si>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</si>
  <si>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</si>
  <si>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</si>
  <si>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</si>
  <si>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</si>
  <si>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</si>
  <si>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</si>
  <si>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</si>
  <si>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</si>
  <si>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</si>
  <si>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</si>
  <si>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</si>
  <si>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</si>
  <si>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</si>
  <si>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</si>
  <si>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</si>
  <si>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</si>
  <si>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</si>
  <si>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</si>
  <si>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</si>
  <si>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</si>
  <si>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</si>
  <si>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</si>
  <si>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</si>
  <si>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</si>
  <si>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</si>
  <si>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</si>
  <si>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</si>
  <si>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</si>
  <si>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</si>
  <si>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</si>
  <si>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</si>
  <si>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</si>
  <si>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</si>
  <si>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</si>
  <si>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</si>
  <si>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</si>
  <si>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</si>
  <si>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</si>
  <si>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</si>
  <si>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</si>
  <si>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</si>
  <si>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</si>
  <si>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</si>
  <si>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</si>
  <si>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</si>
  <si>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</si>
  <si>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</si>
  <si>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</si>
  <si>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</si>
  <si>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</si>
  <si>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</si>
  <si>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</si>
  <si>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</si>
  <si>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</si>
  <si>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</si>
  <si>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</si>
  <si>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</si>
  <si>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</si>
  <si>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</si>
  <si>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</si>
  <si>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</si>
  <si>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</si>
  <si>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</si>
  <si>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</si>
  <si>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</si>
  <si>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</si>
  <si>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</si>
  <si>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</si>
  <si>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</si>
  <si>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</si>
  <si>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</si>
  <si>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</si>
  <si>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</si>
  <si>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</si>
  <si>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</si>
  <si>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</si>
  <si>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</si>
  <si>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</si>
  <si>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</si>
  <si>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</si>
  <si>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</si>
  <si>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</si>
  <si>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</si>
  <si>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</si>
  <si>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</si>
  <si>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</si>
  <si>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</si>
  <si>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</si>
  <si>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</si>
  <si>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</si>
  <si>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</si>
  <si>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</si>
  <si>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</si>
  <si>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</si>
  <si>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</si>
  <si>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</si>
  <si>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</si>
  <si>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</si>
  <si>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</si>
  <si>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</si>
  <si>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</si>
  <si>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</si>
  <si>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</si>
  <si>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</si>
  <si>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</si>
  <si>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</si>
  <si>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</si>
  <si>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</si>
  <si>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</si>
  <si>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</si>
  <si>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</si>
  <si>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</si>
  <si>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</si>
  <si>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</si>
  <si>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</si>
  <si>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</si>
  <si>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</si>
  <si>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</si>
  <si>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</si>
  <si>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</si>
  <si>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</si>
  <si>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</si>
  <si>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</si>
  <si>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</si>
  <si>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</si>
  <si>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</si>
  <si>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</si>
  <si>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</si>
  <si>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</si>
  <si>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</si>
  <si>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</si>
  <si>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</si>
  <si>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</si>
  <si>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</si>
  <si>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</si>
  <si>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</si>
  <si>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</si>
  <si>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</si>
  <si>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</si>
  <si>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</si>
  <si>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</si>
  <si>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</si>
  <si>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</si>
  <si>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</si>
  <si>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</si>
  <si>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</si>
  <si>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</si>
  <si>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</si>
  <si>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</si>
  <si>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</si>
  <si>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</si>
  <si>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</si>
  <si>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</si>
  <si>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</si>
  <si>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</si>
  <si>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</si>
  <si>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</si>
  <si>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</si>
  <si>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</si>
  <si>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</si>
  <si>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</si>
  <si>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</si>
  <si>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</si>
  <si>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</si>
  <si>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</si>
  <si>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</si>
  <si>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</si>
  <si>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</si>
  <si>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</si>
  <si>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</si>
  <si>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</si>
  <si>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</si>
  <si>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</si>
  <si>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</si>
  <si>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</si>
  <si>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</si>
  <si>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</si>
  <si>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</si>
  <si>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</si>
  <si>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</si>
  <si>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</si>
  <si>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</si>
  <si>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</si>
  <si>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</si>
  <si>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</si>
  <si>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</si>
  <si>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</si>
  <si>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</si>
  <si>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</si>
  <si>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</si>
  <si>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</si>
  <si>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</si>
  <si>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</si>
  <si>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</si>
  <si>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</si>
  <si>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</si>
  <si>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</si>
  <si>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</si>
  <si>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</si>
  <si>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</si>
  <si>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</si>
  <si>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</si>
  <si>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</si>
  <si>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</si>
  <si>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</si>
  <si>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</si>
  <si>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</si>
  <si>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</si>
  <si>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</si>
  <si>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</si>
  <si>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</si>
  <si>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</si>
  <si>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</si>
  <si>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</si>
  <si>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</si>
  <si>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</si>
  <si>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</si>
  <si>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</si>
  <si>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</si>
  <si>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</si>
  <si>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</si>
  <si>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</si>
  <si>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</si>
  <si>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</si>
  <si>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</si>
  <si>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</si>
  <si>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</si>
  <si>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</si>
  <si>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</si>
  <si>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</si>
  <si>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</si>
  <si>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</si>
  <si>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</si>
  <si>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</si>
  <si>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</si>
  <si>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</si>
  <si>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</si>
  <si>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</si>
  <si>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</si>
  <si>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</si>
  <si>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</si>
  <si>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</si>
  <si>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</si>
  <si>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</si>
  <si>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</si>
  <si>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</si>
  <si>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</si>
  <si>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</si>
  <si>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</si>
  <si>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</si>
  <si>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</si>
  <si>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</si>
  <si>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</si>
  <si>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</si>
  <si>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</si>
  <si>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</si>
  <si>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</si>
  <si>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</si>
  <si>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</si>
  <si>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</si>
  <si>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</si>
  <si>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</si>
  <si>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</si>
  <si>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</si>
  <si>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</si>
  <si>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</si>
  <si>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</si>
  <si>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</si>
  <si>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</si>
  <si>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</si>
  <si>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</si>
  <si>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</si>
  <si>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</si>
  <si>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</si>
  <si>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</si>
  <si>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</si>
  <si>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</si>
  <si>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</si>
  <si>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</si>
  <si>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</si>
  <si>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</si>
  <si>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</si>
  <si>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</si>
  <si>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</si>
  <si>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</si>
  <si>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</si>
  <si>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</si>
  <si>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</si>
  <si>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</si>
  <si>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</si>
  <si>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</si>
  <si>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</si>
  <si>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</si>
  <si>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</si>
  <si>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</si>
  <si>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</si>
  <si>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</si>
  <si>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</si>
  <si>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</si>
  <si>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</si>
  <si>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</si>
  <si>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</si>
  <si>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</si>
  <si>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</si>
  <si>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</si>
  <si>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</si>
  <si>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</si>
  <si>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</si>
  <si>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</si>
  <si>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</si>
  <si>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</si>
  <si>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</si>
  <si>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</si>
  <si>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</si>
  <si>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</si>
  <si>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</si>
  <si>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</si>
  <si>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</si>
  <si>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</si>
  <si>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</si>
  <si>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</si>
  <si>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</si>
  <si>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</si>
  <si>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</si>
  <si>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</si>
  <si>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</si>
  <si>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</si>
  <si>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</si>
  <si>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</si>
  <si>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</si>
  <si>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</si>
  <si>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</si>
  <si>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</si>
  <si>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</si>
  <si>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</si>
  <si>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</si>
  <si>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</si>
  <si>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</si>
  <si>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</si>
  <si>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</si>
  <si>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</si>
  <si>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</si>
  <si>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</si>
  <si>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</si>
  <si>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</si>
  <si>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</si>
  <si>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</si>
  <si>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</si>
  <si>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</si>
  <si>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</si>
  <si>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</si>
  <si>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</si>
  <si>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</si>
  <si>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</si>
  <si>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</si>
  <si>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</si>
  <si>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</si>
  <si>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</si>
  <si>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</si>
  <si>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</si>
  <si>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</si>
  <si>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</si>
  <si>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</si>
  <si>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</si>
  <si>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</si>
  <si>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</si>
  <si>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</si>
  <si>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</si>
  <si>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</si>
  <si>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</si>
  <si>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</si>
  <si>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</si>
  <si>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</si>
  <si>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</si>
  <si>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</si>
  <si>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</si>
  <si>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</si>
  <si>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</si>
  <si>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</si>
  <si>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</si>
  <si>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</si>
  <si>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</si>
  <si>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</si>
  <si>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</si>
  <si>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</si>
  <si>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</si>
  <si>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</si>
  <si>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</si>
  <si>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</si>
  <si>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</si>
  <si>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</si>
  <si>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</si>
  <si>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</si>
  <si>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</si>
  <si>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</si>
  <si>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</si>
  <si>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</si>
  <si>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</si>
  <si>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</si>
  <si>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</si>
  <si>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</si>
  <si>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</si>
  <si>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</si>
  <si>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</si>
  <si>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</si>
  <si>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</si>
  <si>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</si>
  <si>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</si>
  <si>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</si>
  <si>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</si>
  <si>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</si>
  <si>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</si>
  <si>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</si>
  <si>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</si>
  <si>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</si>
  <si>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</si>
  <si>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</si>
  <si>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</si>
  <si>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</si>
  <si>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</si>
  <si>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</si>
  <si>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</si>
  <si>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</si>
  <si>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</si>
  <si>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</si>
  <si>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</si>
  <si>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</si>
  <si>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</si>
  <si>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</si>
  <si>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</si>
  <si>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</si>
  <si>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</si>
  <si>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</si>
  <si>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</si>
  <si>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</si>
  <si>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</si>
  <si>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</si>
  <si>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</si>
  <si>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</si>
  <si>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</si>
  <si>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</si>
  <si>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</si>
  <si>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</si>
  <si>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</si>
  <si>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</si>
  <si>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</si>
  <si>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</si>
  <si>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</si>
  <si>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</si>
  <si>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</si>
  <si>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</si>
  <si>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</si>
  <si>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</si>
  <si>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</si>
  <si>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</si>
  <si>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</si>
  <si>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</si>
  <si>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</si>
  <si>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</si>
  <si>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</si>
  <si>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</si>
  <si>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</si>
  <si>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</si>
  <si>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</si>
  <si>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</si>
  <si>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</si>
  <si>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</si>
  <si>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</si>
  <si>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</si>
  <si>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</si>
  <si>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</si>
  <si>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</si>
  <si>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</si>
  <si>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</si>
  <si>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</si>
  <si>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</si>
  <si>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</si>
  <si>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</si>
  <si>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</si>
  <si>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</si>
  <si>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</si>
  <si>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</si>
  <si>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</si>
  <si>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</si>
  <si>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</si>
  <si>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</si>
  <si>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</si>
  <si>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</si>
  <si>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</si>
  <si>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</si>
  <si>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</si>
  <si>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</si>
  <si>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</si>
  <si>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</si>
  <si>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</si>
  <si>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</si>
  <si>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</si>
  <si>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</si>
  <si>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</si>
  <si>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</si>
  <si>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</si>
  <si>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</si>
  <si>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</si>
  <si>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</si>
  <si>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</si>
  <si>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</si>
  <si>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</si>
  <si>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</si>
  <si>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</si>
  <si>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</si>
  <si>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</si>
  <si>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</si>
  <si>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</si>
  <si>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</si>
  <si>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</si>
  <si>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</si>
  <si>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</si>
  <si>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</si>
  <si>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</si>
  <si>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</si>
  <si>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</si>
  <si>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</si>
  <si>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</si>
  <si>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</si>
  <si>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</si>
  <si>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</si>
  <si>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</si>
  <si>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</si>
  <si>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</si>
  <si>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</si>
  <si>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</si>
  <si>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</si>
  <si>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</si>
  <si>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</si>
  <si>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</si>
  <si>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</si>
  <si>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</si>
  <si>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</si>
  <si>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</si>
  <si>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</si>
  <si>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</si>
  <si>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</si>
  <si>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</si>
  <si>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</si>
  <si>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</si>
  <si>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</si>
  <si>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</si>
  <si>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</si>
  <si>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</si>
  <si>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</si>
  <si>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</si>
  <si>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</si>
  <si>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</si>
  <si>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</si>
  <si>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</si>
  <si>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</si>
  <si>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</si>
  <si>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</si>
  <si>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</si>
  <si>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</si>
  <si>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</si>
  <si>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</si>
  <si>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</si>
  <si>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</si>
  <si>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</si>
  <si>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</si>
  <si>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</si>
  <si>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</si>
  <si>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</si>
  <si>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</si>
  <si>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</si>
  <si>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</si>
  <si>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</si>
  <si>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</si>
  <si>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</si>
  <si>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</si>
  <si>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</si>
  <si>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</si>
  <si>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</si>
  <si>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</si>
  <si>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</si>
  <si>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</si>
  <si>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</si>
  <si>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</si>
  <si>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</si>
  <si>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</si>
  <si>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</si>
  <si>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</si>
  <si>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</si>
  <si>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</si>
  <si>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</si>
  <si>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</si>
  <si>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</si>
  <si>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</si>
  <si>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</si>
  <si>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</si>
  <si>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</si>
  <si>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</si>
  <si>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</si>
  <si>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</si>
  <si>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</si>
  <si>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</si>
  <si>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</si>
  <si>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</si>
  <si>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</si>
  <si>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</si>
  <si>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</si>
  <si>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</si>
  <si>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</si>
  <si>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</si>
  <si>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</si>
  <si>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</si>
  <si>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</si>
  <si>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</si>
  <si>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</si>
  <si>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</si>
  <si>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</si>
  <si>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</si>
  <si>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</si>
  <si>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</si>
  <si>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</si>
  <si>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</si>
  <si>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</si>
  <si>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</si>
  <si>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</si>
  <si>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</si>
  <si>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</si>
  <si>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</si>
  <si>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</si>
  <si>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</si>
  <si>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</si>
  <si>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</si>
  <si>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</si>
  <si>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</si>
  <si>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</si>
  <si>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</si>
  <si>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</si>
  <si>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</si>
  <si>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</si>
  <si>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</si>
  <si>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</si>
  <si>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</si>
  <si>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</si>
  <si>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</si>
  <si>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</si>
  <si>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</si>
  <si>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</si>
  <si>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</si>
  <si>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</si>
  <si>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</si>
  <si>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</si>
  <si>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</si>
  <si>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</si>
  <si>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</si>
  <si>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</si>
  <si>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</si>
  <si>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</si>
  <si>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</si>
  <si>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</si>
  <si>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</si>
  <si>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</si>
  <si>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</si>
  <si>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</si>
  <si>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</si>
  <si>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</si>
  <si>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</si>
  <si>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</si>
  <si>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</si>
  <si>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</si>
  <si>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</si>
  <si>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</si>
  <si>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</si>
  <si>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</si>
  <si>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</si>
  <si>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</si>
  <si>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</si>
  <si>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</si>
  <si>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</si>
  <si>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</si>
  <si>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</si>
  <si>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</si>
  <si>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</si>
  <si>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</si>
  <si>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</si>
  <si>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</si>
  <si>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</si>
  <si>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</si>
  <si>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</si>
  <si>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</si>
  <si>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</si>
  <si>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</si>
  <si>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</si>
  <si>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</si>
  <si>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</si>
  <si>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</si>
  <si>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</si>
  <si>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</si>
  <si>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</si>
  <si>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</si>
  <si>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</si>
  <si>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</si>
  <si>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</si>
  <si>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</si>
  <si>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</si>
  <si>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</si>
  <si>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</si>
  <si>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</si>
  <si>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</si>
  <si>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</si>
  <si>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</si>
  <si>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</si>
  <si>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</si>
  <si>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</si>
  <si>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</si>
  <si>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</si>
  <si>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</si>
  <si>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</si>
  <si>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</si>
  <si>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</si>
  <si>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</si>
  <si>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</si>
  <si>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</si>
  <si>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</si>
  <si>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</si>
  <si>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</si>
  <si>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</si>
  <si>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</si>
  <si>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</si>
  <si>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</si>
  <si>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</si>
  <si>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</si>
  <si>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</si>
  <si>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</si>
  <si>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</si>
  <si>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</si>
  <si>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</si>
  <si>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</si>
  <si>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</si>
  <si>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</si>
  <si>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</si>
  <si>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</si>
  <si>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</si>
  <si>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</si>
  <si>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</si>
  <si>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</si>
  <si>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</si>
  <si>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</si>
  <si>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</si>
  <si>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</si>
  <si>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</si>
  <si>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</si>
  <si>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</si>
  <si>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</si>
  <si>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</si>
  <si>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</si>
  <si>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</si>
  <si>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</si>
  <si>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</si>
  <si>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</si>
  <si>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</si>
  <si>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</si>
  <si>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</si>
  <si>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</si>
  <si>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</si>
  <si>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</si>
  <si>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</si>
  <si>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</si>
  <si>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</si>
  <si>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</si>
  <si>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</si>
  <si>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</si>
  <si>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</si>
  <si>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</si>
  <si>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</si>
  <si>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</si>
  <si>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</si>
  <si>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</si>
  <si>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</si>
  <si>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</si>
  <si>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</si>
  <si>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</si>
  <si>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</si>
  <si>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</si>
  <si>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</si>
  <si>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</si>
  <si>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</si>
  <si>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</si>
  <si>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</si>
  <si>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</si>
  <si>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</si>
  <si>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</si>
  <si>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</si>
  <si>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</si>
  <si>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</si>
  <si>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</si>
  <si>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</si>
  <si>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</si>
  <si>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</si>
  <si>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</si>
  <si>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</si>
  <si>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</si>
  <si>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</si>
  <si>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</si>
  <si>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</si>
  <si>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</si>
  <si>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</si>
  <si>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</si>
  <si>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</si>
  <si>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</si>
  <si>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</si>
  <si>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</si>
  <si>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</si>
  <si>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</si>
  <si>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</si>
  <si>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</si>
  <si>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</si>
  <si>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</si>
  <si>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</si>
  <si>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</si>
  <si>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</si>
  <si>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</si>
  <si>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</si>
  <si>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</si>
  <si>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</si>
  <si>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</si>
  <si>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</si>
  <si>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</si>
  <si>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</si>
  <si>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</si>
  <si>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</si>
  <si>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</si>
  <si>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</si>
  <si>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</si>
  <si>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</si>
  <si>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</si>
  <si>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</si>
  <si>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</si>
  <si>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</si>
  <si>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</si>
  <si>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</si>
  <si>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</si>
  <si>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</si>
  <si>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</si>
  <si>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</si>
  <si>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</si>
  <si>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</si>
  <si>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</si>
  <si>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</si>
  <si>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</si>
  <si>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</si>
  <si>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</si>
  <si>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</si>
  <si>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</si>
  <si>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</si>
  <si>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</si>
  <si>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</si>
  <si>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</si>
  <si>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</si>
  <si>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</si>
  <si>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</si>
  <si>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</si>
  <si>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</si>
  <si>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</si>
  <si>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</si>
  <si>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</si>
  <si>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</si>
  <si>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</si>
  <si>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</si>
  <si>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</si>
  <si>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</si>
  <si>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</si>
  <si>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</si>
  <si>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</si>
  <si>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</si>
  <si>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</si>
  <si>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</si>
  <si>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</si>
  <si>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</si>
  <si>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</si>
  <si>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</si>
  <si>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</si>
  <si>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</si>
  <si>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</si>
  <si>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</si>
  <si>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</si>
  <si>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</si>
  <si>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</si>
  <si>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</si>
  <si>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</si>
  <si>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</si>
  <si>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</si>
  <si>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</si>
  <si>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</si>
  <si>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</si>
  <si>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</si>
  <si>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</si>
  <si>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</si>
  <si>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</si>
  <si>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</si>
  <si>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</si>
  <si>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</si>
  <si>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</si>
  <si>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</si>
  <si>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</si>
  <si>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</si>
  <si>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</si>
  <si>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</si>
  <si>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</si>
  <si>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</si>
  <si>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</si>
  <si>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</si>
  <si>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</si>
  <si>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</si>
  <si>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</si>
  <si>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</si>
  <si>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</si>
  <si>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</si>
  <si>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</si>
  <si>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</si>
  <si>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</si>
  <si>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</si>
  <si>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</si>
  <si>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</si>
  <si>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</si>
  <si>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</si>
  <si>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</si>
  <si>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</si>
  <si>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</si>
  <si>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</si>
  <si>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</si>
  <si>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</si>
  <si>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</si>
  <si>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</si>
  <si>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</si>
  <si>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</si>
  <si>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</si>
  <si>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</si>
  <si>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</si>
  <si>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</si>
  <si>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</si>
  <si>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</si>
  <si>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</si>
  <si>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</si>
  <si>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</si>
  <si>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</si>
  <si>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</si>
  <si>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</si>
  <si>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</si>
  <si>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</si>
  <si>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</si>
  <si>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</si>
  <si>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</si>
  <si>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</si>
  <si>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</si>
  <si>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</si>
  <si>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</si>
  <si>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</si>
  <si>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</si>
  <si>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</si>
  <si>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</si>
  <si>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</si>
  <si>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</si>
  <si>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</si>
  <si>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</si>
  <si>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</si>
  <si>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</si>
  <si>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</si>
  <si>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</si>
  <si>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</si>
  <si>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</si>
  <si>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</si>
  <si>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</si>
  <si>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</si>
  <si>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</si>
  <si>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</si>
  <si>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</si>
  <si>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</si>
  <si>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</si>
  <si>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</si>
  <si>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</si>
  <si>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</si>
  <si>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</si>
  <si>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</si>
  <si>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</si>
  <si>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</si>
  <si>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</si>
  <si>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</si>
  <si>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</si>
  <si>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</si>
  <si>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</si>
  <si>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</si>
  <si>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</si>
  <si>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</si>
  <si>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</si>
  <si>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</si>
  <si>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</si>
  <si>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</si>
  <si>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</si>
  <si>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</si>
  <si>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</si>
  <si>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</si>
  <si>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</si>
  <si>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</si>
  <si>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</si>
  <si>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</si>
  <si>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</si>
  <si>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</si>
  <si>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</si>
  <si>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</si>
  <si>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</si>
  <si>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</si>
  <si>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</si>
  <si>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</si>
  <si>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</si>
  <si>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</si>
  <si>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</si>
  <si>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</si>
  <si>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</si>
  <si>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</si>
  <si>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</si>
  <si>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</si>
  <si>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</si>
  <si>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</si>
  <si>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</si>
  <si>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</si>
  <si>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</si>
  <si>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</si>
  <si>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</si>
  <si>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</si>
  <si>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</si>
  <si>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</si>
  <si>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</si>
  <si>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</si>
  <si>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</si>
  <si>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</si>
  <si>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</si>
  <si>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</si>
  <si>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</si>
  <si>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</si>
  <si>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</si>
  <si>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</si>
  <si>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</si>
  <si>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</si>
  <si>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</si>
  <si>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</si>
  <si>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</si>
  <si>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</si>
  <si>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</si>
  <si>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</si>
  <si>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</si>
  <si>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</si>
  <si>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</si>
  <si>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</si>
  <si>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</si>
  <si>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</si>
  <si>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</si>
  <si>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</si>
  <si>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</si>
  <si>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</si>
  <si>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</si>
  <si>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</si>
  <si>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</si>
  <si>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</si>
  <si>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</si>
  <si>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</si>
  <si>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</si>
  <si>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</si>
  <si>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</si>
  <si>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</si>
  <si>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</si>
  <si>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</si>
  <si>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</si>
  <si>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</si>
  <si>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</si>
  <si>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</si>
  <si>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</si>
  <si>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</si>
  <si>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</si>
  <si>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</si>
  <si>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</si>
  <si>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</si>
  <si>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</si>
  <si>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</si>
  <si>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</si>
  <si>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</si>
  <si>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</si>
  <si>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</si>
  <si>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</si>
  <si>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</si>
  <si>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</si>
  <si>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</si>
  <si>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</si>
  <si>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</si>
  <si>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</si>
  <si>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</si>
  <si>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</si>
  <si>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</si>
  <si>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</si>
  <si>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</si>
  <si>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</si>
  <si>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</si>
  <si>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</si>
  <si>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</si>
  <si>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</si>
  <si>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</si>
  <si>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</si>
  <si>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</si>
  <si>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</si>
  <si>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</si>
  <si>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</si>
  <si>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</si>
  <si>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</si>
  <si>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</si>
  <si>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</si>
  <si>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</si>
  <si>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</si>
  <si>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</si>
  <si>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</si>
  <si>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</si>
  <si>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</si>
  <si>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</si>
  <si>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</si>
  <si>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</si>
  <si>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</si>
  <si>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</si>
  <si>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</si>
  <si>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</si>
  <si>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</si>
  <si>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</si>
  <si>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</si>
  <si>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</si>
  <si>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</si>
  <si>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</si>
  <si>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</si>
  <si>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</si>
  <si>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</si>
  <si>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</si>
  <si>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</si>
  <si>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</si>
  <si>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</si>
  <si>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</si>
  <si>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</si>
  <si>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</si>
  <si>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</si>
  <si>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</si>
  <si>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</si>
  <si>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</si>
  <si>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</si>
  <si>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</si>
  <si>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</si>
  <si>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</si>
  <si>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</si>
  <si>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</si>
  <si>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</si>
  <si>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</si>
  <si>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</si>
  <si>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</si>
  <si>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</si>
  <si>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</si>
  <si>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</si>
  <si>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</si>
  <si>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</si>
  <si>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</si>
  <si>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</si>
  <si>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</si>
  <si>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</si>
  <si>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</si>
  <si>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</si>
  <si>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</si>
  <si>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</si>
  <si>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</si>
  <si>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</si>
  <si>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</si>
  <si>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</si>
  <si>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</si>
  <si>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</si>
  <si>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</si>
  <si>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</si>
  <si>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</si>
  <si>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</si>
  <si>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</si>
  <si>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</si>
  <si>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</si>
  <si>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</si>
  <si>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</si>
  <si>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</si>
  <si>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</si>
  <si>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</si>
  <si>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</si>
  <si>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</si>
  <si>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</si>
  <si>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</si>
  <si>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</si>
  <si>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</si>
  <si>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</si>
  <si>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</si>
  <si>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</si>
  <si>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</si>
  <si>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</si>
  <si>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</si>
  <si>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</si>
  <si>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</si>
  <si>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</si>
  <si>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</si>
  <si>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</si>
  <si>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</si>
  <si>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</si>
  <si>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</si>
  <si>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</si>
  <si>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</si>
  <si>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</si>
  <si>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</si>
  <si>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</si>
  <si>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</si>
  <si>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</si>
  <si>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</si>
  <si>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</si>
  <si>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</si>
  <si>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</si>
  <si>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</si>
  <si>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</si>
  <si>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</si>
  <si>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</si>
  <si>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</si>
  <si>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</si>
  <si>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</si>
  <si>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</si>
  <si>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</si>
  <si>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</si>
  <si>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</si>
  <si>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</si>
  <si>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</si>
  <si>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</si>
  <si>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</si>
  <si>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</si>
  <si>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</si>
  <si>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</si>
  <si>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</si>
  <si>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</si>
  <si>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</si>
  <si>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</si>
  <si>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</si>
  <si>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</si>
  <si>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</si>
  <si>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</si>
  <si>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</si>
  <si>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</si>
  <si>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</si>
  <si>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</si>
  <si>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</si>
  <si>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</si>
  <si>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</si>
  <si>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</si>
  <si>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</si>
  <si>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</si>
  <si>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</si>
  <si>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</si>
  <si>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</si>
  <si>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</si>
  <si>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</si>
  <si>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</si>
  <si>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</si>
  <si>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</si>
  <si>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</si>
  <si>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</si>
  <si>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</si>
  <si>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</si>
  <si>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</si>
  <si>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</si>
  <si>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</si>
  <si>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</si>
  <si>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</si>
  <si>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</si>
  <si>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</si>
  <si>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</si>
  <si>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</si>
  <si>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</si>
  <si>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</si>
  <si>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</si>
  <si>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</si>
  <si>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</si>
  <si>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</si>
  <si>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</si>
  <si>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</si>
  <si>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</si>
  <si>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</si>
  <si>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</si>
  <si>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</si>
  <si>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</si>
  <si>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</si>
  <si>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</si>
  <si>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</si>
  <si>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</si>
  <si>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</si>
  <si>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</si>
  <si>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</si>
  <si>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</si>
  <si>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</si>
  <si>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</si>
  <si>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</si>
  <si>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</si>
  <si>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</si>
  <si>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</si>
  <si>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</si>
  <si>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</si>
  <si>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</si>
  <si>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</si>
  <si>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</si>
  <si>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</si>
  <si>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</si>
  <si>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</si>
  <si>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</si>
  <si>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</si>
  <si>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</si>
  <si>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</si>
  <si>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</si>
  <si>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</si>
  <si>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</si>
  <si>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</si>
  <si>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</si>
  <si>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</si>
  <si>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</si>
  <si>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</si>
  <si>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</si>
  <si>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</si>
  <si>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</si>
  <si>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</si>
  <si>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</si>
  <si>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</si>
  <si>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</si>
  <si>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</si>
  <si>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</si>
  <si>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</si>
  <si>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</si>
  <si>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</si>
  <si>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</si>
  <si>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</si>
  <si>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</si>
  <si>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</si>
  <si>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</si>
  <si>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</si>
  <si>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</si>
  <si>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</si>
  <si>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</si>
  <si>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</si>
  <si>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</si>
  <si>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</si>
  <si>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</si>
  <si>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</si>
  <si>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</si>
  <si>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</si>
  <si>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</si>
  <si>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</si>
  <si>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</si>
  <si>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</si>
  <si>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</si>
  <si>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</si>
  <si>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</si>
  <si>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</si>
  <si>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</si>
  <si>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</si>
  <si>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</si>
  <si>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</si>
  <si>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</si>
  <si>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</si>
  <si>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</si>
  <si>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</si>
  <si>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</si>
  <si>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</si>
  <si>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</si>
  <si>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</si>
  <si>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</si>
  <si>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</si>
  <si>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</si>
  <si>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</si>
  <si>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</si>
  <si>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</si>
  <si>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</si>
  <si>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</si>
  <si>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</si>
  <si>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</si>
  <si>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</si>
  <si>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</si>
  <si>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</si>
  <si>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</si>
  <si>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</si>
  <si>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</si>
  <si>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</si>
  <si>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</si>
  <si>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</si>
  <si>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</si>
  <si>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</si>
  <si>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</si>
  <si>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</si>
  <si>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</si>
  <si>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</si>
  <si>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</si>
  <si>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</si>
  <si>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</si>
  <si>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</si>
  <si>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</si>
  <si>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</si>
  <si>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</si>
  <si>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</si>
  <si>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</si>
  <si>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</si>
  <si>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</si>
  <si>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</si>
  <si>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</si>
  <si>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</si>
  <si>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</si>
  <si>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</si>
  <si>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</si>
  <si>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</si>
  <si>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</si>
  <si>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</si>
  <si>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</si>
  <si>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</si>
  <si>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</si>
  <si>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</si>
  <si>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</si>
  <si>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</si>
  <si>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</si>
  <si>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</si>
  <si>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</si>
  <si>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</si>
  <si>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</si>
  <si>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</si>
  <si>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</si>
  <si>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</si>
  <si>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</si>
  <si>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</si>
  <si>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</si>
  <si>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</si>
  <si>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</si>
  <si>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</si>
  <si>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</si>
  <si>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</si>
  <si>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</si>
  <si>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</si>
  <si>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</si>
  <si>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</si>
  <si>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</si>
  <si>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</si>
  <si>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</si>
  <si>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</si>
  <si>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</si>
  <si>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</si>
  <si>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</si>
  <si>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</si>
  <si>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</si>
  <si>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</si>
  <si>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</si>
  <si>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</si>
  <si>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</si>
  <si>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</si>
  <si>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</si>
  <si>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</si>
  <si>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</si>
  <si>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</si>
  <si>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</si>
  <si>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</si>
  <si>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</si>
  <si>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</si>
  <si>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</si>
  <si>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</si>
  <si>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</si>
  <si>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</si>
  <si>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</si>
  <si>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</si>
  <si>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</si>
  <si>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</si>
  <si>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</si>
  <si>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</si>
  <si>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</si>
  <si>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</si>
  <si>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</si>
  <si>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</si>
  <si>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</si>
  <si>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</si>
  <si>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</si>
  <si>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</si>
  <si>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</si>
  <si>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</si>
  <si>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</si>
  <si>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</si>
  <si>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</si>
  <si>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</si>
  <si>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</si>
  <si>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</si>
  <si>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</si>
  <si>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</si>
  <si>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</si>
  <si>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</si>
  <si>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</si>
  <si>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</si>
  <si>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</si>
  <si>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</si>
  <si>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</si>
  <si>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</si>
  <si>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</si>
  <si>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</si>
  <si>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</si>
  <si>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</si>
  <si>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</si>
  <si>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</si>
  <si>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</si>
  <si>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</si>
  <si>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</si>
  <si>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</si>
  <si>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</si>
  <si>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</si>
  <si>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</si>
  <si>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</si>
  <si>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</si>
  <si>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</si>
  <si>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</si>
  <si>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</si>
  <si>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</si>
  <si>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</si>
  <si>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</si>
  <si>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</si>
  <si>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</si>
  <si>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</si>
  <si>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</si>
  <si>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</si>
  <si>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</si>
  <si>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</si>
  <si>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</si>
  <si>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</si>
  <si>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</si>
  <si>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</si>
  <si>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</si>
  <si>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</si>
  <si>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</si>
  <si>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</si>
  <si>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</si>
  <si>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</si>
  <si>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</si>
  <si>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</si>
  <si>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</si>
  <si>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</si>
  <si>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</si>
  <si>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</si>
  <si>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</si>
  <si>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</si>
  <si>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</si>
  <si>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</si>
  <si>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</si>
  <si>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</si>
  <si>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</si>
  <si>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</si>
  <si>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</si>
  <si>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</si>
  <si>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</si>
  <si>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</si>
  <si>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</si>
  <si>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</si>
  <si>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</si>
  <si>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</si>
  <si>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</si>
  <si>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</si>
  <si>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</si>
  <si>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</si>
  <si>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</si>
  <si>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</si>
  <si>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</si>
  <si>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</si>
  <si>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</si>
  <si>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</si>
  <si>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</si>
  <si>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</si>
  <si>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</si>
  <si>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</si>
  <si>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</si>
  <si>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</si>
  <si>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</si>
  <si>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</si>
  <si>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</si>
  <si>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</si>
  <si>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</si>
  <si>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</si>
  <si>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</si>
  <si>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</si>
  <si>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</si>
  <si>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</si>
  <si>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</si>
  <si>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</si>
  <si>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</si>
  <si>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</si>
  <si>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</si>
  <si>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</si>
  <si>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</si>
  <si>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</si>
  <si>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</si>
  <si>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</si>
  <si>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</si>
  <si>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</si>
  <si>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</si>
  <si>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</si>
  <si>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</si>
  <si>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</si>
  <si>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</si>
  <si>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</si>
  <si>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</si>
  <si>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</si>
  <si>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</si>
  <si>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</si>
  <si>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</si>
  <si>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</si>
  <si>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</si>
  <si>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</si>
  <si>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</si>
  <si>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</si>
  <si>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</si>
  <si>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</si>
  <si>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</si>
  <si>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</si>
  <si>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</si>
  <si>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</si>
  <si>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</si>
  <si>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</si>
  <si>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</si>
  <si>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</si>
  <si>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</si>
  <si>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</si>
  <si>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</si>
  <si>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</si>
  <si>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</si>
  <si>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</si>
  <si>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</si>
  <si>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</si>
  <si>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</si>
  <si>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</si>
  <si>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</si>
  <si>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</si>
  <si>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</si>
  <si>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</si>
  <si>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</si>
  <si>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</si>
  <si>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</si>
  <si>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</si>
  <si>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</si>
  <si>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</si>
  <si>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</si>
  <si>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</si>
  <si>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</si>
  <si>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</si>
  <si>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</si>
  <si>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</si>
  <si>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</si>
  <si>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</si>
  <si>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</si>
  <si>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</si>
  <si>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</si>
  <si>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</si>
  <si>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</si>
  <si>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</si>
  <si>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</si>
  <si>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</si>
  <si>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</si>
  <si>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</si>
  <si>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</si>
  <si>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</si>
  <si>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</si>
  <si>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</si>
  <si>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</si>
  <si>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</si>
  <si>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</si>
  <si>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</si>
  <si>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</si>
  <si>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</si>
  <si>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</si>
  <si>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</si>
  <si>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</si>
  <si>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</si>
  <si>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</si>
  <si>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</si>
  <si>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</si>
  <si>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</si>
  <si>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</si>
  <si>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</si>
  <si>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</si>
  <si>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</si>
  <si>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</si>
  <si>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</si>
  <si>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</si>
  <si>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</si>
  <si>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</si>
  <si>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</si>
  <si>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</si>
  <si>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</si>
  <si>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</si>
  <si>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</si>
  <si>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</si>
  <si>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</si>
  <si>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</si>
  <si>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</si>
  <si>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</si>
  <si>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</si>
  <si>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</si>
  <si>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</si>
  <si>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</si>
  <si>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</si>
  <si>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</si>
  <si>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</si>
  <si>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</si>
  <si>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</si>
  <si>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</si>
  <si>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</si>
  <si>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</si>
  <si>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</si>
  <si>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</si>
  <si>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</si>
  <si>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</si>
  <si>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</si>
  <si>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</si>
  <si>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</si>
  <si>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</si>
  <si>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</si>
  <si>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</si>
  <si>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</si>
  <si>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</si>
  <si>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</si>
  <si>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</si>
  <si>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</si>
  <si>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</si>
  <si>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</si>
  <si>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</si>
  <si>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</si>
  <si>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</si>
  <si>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</si>
  <si>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</si>
  <si>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</si>
  <si>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</si>
  <si>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</si>
  <si>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</si>
  <si>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</si>
  <si>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</si>
  <si>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</si>
  <si>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</si>
  <si>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</si>
  <si>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</si>
  <si>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</si>
  <si>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</si>
  <si>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</si>
  <si>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</si>
  <si>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</si>
  <si>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</si>
  <si>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</si>
  <si>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</si>
  <si>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</si>
  <si>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</si>
  <si>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</si>
  <si>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</si>
  <si>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</si>
  <si>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</si>
  <si>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</si>
  <si>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</si>
  <si>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</si>
  <si>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</si>
  <si>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</si>
  <si>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</si>
  <si>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</si>
  <si>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</si>
  <si>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</si>
  <si>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</si>
  <si>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</si>
  <si>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</si>
  <si>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</si>
  <si>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</si>
  <si>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</si>
  <si>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</si>
  <si>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</si>
  <si>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</si>
  <si>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</si>
  <si>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</si>
  <si>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</si>
  <si>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</si>
  <si>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</si>
  <si>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</si>
  <si>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</si>
  <si>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</si>
  <si>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</si>
  <si>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</si>
  <si>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</si>
  <si>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</si>
  <si>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</si>
  <si>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</si>
  <si>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</si>
  <si>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</si>
  <si>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</si>
  <si>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</si>
  <si>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</si>
  <si>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</si>
  <si>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</si>
  <si>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</si>
  <si>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</si>
  <si>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</si>
  <si>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</si>
  <si>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</si>
  <si>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</si>
  <si>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</si>
  <si>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</si>
  <si>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</si>
  <si>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</si>
  <si>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</si>
  <si>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</si>
  <si>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</si>
  <si>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</si>
  <si>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</si>
  <si>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</si>
  <si>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</si>
  <si>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</si>
  <si>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</si>
  <si>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</si>
  <si>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</si>
  <si>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</si>
  <si>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</si>
  <si>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</si>
  <si>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</si>
  <si>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</si>
  <si>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</si>
  <si>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</si>
  <si>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</si>
  <si>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</si>
  <si>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</si>
  <si>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</si>
  <si>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</si>
  <si>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</si>
  <si>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</si>
  <si>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</si>
  <si>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</si>
  <si>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</si>
  <si>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</si>
  <si>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</si>
  <si>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</si>
  <si>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</si>
  <si>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</si>
  <si>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</si>
  <si>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</si>
  <si>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</si>
  <si>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</si>
  <si>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</si>
  <si>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</si>
  <si>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</si>
  <si>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</si>
  <si>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</si>
  <si>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</si>
  <si>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</si>
  <si>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</si>
  <si>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</si>
  <si>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</si>
  <si>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</si>
  <si>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</si>
  <si>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</si>
  <si>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</si>
  <si>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</si>
  <si>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</si>
  <si>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</si>
  <si>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</si>
  <si>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</si>
  <si>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</si>
  <si>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</si>
  <si>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</si>
  <si>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</si>
  <si>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</si>
  <si>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</si>
  <si>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</si>
  <si>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</si>
  <si>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</si>
  <si>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</si>
  <si>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</si>
  <si>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</si>
  <si>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</si>
  <si>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</si>
  <si>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</si>
  <si>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</si>
  <si>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</si>
  <si>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</si>
  <si>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</si>
  <si>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</si>
  <si>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</si>
  <si>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</si>
  <si>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</si>
  <si>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</si>
  <si>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</si>
  <si>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</si>
  <si>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</si>
  <si>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</si>
  <si>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</si>
  <si>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</si>
  <si>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</si>
  <si>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</si>
  <si>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</si>
  <si>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</si>
  <si>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</si>
  <si>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</si>
  <si>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</si>
  <si>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</si>
  <si>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</si>
  <si>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</si>
  <si>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</si>
  <si>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</si>
  <si>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</si>
  <si>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</si>
  <si>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</si>
  <si>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</si>
  <si>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</si>
  <si>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</si>
  <si>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</si>
  <si>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</si>
  <si>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</si>
  <si>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</si>
  <si>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</si>
  <si>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</si>
  <si>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</si>
  <si>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</si>
  <si>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</si>
  <si>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</si>
  <si>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</si>
  <si>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</si>
  <si>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</si>
  <si>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</si>
  <si>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</si>
  <si>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</si>
  <si>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</si>
  <si>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</si>
  <si>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</si>
  <si>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</si>
  <si>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</si>
  <si>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</si>
  <si>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</si>
  <si>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</si>
  <si>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</si>
  <si>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</si>
  <si>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</si>
  <si>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</si>
  <si>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</si>
  <si>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</si>
  <si>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</si>
  <si>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</si>
  <si>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</si>
  <si>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</si>
  <si>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</si>
  <si>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</si>
  <si>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</si>
  <si>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</si>
  <si>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</si>
  <si>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</si>
  <si>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</si>
  <si>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</si>
  <si>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</si>
  <si>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</si>
  <si>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</si>
  <si>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</si>
  <si>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</si>
  <si>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</si>
  <si>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</si>
  <si>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</si>
  <si>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</si>
  <si>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</si>
  <si>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</si>
  <si>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</si>
  <si>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</si>
  <si>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</si>
  <si>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</si>
  <si>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</si>
  <si>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</si>
  <si>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</si>
  <si>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</si>
  <si>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</si>
  <si>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</si>
  <si>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</si>
  <si>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</si>
  <si>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</si>
  <si>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</si>
  <si>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</si>
  <si>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</si>
  <si>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</si>
  <si>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</si>
  <si>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</si>
  <si>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</si>
  <si>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</si>
  <si>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</si>
  <si>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</si>
  <si>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</si>
  <si>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</si>
  <si>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</si>
  <si>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</si>
  <si>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</si>
  <si>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</si>
  <si>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</si>
  <si>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</si>
  <si>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</si>
  <si>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</si>
  <si>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</si>
  <si>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</si>
  <si>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</si>
  <si>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</si>
  <si>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</si>
  <si>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</si>
  <si>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</si>
  <si>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</si>
  <si>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</si>
  <si>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</si>
  <si>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</si>
  <si>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</si>
  <si>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</si>
  <si>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</si>
  <si>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</si>
  <si>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</si>
  <si>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</si>
  <si>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</si>
  <si>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</si>
  <si>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</si>
  <si>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</si>
  <si>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</si>
  <si>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</si>
  <si>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</si>
  <si>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</si>
  <si>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</si>
  <si>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</si>
  <si>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</si>
  <si>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</si>
  <si>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</si>
  <si>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</si>
  <si>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</si>
  <si>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</si>
  <si>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</si>
  <si>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</si>
  <si>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</si>
  <si>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</si>
  <si>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</si>
  <si>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</si>
  <si>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</si>
  <si>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</si>
  <si>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</si>
  <si>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</si>
  <si>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</si>
  <si>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</si>
  <si>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</si>
  <si>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</si>
  <si>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</si>
  <si>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</si>
  <si>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</si>
  <si>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</si>
  <si>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</si>
  <si>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</si>
  <si>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</si>
  <si>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</si>
  <si>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</si>
  <si>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</si>
  <si>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</si>
  <si>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</si>
  <si>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</si>
  <si>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</si>
  <si>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</si>
  <si>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</si>
  <si>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</si>
  <si>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</si>
  <si>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</si>
  <si>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</si>
  <si>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</si>
  <si>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</si>
  <si>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</si>
  <si>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</si>
  <si>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</si>
  <si>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</si>
  <si>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</si>
  <si>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</si>
  <si>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</si>
  <si>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</si>
  <si>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</si>
  <si>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</si>
  <si>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</si>
  <si>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</si>
  <si>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</si>
  <si>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</si>
  <si>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</si>
  <si>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</si>
  <si>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</si>
  <si>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</si>
  <si>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</si>
  <si>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</si>
  <si>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</si>
  <si>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</si>
  <si>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</si>
  <si>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</si>
  <si>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</si>
  <si>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</si>
  <si>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</si>
  <si>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</si>
  <si>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</si>
  <si>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</si>
  <si>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</si>
  <si>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</si>
  <si>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</si>
  <si>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</si>
  <si>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</si>
  <si>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</si>
  <si>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</si>
  <si>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</si>
  <si>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</si>
  <si>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</si>
  <si>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</si>
  <si>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</si>
  <si>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</si>
  <si>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</si>
  <si>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</si>
  <si>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</si>
  <si>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</si>
  <si>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</si>
  <si>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</si>
  <si>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</si>
  <si>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</si>
  <si>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</si>
  <si>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</si>
  <si>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</si>
  <si>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</si>
  <si>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</si>
  <si>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</si>
  <si>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</si>
  <si>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</si>
  <si>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</si>
  <si>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</si>
  <si>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</si>
  <si>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</si>
  <si>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</si>
  <si>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</si>
  <si>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</si>
  <si>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</si>
  <si>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</si>
  <si>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</si>
  <si>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</si>
  <si>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</si>
  <si>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</si>
  <si>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</si>
  <si>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</si>
  <si>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</si>
  <si>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</si>
  <si>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</si>
  <si>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</si>
  <si>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</si>
  <si>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</si>
  <si>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</si>
  <si>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</si>
  <si>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</si>
  <si>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</si>
  <si>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</si>
  <si>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</si>
  <si>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</si>
  <si>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</si>
  <si>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</si>
  <si>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</si>
  <si>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</si>
  <si>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</si>
  <si>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</si>
  <si>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</si>
  <si>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</si>
  <si>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</si>
  <si>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</si>
  <si>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</si>
  <si>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</si>
  <si>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</si>
  <si>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</si>
  <si>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</si>
  <si>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</si>
  <si>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</si>
  <si>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</si>
  <si>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</si>
  <si>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</si>
  <si>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</si>
  <si>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</si>
  <si>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</si>
  <si>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</si>
  <si>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</si>
  <si>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</si>
  <si>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</si>
  <si>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</si>
  <si>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</si>
  <si>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</si>
  <si>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</si>
  <si>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</si>
  <si>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</si>
  <si>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</si>
  <si>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</si>
  <si>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</si>
  <si>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</si>
  <si>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</si>
  <si>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</si>
  <si>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</si>
  <si>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</si>
  <si>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</si>
  <si>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</si>
  <si>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</si>
  <si>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</si>
  <si>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</si>
  <si>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</si>
  <si>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</si>
  <si>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</si>
  <si>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</si>
  <si>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</si>
  <si>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</si>
  <si>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</si>
  <si>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</si>
  <si>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</si>
  <si>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</si>
  <si>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</si>
  <si>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</si>
  <si>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</si>
  <si>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</si>
  <si>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</si>
  <si>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</si>
  <si>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</si>
  <si>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</si>
  <si>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</si>
  <si>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</si>
  <si>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</si>
  <si>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</si>
  <si>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</si>
  <si>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</si>
  <si>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</si>
  <si>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</si>
  <si>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</si>
  <si>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</si>
  <si>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</si>
  <si>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</si>
  <si>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</si>
  <si>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</si>
  <si>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</si>
  <si>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</si>
  <si>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</si>
  <si>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</si>
  <si>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</si>
  <si>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</si>
  <si>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</si>
  <si>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</si>
  <si>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</si>
  <si>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</si>
  <si>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</si>
  <si>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</si>
  <si>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</si>
  <si>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</si>
  <si>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</si>
  <si>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</si>
  <si>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</si>
  <si>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</si>
  <si>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</si>
  <si>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</si>
  <si>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</si>
  <si>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</si>
  <si>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</si>
  <si>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</si>
  <si>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</si>
  <si>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</si>
  <si>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</si>
  <si>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</si>
  <si>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</si>
  <si>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</si>
  <si>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</si>
  <si>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</si>
  <si>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</si>
  <si>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</si>
  <si>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</si>
  <si>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</si>
  <si>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</si>
  <si>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</si>
  <si>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</si>
  <si>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</si>
  <si>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</si>
  <si>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</si>
  <si>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</si>
  <si>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</si>
  <si>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</si>
  <si>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</si>
  <si>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</si>
  <si>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</si>
  <si>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</si>
  <si>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</si>
  <si>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</si>
  <si>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</si>
  <si>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</si>
  <si>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</si>
  <si>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</si>
  <si>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</si>
  <si>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</si>
  <si>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</si>
  <si>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</si>
  <si>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</si>
  <si>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</si>
  <si>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</si>
  <si>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</si>
  <si>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</si>
  <si>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</si>
  <si>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</si>
  <si>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</si>
  <si>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</si>
  <si>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</si>
  <si>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</si>
  <si>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</si>
  <si>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</si>
  <si>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</si>
  <si>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</si>
  <si>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</si>
  <si>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</si>
  <si>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</si>
  <si>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</si>
  <si>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</si>
  <si>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</si>
  <si>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</si>
  <si>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</si>
  <si>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</si>
  <si>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</si>
  <si>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</si>
  <si>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</si>
  <si>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</si>
  <si>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</si>
  <si>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</si>
  <si>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</si>
  <si>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</si>
  <si>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</si>
  <si>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</si>
  <si>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</si>
  <si>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</si>
  <si>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</si>
  <si>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</si>
  <si>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</si>
  <si>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</si>
  <si>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</si>
  <si>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</si>
  <si>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</si>
  <si>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</si>
  <si>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</si>
  <si>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</si>
  <si>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</si>
  <si>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</si>
  <si>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</si>
  <si>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</si>
  <si>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</si>
  <si>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</si>
  <si>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</si>
  <si>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</si>
  <si>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</si>
  <si>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</si>
  <si>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</si>
  <si>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</si>
  <si>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</si>
  <si>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</si>
  <si>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</si>
  <si>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</si>
  <si>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</si>
  <si>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</si>
  <si>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</si>
  <si>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</si>
  <si>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</si>
  <si>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</si>
  <si>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</si>
  <si>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</si>
  <si>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</si>
  <si>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</si>
  <si>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</si>
  <si>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</si>
  <si>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</si>
  <si>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</si>
  <si>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</si>
  <si>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</si>
  <si>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</si>
  <si>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</si>
  <si>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</si>
  <si>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</si>
  <si>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</si>
  <si>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</si>
  <si>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</si>
  <si>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</si>
  <si>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</si>
  <si>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</si>
  <si>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</si>
  <si>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</si>
  <si>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</si>
  <si>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</si>
  <si>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</si>
  <si>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</si>
  <si>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</si>
  <si>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</si>
  <si>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</si>
  <si>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</si>
  <si>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</si>
  <si>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</si>
  <si>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</si>
  <si>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</si>
  <si>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</si>
  <si>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</si>
  <si>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</si>
  <si>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</si>
  <si>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</si>
  <si>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</si>
  <si>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</si>
  <si>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</si>
  <si>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</si>
  <si>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</si>
  <si>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</si>
  <si>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</si>
  <si>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</si>
  <si>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</si>
  <si>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</si>
  <si>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</si>
  <si>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</si>
  <si>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</si>
  <si>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</si>
  <si>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</si>
  <si>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</si>
  <si>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</si>
  <si>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</si>
  <si>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</si>
  <si>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</si>
  <si>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</si>
  <si>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</si>
  <si>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</si>
  <si>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</si>
  <si>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</si>
  <si>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</si>
  <si>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</si>
  <si>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</si>
  <si>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</si>
  <si>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</si>
  <si>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</si>
  <si>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</si>
  <si>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</si>
  <si>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</si>
  <si>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</si>
  <si>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</si>
  <si>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</si>
  <si>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</si>
  <si>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</si>
  <si>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</si>
  <si>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</si>
  <si>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</si>
  <si>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</si>
  <si>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</si>
  <si>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</si>
  <si>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</si>
  <si>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</si>
  <si>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</si>
  <si>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</si>
  <si>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</si>
  <si>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</si>
  <si>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</si>
  <si>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</si>
  <si>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</si>
  <si>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</si>
  <si>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</si>
  <si>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</si>
  <si>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</si>
  <si>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</si>
  <si>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</si>
  <si>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</si>
  <si>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</si>
  <si>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</si>
  <si>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</si>
  <si>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</si>
  <si>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</si>
  <si>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</si>
  <si>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</si>
  <si>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</si>
  <si>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</si>
  <si>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</si>
  <si>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</si>
  <si>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</si>
  <si>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</si>
  <si>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</si>
  <si>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</si>
  <si>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</si>
  <si>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</si>
  <si>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</si>
  <si>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</si>
  <si>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</si>
  <si>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</si>
  <si>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</si>
  <si>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</si>
  <si>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</si>
  <si>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</si>
  <si>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</si>
  <si>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</si>
  <si>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</si>
  <si>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</si>
  <si>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</si>
  <si>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</si>
  <si>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</si>
  <si>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</si>
  <si>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</si>
  <si>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</si>
  <si>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</si>
  <si>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</si>
  <si>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</si>
  <si>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</si>
  <si>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</si>
  <si>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</si>
  <si>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</si>
  <si>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</si>
  <si>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</si>
  <si>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</si>
  <si>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</si>
  <si>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</si>
  <si>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</si>
  <si>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</si>
  <si>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</si>
  <si>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</si>
  <si>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</si>
  <si>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</si>
  <si>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</si>
  <si>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</si>
  <si>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</si>
  <si>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</si>
  <si>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</si>
  <si>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</si>
  <si>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</si>
  <si>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</si>
  <si>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</si>
  <si>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</si>
  <si>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</si>
  <si>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</si>
  <si>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</si>
  <si>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</si>
  <si>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</si>
  <si>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</si>
  <si>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</si>
  <si>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</si>
  <si>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</si>
  <si>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</si>
  <si>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</si>
  <si>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</si>
  <si>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</si>
  <si>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</si>
  <si>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</si>
  <si>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</si>
  <si>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</si>
  <si>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</si>
  <si>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</si>
  <si>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</si>
  <si>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</si>
  <si>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</si>
  <si>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</si>
  <si>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</si>
  <si>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</si>
  <si>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</si>
  <si>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</si>
  <si>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</si>
  <si>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</si>
  <si>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</si>
  <si>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</si>
  <si>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</si>
  <si>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</si>
  <si>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</si>
  <si>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</si>
  <si>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</si>
  <si>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</si>
  <si>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</si>
  <si>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</si>
  <si>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</si>
  <si>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</si>
  <si>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</si>
  <si>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</si>
  <si>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</si>
  <si>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</si>
  <si>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</si>
  <si>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</si>
  <si>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</si>
  <si>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</si>
  <si>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</si>
  <si>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</si>
  <si>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</si>
  <si>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</si>
  <si>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</si>
  <si>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</si>
  <si>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</si>
  <si>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</si>
  <si>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</si>
  <si>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</si>
  <si>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</si>
  <si>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</si>
  <si>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</si>
  <si>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</si>
  <si>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</si>
  <si>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</si>
  <si>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</si>
  <si>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</si>
  <si>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</si>
  <si>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</si>
  <si>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</si>
  <si>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</si>
  <si>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</si>
  <si>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</si>
  <si>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</si>
  <si>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</si>
  <si>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</si>
  <si>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</si>
  <si>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</si>
  <si>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</si>
  <si>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</si>
  <si>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</si>
  <si>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</si>
  <si>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</si>
  <si>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</si>
  <si>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</si>
  <si>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</si>
  <si>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</si>
  <si>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</si>
  <si>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</si>
  <si>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</si>
  <si>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</si>
  <si>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</si>
  <si>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</si>
  <si>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</si>
  <si>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</si>
  <si>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</si>
  <si>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</si>
  <si>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</si>
  <si>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</si>
  <si>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</si>
  <si>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</si>
  <si>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</si>
  <si>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</si>
  <si>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</si>
  <si>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</si>
  <si>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</si>
  <si>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</si>
  <si>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</si>
  <si>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</si>
  <si>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</si>
  <si>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</si>
  <si>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</si>
  <si>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</si>
  <si>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</si>
  <si>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</si>
  <si>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</si>
  <si>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</si>
  <si>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</si>
  <si>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</si>
  <si>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</si>
  <si>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</si>
  <si>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</si>
  <si>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</si>
  <si>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</si>
  <si>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</si>
  <si>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</si>
  <si>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</si>
  <si>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</si>
  <si>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</si>
  <si>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</si>
  <si>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</si>
  <si>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</si>
  <si>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</si>
  <si>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</si>
  <si>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</si>
  <si>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</si>
  <si>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</si>
  <si>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</si>
  <si>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</si>
  <si>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</si>
  <si>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</si>
  <si>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</si>
  <si>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</si>
  <si>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</si>
  <si>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</si>
  <si>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</si>
  <si>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</si>
  <si>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</si>
  <si>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</si>
  <si>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</si>
  <si>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</si>
  <si>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</si>
  <si>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</si>
  <si>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</si>
  <si>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</si>
  <si>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</si>
  <si>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</si>
  <si>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</si>
  <si>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</si>
  <si>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</si>
  <si>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</si>
  <si>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</si>
  <si>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</si>
  <si>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</si>
  <si>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</si>
  <si>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</si>
  <si>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</si>
  <si>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</si>
  <si>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</si>
  <si>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</si>
  <si>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</si>
  <si>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</si>
  <si>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</si>
  <si>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</si>
  <si>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</si>
  <si>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</si>
  <si>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</si>
  <si>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</si>
  <si>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</si>
  <si>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</si>
  <si>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</si>
  <si>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</si>
  <si>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</si>
  <si>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</si>
  <si>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</si>
  <si>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</si>
  <si>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</si>
  <si>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</si>
  <si>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</si>
  <si>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</si>
  <si>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</si>
  <si>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</si>
  <si>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</si>
  <si>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</si>
  <si>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</si>
  <si>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</si>
  <si>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</si>
  <si>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</si>
  <si>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</si>
  <si>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</si>
  <si>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</si>
  <si>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</si>
  <si>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</si>
  <si>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</si>
  <si>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</si>
  <si>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</si>
  <si>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</si>
  <si>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</si>
  <si>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</si>
  <si>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</si>
  <si>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</si>
  <si>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</si>
  <si>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</si>
  <si>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</si>
  <si>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</si>
  <si>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</si>
  <si>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</si>
  <si>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</si>
  <si>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</si>
  <si>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</si>
  <si>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</si>
  <si>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</si>
  <si>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</si>
  <si>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</si>
  <si>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</si>
  <si>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</si>
  <si>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</si>
  <si>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</si>
  <si>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</si>
  <si>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</si>
  <si>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</si>
  <si>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</si>
  <si>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</si>
  <si>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</si>
  <si>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</si>
  <si>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</si>
  <si>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</si>
  <si>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</si>
  <si>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</si>
  <si>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</si>
  <si>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</si>
  <si>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</si>
  <si>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</si>
  <si>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</si>
  <si>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</si>
  <si>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</si>
  <si>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</si>
  <si>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</si>
  <si>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</si>
  <si>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</si>
  <si>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</si>
  <si>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</si>
  <si>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</si>
  <si>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</si>
  <si>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</si>
  <si>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</si>
  <si>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</si>
  <si>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</si>
  <si>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</si>
  <si>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</si>
  <si>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</si>
  <si>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</si>
  <si>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</si>
  <si>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</si>
  <si>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</si>
  <si>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</si>
  <si>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</si>
  <si>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</si>
  <si>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</si>
  <si>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</si>
  <si>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</si>
  <si>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</si>
  <si>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</si>
  <si>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</si>
  <si>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</si>
  <si>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</si>
  <si>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</si>
  <si>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</si>
  <si>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</si>
  <si>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</si>
  <si>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</si>
  <si>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</si>
  <si>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</si>
  <si>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</si>
  <si>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</si>
  <si>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</si>
  <si>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</si>
  <si>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</si>
  <si>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</si>
  <si>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</si>
  <si>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</si>
  <si>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</si>
  <si>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</si>
  <si>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</si>
  <si>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</si>
  <si>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</si>
  <si>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</si>
  <si>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</si>
  <si>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</si>
  <si>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</si>
  <si>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</si>
  <si>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</si>
  <si>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</si>
  <si>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</si>
  <si>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</si>
  <si>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</si>
  <si>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</si>
  <si>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</si>
  <si>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</si>
  <si>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</si>
  <si>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</si>
  <si>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</si>
  <si>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</si>
  <si>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</si>
  <si>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</si>
  <si>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</si>
  <si>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</si>
  <si>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</si>
  <si>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</si>
  <si>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</si>
  <si>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</si>
  <si>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</si>
  <si>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</si>
  <si>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</si>
  <si>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</si>
  <si>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</si>
  <si>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</si>
  <si>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</si>
  <si>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</si>
  <si>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</si>
  <si>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</si>
  <si>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</si>
  <si>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</si>
  <si>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</si>
  <si>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</si>
  <si>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</si>
  <si>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</si>
  <si>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</si>
  <si>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</si>
  <si>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</si>
  <si>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</si>
  <si>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</si>
  <si>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</si>
  <si>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</si>
  <si>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</si>
  <si>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</si>
  <si>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</si>
  <si>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</si>
  <si>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</si>
  <si>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</si>
  <si>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</si>
  <si>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</si>
  <si>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</si>
  <si>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</si>
  <si>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</si>
  <si>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</si>
  <si>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</si>
  <si>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</si>
  <si>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</si>
  <si>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</si>
  <si>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</si>
  <si>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</si>
  <si>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</si>
  <si>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</si>
  <si>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</si>
  <si>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</si>
  <si>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</si>
  <si>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</si>
  <si>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</si>
  <si>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</si>
  <si>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</si>
  <si>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</si>
  <si>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</si>
  <si>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</si>
  <si>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</si>
  <si>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</si>
  <si>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</si>
  <si>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</si>
  <si>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</si>
  <si>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</si>
  <si>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</si>
  <si>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</si>
  <si>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</si>
  <si>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</si>
  <si>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</si>
  <si>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</si>
  <si>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</si>
  <si>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</si>
  <si>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</si>
  <si>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</si>
  <si>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</si>
  <si>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</si>
  <si>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</si>
  <si>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</si>
  <si>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</si>
  <si>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</si>
  <si>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</si>
  <si>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</si>
  <si>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</si>
  <si>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</si>
  <si>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</si>
  <si>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</si>
  <si>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</si>
  <si>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</si>
  <si>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</si>
  <si>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</si>
  <si>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</si>
  <si>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</si>
  <si>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</si>
  <si>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</si>
  <si>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</si>
  <si>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</si>
  <si>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</si>
  <si>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</si>
  <si>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</si>
  <si>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</si>
  <si>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</si>
  <si>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</si>
  <si>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</si>
  <si>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</si>
  <si>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</si>
  <si>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</si>
  <si>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</si>
  <si>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</si>
  <si>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</si>
  <si>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</si>
  <si>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</si>
  <si>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</si>
  <si>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</si>
  <si>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</si>
  <si>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</si>
  <si>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</si>
  <si>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</si>
  <si>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</si>
  <si>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</si>
  <si>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</si>
  <si>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</si>
  <si>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</si>
  <si>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</si>
  <si>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</si>
  <si>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</si>
  <si>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</si>
  <si>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</si>
  <si>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</si>
  <si>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</si>
  <si>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</si>
  <si>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</si>
  <si>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</si>
  <si>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</si>
  <si>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</si>
  <si>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</si>
  <si>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</si>
  <si>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</si>
  <si>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</si>
  <si>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</si>
  <si>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</si>
  <si>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</si>
  <si>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</si>
  <si>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</si>
  <si>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</si>
  <si>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</si>
  <si>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</si>
  <si>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</si>
  <si>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</si>
  <si>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</si>
  <si>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</si>
  <si>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</si>
  <si>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</si>
  <si>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</si>
  <si>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</si>
  <si>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</si>
  <si>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</si>
  <si>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</si>
  <si>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</si>
  <si>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</si>
  <si>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</si>
  <si>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</si>
  <si>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</si>
  <si>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</si>
  <si>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</si>
  <si>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</si>
  <si>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</si>
  <si>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</si>
  <si>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</si>
  <si>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</si>
  <si>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</si>
  <si>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</si>
  <si>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</si>
  <si>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</si>
  <si>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</si>
  <si>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</si>
  <si>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</si>
  <si>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</si>
  <si>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</si>
  <si>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</si>
  <si>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</si>
  <si>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</si>
  <si>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</si>
  <si>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</si>
  <si>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</si>
  <si>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</si>
  <si>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</si>
  <si>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</si>
  <si>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</si>
  <si>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</si>
  <si>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</si>
  <si>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</si>
  <si>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</si>
  <si>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</si>
  <si>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</si>
  <si>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</si>
  <si>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</si>
  <si>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</si>
  <si>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</si>
  <si>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</si>
  <si>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</si>
  <si>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</si>
  <si>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</si>
  <si>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</si>
  <si>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</si>
  <si>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</si>
  <si>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</si>
  <si>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</si>
  <si>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</si>
  <si>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</si>
  <si>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</si>
  <si>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</si>
  <si>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</si>
  <si>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</si>
  <si>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</si>
  <si>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</si>
  <si>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</si>
  <si>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</si>
  <si>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</si>
  <si>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</si>
  <si>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</si>
  <si>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</si>
  <si>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</si>
  <si>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</si>
  <si>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</si>
  <si>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</si>
  <si>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</si>
  <si>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</si>
  <si>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</si>
  <si>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</si>
  <si>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</si>
  <si>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</si>
  <si>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</si>
  <si>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</si>
  <si>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</si>
  <si>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</si>
  <si>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</si>
  <si>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</si>
  <si>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</si>
  <si>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</si>
  <si>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</si>
  <si>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</si>
  <si>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</si>
  <si>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</si>
  <si>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</si>
  <si>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</si>
  <si>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</si>
  <si>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</si>
  <si>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</si>
  <si>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</si>
  <si>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</si>
  <si>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</si>
  <si>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</si>
  <si>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</si>
  <si>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</si>
  <si>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</si>
  <si>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</si>
  <si>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</si>
  <si>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</si>
  <si>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</si>
  <si>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</si>
  <si>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</si>
  <si>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</si>
  <si>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</si>
  <si>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</si>
  <si>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</si>
  <si>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</si>
  <si>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</si>
  <si>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</si>
  <si>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</si>
  <si>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</si>
  <si>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</si>
  <si>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</si>
  <si>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</si>
  <si>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</si>
  <si>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</si>
  <si>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</si>
  <si>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</si>
  <si>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</si>
  <si>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</si>
  <si>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</si>
  <si>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</si>
  <si>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</si>
  <si>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</si>
  <si>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</si>
  <si>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</si>
  <si>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</si>
  <si>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</si>
  <si>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</si>
  <si>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</si>
  <si>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</si>
  <si>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</si>
  <si>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</si>
  <si>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</si>
  <si>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</si>
  <si>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</si>
  <si>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</si>
  <si>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</si>
  <si>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</si>
  <si>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</si>
  <si>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</si>
  <si>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</si>
  <si>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</si>
  <si>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</si>
  <si>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</si>
  <si>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</si>
  <si>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</si>
  <si>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</si>
  <si>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</si>
  <si>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</si>
  <si>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</si>
  <si>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</si>
  <si>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</si>
  <si>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</si>
  <si>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</si>
  <si>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</si>
  <si>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</si>
  <si>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</si>
  <si>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</si>
  <si>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</si>
  <si>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</si>
  <si>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</si>
  <si>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</si>
  <si>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</si>
  <si>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</si>
  <si>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</si>
  <si>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</si>
  <si>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</si>
  <si>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</si>
  <si>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</si>
  <si>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</si>
  <si>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</si>
  <si>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</si>
  <si>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</si>
  <si>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</si>
  <si>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</si>
  <si>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</si>
  <si>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</si>
  <si>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</si>
  <si>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</si>
  <si>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</si>
  <si>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</si>
  <si>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</si>
  <si>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</si>
  <si>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</si>
  <si>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</si>
  <si>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</si>
  <si>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</si>
  <si>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</si>
  <si>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</si>
  <si>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</si>
  <si>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</si>
  <si>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</si>
  <si>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</si>
  <si>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</si>
  <si>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</si>
  <si>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</si>
  <si>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</si>
  <si>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</si>
  <si>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</si>
  <si>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</si>
  <si>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</si>
  <si>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</si>
  <si>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</si>
  <si>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</si>
  <si>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</si>
  <si>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</si>
  <si>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</si>
  <si>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</si>
  <si>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</si>
  <si>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</si>
  <si>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</si>
  <si>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</si>
  <si>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</si>
  <si>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</si>
  <si>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</si>
  <si>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</si>
  <si>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</si>
  <si>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</si>
  <si>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</si>
  <si>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</si>
  <si>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</si>
  <si>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</si>
  <si>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</si>
  <si>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</si>
  <si>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</si>
  <si>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</si>
  <si>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</si>
  <si>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</si>
  <si>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</si>
  <si>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</si>
  <si>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</si>
  <si>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</si>
  <si>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</si>
  <si>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</si>
  <si>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</si>
  <si>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</si>
  <si>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</si>
  <si>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</si>
  <si>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</si>
  <si>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</si>
  <si>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</si>
  <si>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</si>
  <si>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</si>
  <si>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</si>
  <si>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</si>
  <si>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</si>
  <si>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</si>
  <si>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</si>
  <si>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</si>
  <si>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</si>
  <si>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</si>
  <si>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</si>
  <si>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</si>
  <si>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</si>
  <si>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</si>
  <si>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</si>
  <si>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</si>
  <si>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</si>
  <si>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</si>
  <si>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</si>
  <si>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</si>
  <si>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</si>
  <si>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</si>
  <si>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</si>
  <si>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</si>
  <si>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</si>
  <si>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</si>
  <si>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</si>
  <si>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</si>
  <si>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</si>
  <si>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</si>
  <si>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</si>
  <si>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</si>
  <si>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</si>
  <si>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</si>
  <si>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</si>
  <si>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</si>
  <si>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</si>
  <si>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</si>
  <si>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</si>
  <si>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</si>
  <si>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</si>
  <si>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</si>
  <si>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</si>
  <si>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</si>
  <si>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</si>
  <si>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</si>
  <si>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</si>
  <si>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</si>
  <si>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</si>
  <si>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</si>
  <si>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</si>
  <si>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</si>
  <si>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</si>
  <si>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</si>
  <si>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</si>
  <si>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</si>
  <si>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</si>
  <si>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</si>
  <si>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</si>
  <si>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</si>
  <si>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</si>
  <si>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</si>
  <si>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</si>
  <si>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</si>
  <si>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</si>
  <si>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</si>
  <si>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</si>
  <si>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</si>
  <si>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</si>
  <si>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</si>
  <si>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</si>
  <si>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</si>
  <si>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</si>
  <si>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</si>
  <si>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</si>
  <si>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</si>
  <si>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</si>
  <si>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</si>
  <si>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</si>
  <si>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</si>
  <si>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</si>
  <si>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</si>
  <si>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</si>
  <si>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</si>
  <si>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</si>
  <si>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</si>
  <si>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</si>
  <si>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</si>
  <si>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</si>
  <si>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</si>
  <si>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</si>
  <si>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</si>
  <si>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</si>
  <si>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</si>
  <si>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</si>
  <si>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</si>
  <si>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</si>
  <si>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</si>
  <si>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</si>
  <si>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</si>
  <si>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</si>
  <si>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</si>
  <si>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</si>
  <si>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</si>
  <si>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</si>
  <si>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</si>
  <si>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</si>
  <si>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</si>
  <si>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</si>
  <si>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</si>
  <si>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</si>
  <si>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</si>
  <si>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</si>
  <si>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</si>
  <si>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</si>
  <si>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</si>
  <si>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</si>
  <si>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</si>
  <si>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</si>
  <si>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</si>
  <si>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</si>
  <si>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</si>
  <si>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</si>
  <si>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</si>
  <si>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</si>
  <si>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</si>
  <si>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</si>
  <si>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</si>
  <si>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</si>
  <si>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</si>
  <si>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</si>
  <si>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</si>
  <si>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</si>
  <si>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</si>
  <si>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</si>
  <si>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</si>
  <si>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</si>
  <si>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</si>
  <si>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</si>
  <si>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</si>
  <si>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</si>
  <si>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</si>
  <si>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</si>
  <si>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</si>
  <si>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</si>
  <si>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</si>
  <si>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</si>
  <si>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</si>
  <si>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</si>
  <si>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</si>
  <si>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</si>
  <si>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</si>
  <si>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</si>
  <si>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</si>
  <si>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</si>
  <si>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</si>
  <si>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</si>
  <si>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</si>
  <si>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</si>
  <si>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</si>
  <si>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</si>
  <si>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</si>
  <si>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</si>
  <si>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</si>
  <si>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</si>
  <si>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</si>
  <si>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</si>
  <si>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</si>
  <si>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</si>
  <si>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</si>
  <si>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</si>
  <si>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</si>
  <si>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</si>
  <si>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</si>
  <si>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</si>
  <si>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</si>
  <si>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</si>
  <si>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</si>
  <si>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</si>
  <si>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</si>
  <si>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</si>
  <si>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</si>
  <si>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</si>
  <si>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</si>
  <si>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</si>
  <si>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</si>
  <si>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</si>
  <si>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</si>
  <si>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</si>
  <si>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</si>
  <si>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</si>
  <si>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</si>
  <si>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</si>
  <si>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</si>
  <si>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</si>
  <si>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</si>
  <si>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</si>
  <si>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</si>
  <si>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</si>
  <si>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</si>
  <si>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</si>
  <si>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</si>
  <si>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</si>
  <si>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</si>
  <si>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</si>
  <si>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</si>
  <si>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</si>
  <si>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</si>
  <si>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</si>
  <si>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</si>
  <si>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</si>
  <si>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</si>
  <si>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</si>
  <si>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</si>
  <si>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</si>
  <si>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</si>
  <si>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</si>
  <si>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</si>
  <si>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</si>
  <si>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</si>
  <si>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</si>
  <si>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</si>
  <si>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</si>
  <si>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</si>
  <si>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</si>
  <si>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</si>
  <si>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</si>
  <si>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</si>
  <si>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</si>
  <si>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</si>
  <si>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</si>
  <si>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</si>
  <si>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</si>
  <si>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</si>
  <si>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</si>
  <si>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</si>
  <si>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</si>
  <si>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</si>
  <si>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</si>
  <si>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</si>
  <si>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</si>
  <si>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</si>
  <si>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</si>
  <si>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</si>
  <si>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</si>
  <si>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</si>
  <si>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</si>
  <si>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</si>
  <si>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</si>
  <si>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</si>
  <si>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</si>
  <si>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</si>
  <si>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</si>
  <si>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</si>
  <si>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</si>
  <si>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</si>
  <si>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</si>
  <si>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</si>
  <si>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</si>
  <si>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</si>
  <si>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</si>
  <si>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</si>
  <si>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</si>
  <si>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</si>
  <si>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</si>
  <si>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</si>
  <si>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</si>
  <si>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</si>
  <si>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</si>
  <si>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</si>
  <si>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</si>
  <si>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</si>
  <si>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</si>
  <si>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</si>
  <si>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</si>
  <si>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</si>
  <si>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</si>
  <si>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</si>
  <si>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</si>
  <si>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</si>
  <si>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</si>
  <si>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</si>
  <si>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</si>
  <si>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</si>
  <si>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</si>
  <si>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</si>
  <si>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</si>
  <si>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</si>
  <si>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</si>
  <si>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</si>
  <si>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</si>
  <si>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</si>
  <si>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</si>
  <si>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</si>
  <si>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</si>
  <si>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</si>
  <si>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</si>
  <si>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</si>
  <si>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</si>
  <si>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</si>
  <si>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</si>
  <si>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</si>
  <si>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</si>
  <si>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</si>
  <si>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</si>
  <si>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</si>
  <si>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</si>
  <si>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</si>
  <si>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</si>
  <si>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</si>
  <si>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</si>
  <si>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</si>
  <si>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</si>
  <si>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</si>
  <si>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</si>
  <si>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</si>
  <si>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</si>
  <si>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</si>
  <si>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</si>
  <si>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</si>
  <si>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</si>
  <si>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</si>
  <si>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</si>
  <si>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</si>
  <si>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</si>
  <si>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</si>
  <si>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</si>
  <si>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</si>
  <si>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</si>
  <si>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</si>
  <si>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</si>
  <si>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</si>
  <si>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</si>
  <si>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</si>
  <si>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</si>
  <si>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</si>
  <si>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</si>
  <si>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</si>
  <si>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</si>
  <si>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</si>
  <si>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</si>
  <si>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</si>
  <si>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</si>
  <si>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</si>
  <si>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</si>
  <si>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</si>
  <si>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</si>
  <si>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</si>
  <si>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</si>
  <si>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</si>
  <si>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</si>
  <si>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</si>
  <si>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</si>
  <si>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</si>
  <si>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</si>
  <si>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</si>
  <si>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</si>
  <si>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</si>
  <si>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</si>
  <si>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</si>
  <si>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</si>
  <si>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</si>
  <si>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</si>
  <si>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</si>
  <si>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</si>
  <si>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</si>
  <si>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</si>
  <si>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</si>
  <si>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</si>
  <si>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</si>
  <si>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</si>
  <si>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</si>
  <si>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</si>
  <si>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</si>
  <si>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</si>
  <si>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</si>
  <si>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</si>
  <si>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</si>
  <si>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</si>
  <si>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</si>
  <si>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</si>
  <si>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</si>
  <si>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</si>
  <si>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</si>
  <si>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</si>
  <si>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</si>
  <si>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</si>
  <si>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</si>
  <si>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</si>
  <si>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</si>
  <si>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</si>
  <si>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</si>
  <si>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</si>
  <si>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</si>
  <si>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</si>
  <si>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</si>
  <si>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</si>
  <si>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</si>
  <si>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</si>
  <si>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</si>
  <si>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</si>
  <si>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</si>
  <si>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</si>
  <si>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</si>
  <si>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</si>
  <si>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</si>
  <si>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</si>
  <si>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</si>
  <si>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</si>
  <si>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</si>
  <si>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</si>
  <si>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</si>
  <si>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</si>
  <si>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</si>
  <si>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</si>
  <si>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</si>
  <si>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</si>
  <si>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</si>
  <si>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</si>
  <si>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</si>
  <si>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</si>
  <si>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</si>
  <si>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</si>
  <si>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</si>
  <si>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</si>
  <si>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</si>
  <si>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</si>
  <si>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</si>
  <si>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</si>
  <si>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</si>
  <si>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</si>
  <si>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</si>
  <si>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</si>
  <si>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</si>
  <si>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</si>
  <si>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</si>
  <si>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</si>
  <si>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</si>
  <si>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</si>
  <si>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</si>
  <si>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</si>
  <si>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</si>
  <si>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</si>
  <si>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</si>
  <si>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</si>
  <si>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</si>
  <si>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</si>
  <si>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</si>
  <si>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</si>
  <si>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</si>
  <si>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</si>
  <si>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</si>
  <si>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</si>
  <si>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</si>
  <si>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</si>
  <si>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</si>
  <si>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</si>
  <si>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</si>
  <si>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</si>
  <si>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</si>
  <si>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</si>
  <si>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</si>
  <si>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</si>
  <si>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</si>
  <si>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</si>
  <si>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</si>
  <si>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</si>
  <si>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</si>
  <si>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</si>
  <si>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</si>
  <si>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</si>
  <si>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</si>
  <si>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</si>
  <si>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</si>
  <si>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</si>
  <si>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</si>
  <si>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</si>
  <si>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</si>
  <si>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</si>
  <si>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</si>
  <si>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</si>
  <si>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</si>
  <si>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</si>
  <si>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</si>
  <si>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</si>
  <si>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</si>
  <si>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</si>
  <si>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</si>
  <si>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</si>
  <si>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</si>
  <si>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</si>
  <si>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</si>
  <si>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</si>
  <si>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</si>
  <si>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</si>
  <si>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</si>
  <si>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</si>
  <si>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</si>
  <si>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</si>
  <si>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</si>
  <si>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</si>
  <si>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</si>
  <si>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</si>
  <si>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</si>
  <si>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</si>
  <si>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</si>
  <si>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</si>
  <si>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</si>
  <si>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</si>
  <si>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</si>
  <si>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</si>
  <si>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</si>
  <si>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</si>
  <si>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</si>
  <si>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</si>
  <si>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</si>
  <si>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</si>
  <si>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</si>
  <si>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</si>
  <si>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</si>
  <si>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</si>
  <si>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</si>
  <si>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</si>
  <si>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</si>
  <si>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</si>
  <si>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</si>
  <si>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</si>
  <si>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</si>
  <si>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</si>
  <si>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</si>
  <si>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</si>
  <si>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</si>
  <si>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</si>
  <si>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</si>
  <si>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</si>
  <si>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</si>
  <si>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</si>
  <si>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</si>
  <si>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</si>
  <si>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</si>
  <si>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</si>
  <si>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</si>
  <si>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</si>
  <si>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</si>
  <si>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</si>
  <si>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</si>
  <si>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</si>
  <si>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</si>
  <si>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</si>
  <si>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</si>
  <si>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</si>
  <si>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</si>
  <si>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</si>
  <si>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</si>
  <si>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</si>
  <si>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</si>
  <si>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</si>
  <si>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</si>
  <si>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</si>
  <si>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</si>
  <si>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</si>
  <si>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</si>
  <si>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</si>
  <si>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</si>
  <si>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</si>
  <si>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</si>
  <si>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</si>
  <si>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</si>
  <si>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</si>
  <si>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</si>
  <si>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</si>
  <si>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</si>
  <si>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</si>
  <si>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</si>
  <si>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</si>
  <si>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</si>
  <si>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</si>
  <si>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</si>
  <si>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</si>
  <si>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</si>
  <si>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</si>
  <si>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</si>
  <si>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</si>
  <si>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</si>
  <si>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</si>
  <si>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</si>
  <si>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</si>
  <si>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</si>
  <si>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</si>
  <si>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</si>
  <si>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</si>
  <si>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</si>
  <si>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</si>
  <si>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</si>
  <si>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</si>
  <si>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</si>
  <si>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</si>
  <si>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</si>
  <si>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</si>
  <si>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</si>
  <si>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</si>
  <si>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</si>
  <si>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</si>
  <si>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</si>
  <si>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</si>
  <si>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</si>
  <si>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</si>
  <si>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</si>
  <si>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</si>
  <si>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</si>
  <si>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</si>
  <si>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</si>
  <si>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</si>
  <si>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</si>
  <si>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</si>
  <si>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</si>
  <si>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</si>
  <si>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</si>
  <si>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</si>
  <si>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</si>
  <si>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</si>
  <si>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</si>
  <si>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</si>
  <si>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</si>
  <si>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</si>
  <si>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</si>
  <si>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</si>
  <si>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</si>
  <si>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</si>
  <si>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</si>
  <si>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</si>
  <si>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</si>
  <si>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</si>
  <si>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</si>
  <si>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</si>
  <si>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</si>
  <si>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</si>
  <si>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</si>
  <si>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</si>
  <si>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</si>
  <si>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</si>
  <si>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</si>
  <si>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</si>
  <si>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</si>
  <si>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</si>
  <si>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</si>
  <si>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</si>
  <si>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</si>
  <si>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</si>
  <si>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</si>
  <si>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</si>
  <si>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</si>
  <si>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</si>
  <si>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</si>
  <si>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</si>
  <si>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</si>
  <si>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</si>
  <si>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</si>
  <si>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</si>
  <si>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</si>
  <si>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</si>
  <si>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</si>
  <si>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</si>
  <si>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</si>
  <si>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</si>
  <si>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</si>
  <si>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</si>
  <si>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</si>
  <si>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</si>
  <si>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</si>
  <si>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</si>
  <si>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</si>
  <si>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</si>
  <si>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</si>
  <si>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</si>
  <si>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</si>
  <si>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</si>
  <si>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</si>
  <si>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</si>
  <si>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</si>
  <si>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</si>
  <si>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</si>
  <si>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</si>
  <si>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</si>
  <si>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</si>
  <si>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</si>
  <si>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</si>
  <si>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</si>
  <si>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</si>
  <si>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</si>
  <si>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</si>
  <si>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</si>
  <si>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</si>
  <si>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</si>
  <si>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</si>
  <si>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</si>
  <si>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</si>
  <si>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</si>
  <si>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</si>
  <si>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</si>
  <si>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</si>
  <si>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</si>
  <si>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</si>
  <si>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</si>
  <si>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</si>
  <si>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</si>
  <si>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</si>
  <si>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</si>
  <si>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</si>
  <si>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</si>
  <si>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</si>
  <si>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</si>
  <si>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</si>
  <si>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</si>
  <si>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</si>
  <si>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</si>
  <si>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</si>
  <si>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</si>
  <si>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</si>
  <si>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</si>
  <si>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</si>
  <si>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</si>
  <si>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</si>
  <si>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</si>
  <si>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</si>
  <si>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</si>
  <si>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</si>
  <si>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</si>
  <si>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</si>
  <si>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</si>
  <si>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</si>
  <si>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</si>
  <si>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</si>
  <si>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</si>
  <si>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</si>
  <si>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</si>
  <si>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</si>
  <si>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</si>
  <si>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</si>
  <si>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</si>
  <si>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</si>
  <si>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</si>
  <si>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</si>
  <si>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</si>
  <si>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</si>
  <si>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</si>
  <si>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</si>
  <si>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</si>
  <si>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</si>
  <si>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</si>
  <si>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</si>
  <si>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</si>
  <si>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</si>
  <si>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</si>
  <si>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</si>
  <si>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</si>
  <si>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</si>
  <si>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</si>
  <si>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</si>
  <si>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</si>
  <si>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</si>
  <si>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</si>
  <si>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</si>
  <si>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</si>
  <si>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</si>
  <si>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</si>
  <si>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</si>
  <si>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</si>
  <si>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</si>
  <si>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</si>
  <si>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</si>
  <si>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</si>
  <si>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</si>
  <si>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</si>
  <si>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</si>
  <si>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</si>
  <si>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</si>
  <si>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</si>
  <si>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</si>
  <si>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</si>
  <si>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</si>
  <si>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</si>
  <si>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</si>
  <si>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</si>
  <si>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</si>
  <si>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</si>
  <si>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</si>
  <si>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</si>
  <si>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</si>
  <si>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</si>
  <si>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</si>
  <si>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</si>
  <si>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</si>
  <si>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</si>
  <si>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</si>
  <si>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</si>
  <si>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</si>
  <si>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</si>
  <si>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</si>
  <si>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</si>
  <si>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</si>
  <si>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</si>
  <si>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</si>
  <si>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</si>
  <si>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</si>
  <si>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</si>
  <si>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</si>
  <si>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</si>
  <si>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</si>
  <si>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</si>
  <si>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</si>
  <si>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</si>
  <si>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</si>
  <si>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</si>
  <si>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</si>
  <si>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</si>
  <si>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</si>
  <si>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</si>
  <si>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</si>
  <si>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</si>
  <si>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</si>
  <si>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</si>
  <si>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</si>
  <si>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</si>
  <si>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</si>
  <si>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</si>
  <si>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</si>
  <si>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</si>
  <si>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</si>
  <si>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</si>
  <si>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</si>
  <si>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</si>
  <si>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</si>
  <si>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</si>
  <si>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</si>
  <si>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</si>
  <si>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</si>
  <si>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</si>
  <si>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</si>
  <si>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</si>
  <si>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</si>
  <si>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</si>
  <si>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</si>
  <si>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</si>
  <si>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</si>
  <si>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</si>
  <si>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</si>
  <si>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</si>
  <si>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</si>
  <si>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</si>
  <si>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</si>
  <si>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</si>
  <si>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</si>
  <si>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</si>
  <si>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</si>
  <si>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</si>
  <si>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</si>
  <si>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</si>
  <si>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</si>
  <si>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</si>
  <si>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</si>
  <si>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</si>
  <si>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</si>
  <si>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</si>
  <si>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</si>
  <si>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</si>
  <si>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</si>
  <si>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</si>
  <si>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</si>
  <si>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</si>
  <si>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</si>
  <si>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</si>
  <si>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</si>
  <si>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</si>
  <si>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</si>
  <si>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</si>
  <si>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</si>
  <si>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</si>
  <si>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</si>
  <si>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</si>
  <si>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</si>
  <si>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</si>
  <si>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</si>
  <si>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</si>
  <si>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</si>
  <si>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</si>
  <si>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</si>
  <si>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</si>
  <si>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</si>
  <si>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</si>
  <si>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</si>
  <si>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</si>
  <si>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</si>
  <si>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</si>
  <si>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</si>
  <si>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</si>
  <si>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</si>
  <si>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</si>
  <si>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</si>
  <si>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</si>
  <si>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</si>
  <si>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</si>
  <si>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</si>
  <si>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</si>
  <si>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</si>
  <si>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</si>
  <si>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</si>
  <si>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</si>
  <si>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</si>
  <si>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</si>
  <si>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</si>
  <si>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</si>
  <si>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</si>
  <si>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</si>
  <si>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</si>
  <si>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</si>
  <si>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</si>
  <si>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</si>
  <si>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</si>
  <si>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</si>
  <si>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</si>
  <si>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</si>
  <si>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</si>
  <si>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</si>
  <si>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</si>
  <si>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</si>
  <si>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</si>
  <si>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</si>
  <si>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</si>
  <si>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</si>
  <si>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</si>
  <si>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</si>
  <si>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</si>
  <si>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</si>
  <si>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</si>
  <si>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</si>
  <si>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</si>
  <si>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</si>
  <si>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</si>
  <si>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</si>
  <si>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</si>
  <si>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</si>
  <si>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</si>
  <si>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</si>
  <si>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</si>
  <si>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</si>
  <si>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</si>
  <si>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</si>
  <si>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</si>
  <si>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</si>
  <si>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</si>
  <si>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</si>
  <si>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</si>
  <si>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</si>
  <si>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</si>
  <si>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</si>
  <si>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</si>
  <si>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</si>
  <si>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</si>
  <si>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</si>
  <si>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</si>
  <si>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</si>
  <si>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</si>
  <si>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</si>
  <si>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</si>
  <si>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</si>
  <si>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</si>
  <si>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</si>
  <si>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</si>
  <si>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</si>
  <si>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</si>
  <si>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</si>
  <si>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</si>
  <si>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</si>
  <si>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</si>
  <si>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</si>
  <si>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</si>
  <si>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</si>
  <si>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</si>
  <si>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</si>
  <si>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</si>
  <si>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</si>
  <si>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</si>
  <si>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</si>
  <si>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</si>
  <si>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</si>
  <si>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</si>
  <si>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</si>
  <si>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</si>
  <si>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</si>
  <si>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</si>
  <si>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</si>
  <si>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</si>
  <si>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</si>
  <si>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</si>
  <si>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</si>
  <si>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</si>
  <si>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</si>
  <si>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</si>
  <si>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</si>
  <si>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</si>
  <si>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</si>
  <si>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</si>
  <si>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</si>
  <si>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</si>
  <si>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</si>
  <si>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</si>
  <si>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</si>
  <si>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</si>
  <si>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</si>
  <si>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</si>
  <si>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</si>
  <si>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</si>
  <si>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</si>
  <si>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</si>
  <si>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</si>
  <si>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</si>
  <si>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</si>
  <si>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</si>
  <si>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</si>
  <si>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</si>
  <si>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</si>
  <si>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</si>
  <si>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</si>
  <si>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</si>
  <si>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</si>
  <si>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</si>
  <si>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</si>
  <si>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</si>
  <si>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</si>
  <si>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</si>
  <si>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</si>
  <si>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</si>
  <si>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</si>
  <si>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</si>
  <si>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</si>
  <si>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</si>
  <si>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</si>
  <si>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</si>
  <si>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</si>
  <si>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</si>
  <si>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</si>
  <si>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</si>
  <si>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</si>
  <si>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</si>
  <si>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</si>
  <si>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</si>
  <si>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</si>
  <si>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</si>
  <si>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</si>
  <si>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</si>
  <si>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</si>
  <si>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</si>
  <si>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</si>
  <si>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</si>
  <si>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</si>
  <si>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</si>
  <si>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</si>
  <si>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</si>
  <si>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</si>
  <si>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</si>
  <si>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</si>
  <si>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</si>
  <si>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</si>
  <si>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</si>
  <si>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</si>
  <si>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</si>
  <si>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</si>
  <si>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</si>
  <si>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</si>
  <si>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</si>
  <si>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</si>
  <si>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</si>
  <si>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</si>
  <si>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</si>
  <si>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</si>
  <si>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</si>
  <si>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</si>
  <si>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</si>
  <si>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</si>
  <si>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</si>
  <si>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</si>
  <si>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</si>
  <si>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</si>
  <si>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</si>
  <si>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</si>
  <si>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</si>
  <si>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</si>
  <si>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</si>
  <si>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</si>
  <si>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</si>
  <si>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</si>
  <si>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</si>
  <si>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</si>
  <si>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</si>
  <si>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</si>
  <si>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</si>
  <si>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</si>
  <si>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</si>
  <si>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</si>
  <si>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</si>
  <si>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</si>
  <si>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</si>
  <si>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</si>
  <si>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</si>
  <si>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</si>
  <si>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</si>
  <si>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</si>
  <si>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</si>
  <si>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</si>
  <si>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</si>
  <si>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</si>
  <si>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</si>
  <si>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</si>
  <si>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</si>
  <si>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</si>
  <si>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</si>
  <si>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</si>
  <si>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</si>
  <si>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</si>
  <si>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</si>
  <si>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</si>
  <si>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</si>
  <si>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</si>
  <si>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</si>
  <si>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</si>
  <si>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</si>
  <si>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</si>
  <si>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</si>
  <si>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</si>
  <si>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</si>
  <si>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</si>
  <si>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</si>
  <si>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</si>
  <si>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</si>
  <si>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</si>
  <si>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</si>
  <si>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</si>
  <si>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</si>
  <si>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</si>
  <si>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</si>
  <si>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</si>
  <si>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</si>
  <si>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</si>
  <si>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</si>
  <si>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</si>
  <si>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</si>
  <si>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</si>
  <si>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</si>
  <si>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</si>
  <si>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</si>
  <si>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</si>
  <si>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</si>
  <si>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</si>
  <si>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</si>
  <si>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</si>
  <si>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</si>
  <si>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</si>
  <si>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</si>
  <si>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</si>
  <si>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</si>
  <si>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</si>
  <si>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</si>
  <si>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</si>
  <si>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</si>
  <si>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</si>
  <si>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</si>
  <si>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</si>
  <si>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</si>
  <si>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</si>
  <si>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</si>
  <si>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</si>
  <si>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</si>
  <si>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</si>
  <si>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</si>
  <si>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</si>
  <si>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</si>
  <si>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</si>
  <si>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</si>
  <si>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</si>
  <si>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</si>
  <si>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</si>
  <si>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</si>
  <si>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</si>
  <si>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</si>
  <si>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</si>
  <si>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</si>
  <si>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</si>
  <si>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</si>
  <si>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</si>
  <si>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</si>
  <si>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</si>
  <si>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</si>
  <si>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</si>
  <si>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</si>
  <si>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</si>
  <si>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</si>
  <si>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</si>
  <si>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</si>
  <si>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</si>
  <si>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</si>
  <si>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</si>
  <si>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</si>
  <si>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</si>
  <si>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</si>
  <si>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</si>
  <si>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</si>
  <si>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</si>
  <si>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</si>
  <si>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</si>
  <si>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</si>
  <si>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</si>
  <si>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</si>
  <si>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</si>
  <si>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</si>
  <si>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</si>
  <si>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</si>
  <si>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</si>
  <si>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</si>
  <si>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</si>
  <si>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</si>
  <si>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</si>
  <si>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</si>
  <si>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</si>
  <si>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</si>
  <si>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</si>
  <si>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</si>
  <si>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</si>
  <si>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</si>
  <si>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</si>
  <si>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</si>
  <si>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</si>
  <si>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</si>
  <si>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</si>
  <si>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</si>
  <si>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</si>
  <si>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</si>
  <si>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</si>
  <si>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</si>
  <si>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</si>
  <si>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</si>
  <si>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</si>
  <si>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</si>
  <si>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</si>
  <si>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</si>
  <si>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</si>
  <si>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</si>
  <si>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</si>
  <si>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</si>
  <si>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</si>
  <si>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</si>
  <si>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</si>
  <si>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</si>
  <si>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</si>
  <si>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</si>
  <si>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</si>
  <si>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</si>
  <si>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</si>
  <si>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</si>
  <si>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</si>
  <si>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</si>
  <si>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</si>
  <si>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</si>
  <si>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</si>
  <si>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</si>
  <si>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</si>
  <si>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</si>
  <si>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</si>
  <si>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</si>
  <si>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</si>
  <si>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</si>
  <si>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</si>
  <si>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</si>
  <si>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</si>
  <si>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</si>
  <si>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</si>
  <si>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</si>
  <si>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</si>
  <si>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</si>
  <si>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</si>
  <si>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</si>
  <si>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</si>
  <si>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</si>
  <si>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</si>
  <si>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</si>
  <si>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</si>
  <si>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</si>
  <si>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</si>
  <si>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</si>
  <si>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</si>
  <si>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</si>
  <si>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</si>
  <si>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</si>
  <si>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</si>
  <si>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</si>
  <si>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</si>
  <si>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</si>
  <si>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</si>
  <si>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</si>
  <si>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</si>
  <si>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</si>
  <si>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</si>
  <si>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</si>
  <si>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</si>
  <si>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</si>
  <si>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</si>
  <si>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</si>
  <si>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</si>
  <si>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</si>
  <si>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</si>
  <si>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</si>
  <si>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</si>
  <si>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</si>
  <si>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</si>
  <si>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</si>
  <si>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</si>
  <si>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</si>
  <si>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</si>
  <si>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</si>
  <si>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</si>
  <si>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</si>
  <si>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</si>
  <si>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</si>
  <si>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</si>
  <si>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</si>
  <si>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</si>
  <si>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</si>
  <si>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</si>
  <si>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</si>
  <si>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</si>
  <si>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</si>
  <si>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</si>
  <si>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</si>
  <si>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</si>
  <si>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</si>
  <si>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</si>
  <si>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</si>
  <si>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</si>
  <si>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</si>
  <si>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</si>
  <si>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</si>
  <si>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</si>
  <si>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</si>
  <si>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</si>
  <si>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</si>
  <si>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</si>
  <si>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</si>
  <si>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</si>
  <si>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</si>
  <si>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</si>
  <si>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</si>
  <si>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</si>
  <si>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</si>
  <si>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</si>
  <si>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</si>
  <si>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</si>
  <si>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</si>
  <si>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</si>
  <si>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</si>
  <si>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</si>
  <si>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</si>
  <si>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</si>
  <si>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</si>
  <si>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</si>
  <si>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</si>
  <si>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</si>
  <si>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</si>
  <si>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</si>
  <si>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</si>
  <si>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</si>
  <si>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</si>
  <si>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</si>
  <si>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</si>
  <si>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</si>
  <si>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</si>
  <si>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</si>
  <si>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</si>
  <si>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</si>
  <si>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</si>
  <si>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</si>
  <si>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</si>
  <si>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</si>
  <si>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</si>
  <si>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</si>
  <si>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</si>
  <si>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</si>
  <si>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</si>
  <si>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</si>
  <si>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</si>
  <si>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</si>
  <si>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</si>
  <si>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</si>
  <si>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</si>
  <si>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</si>
  <si>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</si>
  <si>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</si>
  <si>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</si>
  <si>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</si>
  <si>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</si>
  <si>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</si>
  <si>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</si>
  <si>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</si>
  <si>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</si>
  <si>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</si>
  <si>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</si>
  <si>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</si>
  <si>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</si>
  <si>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</si>
  <si>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</si>
  <si>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</si>
  <si>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</si>
  <si>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</si>
  <si>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</si>
  <si>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</si>
  <si>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</si>
  <si>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</si>
  <si>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</si>
  <si>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</si>
  <si>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</si>
  <si>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</si>
  <si>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</si>
  <si>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</si>
  <si>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</si>
  <si>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</si>
  <si>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</si>
  <si>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</si>
  <si>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</si>
  <si>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</si>
  <si>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</si>
  <si>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</si>
  <si>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</si>
  <si>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</si>
  <si>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</si>
  <si>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</si>
  <si>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</si>
  <si>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</si>
  <si>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</si>
  <si>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</si>
  <si>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</si>
  <si>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</si>
  <si>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</si>
  <si>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</si>
  <si>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</si>
  <si>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</si>
  <si>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</si>
  <si>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</si>
  <si>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</si>
  <si>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</si>
  <si>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</si>
  <si>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</si>
  <si>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</si>
  <si>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</si>
  <si>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</si>
  <si>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</si>
  <si>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</si>
  <si>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</si>
  <si>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</si>
  <si>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</si>
  <si>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</si>
  <si>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</si>
  <si>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</si>
  <si>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</si>
  <si>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</si>
  <si>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</si>
  <si>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</si>
  <si>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</si>
  <si>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</si>
  <si>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</si>
  <si>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</si>
  <si>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</si>
  <si>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</si>
  <si>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</si>
  <si>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</si>
  <si>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</si>
  <si>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</si>
  <si>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</si>
  <si>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</si>
  <si>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</si>
  <si>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</si>
  <si>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</si>
  <si>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</si>
  <si>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</si>
  <si>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</si>
  <si>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</si>
  <si>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</si>
  <si>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</si>
  <si>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</si>
  <si>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</si>
  <si>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</si>
  <si>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</si>
  <si>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</si>
  <si>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</si>
  <si>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</si>
  <si>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</si>
  <si>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</si>
  <si>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</si>
  <si>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</si>
  <si>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</si>
  <si>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</si>
  <si>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</si>
  <si>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</si>
  <si>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</si>
  <si>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</si>
  <si>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</si>
  <si>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</si>
  <si>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</si>
  <si>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</si>
  <si>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</si>
  <si>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</si>
  <si>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</si>
  <si>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</si>
  <si>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</si>
  <si>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</si>
  <si>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</si>
  <si>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</si>
  <si>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</si>
  <si>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</si>
  <si>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</si>
  <si>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</si>
  <si>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</si>
  <si>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</si>
  <si>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</si>
  <si>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</si>
  <si>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</si>
  <si>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</si>
  <si>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</si>
  <si>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</si>
  <si>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</si>
  <si>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</si>
  <si>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</si>
  <si>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</si>
  <si>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</si>
  <si>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</si>
  <si>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</si>
  <si>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</si>
  <si>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</si>
  <si>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</si>
  <si>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</si>
  <si>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</si>
  <si>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</si>
  <si>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</si>
  <si>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</si>
  <si>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</si>
  <si>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</si>
  <si>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</si>
  <si>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</si>
  <si>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</si>
  <si>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</si>
  <si>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</si>
  <si>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</si>
  <si>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</si>
  <si>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</si>
  <si>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</si>
  <si>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</si>
  <si>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</si>
  <si>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</si>
  <si>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</si>
  <si>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</si>
  <si>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</si>
  <si>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</si>
  <si>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</si>
  <si>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</si>
  <si>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</si>
  <si>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</si>
  <si>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</si>
  <si>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</si>
  <si>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</si>
  <si>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</si>
  <si>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</si>
  <si>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</si>
  <si>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</si>
  <si>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</si>
  <si>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</si>
  <si>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</si>
  <si>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</si>
  <si>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</si>
  <si>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</si>
  <si>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</si>
  <si>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</si>
  <si>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</si>
  <si>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</si>
  <si>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</si>
  <si>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</si>
  <si>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</si>
  <si>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</si>
  <si>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</si>
  <si>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</si>
  <si>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</si>
  <si>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</si>
  <si>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</si>
  <si>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</si>
  <si>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</si>
  <si>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</si>
  <si>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</si>
  <si>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</si>
  <si>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</si>
  <si>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</si>
  <si>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</si>
  <si>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</si>
  <si>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</si>
  <si>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</si>
  <si>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</si>
  <si>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</si>
  <si>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</si>
  <si>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</si>
  <si>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</si>
  <si>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</si>
  <si>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</si>
  <si>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</si>
  <si>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</si>
  <si>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</si>
  <si>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</si>
  <si>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</si>
  <si>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</si>
  <si>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</si>
  <si>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</si>
  <si>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</si>
  <si>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</si>
  <si>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</si>
  <si>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</si>
  <si>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</si>
  <si>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</si>
  <si>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</si>
  <si>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</si>
  <si>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</si>
  <si>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</si>
  <si>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</si>
  <si>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</si>
  <si>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</si>
  <si>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</si>
  <si>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</si>
  <si>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</si>
  <si>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</si>
  <si>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</si>
  <si>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</si>
  <si>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</si>
  <si>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</si>
  <si>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</si>
  <si>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</si>
  <si>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</si>
  <si>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</si>
  <si>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</si>
  <si>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</si>
  <si>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</si>
  <si>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</si>
  <si>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</si>
  <si>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</si>
  <si>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</si>
  <si>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</si>
  <si>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</si>
  <si>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</si>
  <si>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</si>
  <si>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</si>
  <si>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</si>
  <si>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</si>
  <si>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</si>
  <si>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</si>
  <si>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</si>
  <si>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</si>
  <si>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</si>
  <si>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</si>
  <si>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</si>
  <si>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</si>
  <si>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</si>
  <si>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</si>
  <si>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</si>
  <si>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</si>
  <si>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</si>
  <si>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</si>
  <si>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</si>
  <si>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</si>
  <si>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</si>
  <si>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</si>
  <si>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</si>
  <si>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</si>
  <si>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</si>
  <si>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</si>
  <si>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</si>
  <si>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</si>
  <si>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</si>
  <si>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</si>
  <si>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</si>
  <si>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</si>
  <si>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</si>
  <si>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</si>
  <si>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</si>
  <si>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</si>
  <si>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</si>
  <si>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</si>
  <si>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</si>
  <si>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</si>
  <si>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</si>
  <si>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</si>
  <si>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</si>
  <si>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</si>
  <si>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</si>
  <si>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</si>
  <si>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</si>
  <si>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</si>
  <si>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</si>
  <si>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</si>
  <si>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</si>
  <si>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</si>
  <si>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</si>
  <si>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</si>
  <si>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</si>
  <si>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</si>
  <si>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</si>
  <si>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</si>
  <si>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</si>
  <si>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</si>
  <si>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</si>
  <si>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</si>
  <si>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</si>
  <si>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</si>
  <si>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</si>
  <si>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</si>
  <si>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</si>
  <si>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</si>
  <si>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</si>
  <si>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</si>
  <si>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</si>
  <si>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</si>
  <si>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</si>
  <si>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</si>
  <si>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</si>
  <si>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</si>
  <si>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</si>
  <si>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</si>
  <si>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</si>
  <si>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</si>
  <si>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</si>
  <si>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</si>
  <si>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</si>
  <si>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</si>
  <si>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</si>
  <si>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</si>
  <si>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</si>
  <si>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</si>
  <si>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</si>
  <si>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</si>
  <si>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</si>
  <si>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</si>
  <si>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</si>
  <si>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</si>
  <si>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</si>
  <si>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</si>
  <si>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</si>
  <si>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</si>
  <si>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</si>
  <si>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</si>
  <si>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</si>
  <si>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</si>
  <si>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</si>
  <si>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</si>
  <si>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</si>
  <si>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</si>
  <si>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</si>
  <si>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</si>
  <si>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</si>
  <si>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</si>
  <si>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</si>
  <si>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</si>
  <si>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</si>
  <si>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</si>
  <si>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</si>
  <si>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</si>
  <si>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</si>
  <si>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</si>
  <si>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</si>
  <si>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</si>
  <si>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</si>
  <si>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</si>
  <si>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</si>
  <si>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</si>
  <si>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</si>
  <si>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</si>
  <si>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</si>
  <si>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</si>
  <si>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</si>
  <si>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</si>
  <si>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</si>
  <si>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</si>
  <si>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</si>
  <si>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</si>
  <si>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</si>
  <si>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</si>
  <si>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</si>
  <si>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</si>
  <si>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</si>
  <si>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</si>
  <si>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</si>
  <si>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</si>
  <si>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</si>
  <si>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</si>
  <si>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</si>
  <si>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</si>
  <si>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</si>
  <si>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</si>
  <si>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</si>
  <si>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</si>
  <si>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</si>
  <si>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</si>
  <si>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</si>
  <si>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</si>
  <si>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</si>
  <si>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</si>
  <si>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</si>
  <si>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</si>
  <si>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</si>
  <si>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</si>
  <si>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</si>
  <si>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</si>
  <si>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</si>
  <si>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</si>
  <si>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</si>
  <si>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</si>
  <si>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</si>
  <si>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</si>
  <si>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</si>
  <si>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</si>
  <si>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</si>
  <si>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</si>
  <si>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</si>
  <si>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</si>
  <si>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</si>
  <si>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</si>
  <si>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</si>
  <si>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</si>
  <si>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</si>
  <si>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</si>
  <si>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</si>
  <si>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</si>
  <si>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</si>
  <si>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</si>
  <si>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</si>
  <si>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</si>
  <si>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</si>
  <si>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</si>
  <si>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</si>
  <si>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</si>
  <si>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</si>
  <si>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</si>
  <si>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</si>
  <si>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</si>
  <si>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</si>
  <si>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</si>
  <si>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</si>
  <si>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</si>
  <si>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</si>
  <si>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</si>
  <si>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</si>
  <si>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</si>
  <si>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</si>
  <si>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</si>
  <si>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</si>
  <si>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</si>
  <si>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</si>
  <si>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</si>
  <si>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</si>
  <si>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</si>
  <si>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</si>
  <si>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</si>
  <si>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</si>
  <si>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</si>
  <si>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</si>
  <si>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</si>
  <si>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</si>
  <si>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</si>
  <si>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</si>
  <si>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</si>
  <si>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</si>
  <si>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</si>
  <si>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</si>
  <si>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</si>
  <si>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</si>
  <si>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</si>
  <si>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</si>
  <si>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</si>
  <si>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</si>
  <si>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</si>
  <si>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</si>
  <si>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</si>
  <si>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</si>
  <si>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</si>
  <si>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</si>
  <si>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</si>
  <si>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</si>
  <si>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</si>
  <si>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</si>
  <si>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</si>
  <si>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</si>
  <si>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</si>
  <si>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</si>
  <si>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</si>
  <si>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</si>
  <si>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</si>
  <si>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</si>
  <si>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</si>
  <si>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</si>
  <si>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</si>
  <si>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</si>
  <si>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</si>
  <si>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</si>
  <si>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</si>
  <si>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</si>
  <si>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</si>
  <si>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</si>
  <si>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</si>
  <si>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</si>
  <si>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</si>
  <si>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</si>
  <si>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</si>
  <si>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</si>
  <si>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</si>
  <si>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</si>
  <si>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</si>
  <si>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</si>
  <si>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</si>
  <si>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</si>
  <si>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</si>
  <si>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</si>
  <si>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</si>
  <si>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</si>
  <si>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</si>
  <si>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</si>
  <si>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</si>
  <si>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</si>
  <si>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</si>
  <si>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</si>
  <si>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</si>
  <si>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</si>
  <si>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</si>
  <si>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</si>
  <si>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</si>
  <si>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</si>
  <si>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</si>
  <si>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</si>
  <si>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</si>
  <si>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</si>
  <si>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</si>
  <si>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</si>
  <si>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</si>
  <si>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</si>
  <si>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</si>
  <si>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</si>
  <si>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</si>
  <si>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</si>
  <si>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</si>
  <si>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</si>
  <si>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</si>
  <si>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</si>
  <si>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</si>
  <si>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</si>
  <si>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</si>
  <si>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</si>
  <si>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</si>
  <si>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</si>
  <si>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</si>
  <si>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</si>
  <si>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</si>
  <si>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</si>
  <si>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</si>
  <si>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</si>
  <si>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</si>
  <si>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</si>
  <si>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</si>
  <si>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</si>
  <si>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</si>
  <si>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</si>
  <si>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</si>
  <si>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</si>
  <si>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</si>
  <si>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</si>
  <si>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</si>
  <si>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</si>
  <si>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</si>
  <si>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</si>
  <si>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</si>
  <si>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</si>
  <si>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</si>
  <si>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</si>
  <si>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</si>
  <si>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</si>
  <si>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</si>
  <si>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</si>
  <si>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</si>
  <si>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</si>
  <si>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</si>
  <si>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</si>
  <si>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</si>
  <si>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</si>
  <si>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</si>
  <si>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</si>
  <si>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</si>
  <si>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</si>
  <si>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</si>
  <si>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</si>
  <si>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</si>
  <si>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</si>
  <si>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</si>
  <si>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</si>
  <si>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</si>
  <si>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</si>
  <si>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</si>
  <si>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</si>
  <si>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</si>
  <si>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</si>
  <si>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</si>
  <si>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</si>
  <si>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</si>
  <si>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</si>
  <si>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</si>
  <si>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</si>
  <si>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</si>
  <si>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</si>
  <si>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</si>
  <si>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</si>
  <si>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</si>
  <si>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</si>
  <si>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</si>
  <si>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</si>
  <si>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</si>
  <si>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</si>
  <si>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</si>
  <si>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</si>
  <si>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</si>
  <si>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</si>
  <si>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</si>
  <si>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</si>
  <si>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</si>
  <si>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</si>
  <si>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</si>
  <si>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</si>
  <si>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</si>
  <si>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</si>
  <si>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</si>
  <si>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</si>
  <si>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</si>
  <si>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</si>
  <si>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</si>
  <si>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</si>
  <si>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</si>
  <si>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</si>
  <si>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</si>
  <si>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</si>
  <si>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</si>
  <si>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</si>
  <si>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</si>
  <si>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</si>
  <si>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</si>
  <si>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</si>
  <si>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</si>
  <si>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</si>
  <si>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</si>
  <si>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</si>
  <si>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</si>
  <si>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</si>
  <si>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</si>
  <si>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</si>
  <si>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</si>
  <si>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</si>
  <si>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</si>
  <si>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</si>
  <si>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</si>
  <si>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</si>
  <si>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</si>
  <si>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</si>
  <si>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</si>
  <si>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</si>
  <si>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</si>
  <si>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</si>
  <si>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</si>
  <si>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</si>
  <si>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</si>
  <si>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</si>
  <si>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</si>
  <si>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</si>
  <si>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</si>
  <si>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</si>
  <si>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</si>
  <si>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</si>
  <si>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</si>
  <si>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</si>
  <si>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</si>
  <si>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</si>
  <si>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</si>
  <si>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</si>
  <si>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</si>
  <si>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</si>
  <si>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</si>
  <si>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</si>
  <si>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</si>
  <si>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</si>
  <si>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SALTA CAPITAL</t>
  </si>
  <si>
    <t xml:space="preserve">SANTA FE </t>
  </si>
  <si>
    <t>09. Negro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</si>
  <si>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</si>
  <si>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</si>
  <si>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</si>
  <si>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</si>
  <si>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</si>
  <si>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</si>
  <si>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</si>
  <si>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</si>
  <si>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</si>
  <si>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</si>
  <si>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</si>
  <si>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</si>
  <si>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</si>
  <si>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</si>
  <si>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</si>
  <si>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</si>
  <si>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</si>
  <si>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</si>
  <si>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</si>
  <si>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</si>
  <si>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</si>
  <si>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</si>
  <si>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</si>
  <si>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</si>
  <si>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</si>
  <si>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</si>
  <si>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</si>
  <si>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</si>
  <si>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</si>
  <si>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</si>
  <si>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</si>
  <si>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</si>
  <si>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</si>
  <si>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</si>
  <si>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</si>
  <si>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30-7895</t>
  </si>
  <si>
    <t>30-44456</t>
  </si>
  <si>
    <t>MALVINAS ARGENTINAS 3244 - 2° B</t>
  </si>
  <si>
    <t>465-654931</t>
  </si>
  <si>
    <t>9832165432165464987</t>
  </si>
  <si>
    <t xml:space="preserve">ESTAMP. </t>
  </si>
  <si>
    <t xml:space="preserve">ABR. </t>
  </si>
  <si>
    <t>30-7954</t>
  </si>
  <si>
    <t>30-78465</t>
  </si>
  <si>
    <t>35-4579</t>
  </si>
  <si>
    <t>30-354</t>
  </si>
  <si>
    <t>FB 30-45687</t>
  </si>
  <si>
    <t>FA 30-1354</t>
  </si>
  <si>
    <t>FB 30-9995</t>
  </si>
  <si>
    <t>FB 30-121212</t>
  </si>
  <si>
    <t>FB 21-45687</t>
  </si>
  <si>
    <t>CALLE 13 N° 14, PISO 15, DPTO 16</t>
  </si>
  <si>
    <t>PASAJE LETT 4059</t>
  </si>
  <si>
    <t>SALTA 2345 3° B</t>
  </si>
  <si>
    <t>VENADO TUERTO 888 - TORRE Z - PISO 9</t>
  </si>
  <si>
    <t>MANUEL BELGRANO 495 - SUBSUELO 4°</t>
  </si>
  <si>
    <t>ALDERETES 444 9° P</t>
  </si>
  <si>
    <t>CATAMARCA 123 - 12° 3</t>
  </si>
  <si>
    <t>SAN RAFAEL 5468</t>
  </si>
  <si>
    <t>SAN MARTIN DE LOS ANDES 1234</t>
  </si>
  <si>
    <t>SANTA FE 888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</si>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</sst>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topLeftCell="S1" zoomScaleNormal="100" workbookViewId="0">
      <pane ySplit="1" topLeftCell="A2" activePane="bottomLeft" state="frozen"/>
      <selection pane="bottomLeft" activeCell="T1" sqref="T1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14190</v>
      </c>
      <c r="E1" s="220" t="s">
        <v>14186</v>
      </c>
      <c r="F1" s="220" t="s">
        <v>7696</v>
      </c>
      <c r="G1" s="220" t="s">
        <v>14187</v>
      </c>
      <c r="H1" s="220" t="s">
        <v>14189</v>
      </c>
      <c r="I1" s="220" t="s">
        <v>14188</v>
      </c>
      <c r="J1" s="220" t="s">
        <v>14191</v>
      </c>
      <c r="K1" s="220" t="s">
        <v>14192</v>
      </c>
      <c r="L1" s="220" t="s">
        <v>14193</v>
      </c>
      <c r="M1" s="220" t="s">
        <v>14194</v>
      </c>
      <c r="N1" s="171" t="s">
        <v>14197</v>
      </c>
      <c r="O1" s="171" t="s">
        <v>14196</v>
      </c>
      <c r="P1" s="171" t="s">
        <v>14195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14149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>
        <v>54210</v>
      </c>
      <c r="I2" s="126">
        <f>+H2</f>
        <v>54210</v>
      </c>
      <c r="J2" s="113"/>
      <c r="K2" s="196" t="s">
        <v>14198</v>
      </c>
      <c r="L2" s="118">
        <v>27571260</v>
      </c>
      <c r="M2" s="113" t="s">
        <v>13405</v>
      </c>
      <c r="N2" s="113">
        <v>3</v>
      </c>
      <c r="O2" s="218" t="s">
        <v>14179</v>
      </c>
      <c r="P2" s="218" t="s">
        <v>14178</v>
      </c>
      <c r="Q2" s="113" t="s">
        <v>14214</v>
      </c>
      <c r="R2" s="196">
        <v>3874062789</v>
      </c>
      <c r="S2" s="119">
        <v>9412</v>
      </c>
      <c r="T2" s="119" t="s">
        <v>12990</v>
      </c>
      <c r="U2" s="113" t="s">
        <v>7954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14150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>
        <v>32789</v>
      </c>
      <c r="I3" s="126">
        <f>+H3</f>
        <v>32789</v>
      </c>
      <c r="J3" s="113"/>
      <c r="K3" s="113" t="s">
        <v>14205</v>
      </c>
      <c r="L3" s="118">
        <v>35907367</v>
      </c>
      <c r="M3" s="113" t="s">
        <v>13407</v>
      </c>
      <c r="N3" s="113"/>
      <c r="O3" s="218"/>
      <c r="P3" s="218"/>
      <c r="Q3" s="113" t="s">
        <v>14215</v>
      </c>
      <c r="R3" s="113">
        <v>3413535007</v>
      </c>
      <c r="S3" s="119">
        <v>2000</v>
      </c>
      <c r="T3" s="119" t="s">
        <v>14161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14151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>
        <v>21987</v>
      </c>
      <c r="I4" s="126">
        <f>+H4*G4+H5</f>
        <v>135181</v>
      </c>
      <c r="J4" s="113"/>
      <c r="K4" s="196" t="s">
        <v>14206</v>
      </c>
      <c r="L4" s="118">
        <v>35781600</v>
      </c>
      <c r="M4" s="113" t="s">
        <v>13406</v>
      </c>
      <c r="N4" s="113"/>
      <c r="O4" s="218"/>
      <c r="P4" s="218"/>
      <c r="Q4" s="113" t="s">
        <v>14216</v>
      </c>
      <c r="R4" s="113">
        <v>3878641652</v>
      </c>
      <c r="S4" s="119">
        <v>4400</v>
      </c>
      <c r="T4" s="119" t="s">
        <v>14160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14162</v>
      </c>
      <c r="G5" s="116">
        <v>1</v>
      </c>
      <c r="H5" s="126">
        <v>3259</v>
      </c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14152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f>+H6*G6+H7*G7+H8*G8+H9*G9</f>
        <v>2324984</v>
      </c>
      <c r="J6" s="113"/>
      <c r="K6" s="113" t="s">
        <v>14199</v>
      </c>
      <c r="L6" s="118">
        <v>33105934</v>
      </c>
      <c r="M6" s="113" t="s">
        <v>13405</v>
      </c>
      <c r="N6" s="113">
        <v>2</v>
      </c>
      <c r="O6" s="218" t="s">
        <v>14180</v>
      </c>
      <c r="P6" s="218" t="s">
        <v>14181</v>
      </c>
      <c r="Q6" s="113" t="s">
        <v>14217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7929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14204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14203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14153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f>+H10+H11</f>
        <v>655008</v>
      </c>
      <c r="J10" s="113"/>
      <c r="K10" s="113" t="s">
        <v>14207</v>
      </c>
      <c r="L10" s="118">
        <v>42288678</v>
      </c>
      <c r="M10" s="113" t="s">
        <v>13405</v>
      </c>
      <c r="N10" s="113">
        <v>4</v>
      </c>
      <c r="O10" s="218" t="s">
        <v>14183</v>
      </c>
      <c r="P10" s="218" t="s">
        <v>14182</v>
      </c>
      <c r="Q10" s="113" t="s">
        <v>14218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7928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14154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>
        <v>9517</v>
      </c>
      <c r="I12" s="126">
        <f>+H12+H13</f>
        <v>17051</v>
      </c>
      <c r="J12" s="113"/>
      <c r="K12" s="113" t="s">
        <v>14208</v>
      </c>
      <c r="L12" s="118">
        <v>31030340</v>
      </c>
      <c r="M12" s="113" t="s">
        <v>13407</v>
      </c>
      <c r="N12" s="113"/>
      <c r="O12" s="218"/>
      <c r="P12" s="218"/>
      <c r="Q12" s="113" t="s">
        <v>14219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>
        <v>7534</v>
      </c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14155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 t="s">
        <v>14203</v>
      </c>
      <c r="G14" s="116">
        <v>1</v>
      </c>
      <c r="H14" s="126">
        <v>6548</v>
      </c>
      <c r="I14" s="126">
        <f>SUM(H14:H17)</f>
        <v>52463</v>
      </c>
      <c r="J14" s="113"/>
      <c r="K14" s="113" t="s">
        <v>14209</v>
      </c>
      <c r="L14" s="118">
        <v>37642888</v>
      </c>
      <c r="M14" s="113" t="s">
        <v>13407</v>
      </c>
      <c r="N14" s="113"/>
      <c r="O14" s="218"/>
      <c r="P14" s="218"/>
      <c r="Q14" s="113" t="s">
        <v>14220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7928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>
        <v>4563</v>
      </c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5101863</v>
      </c>
      <c r="D16" s="115" t="str">
        <f>IFERROR(VLOOKUP(C16,LINCE!$A$1:$C$12000,3,FALSE),"")</f>
        <v>GARIBALDINA MAO RIP NEGRA 2XS/2XL RER</v>
      </c>
      <c r="E16" s="116" t="s">
        <v>7728</v>
      </c>
      <c r="F16" s="117"/>
      <c r="G16" s="116">
        <v>1</v>
      </c>
      <c r="H16" s="126">
        <v>9874</v>
      </c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>
        <v>31478</v>
      </c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14156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14162</v>
      </c>
      <c r="G18" s="116">
        <v>1</v>
      </c>
      <c r="H18" s="126">
        <v>12456</v>
      </c>
      <c r="I18" s="126">
        <f>+H18+H19*G19+H20</f>
        <v>171850</v>
      </c>
      <c r="J18" s="113"/>
      <c r="K18" s="113" t="s">
        <v>14210</v>
      </c>
      <c r="L18" s="118">
        <v>42795241</v>
      </c>
      <c r="M18" s="113" t="s">
        <v>13405</v>
      </c>
      <c r="N18" s="113">
        <v>6</v>
      </c>
      <c r="O18" s="218" t="s">
        <v>14184</v>
      </c>
      <c r="P18" s="218" t="s">
        <v>14185</v>
      </c>
      <c r="Q18" s="113" t="s">
        <v>14221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7927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14157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>
        <v>6543</v>
      </c>
      <c r="I21" s="126">
        <f>+H21+H22*G22</f>
        <v>19687</v>
      </c>
      <c r="J21" s="113"/>
      <c r="K21" s="113" t="s">
        <v>14211</v>
      </c>
      <c r="L21" s="118">
        <v>40415012</v>
      </c>
      <c r="M21" s="113" t="s">
        <v>13407</v>
      </c>
      <c r="N21" s="113"/>
      <c r="O21" s="218"/>
      <c r="P21" s="218"/>
      <c r="Q21" s="113" t="s">
        <v>14222</v>
      </c>
      <c r="R21" s="113">
        <v>3764849587</v>
      </c>
      <c r="S21" s="119">
        <v>8370</v>
      </c>
      <c r="T21" s="119" t="s">
        <v>14163</v>
      </c>
      <c r="U21" s="113" t="s">
        <v>7945</v>
      </c>
      <c r="V21" s="113" t="s">
        <v>7929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>
        <v>6572</v>
      </c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14158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>
        <v>1024</v>
      </c>
      <c r="I23" s="126">
        <f>+H23+H24</f>
        <v>6775</v>
      </c>
      <c r="J23" s="113"/>
      <c r="K23" s="113" t="s">
        <v>14212</v>
      </c>
      <c r="L23" s="118">
        <v>33077739</v>
      </c>
      <c r="M23" s="113" t="s">
        <v>13406</v>
      </c>
      <c r="N23" s="113"/>
      <c r="O23" s="218"/>
      <c r="P23" s="218"/>
      <c r="Q23" s="113" t="s">
        <v>14223</v>
      </c>
      <c r="R23" s="113">
        <v>3425161443</v>
      </c>
      <c r="S23" s="119">
        <v>3000</v>
      </c>
      <c r="T23" s="119" t="s">
        <v>14161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>
        <v>5751</v>
      </c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14159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/>
      <c r="K25" s="113" t="s">
        <v>14213</v>
      </c>
      <c r="L25" s="118">
        <v>21571863</v>
      </c>
      <c r="M25" s="113" t="s">
        <v>13405</v>
      </c>
      <c r="N25" s="113">
        <v>4</v>
      </c>
      <c r="O25" s="218" t="s">
        <v>14201</v>
      </c>
      <c r="P25" s="218" t="s">
        <v>14202</v>
      </c>
      <c r="Q25" s="113" t="s">
        <v>14200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47</v>
      </c>
      <c r="H35" s="173"/>
      <c r="I35" s="174">
        <f>IF(SUM(I2:I34)&gt;0,SUM(I2:I34),"")</f>
        <v>3644998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B10" sqref="B10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14151</v>
      </c>
      <c r="B2" s="208" t="str">
        <f>VLOOKUP(C2,[1]Sheet1!$A$2:$G$10000, 2, FALSE)</f>
        <v>KIT RODILLERAS Y CODERAS TACTICAS 5637-2</v>
      </c>
      <c r="C2" s="222" t="s">
        <v>4773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14153</v>
      </c>
      <c r="B3" s="208" t="str">
        <f>VLOOKUP(C3,[1]Sheet1!$A$2:$G$10000, 2, FALSE)</f>
        <v>BASTON EXTENSIBLE CROM.5736</v>
      </c>
      <c r="C3" s="222" t="s">
        <v>4706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222" t="s">
        <v>6503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14154</v>
      </c>
      <c r="B5" s="208" t="str">
        <f>VLOOKUP(C5,[1]Sheet1!$A$2:$G$10000, 2, FALSE)</f>
        <v>CASQ RIP NEGRO ABROJO</v>
      </c>
      <c r="C5" s="222" t="s">
        <v>4338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222" t="s">
        <v>6042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14157</v>
      </c>
      <c r="B7" s="208" t="str">
        <f>VLOOKUP(C7,[1]Sheet1!$A$2:$G$10000, 2, FALSE)</f>
        <v>CASQ RIP AZUL NQUEN. RER</v>
      </c>
      <c r="C7" s="222" t="s">
        <v>4336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222" t="s">
        <v>1507</v>
      </c>
      <c r="D8" s="208"/>
      <c r="E8" s="208" t="s">
        <v>7704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14152</v>
      </c>
      <c r="B9" s="208" t="str">
        <f>VLOOKUP(C9,[1]Sheet1!$A$2:$G$10000, 2, FALSE)</f>
        <v>CHOMBA MC CIERRE NE 3XS/2XL RER</v>
      </c>
      <c r="C9" s="222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222" t="s">
        <v>1155</v>
      </c>
      <c r="D10" s="208" t="s">
        <v>14204</v>
      </c>
      <c r="E10" s="208" t="s">
        <v>7704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222" t="s">
        <v>1147</v>
      </c>
      <c r="D11" s="208" t="s">
        <v>14203</v>
      </c>
      <c r="E11" s="208" t="s">
        <v>7728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222" t="s">
        <v>2605</v>
      </c>
      <c r="D12" s="208"/>
      <c r="E12" s="208" t="s">
        <v>7749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14155</v>
      </c>
      <c r="B13" s="208" t="str">
        <f>VLOOKUP(C13,[1]Sheet1!$A$2:$G$10000, 2, FALSE)</f>
        <v>REMERA MC AZUL CON ESTAMPA POLICIA GEI</v>
      </c>
      <c r="C13" s="222" t="s">
        <v>1350</v>
      </c>
      <c r="D13" s="208" t="s">
        <v>14203</v>
      </c>
      <c r="E13" s="208" t="s">
        <v>7728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222" t="s">
        <v>1135</v>
      </c>
      <c r="D14" s="208"/>
      <c r="E14" s="208" t="s">
        <v>7728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222" t="s">
        <v>1873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14149</v>
      </c>
      <c r="B16" s="208" t="str">
        <f>VLOOKUP(C16,[1]Sheet1!$A$2:$G$10000, 2, FALSE)</f>
        <v>BOMB CLAS RIP GRIS 34/48 RER</v>
      </c>
      <c r="C16" s="222" t="s">
        <v>722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14150</v>
      </c>
      <c r="B17" s="208" t="str">
        <f>VLOOKUP(C17,[1]Sheet1!$A$2:$G$10000, 2, FALSE)</f>
        <v>BOMB KADIMA GAB NEGRA 34/48 RER</v>
      </c>
      <c r="C17" s="222" t="s">
        <v>688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222" t="s">
        <v>13396</v>
      </c>
      <c r="D18" s="208" t="s">
        <v>14162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222" t="s">
        <v>2567</v>
      </c>
      <c r="D19" s="208"/>
      <c r="E19" s="208" t="s">
        <v>7728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222" t="s">
        <v>680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14156</v>
      </c>
      <c r="B21" s="208" t="str">
        <f>VLOOKUP(C21,[1]Sheet1!$A$2:$G$10000, 2, FALSE)</f>
        <v>MOCHILA 8141-43 20.5L YW-48/3</v>
      </c>
      <c r="C21" s="222" t="s">
        <v>6852</v>
      </c>
      <c r="D21" s="208" t="s">
        <v>14162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222" t="s">
        <v>817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222" t="s">
        <v>2567</v>
      </c>
      <c r="D23" s="208"/>
      <c r="E23" s="208" t="s">
        <v>7724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14158</v>
      </c>
      <c r="B24" s="208" t="str">
        <f>VLOOKUP(C24,[1]Sheet1!$A$2:$G$10000, 2, FALSE)</f>
        <v>BOMB CLAS GAB NEGRA DAMA/SPANDE 34/48RER</v>
      </c>
      <c r="C24" s="222" t="s">
        <v>413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14159</v>
      </c>
      <c r="B25" s="208" t="str">
        <f>VLOOKUP(C25,[1]Sheet1!$A$2:$G$10000, 2, FALSE)</f>
        <v>BORCEGUI COMANDO RERDA ART60 CIERRE CAR</v>
      </c>
      <c r="C25" s="222" t="s">
        <v>4174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222" t="s">
        <v>817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222" t="s">
        <v>14224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14224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14224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14224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14224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14224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14224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14224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11</v>
      </c>
      <c r="D35" s="208"/>
      <c r="E35" s="209" t="s">
        <v>13997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49" t="s">
        <v>13908</v>
      </c>
      <c r="B2" s="250"/>
      <c r="C2" s="250"/>
      <c r="D2" s="250"/>
      <c r="E2" s="250"/>
      <c r="F2" s="250"/>
      <c r="G2" s="250"/>
      <c r="H2" s="250"/>
      <c r="I2" s="25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1" t="s">
        <v>13909</v>
      </c>
      <c r="B4" s="252"/>
      <c r="C4" s="252"/>
      <c r="D4" s="252"/>
      <c r="E4" s="252"/>
      <c r="F4" s="177"/>
      <c r="G4" s="257" t="s">
        <v>13910</v>
      </c>
      <c r="H4" s="258"/>
      <c r="I4" s="189">
        <f ca="1">TODAY()</f>
        <v>45183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3" t="s">
        <v>13911</v>
      </c>
      <c r="B6" s="250"/>
      <c r="C6" s="250"/>
      <c r="D6" s="250"/>
      <c r="E6" s="250"/>
      <c r="F6" s="250"/>
      <c r="G6" s="253" t="s">
        <v>13912</v>
      </c>
      <c r="H6" s="250"/>
      <c r="I6" s="254"/>
    </row>
    <row r="7" spans="1:9" ht="15" customHeight="1" x14ac:dyDescent="0.25">
      <c r="A7" s="224" t="s">
        <v>13913</v>
      </c>
      <c r="B7" s="225"/>
      <c r="C7" s="225"/>
      <c r="D7" s="225"/>
      <c r="E7" s="228" t="str">
        <f>Datos!B4 &amp; " "</f>
        <v xml:space="preserve">RERDA S.A. </v>
      </c>
      <c r="F7" s="229"/>
      <c r="G7" s="224" t="s">
        <v>13913</v>
      </c>
      <c r="H7" s="225"/>
      <c r="I7" s="255"/>
    </row>
    <row r="8" spans="1:9" ht="15" customHeight="1" x14ac:dyDescent="0.25">
      <c r="A8" s="226" t="s">
        <v>13914</v>
      </c>
      <c r="B8" s="227"/>
      <c r="C8" s="227"/>
      <c r="D8" s="227"/>
      <c r="E8" s="230"/>
      <c r="F8" s="231"/>
      <c r="G8" s="226" t="s">
        <v>13914</v>
      </c>
      <c r="H8" s="227"/>
      <c r="I8" s="256"/>
    </row>
    <row r="9" spans="1:9" ht="15" customHeight="1" x14ac:dyDescent="0.25">
      <c r="A9" s="224" t="s">
        <v>13915</v>
      </c>
      <c r="B9" s="225"/>
      <c r="C9" s="225"/>
      <c r="D9" s="225"/>
      <c r="E9" s="228" t="str">
        <f>Datos!B6 &amp; " " &amp; Datos!B7 &amp; " "</f>
        <v xml:space="preserve">San Martín 1665 </v>
      </c>
      <c r="F9" s="229"/>
      <c r="G9" s="224" t="s">
        <v>13915</v>
      </c>
      <c r="H9" s="225"/>
      <c r="I9" s="247"/>
    </row>
    <row r="10" spans="1:9" ht="15" customHeight="1" x14ac:dyDescent="0.25">
      <c r="A10" s="226" t="s">
        <v>13916</v>
      </c>
      <c r="B10" s="227"/>
      <c r="C10" s="227"/>
      <c r="D10" s="227"/>
      <c r="E10" s="230"/>
      <c r="F10" s="231"/>
      <c r="G10" s="226" t="s">
        <v>13916</v>
      </c>
      <c r="H10" s="227"/>
      <c r="I10" s="248"/>
    </row>
    <row r="11" spans="1:9" ht="18.75" x14ac:dyDescent="0.25">
      <c r="A11" s="224" t="s">
        <v>13931</v>
      </c>
      <c r="B11" s="225"/>
      <c r="C11" s="225"/>
      <c r="D11" s="225"/>
      <c r="E11" s="259" t="str">
        <f>Datos!B8 &amp; " "</f>
        <v xml:space="preserve">Mendoza </v>
      </c>
      <c r="F11" s="260"/>
      <c r="G11" s="224" t="s">
        <v>13931</v>
      </c>
      <c r="H11" s="225"/>
      <c r="I11" s="184"/>
    </row>
    <row r="12" spans="1:9" ht="15.75" x14ac:dyDescent="0.25">
      <c r="A12" s="226" t="s">
        <v>13932</v>
      </c>
      <c r="B12" s="227"/>
      <c r="C12" s="227"/>
      <c r="D12" s="227"/>
      <c r="E12" s="261" t="str">
        <f>Datos!B5 &amp; " "</f>
        <v xml:space="preserve">30535195869 </v>
      </c>
      <c r="F12" s="262"/>
      <c r="G12" s="226" t="s">
        <v>13932</v>
      </c>
      <c r="H12" s="227"/>
      <c r="I12" s="197"/>
    </row>
    <row r="13" spans="1:9" ht="19.5" customHeight="1" x14ac:dyDescent="0.25">
      <c r="A13" s="224" t="s">
        <v>13917</v>
      </c>
      <c r="B13" s="225"/>
      <c r="C13" s="225"/>
      <c r="D13" s="225"/>
      <c r="E13" s="228" t="str">
        <f>Datos!B9 &amp; " "</f>
        <v xml:space="preserve">Mendoza </v>
      </c>
      <c r="F13" s="229"/>
      <c r="G13" s="224" t="s">
        <v>13917</v>
      </c>
      <c r="H13" s="225"/>
      <c r="I13" s="239"/>
    </row>
    <row r="14" spans="1:9" ht="15" customHeight="1" x14ac:dyDescent="0.25">
      <c r="A14" s="226" t="s">
        <v>13918</v>
      </c>
      <c r="B14" s="227"/>
      <c r="C14" s="227"/>
      <c r="D14" s="227"/>
      <c r="E14" s="230"/>
      <c r="F14" s="231"/>
      <c r="G14" s="226" t="s">
        <v>13918</v>
      </c>
      <c r="H14" s="227"/>
      <c r="I14" s="240"/>
    </row>
    <row r="15" spans="1:9" ht="15" customHeight="1" x14ac:dyDescent="0.25">
      <c r="A15" s="224" t="s">
        <v>13919</v>
      </c>
      <c r="B15" s="225"/>
      <c r="C15" s="225"/>
      <c r="D15" s="225"/>
      <c r="E15" s="228" t="s">
        <v>13920</v>
      </c>
      <c r="F15" s="229"/>
      <c r="G15" s="224" t="s">
        <v>13919</v>
      </c>
      <c r="H15" s="225"/>
      <c r="I15" s="229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30"/>
      <c r="F16" s="231"/>
      <c r="G16" s="226" t="s">
        <v>13921</v>
      </c>
      <c r="H16" s="227"/>
      <c r="I16" s="231"/>
    </row>
    <row r="17" spans="1:9" ht="20.100000000000001" customHeight="1" x14ac:dyDescent="0.25">
      <c r="A17" s="224" t="s">
        <v>13922</v>
      </c>
      <c r="B17" s="225"/>
      <c r="C17" s="225"/>
      <c r="D17" s="225"/>
      <c r="E17" s="241" t="str">
        <f>Datos!B12 &amp; " "</f>
        <v xml:space="preserve">0261-4256567 | +549 2615117948 </v>
      </c>
      <c r="F17" s="242"/>
      <c r="G17" s="224" t="s">
        <v>13922</v>
      </c>
      <c r="H17" s="225"/>
      <c r="I17" s="245"/>
    </row>
    <row r="18" spans="1:9" ht="20.100000000000001" customHeight="1" x14ac:dyDescent="0.25">
      <c r="A18" s="226" t="s">
        <v>13923</v>
      </c>
      <c r="B18" s="227"/>
      <c r="C18" s="227"/>
      <c r="D18" s="227"/>
      <c r="E18" s="243"/>
      <c r="F18" s="244"/>
      <c r="G18" s="226" t="s">
        <v>13923</v>
      </c>
      <c r="H18" s="227"/>
      <c r="I18" s="24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38" t="s">
        <v>13926</v>
      </c>
      <c r="F20" s="238"/>
      <c r="G20" s="238"/>
      <c r="H20" s="185" t="s">
        <v>14175</v>
      </c>
      <c r="I20" s="185" t="s">
        <v>14176</v>
      </c>
    </row>
    <row r="21" spans="1:9" x14ac:dyDescent="0.25">
      <c r="A21" s="198"/>
      <c r="B21" s="198"/>
      <c r="C21" s="202"/>
      <c r="D21" s="202"/>
      <c r="E21" s="232" t="str">
        <f>IFERROR(VLOOKUP(B21,LINCE!$A$1:$F$12000,3,FALSE),"")</f>
        <v/>
      </c>
      <c r="F21" s="233"/>
      <c r="G21" s="234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2" t="str">
        <f>IFERROR(VLOOKUP(B22,LINCE!$A$1:$F$12000,3,FALSE),"")</f>
        <v/>
      </c>
      <c r="F22" s="233"/>
      <c r="G22" s="234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2" t="str">
        <f>IFERROR(VLOOKUP(B23,LINCE!$A$1:$F$12000,3,FALSE),"")</f>
        <v/>
      </c>
      <c r="F23" s="233"/>
      <c r="G23" s="234"/>
      <c r="H23" s="201"/>
      <c r="I23" s="186"/>
    </row>
    <row r="24" spans="1:9" x14ac:dyDescent="0.25">
      <c r="A24" s="199"/>
      <c r="B24" s="199"/>
      <c r="C24" s="203"/>
      <c r="D24" s="203"/>
      <c r="E24" s="232" t="str">
        <f>IFERROR(VLOOKUP(B24,LINCE!$A$1:$F$12000,3,FALSE),"")</f>
        <v/>
      </c>
      <c r="F24" s="233"/>
      <c r="G24" s="234"/>
      <c r="H24" s="201"/>
      <c r="I24" s="186"/>
    </row>
    <row r="25" spans="1:9" x14ac:dyDescent="0.25">
      <c r="A25" s="199"/>
      <c r="B25" s="199"/>
      <c r="C25" s="203"/>
      <c r="D25" s="203"/>
      <c r="E25" s="232" t="str">
        <f>IFERROR(VLOOKUP(B25,LINCE!$A$1:$F$12000,3,FALSE),"")</f>
        <v/>
      </c>
      <c r="F25" s="233"/>
      <c r="G25" s="234"/>
      <c r="H25" s="201"/>
      <c r="I25" s="186"/>
    </row>
    <row r="26" spans="1:9" x14ac:dyDescent="0.25">
      <c r="A26" s="199"/>
      <c r="B26" s="199"/>
      <c r="C26" s="203"/>
      <c r="D26" s="203"/>
      <c r="E26" s="232" t="str">
        <f>IFERROR(VLOOKUP(B26,LINCE!$A$1:$F$12000,3,FALSE),"")</f>
        <v/>
      </c>
      <c r="F26" s="233"/>
      <c r="G26" s="234"/>
      <c r="H26" s="201"/>
      <c r="I26" s="186"/>
    </row>
    <row r="27" spans="1:9" x14ac:dyDescent="0.25">
      <c r="A27" s="199"/>
      <c r="B27" s="199"/>
      <c r="C27" s="203"/>
      <c r="D27" s="203"/>
      <c r="E27" s="232" t="str">
        <f>IFERROR(VLOOKUP(B27,LINCE!$A$1:$F$12000,3,FALSE),"")</f>
        <v/>
      </c>
      <c r="F27" s="233"/>
      <c r="G27" s="234"/>
      <c r="H27" s="201"/>
      <c r="I27" s="186"/>
    </row>
    <row r="28" spans="1:9" x14ac:dyDescent="0.25">
      <c r="A28" s="199"/>
      <c r="B28" s="199"/>
      <c r="C28" s="203"/>
      <c r="D28" s="203"/>
      <c r="E28" s="232" t="str">
        <f>IFERROR(VLOOKUP(B28,LINCE!$A$1:$F$12000,3,FALSE),"")</f>
        <v/>
      </c>
      <c r="F28" s="233"/>
      <c r="G28" s="234"/>
      <c r="H28" s="201"/>
      <c r="I28" s="186"/>
    </row>
    <row r="29" spans="1:9" x14ac:dyDescent="0.25">
      <c r="A29" s="199"/>
      <c r="B29" s="199"/>
      <c r="C29" s="203"/>
      <c r="D29" s="203"/>
      <c r="E29" s="232" t="str">
        <f>IFERROR(VLOOKUP(B29,LINCE!$A$1:$F$12000,3,FALSE),"")</f>
        <v/>
      </c>
      <c r="F29" s="233"/>
      <c r="G29" s="234"/>
      <c r="H29" s="201"/>
      <c r="I29" s="186"/>
    </row>
    <row r="30" spans="1:9" x14ac:dyDescent="0.25">
      <c r="A30" s="199"/>
      <c r="B30" s="199"/>
      <c r="C30" s="203"/>
      <c r="D30" s="203"/>
      <c r="E30" s="232" t="str">
        <f>IFERROR(VLOOKUP(B30,LINCE!$A$1:$F$12000,3,FALSE),"")</f>
        <v/>
      </c>
      <c r="F30" s="233"/>
      <c r="G30" s="234"/>
      <c r="H30" s="201"/>
      <c r="I30" s="186"/>
    </row>
    <row r="31" spans="1:9" x14ac:dyDescent="0.25">
      <c r="A31" s="199"/>
      <c r="B31" s="199"/>
      <c r="C31" s="203"/>
      <c r="D31" s="203"/>
      <c r="E31" s="232" t="str">
        <f>IFERROR(VLOOKUP(B31,LINCE!$A$1:$F$12000,3,FALSE),"")</f>
        <v/>
      </c>
      <c r="F31" s="233"/>
      <c r="G31" s="234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2" t="str">
        <f>IFERROR(VLOOKUP(B32,LINCE!$A$1:$F$12000,3,FALSE),"")</f>
        <v/>
      </c>
      <c r="F32" s="233"/>
      <c r="G32" s="234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2" t="str">
        <f>IFERROR(VLOOKUP(B33,LINCE!$A$1:$F$12000,3,FALSE),"")</f>
        <v/>
      </c>
      <c r="F33" s="233"/>
      <c r="G33" s="234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2" t="str">
        <f>IFERROR(VLOOKUP(B34,LINCE!$A$1:$F$12000,3,FALSE),"")</f>
        <v/>
      </c>
      <c r="F34" s="233"/>
      <c r="G34" s="234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2" t="str">
        <f>IFERROR(VLOOKUP(B35,LINCE!$A$1:$F$12000,3,FALSE),"")</f>
        <v/>
      </c>
      <c r="F35" s="233"/>
      <c r="G35" s="234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2" t="str">
        <f>IFERROR(VLOOKUP(B36,LINCE!$A$1:$F$12000,3,FALSE),"")</f>
        <v/>
      </c>
      <c r="F36" s="233"/>
      <c r="G36" s="234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2" t="str">
        <f>IFERROR(VLOOKUP(B37,LINCE!$A$1:$F$12000,3,FALSE),"")</f>
        <v/>
      </c>
      <c r="F37" s="233"/>
      <c r="G37" s="234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2" t="str">
        <f>IFERROR(VLOOKUP(B38,LINCE!$A$1:$F$12000,3,FALSE),"")</f>
        <v/>
      </c>
      <c r="F38" s="233"/>
      <c r="G38" s="234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2" t="str">
        <f>IFERROR(VLOOKUP(B39,LINCE!$A$1:$F$12000,3,FALSE),"")</f>
        <v/>
      </c>
      <c r="F39" s="233"/>
      <c r="G39" s="234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2" t="str">
        <f>IFERROR(VLOOKUP(B40,LINCE!$A$1:$F$12000,3,FALSE),"")</f>
        <v/>
      </c>
      <c r="F40" s="233"/>
      <c r="G40" s="234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2" t="str">
        <f>IFERROR(VLOOKUP(B41,LINCE!$A$1:$F$12000,3,FALSE),"")</f>
        <v/>
      </c>
      <c r="F41" s="233"/>
      <c r="G41" s="234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2" t="str">
        <f>IFERROR(VLOOKUP(B42,LINCE!$A$1:$F$12000,3,FALSE),"")</f>
        <v/>
      </c>
      <c r="F42" s="233"/>
      <c r="G42" s="234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2" t="str">
        <f>IFERROR(VLOOKUP(B43,LINCE!$A$1:$F$12000,3,FALSE),"")</f>
        <v/>
      </c>
      <c r="F43" s="233"/>
      <c r="G43" s="234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2" t="str">
        <f>IFERROR(VLOOKUP(B44,LINCE!$A$1:$F$12000,3,FALSE),"")</f>
        <v/>
      </c>
      <c r="F44" s="233"/>
      <c r="G44" s="234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2" t="str">
        <f>IFERROR(VLOOKUP(B45,LINCE!$A$1:$F$12000,3,FALSE),"")</f>
        <v/>
      </c>
      <c r="F45" s="233"/>
      <c r="G45" s="234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2" t="str">
        <f>IFERROR(VLOOKUP(B46,LINCE!$A$1:$F$12000,3,FALSE),"")</f>
        <v/>
      </c>
      <c r="F46" s="233"/>
      <c r="G46" s="234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2" t="str">
        <f>IFERROR(VLOOKUP(B47,LINCE!$A$1:$F$12000,3,FALSE),"")</f>
        <v/>
      </c>
      <c r="F47" s="233"/>
      <c r="G47" s="234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2" t="str">
        <f>IFERROR(VLOOKUP(B48,LINCE!$A$1:$F$12000,3,FALSE),"")</f>
        <v/>
      </c>
      <c r="F48" s="233"/>
      <c r="G48" s="234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2" t="str">
        <f>IFERROR(VLOOKUP(B49,LINCE!$A$1:$F$12000,3,FALSE),"")</f>
        <v/>
      </c>
      <c r="F49" s="233"/>
      <c r="G49" s="234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14177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5"/>
      <c r="B52" s="235"/>
      <c r="C52" s="235"/>
      <c r="D52" s="235"/>
      <c r="E52" s="235"/>
      <c r="F52" s="183"/>
      <c r="G52" s="183"/>
      <c r="H52" s="183"/>
      <c r="I52" s="183"/>
    </row>
    <row r="53" spans="1:9" ht="30" customHeight="1" x14ac:dyDescent="0.3">
      <c r="A53" s="235" t="s">
        <v>13928</v>
      </c>
      <c r="B53" s="235"/>
      <c r="C53" s="235"/>
      <c r="D53" s="235"/>
      <c r="E53" s="235"/>
      <c r="F53" s="237"/>
      <c r="G53" s="237"/>
      <c r="H53" s="237"/>
      <c r="I53" s="237"/>
    </row>
    <row r="54" spans="1:9" ht="30" customHeight="1" x14ac:dyDescent="0.3">
      <c r="A54" s="235" t="s">
        <v>13929</v>
      </c>
      <c r="B54" s="235"/>
      <c r="C54" s="235"/>
      <c r="D54" s="235"/>
      <c r="E54" s="235"/>
      <c r="F54" s="236"/>
      <c r="G54" s="236"/>
      <c r="H54" s="236"/>
      <c r="I54" s="236"/>
    </row>
    <row r="55" spans="1:9" ht="30" customHeight="1" x14ac:dyDescent="0.3">
      <c r="A55" s="235" t="s">
        <v>13930</v>
      </c>
      <c r="B55" s="235"/>
      <c r="C55" s="235"/>
      <c r="D55" s="235"/>
      <c r="E55" s="235"/>
      <c r="F55" s="236"/>
      <c r="G55" s="236"/>
      <c r="H55" s="236"/>
      <c r="I55" s="236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3" t="s">
        <v>13127</v>
      </c>
      <c r="B2" s="296" t="str">
        <f>+Datos!B4</f>
        <v>RERDA S.A.</v>
      </c>
      <c r="C2" s="297"/>
      <c r="D2" s="297"/>
      <c r="E2" s="297"/>
      <c r="F2" s="297"/>
      <c r="G2" s="297"/>
      <c r="H2" s="297"/>
      <c r="I2" s="4"/>
      <c r="J2" s="4"/>
      <c r="K2" s="4"/>
      <c r="L2" s="4"/>
      <c r="M2" s="4"/>
      <c r="N2" s="4"/>
      <c r="O2" s="5"/>
      <c r="P2" s="298"/>
      <c r="Q2" s="299"/>
      <c r="R2" s="299"/>
      <c r="S2" s="299"/>
      <c r="T2" s="299"/>
      <c r="U2" s="300"/>
    </row>
    <row r="3" spans="1:21" ht="14.1" customHeight="1" x14ac:dyDescent="0.25">
      <c r="A3" s="294"/>
      <c r="B3" s="307" t="str">
        <f>+Datos!B6</f>
        <v>San Martín</v>
      </c>
      <c r="C3" s="308"/>
      <c r="D3" s="308"/>
      <c r="E3" s="308"/>
      <c r="F3" s="308"/>
      <c r="G3" s="308">
        <f>+Datos!B7</f>
        <v>1665</v>
      </c>
      <c r="H3" s="308"/>
      <c r="I3" s="308"/>
      <c r="J3" s="6"/>
      <c r="K3" s="7"/>
      <c r="L3" s="8"/>
      <c r="M3" s="309" t="str">
        <f>+Datos!B8</f>
        <v>Mendoza</v>
      </c>
      <c r="N3" s="309"/>
      <c r="O3" s="310"/>
      <c r="P3" s="301"/>
      <c r="Q3" s="302"/>
      <c r="R3" s="302"/>
      <c r="S3" s="302"/>
      <c r="T3" s="302"/>
      <c r="U3" s="303"/>
    </row>
    <row r="4" spans="1:21" ht="14.1" customHeight="1" x14ac:dyDescent="0.25">
      <c r="A4" s="294"/>
      <c r="B4" s="311" t="str">
        <f>+Datos!B9</f>
        <v>Mendoza</v>
      </c>
      <c r="C4" s="309"/>
      <c r="D4" s="309"/>
      <c r="E4" s="309"/>
      <c r="F4" s="309"/>
      <c r="G4" s="309">
        <f>+Datos!B10</f>
        <v>5500</v>
      </c>
      <c r="H4" s="309"/>
      <c r="I4" s="309"/>
      <c r="J4" s="6"/>
      <c r="K4" s="6"/>
      <c r="L4" s="6"/>
      <c r="M4" s="6"/>
      <c r="N4" s="6"/>
      <c r="O4" s="9"/>
      <c r="P4" s="301"/>
      <c r="Q4" s="302"/>
      <c r="R4" s="302"/>
      <c r="S4" s="302"/>
      <c r="T4" s="302"/>
      <c r="U4" s="303"/>
    </row>
    <row r="5" spans="1:21" ht="14.1" customHeight="1" x14ac:dyDescent="0.25">
      <c r="A5" s="294"/>
      <c r="B5" s="312" t="str">
        <f>+Datos!B11</f>
        <v>ventas@rerda.com</v>
      </c>
      <c r="C5" s="313"/>
      <c r="D5" s="313"/>
      <c r="E5" s="313"/>
      <c r="F5" s="313"/>
      <c r="G5" s="313"/>
      <c r="H5" s="313"/>
      <c r="I5" s="10"/>
      <c r="J5" s="10"/>
      <c r="K5" s="11" t="s">
        <v>13128</v>
      </c>
      <c r="L5" s="314">
        <f>+Datos!B5</f>
        <v>30535195869</v>
      </c>
      <c r="M5" s="314"/>
      <c r="N5" s="314"/>
      <c r="O5" s="315"/>
      <c r="P5" s="301"/>
      <c r="Q5" s="302"/>
      <c r="R5" s="302"/>
      <c r="S5" s="302"/>
      <c r="T5" s="302"/>
      <c r="U5" s="303"/>
    </row>
    <row r="6" spans="1:21" ht="14.1" customHeight="1" x14ac:dyDescent="0.25">
      <c r="A6" s="295"/>
      <c r="B6" s="278" t="str">
        <f>+Datos!B12</f>
        <v>0261-4256567 | +549 2615117948</v>
      </c>
      <c r="C6" s="279"/>
      <c r="D6" s="279"/>
      <c r="E6" s="279"/>
      <c r="F6" s="279"/>
      <c r="G6" s="279"/>
      <c r="H6" s="279"/>
      <c r="I6" s="12"/>
      <c r="J6" s="12"/>
      <c r="K6" s="13" t="s">
        <v>13129</v>
      </c>
      <c r="L6" s="280">
        <f>+Datos!B3</f>
        <v>20355</v>
      </c>
      <c r="M6" s="280"/>
      <c r="N6" s="280"/>
      <c r="O6" s="281"/>
      <c r="P6" s="304"/>
      <c r="Q6" s="305"/>
      <c r="R6" s="305"/>
      <c r="S6" s="305"/>
      <c r="T6" s="305"/>
      <c r="U6" s="306"/>
    </row>
    <row r="7" spans="1:21" ht="14.1" customHeight="1" x14ac:dyDescent="0.25">
      <c r="A7" s="14"/>
      <c r="B7" s="282" t="s">
        <v>13130</v>
      </c>
      <c r="C7" s="282"/>
      <c r="D7" s="283" t="str">
        <f>IF(Planilla!W2="","¿…?",Planilla!W2)</f>
        <v>ELENA</v>
      </c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15"/>
    </row>
    <row r="8" spans="1:21" ht="14.1" customHeight="1" x14ac:dyDescent="0.25">
      <c r="A8" s="284" t="s">
        <v>13131</v>
      </c>
      <c r="B8" s="285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6"/>
    </row>
    <row r="9" spans="1:21" ht="14.1" customHeight="1" x14ac:dyDescent="0.25">
      <c r="A9" s="287"/>
      <c r="B9" s="288"/>
      <c r="C9" s="288"/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288"/>
      <c r="U9" s="289"/>
    </row>
    <row r="10" spans="1:21" ht="14.1" customHeight="1" x14ac:dyDescent="0.25">
      <c r="A10" s="290"/>
      <c r="B10" s="291"/>
      <c r="C10" s="291"/>
      <c r="D10" s="291"/>
      <c r="E10" s="291"/>
      <c r="F10" s="291"/>
      <c r="G10" s="291"/>
      <c r="H10" s="291"/>
      <c r="I10" s="291"/>
      <c r="J10" s="291"/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3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3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5" t="s">
        <v>13133</v>
      </c>
      <c r="M15" s="265"/>
      <c r="N15" s="265"/>
      <c r="O15" s="265"/>
      <c r="P15" s="266">
        <v>35907367</v>
      </c>
      <c r="Q15" s="267"/>
      <c r="R15" s="267"/>
      <c r="S15" s="267"/>
      <c r="T15" s="267"/>
      <c r="U15" s="25"/>
    </row>
    <row r="16" spans="1:21" ht="18.95" customHeight="1" x14ac:dyDescent="0.25">
      <c r="A16" s="263"/>
      <c r="B16" s="28"/>
      <c r="C16" s="268" t="s">
        <v>14150</v>
      </c>
      <c r="D16" s="269"/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15"/>
    </row>
    <row r="17" spans="1:21" ht="18.95" customHeight="1" x14ac:dyDescent="0.25">
      <c r="A17" s="263"/>
      <c r="B17" s="28"/>
      <c r="C17" s="269"/>
      <c r="D17" s="269"/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15"/>
    </row>
    <row r="18" spans="1:21" ht="14.1" customHeight="1" x14ac:dyDescent="0.25">
      <c r="A18" s="263"/>
      <c r="B18" s="22"/>
      <c r="C18" s="270" t="s">
        <v>14215</v>
      </c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15"/>
    </row>
    <row r="19" spans="1:21" ht="14.1" customHeight="1" x14ac:dyDescent="0.25">
      <c r="A19" s="263"/>
      <c r="B19" s="22"/>
      <c r="C19" s="270"/>
      <c r="D19" s="270"/>
      <c r="E19" s="270"/>
      <c r="F19" s="270"/>
      <c r="G19" s="270"/>
      <c r="H19" s="270"/>
      <c r="I19" s="270"/>
      <c r="J19" s="270"/>
      <c r="K19" s="270"/>
      <c r="L19" s="270"/>
      <c r="M19" s="270"/>
      <c r="N19" s="270"/>
      <c r="O19" s="270"/>
      <c r="P19" s="270"/>
      <c r="Q19" s="270"/>
      <c r="R19" s="270"/>
      <c r="S19" s="270"/>
      <c r="T19" s="270"/>
      <c r="U19" s="15"/>
    </row>
    <row r="20" spans="1:21" ht="14.1" customHeight="1" x14ac:dyDescent="0.25">
      <c r="A20" s="263"/>
      <c r="B20" s="22"/>
      <c r="C20" s="270"/>
      <c r="D20" s="270"/>
      <c r="E20" s="270"/>
      <c r="F20" s="270"/>
      <c r="G20" s="270"/>
      <c r="H20" s="270"/>
      <c r="I20" s="270"/>
      <c r="J20" s="270"/>
      <c r="K20" s="270"/>
      <c r="L20" s="270"/>
      <c r="M20" s="270"/>
      <c r="N20" s="270"/>
      <c r="O20" s="270"/>
      <c r="P20" s="270"/>
      <c r="Q20" s="270"/>
      <c r="R20" s="270"/>
      <c r="S20" s="270"/>
      <c r="T20" s="270"/>
      <c r="U20" s="15"/>
    </row>
    <row r="21" spans="1:21" ht="14.1" customHeight="1" x14ac:dyDescent="0.25">
      <c r="A21" s="263"/>
      <c r="B21" s="29"/>
      <c r="C21" s="271" t="s">
        <v>13134</v>
      </c>
      <c r="D21" s="271"/>
      <c r="E21" s="272">
        <v>2000</v>
      </c>
      <c r="F21" s="273"/>
      <c r="G21" s="274" t="s">
        <v>14161</v>
      </c>
      <c r="H21" s="274"/>
      <c r="I21" s="274"/>
      <c r="J21" s="274"/>
      <c r="K21" s="274"/>
      <c r="L21" s="274"/>
      <c r="M21" s="274"/>
      <c r="N21" s="274"/>
      <c r="O21" s="274"/>
      <c r="P21" s="274"/>
      <c r="Q21" s="274"/>
      <c r="R21" s="274"/>
      <c r="S21" s="274"/>
      <c r="T21" s="274"/>
      <c r="U21" s="15"/>
    </row>
    <row r="22" spans="1:21" ht="14.1" customHeight="1" x14ac:dyDescent="0.25">
      <c r="A22" s="263"/>
      <c r="B22" s="29"/>
      <c r="C22" s="271"/>
      <c r="D22" s="271"/>
      <c r="E22" s="273"/>
      <c r="F22" s="273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15"/>
    </row>
    <row r="23" spans="1:21" ht="14.1" customHeight="1" x14ac:dyDescent="0.25">
      <c r="A23" s="263"/>
      <c r="B23" s="30"/>
      <c r="C23" s="275" t="s">
        <v>8738</v>
      </c>
      <c r="D23" s="275"/>
      <c r="E23" s="275"/>
      <c r="F23" s="275"/>
      <c r="G23" s="275"/>
      <c r="H23" s="275"/>
      <c r="I23" s="275"/>
      <c r="J23" s="275"/>
      <c r="K23" s="31"/>
      <c r="L23" s="276" t="s">
        <v>13135</v>
      </c>
      <c r="M23" s="276"/>
      <c r="N23" s="276"/>
      <c r="O23" s="276"/>
      <c r="P23" s="277">
        <v>3413535007</v>
      </c>
      <c r="Q23" s="277"/>
      <c r="R23" s="277"/>
      <c r="S23" s="277"/>
      <c r="T23" s="277"/>
      <c r="U23" s="15"/>
    </row>
    <row r="24" spans="1:21" ht="14.1" customHeight="1" x14ac:dyDescent="0.25">
      <c r="A24" s="263"/>
      <c r="B24" s="30"/>
      <c r="C24" s="275"/>
      <c r="D24" s="275"/>
      <c r="E24" s="275"/>
      <c r="F24" s="275"/>
      <c r="G24" s="275"/>
      <c r="H24" s="275"/>
      <c r="I24" s="275"/>
      <c r="J24" s="275"/>
      <c r="K24" s="31"/>
      <c r="L24" s="276"/>
      <c r="M24" s="276"/>
      <c r="N24" s="276"/>
      <c r="O24" s="276"/>
      <c r="P24" s="277"/>
      <c r="Q24" s="277"/>
      <c r="R24" s="277"/>
      <c r="S24" s="277"/>
      <c r="T24" s="277"/>
      <c r="U24" s="15"/>
    </row>
    <row r="25" spans="1:21" ht="14.1" customHeight="1" thickBot="1" x14ac:dyDescent="0.3">
      <c r="A25" s="264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30" t="str">
        <f>+Datos!B4</f>
        <v>RERDA S.A.</v>
      </c>
      <c r="D2" s="331"/>
      <c r="E2" s="331"/>
      <c r="F2" s="331"/>
      <c r="G2" s="331"/>
      <c r="H2" s="331"/>
      <c r="I2" s="331"/>
      <c r="J2" s="41"/>
      <c r="K2" s="41"/>
      <c r="L2" s="41"/>
      <c r="M2" s="41"/>
      <c r="N2" s="41"/>
      <c r="O2" s="41"/>
      <c r="P2" s="42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317" t="str">
        <f>IF(Planilla!W2="","¿…?",Planilla!W2)</f>
        <v>ELENA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54"/>
    </row>
    <row r="8" spans="1:22" ht="14.1" customHeight="1" x14ac:dyDescent="0.25">
      <c r="A8" s="318" t="s">
        <v>13150</v>
      </c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  <c r="V8" s="320"/>
    </row>
    <row r="9" spans="1:22" ht="14.1" customHeight="1" x14ac:dyDescent="0.25">
      <c r="A9" s="321"/>
      <c r="B9" s="322"/>
      <c r="C9" s="322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322"/>
      <c r="T9" s="322"/>
      <c r="U9" s="322"/>
      <c r="V9" s="323"/>
    </row>
    <row r="10" spans="1:22" ht="14.1" customHeight="1" x14ac:dyDescent="0.25">
      <c r="A10" s="324"/>
      <c r="B10" s="325"/>
      <c r="C10" s="325"/>
      <c r="D10" s="325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5"/>
      <c r="S10" s="325"/>
      <c r="T10" s="325"/>
      <c r="U10" s="325"/>
      <c r="V10" s="32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5" t="s">
        <v>13151</v>
      </c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63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66"/>
      <c r="B13" s="67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68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4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5"/>
      <c r="B16" s="75"/>
      <c r="C16" s="357" t="s">
        <v>14151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61" t="s">
        <v>13133</v>
      </c>
      <c r="P16" s="361"/>
      <c r="Q16" s="361"/>
      <c r="R16" s="362">
        <v>35781600</v>
      </c>
      <c r="S16" s="363"/>
      <c r="T16" s="363"/>
      <c r="U16" s="364"/>
      <c r="V16" s="78"/>
    </row>
    <row r="17" spans="1:22" ht="14.1" customHeight="1" x14ac:dyDescent="0.25">
      <c r="A17" s="355"/>
      <c r="B17" s="75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5"/>
      <c r="B18" s="75"/>
      <c r="C18" s="365" t="s">
        <v>13153</v>
      </c>
      <c r="D18" s="366"/>
      <c r="E18" s="366"/>
      <c r="F18" s="367" t="str">
        <f>VLOOKUP(S18,Sucursales!A:B,2,FALSE)</f>
        <v>SALTA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11862</v>
      </c>
      <c r="T18" s="369"/>
      <c r="U18" s="370"/>
      <c r="V18" s="78"/>
    </row>
    <row r="19" spans="1:22" ht="14.1" customHeight="1" x14ac:dyDescent="0.25">
      <c r="A19" s="355"/>
      <c r="B19" s="75"/>
      <c r="C19" s="371" t="s">
        <v>13154</v>
      </c>
      <c r="D19" s="372"/>
      <c r="E19" s="372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78"/>
    </row>
    <row r="20" spans="1:22" ht="14.1" customHeight="1" x14ac:dyDescent="0.25">
      <c r="A20" s="355"/>
      <c r="B20" s="75"/>
      <c r="C20" s="373" t="str">
        <f>VLOOKUP(S18,Sucursales!A:G,6,FALSE)</f>
        <v>A4400ZAA</v>
      </c>
      <c r="D20" s="374"/>
      <c r="E20" s="374"/>
      <c r="F20" s="374"/>
      <c r="H20" s="377" t="str">
        <f>VLOOKUP(S18,Sucursales!A:H,7,FALSE)</f>
        <v>SALTA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78"/>
    </row>
    <row r="21" spans="1:22" ht="14.1" customHeight="1" x14ac:dyDescent="0.25">
      <c r="A21" s="355"/>
      <c r="B21" s="75"/>
      <c r="C21" s="379" t="str">
        <f>VLOOKUP(S18,Sucursales!A:H,8,FALSE)</f>
        <v>SALTA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5"/>
      <c r="B22" s="75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383">
        <v>3878641652</v>
      </c>
      <c r="S22" s="384"/>
      <c r="T22" s="384"/>
      <c r="U22" s="385"/>
      <c r="V22" s="78"/>
    </row>
    <row r="23" spans="1:22" ht="14.1" customHeight="1" thickBot="1" x14ac:dyDescent="0.3">
      <c r="A23" s="356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96" t="str">
        <f>+Datos!B4</f>
        <v>RERDA S.A.</v>
      </c>
      <c r="D2" s="397"/>
      <c r="E2" s="397"/>
      <c r="F2" s="397"/>
      <c r="G2" s="397"/>
      <c r="H2" s="398" t="s">
        <v>13156</v>
      </c>
      <c r="I2" s="398"/>
      <c r="J2" s="398"/>
      <c r="K2" s="398"/>
      <c r="L2" s="398"/>
      <c r="M2" s="398"/>
      <c r="N2" s="398"/>
      <c r="O2" s="398"/>
      <c r="P2" s="399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283" t="str">
        <f>IF(Planilla!W2="","¿…?",Planilla!W2)</f>
        <v>ELENA</v>
      </c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  <c r="V7" s="54"/>
    </row>
    <row r="8" spans="1:22" ht="14.1" customHeight="1" x14ac:dyDescent="0.25">
      <c r="A8" s="387" t="s">
        <v>13157</v>
      </c>
      <c r="B8" s="388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9"/>
    </row>
    <row r="9" spans="1:22" ht="14.1" customHeight="1" x14ac:dyDescent="0.25">
      <c r="A9" s="390"/>
      <c r="B9" s="391"/>
      <c r="C9" s="391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2"/>
    </row>
    <row r="10" spans="1:22" ht="14.1" customHeight="1" x14ac:dyDescent="0.25">
      <c r="A10" s="393"/>
      <c r="B10" s="394"/>
      <c r="C10" s="394"/>
      <c r="D10" s="394"/>
      <c r="E10" s="394"/>
      <c r="F10" s="394"/>
      <c r="G10" s="394"/>
      <c r="H10" s="394"/>
      <c r="I10" s="394"/>
      <c r="J10" s="394"/>
      <c r="K10" s="394"/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0" t="s">
        <v>13158</v>
      </c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91"/>
      <c r="B13" s="92"/>
      <c r="C13" s="402"/>
      <c r="D13" s="402"/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4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5"/>
      <c r="B16" s="93"/>
      <c r="C16" s="407" t="s">
        <v>14153</v>
      </c>
      <c r="D16" s="408"/>
      <c r="E16" s="408"/>
      <c r="F16" s="408"/>
      <c r="G16" s="408"/>
      <c r="H16" s="408"/>
      <c r="I16" s="408"/>
      <c r="J16" s="408"/>
      <c r="K16" s="408"/>
      <c r="L16" s="408"/>
      <c r="M16" s="408"/>
      <c r="N16" s="408"/>
      <c r="O16" s="361" t="s">
        <v>13133</v>
      </c>
      <c r="P16" s="361"/>
      <c r="Q16" s="361"/>
      <c r="R16" s="411">
        <v>42288678</v>
      </c>
      <c r="S16" s="363"/>
      <c r="T16" s="363"/>
      <c r="U16" s="364"/>
      <c r="V16" s="96"/>
    </row>
    <row r="17" spans="1:22" ht="14.1" customHeight="1" x14ac:dyDescent="0.25">
      <c r="A17" s="405"/>
      <c r="B17" s="93"/>
      <c r="C17" s="409"/>
      <c r="D17" s="410"/>
      <c r="E17" s="410"/>
      <c r="F17" s="410"/>
      <c r="G17" s="410"/>
      <c r="H17" s="410"/>
      <c r="I17" s="410"/>
      <c r="J17" s="410"/>
      <c r="K17" s="410"/>
      <c r="L17" s="410"/>
      <c r="M17" s="410"/>
      <c r="N17" s="410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5"/>
      <c r="B18" s="93"/>
      <c r="C18" s="379" t="s">
        <v>13159</v>
      </c>
      <c r="D18" s="367"/>
      <c r="E18" s="367"/>
      <c r="F18" s="367" t="str">
        <f>VLOOKUP(S18,Sucursales!A:B,2,FALSE)</f>
        <v>LIB. GRAL. SAN MARTIN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11129</v>
      </c>
      <c r="T18" s="369"/>
      <c r="U18" s="370"/>
      <c r="V18" s="96"/>
    </row>
    <row r="19" spans="1:22" ht="14.1" customHeight="1" x14ac:dyDescent="0.25">
      <c r="A19" s="405"/>
      <c r="B19" s="93"/>
      <c r="C19" s="379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96"/>
    </row>
    <row r="20" spans="1:22" ht="14.1" customHeight="1" x14ac:dyDescent="0.25">
      <c r="A20" s="405"/>
      <c r="B20" s="93"/>
      <c r="C20" s="373" t="str">
        <f>VLOOKUP(S18,Sucursales!A:G,6,FALSE)</f>
        <v>Y4512ZAB</v>
      </c>
      <c r="D20" s="374"/>
      <c r="E20" s="374"/>
      <c r="F20" s="374"/>
      <c r="H20" s="377" t="str">
        <f>VLOOKUP(S18,Sucursales!A:H,7,FALSE)</f>
        <v>LIB GRAL SAN MARTIN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96"/>
    </row>
    <row r="21" spans="1:22" ht="14.1" customHeight="1" x14ac:dyDescent="0.25">
      <c r="A21" s="405"/>
      <c r="B21" s="93"/>
      <c r="C21" s="379" t="str">
        <f>VLOOKUP(S18,Sucursales!A:H,8,FALSE)</f>
        <v>JUJUY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5"/>
      <c r="B22" s="93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412">
        <v>3886447862</v>
      </c>
      <c r="S22" s="384"/>
      <c r="T22" s="384"/>
      <c r="U22" s="385"/>
      <c r="V22" s="96"/>
    </row>
    <row r="23" spans="1:22" ht="14.1" customHeight="1" thickBot="1" x14ac:dyDescent="0.3">
      <c r="A23" s="406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3"/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5"/>
    </row>
    <row r="3" spans="1:22" ht="14.1" customHeight="1" x14ac:dyDescent="0.25">
      <c r="A3" s="416"/>
      <c r="B3" s="417"/>
      <c r="C3" s="417"/>
      <c r="D3" s="417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17"/>
      <c r="S3" s="417"/>
      <c r="T3" s="417"/>
      <c r="U3" s="417"/>
      <c r="V3" s="418"/>
    </row>
    <row r="4" spans="1:22" ht="14.1" customHeight="1" x14ac:dyDescent="0.25">
      <c r="A4" s="416"/>
      <c r="B4" s="417"/>
      <c r="C4" s="417"/>
      <c r="D4" s="417"/>
      <c r="E4" s="417"/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8"/>
    </row>
    <row r="5" spans="1:22" ht="14.1" customHeight="1" x14ac:dyDescent="0.25">
      <c r="A5" s="416"/>
      <c r="B5" s="417"/>
      <c r="C5" s="417"/>
      <c r="D5" s="417"/>
      <c r="E5" s="417"/>
      <c r="F5" s="417"/>
      <c r="G5" s="417"/>
      <c r="H5" s="417"/>
      <c r="I5" s="417"/>
      <c r="J5" s="417"/>
      <c r="K5" s="417"/>
      <c r="L5" s="417"/>
      <c r="M5" s="417"/>
      <c r="N5" s="417"/>
      <c r="O5" s="417"/>
      <c r="P5" s="417"/>
      <c r="Q5" s="417"/>
      <c r="R5" s="417"/>
      <c r="S5" s="417"/>
      <c r="T5" s="417"/>
      <c r="U5" s="417"/>
      <c r="V5" s="418"/>
    </row>
    <row r="6" spans="1:22" ht="14.1" customHeight="1" x14ac:dyDescent="0.25">
      <c r="A6" s="419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0"/>
      <c r="U6" s="420"/>
      <c r="V6" s="421"/>
    </row>
    <row r="7" spans="1:22" ht="14.1" customHeight="1" x14ac:dyDescent="0.25">
      <c r="A7" s="138"/>
      <c r="B7" s="139"/>
      <c r="C7" s="317" t="s">
        <v>13130</v>
      </c>
      <c r="D7" s="317"/>
      <c r="E7" s="317" t="str">
        <f>IF(Planilla!W2="","¿…?",Planilla!W2)</f>
        <v>ELENA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140"/>
    </row>
    <row r="8" spans="1:22" ht="14.1" customHeight="1" x14ac:dyDescent="0.25">
      <c r="A8" s="429" t="s">
        <v>13404</v>
      </c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1"/>
    </row>
    <row r="9" spans="1:22" ht="14.1" customHeight="1" x14ac:dyDescent="0.25">
      <c r="A9" s="432"/>
      <c r="B9" s="433"/>
      <c r="C9" s="433"/>
      <c r="D9" s="433"/>
      <c r="E9" s="433"/>
      <c r="F9" s="433"/>
      <c r="G9" s="433"/>
      <c r="H9" s="433"/>
      <c r="I9" s="433"/>
      <c r="J9" s="433"/>
      <c r="K9" s="433"/>
      <c r="L9" s="433"/>
      <c r="M9" s="433"/>
      <c r="N9" s="433"/>
      <c r="O9" s="433"/>
      <c r="P9" s="433"/>
      <c r="Q9" s="433"/>
      <c r="R9" s="433"/>
      <c r="S9" s="433"/>
      <c r="T9" s="433"/>
      <c r="U9" s="433"/>
      <c r="V9" s="434"/>
    </row>
    <row r="10" spans="1:22" ht="14.1" customHeight="1" x14ac:dyDescent="0.25">
      <c r="A10" s="435"/>
      <c r="B10" s="436"/>
      <c r="C10" s="436"/>
      <c r="D10" s="436"/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36"/>
      <c r="S10" s="436"/>
      <c r="T10" s="436"/>
      <c r="U10" s="436"/>
      <c r="V10" s="437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8"/>
      <c r="D12" s="438"/>
      <c r="E12" s="438"/>
      <c r="F12" s="438"/>
      <c r="G12" s="438"/>
      <c r="H12" s="438"/>
      <c r="I12" s="438"/>
      <c r="J12" s="438"/>
      <c r="K12" s="438"/>
      <c r="L12" s="438"/>
      <c r="M12" s="438"/>
      <c r="N12" s="438"/>
      <c r="O12" s="160"/>
      <c r="P12" s="439"/>
      <c r="Q12" s="439"/>
      <c r="R12" s="439"/>
      <c r="S12" s="439"/>
      <c r="T12" s="439"/>
      <c r="U12" s="439"/>
      <c r="V12" s="159"/>
    </row>
    <row r="13" spans="1:22" ht="4.5" customHeight="1" x14ac:dyDescent="0.25">
      <c r="A13" s="163"/>
      <c r="B13" s="161"/>
      <c r="C13" s="438"/>
      <c r="D13" s="438"/>
      <c r="E13" s="438"/>
      <c r="F13" s="438"/>
      <c r="G13" s="438"/>
      <c r="H13" s="438"/>
      <c r="I13" s="438"/>
      <c r="J13" s="438"/>
      <c r="K13" s="438"/>
      <c r="L13" s="438"/>
      <c r="M13" s="438"/>
      <c r="N13" s="438"/>
      <c r="O13" s="160"/>
      <c r="P13" s="439"/>
      <c r="Q13" s="439"/>
      <c r="R13" s="439"/>
      <c r="S13" s="439"/>
      <c r="T13" s="439"/>
      <c r="U13" s="439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2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3"/>
      <c r="B16" s="168"/>
      <c r="C16" s="357" t="s">
        <v>13937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425" t="s">
        <v>13133</v>
      </c>
      <c r="P16" s="425"/>
      <c r="Q16" s="425"/>
      <c r="R16" s="362">
        <v>38476336</v>
      </c>
      <c r="S16" s="363"/>
      <c r="T16" s="363"/>
      <c r="U16" s="364"/>
      <c r="V16" s="164"/>
    </row>
    <row r="17" spans="1:22" ht="14.1" customHeight="1" x14ac:dyDescent="0.25">
      <c r="A17" s="423"/>
      <c r="B17" s="168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3"/>
      <c r="B18" s="168"/>
      <c r="C18" s="426" t="s">
        <v>13403</v>
      </c>
      <c r="D18" s="427"/>
      <c r="E18" s="427"/>
      <c r="F18" s="428">
        <f ca="1">TODAY()</f>
        <v>45183</v>
      </c>
      <c r="G18" s="427"/>
      <c r="H18" s="427"/>
      <c r="I18" s="427"/>
      <c r="J18" s="427"/>
      <c r="K18" s="427"/>
      <c r="L18" s="427"/>
      <c r="M18" s="427"/>
      <c r="N18" s="152"/>
      <c r="O18" s="443"/>
      <c r="P18" s="443"/>
      <c r="Q18" s="443"/>
      <c r="R18" s="443"/>
      <c r="S18" s="444"/>
      <c r="T18" s="444"/>
      <c r="U18" s="445"/>
      <c r="V18" s="164"/>
    </row>
    <row r="19" spans="1:22" ht="14.1" customHeight="1" x14ac:dyDescent="0.25">
      <c r="A19" s="423"/>
      <c r="B19" s="168"/>
      <c r="C19" s="426"/>
      <c r="D19" s="427"/>
      <c r="E19" s="427"/>
      <c r="F19" s="427"/>
      <c r="G19" s="427"/>
      <c r="H19" s="427"/>
      <c r="I19" s="427"/>
      <c r="J19" s="427"/>
      <c r="K19" s="427"/>
      <c r="L19" s="427"/>
      <c r="M19" s="427"/>
      <c r="N19" s="155"/>
      <c r="O19" s="443"/>
      <c r="P19" s="443"/>
      <c r="Q19" s="443"/>
      <c r="R19" s="443"/>
      <c r="S19" s="444"/>
      <c r="T19" s="444"/>
      <c r="U19" s="445"/>
      <c r="V19" s="164"/>
    </row>
    <row r="20" spans="1:22" ht="14.1" customHeight="1" x14ac:dyDescent="0.25">
      <c r="A20" s="423"/>
      <c r="B20" s="168"/>
      <c r="C20" s="446"/>
      <c r="D20" s="447"/>
      <c r="E20" s="447"/>
      <c r="F20" s="447"/>
      <c r="H20" s="448"/>
      <c r="I20" s="448"/>
      <c r="J20" s="448"/>
      <c r="K20" s="448"/>
      <c r="L20" s="448"/>
      <c r="M20" s="448"/>
      <c r="N20" s="448"/>
      <c r="O20" s="448"/>
      <c r="P20" s="448"/>
      <c r="Q20" s="448"/>
      <c r="R20" s="448"/>
      <c r="S20" s="448"/>
      <c r="T20" s="448"/>
      <c r="U20" s="449"/>
      <c r="V20" s="164"/>
    </row>
    <row r="21" spans="1:22" ht="14.1" customHeight="1" x14ac:dyDescent="0.25">
      <c r="A21" s="423"/>
      <c r="B21" s="168"/>
      <c r="C21" s="426" t="s">
        <v>13402</v>
      </c>
      <c r="D21" s="427"/>
      <c r="E21" s="427"/>
      <c r="F21" s="427"/>
      <c r="G21" s="427"/>
      <c r="H21" s="427"/>
      <c r="I21" s="427"/>
      <c r="J21" s="427"/>
      <c r="K21" s="427"/>
      <c r="L21" s="427"/>
      <c r="M21" s="427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3"/>
      <c r="B22" s="168"/>
      <c r="C22" s="440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2" t="s">
        <v>13155</v>
      </c>
      <c r="O22" s="442"/>
      <c r="P22" s="442"/>
      <c r="Q22" s="442"/>
      <c r="R22" s="383">
        <v>2613157782</v>
      </c>
      <c r="S22" s="384"/>
      <c r="T22" s="384"/>
      <c r="U22" s="385"/>
      <c r="V22" s="164"/>
    </row>
    <row r="23" spans="1:22" ht="14.1" customHeight="1" thickBot="1" x14ac:dyDescent="0.3">
      <c r="A23" s="424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3" workbookViewId="0">
      <selection activeCell="B34" sqref="B34:B35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14169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14164</v>
      </c>
    </row>
    <row r="6" spans="1:3" x14ac:dyDescent="0.25">
      <c r="A6" s="102"/>
      <c r="B6" s="102" t="s">
        <v>7935</v>
      </c>
      <c r="C6" s="102" t="s">
        <v>14165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2023-09-14T14:29:03Z</cp:lastPrinted>
  <dcterms:created xsi:type="dcterms:W3CDTF">2020-05-12T14:02:24Z</dcterms:created>
  <dcterms:modified xsi:type="dcterms:W3CDTF">2023-09-14T14:41:10Z</dcterms:modified>
</cp:coreProperties>
</file>